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y Debts" sheetId="2" state="visible" r:id="rId2"/>
    <sheet name="Compare" sheetId="3" state="visible" r:id="rId3"/>
    <sheet name="Snowball" sheetId="4" state="visible" r:id="rId4"/>
    <sheet name="Avalanche" sheetId="5" state="visible" r:id="rId5"/>
    <sheet name="Minimum Only" sheetId="6" state="visible" r:id="rId6"/>
    <sheet name="Progress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&quot;$&quot;#,##0.00"/>
    <numFmt numFmtId="167" formatCode="&quot;$&quot;#,##0"/>
  </numFmts>
  <fonts count="19">
    <font>
      <name val="Calibri"/>
      <family val="2"/>
      <color theme="1"/>
      <sz val="11"/>
      <scheme val="minor"/>
    </font>
    <font>
      <name val="Georgia"/>
      <b val="1"/>
      <color rgb="0026313B"/>
      <sz val="20"/>
    </font>
    <font>
      <name val="Arial"/>
      <color rgb="006B7580"/>
      <sz val="10"/>
    </font>
    <font>
      <name val="Arial"/>
      <b val="1"/>
      <color rgb="003F6E8C"/>
      <sz val="9"/>
    </font>
    <font>
      <name val="Arial"/>
      <b val="1"/>
      <color rgb="006B7580"/>
      <sz val="9"/>
    </font>
    <font>
      <name val="Arial"/>
      <color rgb="0026313B"/>
      <sz val="10"/>
    </font>
    <font>
      <name val="Arial"/>
      <color rgb="006B7580"/>
      <sz val="9"/>
    </font>
    <font>
      <name val="Arial"/>
      <b val="1"/>
      <color rgb="00FFFFFF"/>
      <sz val="9"/>
    </font>
    <font>
      <name val="Arial"/>
      <b val="1"/>
      <color rgb="0026313B"/>
      <sz val="9"/>
    </font>
    <font>
      <name val="Arial"/>
      <b val="1"/>
      <color rgb="0026313B"/>
      <sz val="10"/>
    </font>
    <font>
      <name val="Arial"/>
      <b val="1"/>
      <color rgb="006B7580"/>
      <sz val="8"/>
    </font>
    <font>
      <name val="Georgia"/>
      <b val="1"/>
      <color rgb="0026313B"/>
      <sz val="18"/>
    </font>
    <font>
      <name val="Arial"/>
      <i val="1"/>
      <color rgb="006B7580"/>
      <sz val="9"/>
    </font>
    <font>
      <name val="Arial"/>
      <b val="1"/>
      <color rgb="003F6E8C"/>
      <sz val="10"/>
    </font>
    <font>
      <name val="Arial"/>
      <color rgb="0026313B"/>
      <sz val="9"/>
    </font>
    <font>
      <name val="Georgia"/>
      <b val="1"/>
      <color rgb="0026313B"/>
      <sz val="24"/>
    </font>
    <font>
      <name val="Arial"/>
      <color rgb="006B7580"/>
      <sz val="11"/>
    </font>
    <font>
      <name val="Georgia"/>
      <b val="1"/>
      <color rgb="003F6E8C"/>
      <sz val="12"/>
    </font>
    <font>
      <name val="Arial"/>
      <color rgb="0026313B"/>
      <sz val="10.5"/>
    </font>
  </fonts>
  <fills count="5">
    <fill>
      <patternFill/>
    </fill>
    <fill>
      <patternFill patternType="gray125"/>
    </fill>
    <fill>
      <patternFill patternType="solid">
        <fgColor rgb="00FFF8E8"/>
        <bgColor rgb="00FFF8E8"/>
      </patternFill>
    </fill>
    <fill>
      <patternFill patternType="solid">
        <fgColor rgb="003F6E8C"/>
        <bgColor rgb="003F6E8C"/>
      </patternFill>
    </fill>
    <fill>
      <patternFill patternType="solid">
        <fgColor rgb="00F0F3F6"/>
        <bgColor rgb="00F0F3F6"/>
      </patternFill>
    </fill>
  </fills>
  <borders count="3">
    <border>
      <left/>
      <right/>
      <top/>
      <bottom/>
      <diagonal/>
    </border>
    <border>
      <top style="medium">
        <color rgb="003F6E8C"/>
      </top>
    </border>
    <border>
      <left style="thin">
        <color rgb="00D9DEE2"/>
      </left>
      <right style="thin">
        <color rgb="00D9DEE2"/>
      </right>
      <top style="thin">
        <color rgb="00D9DEE2"/>
      </top>
      <bottom style="thin">
        <color rgb="00D9DEE2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3" fillId="0" borderId="0" pivotButton="0" quotePrefix="0" xfId="0"/>
    <xf numFmtId="0" fontId="17" fillId="0" borderId="0" applyAlignment="1" pivotButton="0" quotePrefix="0" xfId="0">
      <alignment horizontal="center" vertical="top"/>
    </xf>
    <xf numFmtId="0" fontId="18" fillId="0" borderId="0" applyAlignment="1" pivotButton="0" quotePrefix="0" xfId="0">
      <alignment vertical="top" wrapText="1"/>
    </xf>
    <xf numFmtId="0" fontId="0" fillId="2" borderId="2" pivotButton="0" quotePrefix="0" xfId="0"/>
    <xf numFmtId="0" fontId="18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center"/>
    </xf>
    <xf numFmtId="165" fontId="5" fillId="2" borderId="2" applyAlignment="1" pivotButton="0" quotePrefix="0" xfId="0">
      <alignment vertical="center"/>
    </xf>
    <xf numFmtId="0" fontId="6" fillId="0" borderId="0" pivotButton="0" quotePrefix="0" xfId="0"/>
    <xf numFmtId="166" fontId="5" fillId="2" borderId="2" applyAlignment="1" pivotButton="0" quotePrefix="0" xfId="0">
      <alignment vertical="center"/>
    </xf>
    <xf numFmtId="0" fontId="5" fillId="2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2" fontId="5" fillId="2" borderId="2" applyAlignment="1" pivotButton="0" quotePrefix="0" xfId="0">
      <alignment vertical="center"/>
    </xf>
    <xf numFmtId="1" fontId="5" fillId="0" borderId="2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166" fontId="9" fillId="4" borderId="2" applyAlignment="1" pivotButton="0" quotePrefix="0" xfId="0">
      <alignment vertical="center"/>
    </xf>
    <xf numFmtId="0" fontId="10" fillId="4" borderId="0" applyAlignment="1" pivotButton="0" quotePrefix="0" xfId="0">
      <alignment horizontal="left" vertical="center" indent="1"/>
    </xf>
    <xf numFmtId="165" fontId="11" fillId="4" borderId="0" applyAlignment="1" pivotButton="0" quotePrefix="0" xfId="0">
      <alignment horizontal="left" vertical="center" indent="1"/>
    </xf>
    <xf numFmtId="1" fontId="11" fillId="4" borderId="0" applyAlignment="1" pivotButton="0" quotePrefix="0" xfId="0">
      <alignment horizontal="left" vertical="center" indent="1"/>
    </xf>
    <xf numFmtId="167" fontId="11" fillId="4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9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0" fontId="9" fillId="4" borderId="2" applyAlignment="1" pivotButton="0" quotePrefix="0" xfId="0">
      <alignment vertical="center"/>
    </xf>
    <xf numFmtId="165" fontId="5" fillId="4" borderId="2" applyAlignment="1" pivotButton="0" quotePrefix="0" xfId="0">
      <alignment vertical="center"/>
    </xf>
    <xf numFmtId="1" fontId="5" fillId="4" borderId="2" applyAlignment="1" pivotButton="0" quotePrefix="0" xfId="0">
      <alignment vertical="center"/>
    </xf>
    <xf numFmtId="166" fontId="5" fillId="4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" fontId="5" fillId="4" borderId="2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/>
    </xf>
    <xf numFmtId="1" fontId="14" fillId="0" borderId="0" pivotButton="0" quotePrefix="0" xfId="0"/>
    <xf numFmtId="165" fontId="14" fillId="0" borderId="0" pivotButton="0" quotePrefix="0" xfId="0"/>
    <xf numFmtId="166" fontId="8" fillId="0" borderId="0" pivotButton="0" quotePrefix="0" xfId="0"/>
    <xf numFmtId="166" fontId="14" fillId="0" borderId="0" pivotButton="0" quotePrefix="0" xfId="0"/>
    <xf numFmtId="1" fontId="14" fillId="4" borderId="0" pivotButton="0" quotePrefix="0" xfId="0"/>
    <xf numFmtId="165" fontId="14" fillId="4" borderId="0" pivotButton="0" quotePrefix="0" xfId="0"/>
    <xf numFmtId="166" fontId="8" fillId="4" borderId="0" pivotButton="0" quotePrefix="0" xfId="0"/>
    <xf numFmtId="166" fontId="14" fillId="4" borderId="0" pivotButton="0" quotePrefix="0" xfId="0"/>
    <xf numFmtId="9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color rgb="00B8BEC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owed over time</a:t>
            </a:r>
          </a:p>
        </rich>
      </tx>
    </title>
    <plotArea>
      <lineChart>
        <grouping val="standard"/>
        <ser>
          <idx val="0"/>
          <order val="0"/>
          <tx>
            <v>Snowball</v>
          </tx>
          <spPr>
            <a:ln>
              <a:solidFill>
                <a:srgbClr val="3F6E8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'Snowball'!$C$8:$C$187</f>
            </numRef>
          </val>
          <smooth val="0"/>
        </ser>
        <ser>
          <idx val="1"/>
          <order val="1"/>
          <tx>
            <v>Avalanche</v>
          </tx>
          <spPr>
            <a:ln>
              <a:solidFill>
                <a:srgbClr val="C7823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'Avalanche'!$C$8:$C$187</f>
            </numRef>
          </val>
          <smooth val="0"/>
        </ser>
        <ser>
          <idx val="2"/>
          <order val="2"/>
          <tx>
            <v>Minimums only</v>
          </tx>
          <spPr>
            <a:ln>
              <a:solidFill>
                <a:srgbClr val="A9B1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'Minimum Only'!$C$8:$C$187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owed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26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90" customWidth="1" min="3" max="3"/>
    <col width="3" customWidth="1" min="4" max="4"/>
  </cols>
  <sheetData>
    <row r="1" ht="14" customHeight="1"/>
    <row r="2" ht="40" customHeight="1">
      <c r="C2" s="1" t="inlineStr">
        <is>
          <t>Debt Payoff Planner</t>
        </is>
      </c>
    </row>
    <row r="3" ht="48" customHeight="1">
      <c r="C3" s="2" t="inlineStr">
        <is>
          <t>See exactly when you will be debt-free, and compare the snowball and avalanche methods side by side. Works in Microsoft Excel and Google Sheets.</t>
        </is>
      </c>
    </row>
    <row r="5">
      <c r="C5" s="3" t="inlineStr">
        <is>
          <t>HOW TO USE IT</t>
        </is>
      </c>
    </row>
    <row r="6" ht="20" customHeight="1">
      <c r="B6" s="4" t="n">
        <v>1</v>
      </c>
      <c r="C6" s="5" t="inlineStr">
        <is>
          <t>Go to My Debts. Type each debt's name, balance, APR and minimum payment (up to 10 debts).</t>
        </is>
      </c>
    </row>
    <row r="7" ht="36" customHeight="1">
      <c r="B7" s="4" t="n">
        <v>2</v>
      </c>
      <c r="C7" s="5" t="inlineStr">
        <is>
          <t>Enter the first month of your plan and any extra amount you can pay each month on top of the minimums.</t>
        </is>
      </c>
    </row>
    <row r="8" ht="20" customHeight="1">
      <c r="B8" s="4" t="n">
        <v>3</v>
      </c>
      <c r="C8" s="5" t="inlineStr">
        <is>
          <t>Open Compare to see your debt-free date, total interest and payoff order for each method.</t>
        </is>
      </c>
    </row>
    <row r="9" ht="36" customHeight="1">
      <c r="B9" s="4" t="n">
        <v>4</v>
      </c>
      <c r="C9" s="5" t="inlineStr">
        <is>
          <t>Pick Snowball or Avalanche on My Debts. Pay your monthly debt budget every month, following the payoff order.</t>
        </is>
      </c>
    </row>
    <row r="10" ht="20" customHeight="1">
      <c r="B10" s="4" t="n">
        <v>5</v>
      </c>
      <c r="C10" s="5" t="inlineStr">
        <is>
          <t>Each month, log what you really owe on Progress Log.</t>
        </is>
      </c>
    </row>
    <row r="11" ht="36" customHeight="1">
      <c r="B11" s="4" t="n">
        <v>6</v>
      </c>
      <c r="C11" s="5" t="inlineStr">
        <is>
          <t>Want the detail? The Snowball, Avalanche and Minimum Only tabs show every month for up to 25 years.</t>
        </is>
      </c>
    </row>
    <row r="13">
      <c r="C13" s="3" t="inlineStr">
        <is>
          <t>CELL COLOURS</t>
        </is>
      </c>
    </row>
    <row r="14">
      <c r="B14" s="6" t="n"/>
      <c r="C14" s="7" t="inlineStr">
        <is>
          <t>Cream cells are for typing. Everything else calculates on its own.</t>
        </is>
      </c>
    </row>
    <row r="16">
      <c r="C16" s="3" t="inlineStr">
        <is>
          <t>GOOD TO KNOW</t>
        </is>
      </c>
    </row>
    <row r="17" ht="19" customHeight="1">
      <c r="C17" s="8" t="inlineStr">
        <is>
          <t>Google Sheets: File &gt; Import &gt; Upload, or upload to Google Drive and open with Google Sheets.</t>
        </is>
      </c>
    </row>
    <row r="18" ht="19" customHeight="1">
      <c r="C18" s="8" t="inlineStr">
        <is>
          <t>Type APR as a plain number, e.g. 22.99 for 22.99%.</t>
        </is>
      </c>
    </row>
    <row r="19" ht="34" customHeight="1">
      <c r="C19" s="8" t="inlineStr">
        <is>
          <t>Interest is estimated monthly (balance x APR / 12). Your lender may calculate it daily, so their numbers will be a little different.</t>
        </is>
      </c>
    </row>
    <row r="20" ht="19" customHeight="1">
      <c r="C20" s="8" t="inlineStr">
        <is>
          <t>This is a planning tool, not financial advice. Check payoff amounts with your lender.</t>
        </is>
      </c>
    </row>
    <row r="21" ht="34" customHeight="1">
      <c r="C21" s="8" t="inlineStr">
        <is>
          <t>Please do not change the white formula cells. If something breaks, re-download your original file from Etsy (Purchases &gt; Download files).</t>
        </is>
      </c>
    </row>
  </sheetData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K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12" customWidth="1" min="4" max="4"/>
    <col width="16" customWidth="1" min="5" max="5"/>
    <col width="13" customWidth="1" min="6" max="6"/>
    <col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</cols>
  <sheetData>
    <row r="1" ht="10" customHeight="1"/>
    <row r="2" ht="32" customHeight="1">
      <c r="B2" s="9" t="inlineStr">
        <is>
          <t>My Debts</t>
        </is>
      </c>
    </row>
    <row r="3">
      <c r="B3" s="10" t="inlineStr">
        <is>
          <t>List every debt once. Everything else in this file updates from this page.</t>
        </is>
      </c>
    </row>
    <row r="4" ht="8" customHeight="1">
      <c r="B4" s="11" t="n"/>
      <c r="C4" s="11" t="n"/>
      <c r="D4" s="11" t="n"/>
      <c r="E4" s="11" t="n"/>
      <c r="F4" s="11" t="n"/>
      <c r="G4" s="11" t="n"/>
    </row>
    <row r="5">
      <c r="B5" s="3" t="inlineStr">
        <is>
          <t>YOUR PLAN SETTINGS</t>
        </is>
      </c>
    </row>
    <row r="6">
      <c r="B6" s="12" t="inlineStr">
        <is>
          <t>First month of your plan</t>
        </is>
      </c>
      <c r="C6" s="13" t="n">
        <v>46296</v>
      </c>
      <c r="D6" s="14" t="inlineStr">
        <is>
          <t>Pick the 1st of the month you start.</t>
        </is>
      </c>
    </row>
    <row r="7">
      <c r="B7" s="12" t="inlineStr">
        <is>
          <t>Extra you can pay each month</t>
        </is>
      </c>
      <c r="C7" s="15" t="n">
        <v>0</v>
      </c>
      <c r="D7" s="14" t="inlineStr">
        <is>
          <t>On top of your minimum payments. Can be $0.</t>
        </is>
      </c>
    </row>
    <row r="8">
      <c r="B8" s="12" t="inlineStr">
        <is>
          <t>Method you will follow</t>
        </is>
      </c>
      <c r="C8" s="16" t="inlineStr">
        <is>
          <t>Snowball</t>
        </is>
      </c>
      <c r="D8" s="14" t="inlineStr">
        <is>
          <t>Not sure? See the Compare tab.</t>
        </is>
      </c>
    </row>
    <row r="9" ht="30" customHeight="1">
      <c r="B9" s="17" t="inlineStr">
        <is>
          <t>Debt name</t>
        </is>
      </c>
      <c r="C9" s="17" t="inlineStr">
        <is>
          <t>Balance now</t>
        </is>
      </c>
      <c r="D9" s="17" t="inlineStr">
        <is>
          <t>APR (%)</t>
        </is>
      </c>
      <c r="E9" s="17" t="inlineStr">
        <is>
          <t>Minimum payment</t>
        </is>
      </c>
      <c r="F9" s="17" t="inlineStr">
        <is>
          <t>Snowball order</t>
        </is>
      </c>
      <c r="G9" s="17" t="inlineStr">
        <is>
          <t>Avalanche order</t>
        </is>
      </c>
    </row>
    <row r="10">
      <c r="B10" s="16" t="n"/>
      <c r="C10" s="15" t="n"/>
      <c r="D10" s="18" t="n"/>
      <c r="E10" s="15" t="n"/>
      <c r="F10" s="19">
        <f>IF(OR(B10="",N(C10)&lt;=0),"",J10)</f>
        <v/>
      </c>
      <c r="G10" s="19">
        <f>IF(OR(B10="",N(C10)&lt;=0),"",K10)</f>
        <v/>
      </c>
      <c r="H10">
        <f>IF(OR(B10="",N(C10)&lt;=0),1E9+ROW(),C10+ROW()/1E6)</f>
        <v/>
      </c>
      <c r="I10">
        <f>IF(OR(B10="",N(C10)&lt;=0),1E9+ROW(),-N(D10)+ROW()/1E6)</f>
        <v/>
      </c>
      <c r="J10">
        <f>RANK(H10,$H$10:$H$19,1)</f>
        <v/>
      </c>
      <c r="K10">
        <f>RANK(I10,$I$10:$I$19,1)</f>
        <v/>
      </c>
    </row>
    <row r="11">
      <c r="B11" s="16" t="n"/>
      <c r="C11" s="15" t="n"/>
      <c r="D11" s="18" t="n"/>
      <c r="E11" s="15" t="n"/>
      <c r="F11" s="19">
        <f>IF(OR(B11="",N(C11)&lt;=0),"",J11)</f>
        <v/>
      </c>
      <c r="G11" s="19">
        <f>IF(OR(B11="",N(C11)&lt;=0),"",K11)</f>
        <v/>
      </c>
      <c r="H11">
        <f>IF(OR(B11="",N(C11)&lt;=0),1E9+ROW(),C11+ROW()/1E6)</f>
        <v/>
      </c>
      <c r="I11">
        <f>IF(OR(B11="",N(C11)&lt;=0),1E9+ROW(),-N(D11)+ROW()/1E6)</f>
        <v/>
      </c>
      <c r="J11">
        <f>RANK(H11,$H$10:$H$19,1)</f>
        <v/>
      </c>
      <c r="K11">
        <f>RANK(I11,$I$10:$I$19,1)</f>
        <v/>
      </c>
    </row>
    <row r="12">
      <c r="B12" s="16" t="n"/>
      <c r="C12" s="15" t="n"/>
      <c r="D12" s="18" t="n"/>
      <c r="E12" s="15" t="n"/>
      <c r="F12" s="19">
        <f>IF(OR(B12="",N(C12)&lt;=0),"",J12)</f>
        <v/>
      </c>
      <c r="G12" s="19">
        <f>IF(OR(B12="",N(C12)&lt;=0),"",K12)</f>
        <v/>
      </c>
      <c r="H12">
        <f>IF(OR(B12="",N(C12)&lt;=0),1E9+ROW(),C12+ROW()/1E6)</f>
        <v/>
      </c>
      <c r="I12">
        <f>IF(OR(B12="",N(C12)&lt;=0),1E9+ROW(),-N(D12)+ROW()/1E6)</f>
        <v/>
      </c>
      <c r="J12">
        <f>RANK(H12,$H$10:$H$19,1)</f>
        <v/>
      </c>
      <c r="K12">
        <f>RANK(I12,$I$10:$I$19,1)</f>
        <v/>
      </c>
    </row>
    <row r="13">
      <c r="B13" s="16" t="n"/>
      <c r="C13" s="15" t="n"/>
      <c r="D13" s="18" t="n"/>
      <c r="E13" s="15" t="n"/>
      <c r="F13" s="19">
        <f>IF(OR(B13="",N(C13)&lt;=0),"",J13)</f>
        <v/>
      </c>
      <c r="G13" s="19">
        <f>IF(OR(B13="",N(C13)&lt;=0),"",K13)</f>
        <v/>
      </c>
      <c r="H13">
        <f>IF(OR(B13="",N(C13)&lt;=0),1E9+ROW(),C13+ROW()/1E6)</f>
        <v/>
      </c>
      <c r="I13">
        <f>IF(OR(B13="",N(C13)&lt;=0),1E9+ROW(),-N(D13)+ROW()/1E6)</f>
        <v/>
      </c>
      <c r="J13">
        <f>RANK(H13,$H$10:$H$19,1)</f>
        <v/>
      </c>
      <c r="K13">
        <f>RANK(I13,$I$10:$I$19,1)</f>
        <v/>
      </c>
    </row>
    <row r="14">
      <c r="B14" s="16" t="n"/>
      <c r="C14" s="15" t="n"/>
      <c r="D14" s="18" t="n"/>
      <c r="E14" s="15" t="n"/>
      <c r="F14" s="19">
        <f>IF(OR(B14="",N(C14)&lt;=0),"",J14)</f>
        <v/>
      </c>
      <c r="G14" s="19">
        <f>IF(OR(B14="",N(C14)&lt;=0),"",K14)</f>
        <v/>
      </c>
      <c r="H14">
        <f>IF(OR(B14="",N(C14)&lt;=0),1E9+ROW(),C14+ROW()/1E6)</f>
        <v/>
      </c>
      <c r="I14">
        <f>IF(OR(B14="",N(C14)&lt;=0),1E9+ROW(),-N(D14)+ROW()/1E6)</f>
        <v/>
      </c>
      <c r="J14">
        <f>RANK(H14,$H$10:$H$19,1)</f>
        <v/>
      </c>
      <c r="K14">
        <f>RANK(I14,$I$10:$I$19,1)</f>
        <v/>
      </c>
    </row>
    <row r="15">
      <c r="B15" s="16" t="n"/>
      <c r="C15" s="15" t="n"/>
      <c r="D15" s="18" t="n"/>
      <c r="E15" s="15" t="n"/>
      <c r="F15" s="19">
        <f>IF(OR(B15="",N(C15)&lt;=0),"",J15)</f>
        <v/>
      </c>
      <c r="G15" s="19">
        <f>IF(OR(B15="",N(C15)&lt;=0),"",K15)</f>
        <v/>
      </c>
      <c r="H15">
        <f>IF(OR(B15="",N(C15)&lt;=0),1E9+ROW(),C15+ROW()/1E6)</f>
        <v/>
      </c>
      <c r="I15">
        <f>IF(OR(B15="",N(C15)&lt;=0),1E9+ROW(),-N(D15)+ROW()/1E6)</f>
        <v/>
      </c>
      <c r="J15">
        <f>RANK(H15,$H$10:$H$19,1)</f>
        <v/>
      </c>
      <c r="K15">
        <f>RANK(I15,$I$10:$I$19,1)</f>
        <v/>
      </c>
    </row>
    <row r="16">
      <c r="B16" s="16" t="n"/>
      <c r="C16" s="15" t="n"/>
      <c r="D16" s="18" t="n"/>
      <c r="E16" s="15" t="n"/>
      <c r="F16" s="19">
        <f>IF(OR(B16="",N(C16)&lt;=0),"",J16)</f>
        <v/>
      </c>
      <c r="G16" s="19">
        <f>IF(OR(B16="",N(C16)&lt;=0),"",K16)</f>
        <v/>
      </c>
      <c r="H16">
        <f>IF(OR(B16="",N(C16)&lt;=0),1E9+ROW(),C16+ROW()/1E6)</f>
        <v/>
      </c>
      <c r="I16">
        <f>IF(OR(B16="",N(C16)&lt;=0),1E9+ROW(),-N(D16)+ROW()/1E6)</f>
        <v/>
      </c>
      <c r="J16">
        <f>RANK(H16,$H$10:$H$19,1)</f>
        <v/>
      </c>
      <c r="K16">
        <f>RANK(I16,$I$10:$I$19,1)</f>
        <v/>
      </c>
    </row>
    <row r="17">
      <c r="B17" s="16" t="n"/>
      <c r="C17" s="15" t="n"/>
      <c r="D17" s="18" t="n"/>
      <c r="E17" s="15" t="n"/>
      <c r="F17" s="19">
        <f>IF(OR(B17="",N(C17)&lt;=0),"",J17)</f>
        <v/>
      </c>
      <c r="G17" s="19">
        <f>IF(OR(B17="",N(C17)&lt;=0),"",K17)</f>
        <v/>
      </c>
      <c r="H17">
        <f>IF(OR(B17="",N(C17)&lt;=0),1E9+ROW(),C17+ROW()/1E6)</f>
        <v/>
      </c>
      <c r="I17">
        <f>IF(OR(B17="",N(C17)&lt;=0),1E9+ROW(),-N(D17)+ROW()/1E6)</f>
        <v/>
      </c>
      <c r="J17">
        <f>RANK(H17,$H$10:$H$19,1)</f>
        <v/>
      </c>
      <c r="K17">
        <f>RANK(I17,$I$10:$I$19,1)</f>
        <v/>
      </c>
    </row>
    <row r="18">
      <c r="B18" s="16" t="n"/>
      <c r="C18" s="15" t="n"/>
      <c r="D18" s="18" t="n"/>
      <c r="E18" s="15" t="n"/>
      <c r="F18" s="19">
        <f>IF(OR(B18="",N(C18)&lt;=0),"",J18)</f>
        <v/>
      </c>
      <c r="G18" s="19">
        <f>IF(OR(B18="",N(C18)&lt;=0),"",K18)</f>
        <v/>
      </c>
      <c r="H18">
        <f>IF(OR(B18="",N(C18)&lt;=0),1E9+ROW(),C18+ROW()/1E6)</f>
        <v/>
      </c>
      <c r="I18">
        <f>IF(OR(B18="",N(C18)&lt;=0),1E9+ROW(),-N(D18)+ROW()/1E6)</f>
        <v/>
      </c>
      <c r="J18">
        <f>RANK(H18,$H$10:$H$19,1)</f>
        <v/>
      </c>
      <c r="K18">
        <f>RANK(I18,$I$10:$I$19,1)</f>
        <v/>
      </c>
    </row>
    <row r="19">
      <c r="B19" s="16" t="n"/>
      <c r="C19" s="15" t="n"/>
      <c r="D19" s="18" t="n"/>
      <c r="E19" s="15" t="n"/>
      <c r="F19" s="19">
        <f>IF(OR(B19="",N(C19)&lt;=0),"",J19)</f>
        <v/>
      </c>
      <c r="G19" s="19">
        <f>IF(OR(B19="",N(C19)&lt;=0),"",K19)</f>
        <v/>
      </c>
      <c r="H19">
        <f>IF(OR(B19="",N(C19)&lt;=0),1E9+ROW(),C19+ROW()/1E6)</f>
        <v/>
      </c>
      <c r="I19">
        <f>IF(OR(B19="",N(C19)&lt;=0),1E9+ROW(),-N(D19)+ROW()/1E6)</f>
        <v/>
      </c>
      <c r="J19">
        <f>RANK(H19,$H$10:$H$19,1)</f>
        <v/>
      </c>
      <c r="K19">
        <f>RANK(I19,$I$10:$I$19,1)</f>
        <v/>
      </c>
    </row>
    <row r="20">
      <c r="B20" s="20" t="inlineStr">
        <is>
          <t>Totals</t>
        </is>
      </c>
      <c r="C20" s="21">
        <f>SUM(C10:C19)</f>
        <v/>
      </c>
      <c r="E20" s="21">
        <f>SUM(E10:E19)</f>
        <v/>
      </c>
    </row>
    <row r="21">
      <c r="B21" s="20" t="inlineStr">
        <is>
          <t>Monthly debt budget</t>
        </is>
      </c>
      <c r="E21" s="21">
        <f>E20+C7</f>
        <v/>
      </c>
      <c r="F21" s="14" t="inlineStr">
        <is>
          <t>Minimums + extra. Keep paying this every month.</t>
        </is>
      </c>
    </row>
    <row r="23">
      <c r="B23" s="3" t="inlineStr">
        <is>
          <t>YOUR PLAN AT A GLANCE</t>
        </is>
      </c>
    </row>
    <row r="24">
      <c r="B24" s="22" t="inlineStr">
        <is>
          <t>DEBT-FREE BY</t>
        </is>
      </c>
      <c r="C24" s="22" t="inlineStr">
        <is>
          <t>MONTHS TO GO</t>
        </is>
      </c>
      <c r="E24" s="22" t="inlineStr">
        <is>
          <t>TOTAL INTEREST</t>
        </is>
      </c>
      <c r="F24" s="22" t="inlineStr">
        <is>
          <t>INTEREST SAVED</t>
        </is>
      </c>
    </row>
    <row r="25" ht="34" customHeight="1">
      <c r="B25" s="23">
        <f>IF($C$8="Avalanche",Compare!C7,Compare!C6)</f>
        <v/>
      </c>
      <c r="C25" s="24">
        <f>IF($C$8="Avalanche",Compare!D7,Compare!D6)</f>
        <v/>
      </c>
      <c r="E25" s="25">
        <f>IF($C$8="Avalanche",Compare!E7,Compare!E6)</f>
        <v/>
      </c>
      <c r="F25" s="25">
        <f>IF($C$8="Avalanche",Compare!G7,Compare!G6)</f>
        <v/>
      </c>
    </row>
    <row r="27">
      <c r="B27" s="26" t="inlineStr">
        <is>
          <t>Interest saved is compared with paying only the minimums. Estimates only: interest is worked out monthly as balance x APR / 12.</t>
        </is>
      </c>
    </row>
  </sheetData>
  <mergeCells count="4">
    <mergeCell ref="F25:G25"/>
    <mergeCell ref="C25:D25"/>
    <mergeCell ref="F24:G24"/>
    <mergeCell ref="C24:D24"/>
  </mergeCells>
  <dataValidations count="1">
    <dataValidation sqref="C8" showDropDown="0" showInputMessage="1" showErrorMessage="0" allowBlank="1" promptTitle="Pick from list" prompt="Snowball = smallest balance first. Avalanche = highest interest first." type="list">
      <formula1>"Snowball,Avalanche"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L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1" customWidth="1" min="4" max="4"/>
    <col width="15" customWidth="1" min="5" max="5"/>
    <col width="15" customWidth="1" min="6" max="6"/>
    <col width="16" customWidth="1" min="7" max="7"/>
    <col width="3" customWidth="1" min="8" max="8"/>
    <col width="10" customWidth="1" min="9" max="9"/>
    <col width="22" customWidth="1" min="10" max="10"/>
    <col width="14" customWidth="1" min="11" max="11"/>
    <col width="14" customWidth="1" min="12" max="12"/>
  </cols>
  <sheetData>
    <row r="1" ht="10" customHeight="1"/>
    <row r="2" ht="32" customHeight="1">
      <c r="B2" s="9" t="inlineStr">
        <is>
          <t>Compare methods</t>
        </is>
      </c>
    </row>
    <row r="3">
      <c r="B3" s="10" t="inlineStr">
        <is>
          <t>Same monthly budget, three ways to use it. Pick yours on the My Debts tab.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</row>
    <row r="5" ht="30" customHeight="1">
      <c r="B5" s="17" t="inlineStr">
        <is>
          <t>Method</t>
        </is>
      </c>
      <c r="C5" s="17" t="inlineStr">
        <is>
          <t>Debt-free by</t>
        </is>
      </c>
      <c r="D5" s="17" t="inlineStr">
        <is>
          <t>Months</t>
        </is>
      </c>
      <c r="E5" s="17" t="inlineStr">
        <is>
          <t>Total interest</t>
        </is>
      </c>
      <c r="F5" s="17" t="inlineStr">
        <is>
          <t>Total paid</t>
        </is>
      </c>
      <c r="G5" s="17" t="inlineStr">
        <is>
          <t>Interest saved vs minimums</t>
        </is>
      </c>
    </row>
    <row r="6">
      <c r="B6" s="27" t="inlineStr">
        <is>
          <t>Snowball</t>
        </is>
      </c>
      <c r="C6" s="28">
        <f>IF(ISNUMBER(D6),EDATE('My Debts'!$C$6,MAX(D6,1)-1),"Not in 25 yrs")</f>
        <v/>
      </c>
      <c r="D6" s="29">
        <f>IF('My Debts'!$C$20&lt;=0,0,IF(COUNTIF('Snowball'!$C$8:$C$307,"&gt;0.005")&gt;=300,"25+ yrs",COUNTIF('Snowball'!$C$8:$C$307,"&gt;0.005")+1))</f>
        <v/>
      </c>
      <c r="E6" s="30">
        <f>SUM('Snowball'!$E$8:$E$307)</f>
        <v/>
      </c>
      <c r="F6" s="30">
        <f>SUM('Snowball'!$D$8:$D$307)</f>
        <v/>
      </c>
      <c r="G6" s="30">
        <f>E8-E6</f>
        <v/>
      </c>
    </row>
    <row r="7">
      <c r="B7" s="27" t="inlineStr">
        <is>
          <t>Avalanche</t>
        </is>
      </c>
      <c r="C7" s="28">
        <f>IF(ISNUMBER(D7),EDATE('My Debts'!$C$6,MAX(D7,1)-1),"Not in 25 yrs")</f>
        <v/>
      </c>
      <c r="D7" s="29">
        <f>IF('My Debts'!$C$20&lt;=0,0,IF(COUNTIF('Avalanche'!$C$8:$C$307,"&gt;0.005")&gt;=300,"25+ yrs",COUNTIF('Avalanche'!$C$8:$C$307,"&gt;0.005")+1))</f>
        <v/>
      </c>
      <c r="E7" s="30">
        <f>SUM('Avalanche'!$E$8:$E$307)</f>
        <v/>
      </c>
      <c r="F7" s="30">
        <f>SUM('Avalanche'!$D$8:$D$307)</f>
        <v/>
      </c>
      <c r="G7" s="30">
        <f>E8-E7</f>
        <v/>
      </c>
    </row>
    <row r="8">
      <c r="B8" s="31" t="inlineStr">
        <is>
          <t>Minimums only</t>
        </is>
      </c>
      <c r="C8" s="32">
        <f>IF(ISNUMBER(D8),EDATE('My Debts'!$C$6,MAX(D8,1)-1),"Not in 25 yrs")</f>
        <v/>
      </c>
      <c r="D8" s="33">
        <f>IF('My Debts'!$C$20&lt;=0,0,IF(COUNTIF('Minimum Only'!$C$8:$C$307,"&gt;0.005")&gt;=300,"25+ yrs",COUNTIF('Minimum Only'!$C$8:$C$307,"&gt;0.005")+1))</f>
        <v/>
      </c>
      <c r="E8" s="34">
        <f>SUM('Minimum Only'!$E$8:$E$307)</f>
        <v/>
      </c>
      <c r="F8" s="34">
        <f>SUM('Minimum Only'!$D$8:$D$307)</f>
        <v/>
      </c>
      <c r="G8" s="34" t="inlineStr">
        <is>
          <t>—</t>
        </is>
      </c>
    </row>
    <row r="10">
      <c r="B10" s="26" t="inlineStr">
        <is>
          <t>If minimums never clear a debt within 25 years, the minimum-only interest shown is only the first 25 years, so real savings are larger.</t>
        </is>
      </c>
    </row>
    <row r="11">
      <c r="B11" s="26" t="inlineStr">
        <is>
          <t>Snowball often feels better (quick wins). Avalanche usually costs less. The best plan is the one you stick with.</t>
        </is>
      </c>
    </row>
    <row r="13">
      <c r="B13" s="3" t="inlineStr">
        <is>
          <t>SNOWBALL ORDER</t>
        </is>
      </c>
      <c r="I13" s="3" t="inlineStr">
        <is>
          <t>AVALANCHE ORDER</t>
        </is>
      </c>
    </row>
    <row r="14" ht="30" customHeight="1">
      <c r="B14" s="17" t="inlineStr">
        <is>
          <t>Debt</t>
        </is>
      </c>
      <c r="C14" s="17" t="inlineStr">
        <is>
          <t>Paid off</t>
        </is>
      </c>
      <c r="D14" s="17" t="inlineStr">
        <is>
          <t>Interest paid</t>
        </is>
      </c>
      <c r="I14" s="17" t="inlineStr">
        <is>
          <t>#</t>
        </is>
      </c>
      <c r="J14" s="17" t="inlineStr">
        <is>
          <t>Debt</t>
        </is>
      </c>
      <c r="K14" s="17" t="inlineStr">
        <is>
          <t>Paid off</t>
        </is>
      </c>
      <c r="L14" s="17" t="inlineStr">
        <is>
          <t>Interest paid</t>
        </is>
      </c>
    </row>
    <row r="15">
      <c r="B15" s="35">
        <f>'Snowball'!K6</f>
        <v/>
      </c>
      <c r="C15" s="28">
        <f>IF('Snowball'!K6="","",IF(COUNTIF('Snowball'!$K$8:$K$307,"&gt;0.005")&gt;=300,"Not in 25 yrs",EDATE('My Debts'!$C$6,COUNTIF('Snowball'!$K$8:$K$307,"&gt;0.005"))))</f>
        <v/>
      </c>
      <c r="D15" s="30">
        <f>IF('Snowball'!K6="","",SUM('Snowball'!$H$8:$H$307))</f>
        <v/>
      </c>
      <c r="I15" s="19" t="n">
        <v>1</v>
      </c>
      <c r="J15" s="35">
        <f>'Avalanche'!K6</f>
        <v/>
      </c>
      <c r="K15" s="28">
        <f>IF('Avalanche'!K6="","",IF(COUNTIF('Avalanche'!$K$8:$K$307,"&gt;0.005")&gt;=300,"Not in 25 yrs",EDATE('My Debts'!$C$6,COUNTIF('Avalanche'!$K$8:$K$307,"&gt;0.005"))))</f>
        <v/>
      </c>
      <c r="L15" s="30">
        <f>IF('Avalanche'!K6="","",SUM('Avalanche'!$H$8:$H$307))</f>
        <v/>
      </c>
    </row>
    <row r="16">
      <c r="B16" s="36">
        <f>'Snowball'!Q6</f>
        <v/>
      </c>
      <c r="C16" s="32">
        <f>IF('Snowball'!Q6="","",IF(COUNTIF('Snowball'!$Q$8:$Q$307,"&gt;0.005")&gt;=300,"Not in 25 yrs",EDATE('My Debts'!$C$6,COUNTIF('Snowball'!$Q$8:$Q$307,"&gt;0.005"))))</f>
        <v/>
      </c>
      <c r="D16" s="34">
        <f>IF('Snowball'!Q6="","",SUM('Snowball'!$N$8:$N$307))</f>
        <v/>
      </c>
      <c r="I16" s="37" t="n">
        <v>2</v>
      </c>
      <c r="J16" s="36">
        <f>'Avalanche'!Q6</f>
        <v/>
      </c>
      <c r="K16" s="32">
        <f>IF('Avalanche'!Q6="","",IF(COUNTIF('Avalanche'!$Q$8:$Q$307,"&gt;0.005")&gt;=300,"Not in 25 yrs",EDATE('My Debts'!$C$6,COUNTIF('Avalanche'!$Q$8:$Q$307,"&gt;0.005"))))</f>
        <v/>
      </c>
      <c r="L16" s="34">
        <f>IF('Avalanche'!Q6="","",SUM('Avalanche'!$N$8:$N$307))</f>
        <v/>
      </c>
    </row>
    <row r="17">
      <c r="B17" s="35">
        <f>'Snowball'!W6</f>
        <v/>
      </c>
      <c r="C17" s="28">
        <f>IF('Snowball'!W6="","",IF(COUNTIF('Snowball'!$W$8:$W$307,"&gt;0.005")&gt;=300,"Not in 25 yrs",EDATE('My Debts'!$C$6,COUNTIF('Snowball'!$W$8:$W$307,"&gt;0.005"))))</f>
        <v/>
      </c>
      <c r="D17" s="30">
        <f>IF('Snowball'!W6="","",SUM('Snowball'!$T$8:$T$307))</f>
        <v/>
      </c>
      <c r="I17" s="19" t="n">
        <v>3</v>
      </c>
      <c r="J17" s="35">
        <f>'Avalanche'!W6</f>
        <v/>
      </c>
      <c r="K17" s="28">
        <f>IF('Avalanche'!W6="","",IF(COUNTIF('Avalanche'!$W$8:$W$307,"&gt;0.005")&gt;=300,"Not in 25 yrs",EDATE('My Debts'!$C$6,COUNTIF('Avalanche'!$W$8:$W$307,"&gt;0.005"))))</f>
        <v/>
      </c>
      <c r="L17" s="30">
        <f>IF('Avalanche'!W6="","",SUM('Avalanche'!$T$8:$T$307))</f>
        <v/>
      </c>
    </row>
    <row r="18">
      <c r="B18" s="36">
        <f>'Snowball'!AC6</f>
        <v/>
      </c>
      <c r="C18" s="32">
        <f>IF('Snowball'!AC6="","",IF(COUNTIF('Snowball'!$AC$8:$AC$307,"&gt;0.005")&gt;=300,"Not in 25 yrs",EDATE('My Debts'!$C$6,COUNTIF('Snowball'!$AC$8:$AC$307,"&gt;0.005"))))</f>
        <v/>
      </c>
      <c r="D18" s="34">
        <f>IF('Snowball'!AC6="","",SUM('Snowball'!$Z$8:$Z$307))</f>
        <v/>
      </c>
      <c r="I18" s="37" t="n">
        <v>4</v>
      </c>
      <c r="J18" s="36">
        <f>'Avalanche'!AC6</f>
        <v/>
      </c>
      <c r="K18" s="32">
        <f>IF('Avalanche'!AC6="","",IF(COUNTIF('Avalanche'!$AC$8:$AC$307,"&gt;0.005")&gt;=300,"Not in 25 yrs",EDATE('My Debts'!$C$6,COUNTIF('Avalanche'!$AC$8:$AC$307,"&gt;0.005"))))</f>
        <v/>
      </c>
      <c r="L18" s="34">
        <f>IF('Avalanche'!AC6="","",SUM('Avalanche'!$Z$8:$Z$307))</f>
        <v/>
      </c>
    </row>
    <row r="19">
      <c r="B19" s="35">
        <f>'Snowball'!AI6</f>
        <v/>
      </c>
      <c r="C19" s="28">
        <f>IF('Snowball'!AI6="","",IF(COUNTIF('Snowball'!$AI$8:$AI$307,"&gt;0.005")&gt;=300,"Not in 25 yrs",EDATE('My Debts'!$C$6,COUNTIF('Snowball'!$AI$8:$AI$307,"&gt;0.005"))))</f>
        <v/>
      </c>
      <c r="D19" s="30">
        <f>IF('Snowball'!AI6="","",SUM('Snowball'!$AF$8:$AF$307))</f>
        <v/>
      </c>
      <c r="I19" s="19" t="n">
        <v>5</v>
      </c>
      <c r="J19" s="35">
        <f>'Avalanche'!AI6</f>
        <v/>
      </c>
      <c r="K19" s="28">
        <f>IF('Avalanche'!AI6="","",IF(COUNTIF('Avalanche'!$AI$8:$AI$307,"&gt;0.005")&gt;=300,"Not in 25 yrs",EDATE('My Debts'!$C$6,COUNTIF('Avalanche'!$AI$8:$AI$307,"&gt;0.005"))))</f>
        <v/>
      </c>
      <c r="L19" s="30">
        <f>IF('Avalanche'!AI6="","",SUM('Avalanche'!$AF$8:$AF$307))</f>
        <v/>
      </c>
    </row>
    <row r="20">
      <c r="B20" s="36">
        <f>'Snowball'!AO6</f>
        <v/>
      </c>
      <c r="C20" s="32">
        <f>IF('Snowball'!AO6="","",IF(COUNTIF('Snowball'!$AO$8:$AO$307,"&gt;0.005")&gt;=300,"Not in 25 yrs",EDATE('My Debts'!$C$6,COUNTIF('Snowball'!$AO$8:$AO$307,"&gt;0.005"))))</f>
        <v/>
      </c>
      <c r="D20" s="34">
        <f>IF('Snowball'!AO6="","",SUM('Snowball'!$AL$8:$AL$307))</f>
        <v/>
      </c>
      <c r="I20" s="37" t="n">
        <v>6</v>
      </c>
      <c r="J20" s="36">
        <f>'Avalanche'!AO6</f>
        <v/>
      </c>
      <c r="K20" s="32">
        <f>IF('Avalanche'!AO6="","",IF(COUNTIF('Avalanche'!$AO$8:$AO$307,"&gt;0.005")&gt;=300,"Not in 25 yrs",EDATE('My Debts'!$C$6,COUNTIF('Avalanche'!$AO$8:$AO$307,"&gt;0.005"))))</f>
        <v/>
      </c>
      <c r="L20" s="34">
        <f>IF('Avalanche'!AO6="","",SUM('Avalanche'!$AL$8:$AL$307))</f>
        <v/>
      </c>
    </row>
    <row r="21">
      <c r="B21" s="35">
        <f>'Snowball'!AU6</f>
        <v/>
      </c>
      <c r="C21" s="28">
        <f>IF('Snowball'!AU6="","",IF(COUNTIF('Snowball'!$AU$8:$AU$307,"&gt;0.005")&gt;=300,"Not in 25 yrs",EDATE('My Debts'!$C$6,COUNTIF('Snowball'!$AU$8:$AU$307,"&gt;0.005"))))</f>
        <v/>
      </c>
      <c r="D21" s="30">
        <f>IF('Snowball'!AU6="","",SUM('Snowball'!$AR$8:$AR$307))</f>
        <v/>
      </c>
      <c r="I21" s="19" t="n">
        <v>7</v>
      </c>
      <c r="J21" s="35">
        <f>'Avalanche'!AU6</f>
        <v/>
      </c>
      <c r="K21" s="28">
        <f>IF('Avalanche'!AU6="","",IF(COUNTIF('Avalanche'!$AU$8:$AU$307,"&gt;0.005")&gt;=300,"Not in 25 yrs",EDATE('My Debts'!$C$6,COUNTIF('Avalanche'!$AU$8:$AU$307,"&gt;0.005"))))</f>
        <v/>
      </c>
      <c r="L21" s="30">
        <f>IF('Avalanche'!AU6="","",SUM('Avalanche'!$AR$8:$AR$307))</f>
        <v/>
      </c>
    </row>
    <row r="22">
      <c r="B22" s="36">
        <f>'Snowball'!BA6</f>
        <v/>
      </c>
      <c r="C22" s="32">
        <f>IF('Snowball'!BA6="","",IF(COUNTIF('Snowball'!$BA$8:$BA$307,"&gt;0.005")&gt;=300,"Not in 25 yrs",EDATE('My Debts'!$C$6,COUNTIF('Snowball'!$BA$8:$BA$307,"&gt;0.005"))))</f>
        <v/>
      </c>
      <c r="D22" s="34">
        <f>IF('Snowball'!BA6="","",SUM('Snowball'!$AX$8:$AX$307))</f>
        <v/>
      </c>
      <c r="I22" s="37" t="n">
        <v>8</v>
      </c>
      <c r="J22" s="36">
        <f>'Avalanche'!BA6</f>
        <v/>
      </c>
      <c r="K22" s="32">
        <f>IF('Avalanche'!BA6="","",IF(COUNTIF('Avalanche'!$BA$8:$BA$307,"&gt;0.005")&gt;=300,"Not in 25 yrs",EDATE('My Debts'!$C$6,COUNTIF('Avalanche'!$BA$8:$BA$307,"&gt;0.005"))))</f>
        <v/>
      </c>
      <c r="L22" s="34">
        <f>IF('Avalanche'!BA6="","",SUM('Avalanche'!$AX$8:$AX$307))</f>
        <v/>
      </c>
    </row>
    <row r="23">
      <c r="B23" s="35">
        <f>'Snowball'!BG6</f>
        <v/>
      </c>
      <c r="C23" s="28">
        <f>IF('Snowball'!BG6="","",IF(COUNTIF('Snowball'!$BG$8:$BG$307,"&gt;0.005")&gt;=300,"Not in 25 yrs",EDATE('My Debts'!$C$6,COUNTIF('Snowball'!$BG$8:$BG$307,"&gt;0.005"))))</f>
        <v/>
      </c>
      <c r="D23" s="30">
        <f>IF('Snowball'!BG6="","",SUM('Snowball'!$BD$8:$BD$307))</f>
        <v/>
      </c>
      <c r="I23" s="19" t="n">
        <v>9</v>
      </c>
      <c r="J23" s="35">
        <f>'Avalanche'!BG6</f>
        <v/>
      </c>
      <c r="K23" s="28">
        <f>IF('Avalanche'!BG6="","",IF(COUNTIF('Avalanche'!$BG$8:$BG$307,"&gt;0.005")&gt;=300,"Not in 25 yrs",EDATE('My Debts'!$C$6,COUNTIF('Avalanche'!$BG$8:$BG$307,"&gt;0.005"))))</f>
        <v/>
      </c>
      <c r="L23" s="30">
        <f>IF('Avalanche'!BG6="","",SUM('Avalanche'!$BD$8:$BD$307))</f>
        <v/>
      </c>
    </row>
    <row r="24">
      <c r="B24" s="36">
        <f>'Snowball'!BM6</f>
        <v/>
      </c>
      <c r="C24" s="32">
        <f>IF('Snowball'!BM6="","",IF(COUNTIF('Snowball'!$BM$8:$BM$307,"&gt;0.005")&gt;=300,"Not in 25 yrs",EDATE('My Debts'!$C$6,COUNTIF('Snowball'!$BM$8:$BM$307,"&gt;0.005"))))</f>
        <v/>
      </c>
      <c r="D24" s="34">
        <f>IF('Snowball'!BM6="","",SUM('Snowball'!$BJ$8:$BJ$307))</f>
        <v/>
      </c>
      <c r="I24" s="37" t="n">
        <v>10</v>
      </c>
      <c r="J24" s="36">
        <f>'Avalanche'!BM6</f>
        <v/>
      </c>
      <c r="K24" s="32">
        <f>IF('Avalanche'!BM6="","",IF(COUNTIF('Avalanche'!$BM$8:$BM$307,"&gt;0.005")&gt;=300,"Not in 25 yrs",EDATE('My Debts'!$C$6,COUNTIF('Avalanche'!$BM$8:$BM$307,"&gt;0.005"))))</f>
        <v/>
      </c>
      <c r="L24" s="34">
        <f>IF('Avalanche'!BM6="","",SUM('Avalanche'!$BJ$8:$BJ$307))</f>
        <v/>
      </c>
    </row>
    <row r="26">
      <c r="B26" s="26" t="inlineStr">
        <is>
          <t>Chart shows the first 15 years.</t>
        </is>
      </c>
    </row>
  </sheetData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Snowball schedule</t>
        </is>
      </c>
    </row>
    <row r="3">
      <c r="B3" s="10" t="inlineStr">
        <is>
          <t>Smallest balance first. Each paid-off debt's payment rolls into the next one.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"Payoff #1: "&amp;IF(K6="","(empty)",K6)</f>
        <v/>
      </c>
      <c r="M5" s="38">
        <f>"Payoff #2: "&amp;IF(Q6="","(empty)",Q6)</f>
        <v/>
      </c>
      <c r="S5" s="38">
        <f>"Payoff #3: "&amp;IF(W6="","(empty)",W6)</f>
        <v/>
      </c>
      <c r="Y5" s="38">
        <f>"Payoff #4: "&amp;IF(AC6="","(empty)",AC6)</f>
        <v/>
      </c>
      <c r="AE5" s="38">
        <f>"Payoff #5: "&amp;IF(AI6="","(empty)",AI6)</f>
        <v/>
      </c>
      <c r="AK5" s="38">
        <f>"Payoff #6: "&amp;IF(AO6="","(empty)",AO6)</f>
        <v/>
      </c>
      <c r="AQ5" s="38">
        <f>"Payoff #7: "&amp;IF(AU6="","(empty)",AU6)</f>
        <v/>
      </c>
      <c r="AW5" s="38">
        <f>"Payoff #8: "&amp;IF(BA6="","(empty)",BA6)</f>
        <v/>
      </c>
      <c r="BC5" s="38">
        <f>"Payoff #9: "&amp;IF(BG6="","(empty)",BG6)</f>
        <v/>
      </c>
      <c r="BI5" s="38">
        <f>"Payoff #10: "&amp;IF(BM6="","(empty)",BM6)</f>
        <v/>
      </c>
    </row>
    <row r="6" hidden="1">
      <c r="G6">
        <f>MATCH(1,'My Debts'!$J$10:$J$19,0)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MATCH(2,'My Debts'!$J$10:$J$19,0)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MATCH(3,'My Debts'!$J$10:$J$19,0)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MATCH(4,'My Debts'!$J$10:$J$19,0)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MATCH(5,'My Debts'!$J$10:$J$19,0)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MATCH(6,'My Debts'!$J$10:$J$19,0)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MATCH(7,'My Debts'!$J$10:$J$19,0)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MATCH(8,'My Debts'!$J$10:$J$19,0)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MATCH(9,'My Debts'!$J$10:$J$19,0)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MATCH(10,'My Debts'!$J$10:$J$19,0)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>
        <f>MAX(0,'My Debts'!$E$21-(I8+O8+U8+AA8+AG8+AM8+AS8+AY8+BE8+BK8))</f>
        <v/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>
        <f>MAX(0,'My Debts'!$E$21-(I9+O9+U9+AA9+AG9+AM9+AS9+AY9+BE9+BK9))</f>
        <v/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>
        <f>MAX(0,'My Debts'!$E$21-(I10+O10+U10+AA10+AG10+AM10+AS10+AY10+BE10+BK10))</f>
        <v/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>
        <f>MAX(0,'My Debts'!$E$21-(I11+O11+U11+AA11+AG11+AM11+AS11+AY11+BE11+BK11))</f>
        <v/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>
        <f>MAX(0,'My Debts'!$E$21-(I12+O12+U12+AA12+AG12+AM12+AS12+AY12+BE12+BK12))</f>
        <v/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>
        <f>MAX(0,'My Debts'!$E$21-(I13+O13+U13+AA13+AG13+AM13+AS13+AY13+BE13+BK13))</f>
        <v/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>
        <f>MAX(0,'My Debts'!$E$21-(I14+O14+U14+AA14+AG14+AM14+AS14+AY14+BE14+BK14))</f>
        <v/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>
        <f>MAX(0,'My Debts'!$E$21-(I15+O15+U15+AA15+AG15+AM15+AS15+AY15+BE15+BK15))</f>
        <v/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>
        <f>MAX(0,'My Debts'!$E$21-(I16+O16+U16+AA16+AG16+AM16+AS16+AY16+BE16+BK16))</f>
        <v/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>
        <f>MAX(0,'My Debts'!$E$21-(I17+O17+U17+AA17+AG17+AM17+AS17+AY17+BE17+BK17))</f>
        <v/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>
        <f>MAX(0,'My Debts'!$E$21-(I18+O18+U18+AA18+AG18+AM18+AS18+AY18+BE18+BK18))</f>
        <v/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>
        <f>MAX(0,'My Debts'!$E$21-(I19+O19+U19+AA19+AG19+AM19+AS19+AY19+BE19+BK19))</f>
        <v/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>
        <f>MAX(0,'My Debts'!$E$21-(I20+O20+U20+AA20+AG20+AM20+AS20+AY20+BE20+BK20))</f>
        <v/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>
        <f>MAX(0,'My Debts'!$E$21-(I21+O21+U21+AA21+AG21+AM21+AS21+AY21+BE21+BK21))</f>
        <v/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>
        <f>MAX(0,'My Debts'!$E$21-(I22+O22+U22+AA22+AG22+AM22+AS22+AY22+BE22+BK22))</f>
        <v/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>
        <f>MAX(0,'My Debts'!$E$21-(I23+O23+U23+AA23+AG23+AM23+AS23+AY23+BE23+BK23))</f>
        <v/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>
        <f>MAX(0,'My Debts'!$E$21-(I24+O24+U24+AA24+AG24+AM24+AS24+AY24+BE24+BK24))</f>
        <v/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>
        <f>MAX(0,'My Debts'!$E$21-(I25+O25+U25+AA25+AG25+AM25+AS25+AY25+BE25+BK25))</f>
        <v/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>
        <f>MAX(0,'My Debts'!$E$21-(I26+O26+U26+AA26+AG26+AM26+AS26+AY26+BE26+BK26))</f>
        <v/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>
        <f>MAX(0,'My Debts'!$E$21-(I27+O27+U27+AA27+AG27+AM27+AS27+AY27+BE27+BK27))</f>
        <v/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>
        <f>MAX(0,'My Debts'!$E$21-(I28+O28+U28+AA28+AG28+AM28+AS28+AY28+BE28+BK28))</f>
        <v/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>
        <f>MAX(0,'My Debts'!$E$21-(I29+O29+U29+AA29+AG29+AM29+AS29+AY29+BE29+BK29))</f>
        <v/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>
        <f>MAX(0,'My Debts'!$E$21-(I30+O30+U30+AA30+AG30+AM30+AS30+AY30+BE30+BK30))</f>
        <v/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>
        <f>MAX(0,'My Debts'!$E$21-(I31+O31+U31+AA31+AG31+AM31+AS31+AY31+BE31+BK31))</f>
        <v/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>
        <f>MAX(0,'My Debts'!$E$21-(I32+O32+U32+AA32+AG32+AM32+AS32+AY32+BE32+BK32))</f>
        <v/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>
        <f>MAX(0,'My Debts'!$E$21-(I33+O33+U33+AA33+AG33+AM33+AS33+AY33+BE33+BK33))</f>
        <v/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>
        <f>MAX(0,'My Debts'!$E$21-(I34+O34+U34+AA34+AG34+AM34+AS34+AY34+BE34+BK34))</f>
        <v/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>
        <f>MAX(0,'My Debts'!$E$21-(I35+O35+U35+AA35+AG35+AM35+AS35+AY35+BE35+BK35))</f>
        <v/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>
        <f>MAX(0,'My Debts'!$E$21-(I36+O36+U36+AA36+AG36+AM36+AS36+AY36+BE36+BK36))</f>
        <v/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>
        <f>MAX(0,'My Debts'!$E$21-(I37+O37+U37+AA37+AG37+AM37+AS37+AY37+BE37+BK37))</f>
        <v/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>
        <f>MAX(0,'My Debts'!$E$21-(I38+O38+U38+AA38+AG38+AM38+AS38+AY38+BE38+BK38))</f>
        <v/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>
        <f>MAX(0,'My Debts'!$E$21-(I39+O39+U39+AA39+AG39+AM39+AS39+AY39+BE39+BK39))</f>
        <v/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>
        <f>MAX(0,'My Debts'!$E$21-(I40+O40+U40+AA40+AG40+AM40+AS40+AY40+BE40+BK40))</f>
        <v/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>
        <f>MAX(0,'My Debts'!$E$21-(I41+O41+U41+AA41+AG41+AM41+AS41+AY41+BE41+BK41))</f>
        <v/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>
        <f>MAX(0,'My Debts'!$E$21-(I42+O42+U42+AA42+AG42+AM42+AS42+AY42+BE42+BK42))</f>
        <v/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>
        <f>MAX(0,'My Debts'!$E$21-(I43+O43+U43+AA43+AG43+AM43+AS43+AY43+BE43+BK43))</f>
        <v/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>
        <f>MAX(0,'My Debts'!$E$21-(I44+O44+U44+AA44+AG44+AM44+AS44+AY44+BE44+BK44))</f>
        <v/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>
        <f>MAX(0,'My Debts'!$E$21-(I45+O45+U45+AA45+AG45+AM45+AS45+AY45+BE45+BK45))</f>
        <v/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>
        <f>MAX(0,'My Debts'!$E$21-(I46+O46+U46+AA46+AG46+AM46+AS46+AY46+BE46+BK46))</f>
        <v/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>
        <f>MAX(0,'My Debts'!$E$21-(I47+O47+U47+AA47+AG47+AM47+AS47+AY47+BE47+BK47))</f>
        <v/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>
        <f>MAX(0,'My Debts'!$E$21-(I48+O48+U48+AA48+AG48+AM48+AS48+AY48+BE48+BK48))</f>
        <v/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>
        <f>MAX(0,'My Debts'!$E$21-(I49+O49+U49+AA49+AG49+AM49+AS49+AY49+BE49+BK49))</f>
        <v/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>
        <f>MAX(0,'My Debts'!$E$21-(I50+O50+U50+AA50+AG50+AM50+AS50+AY50+BE50+BK50))</f>
        <v/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>
        <f>MAX(0,'My Debts'!$E$21-(I51+O51+U51+AA51+AG51+AM51+AS51+AY51+BE51+BK51))</f>
        <v/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>
        <f>MAX(0,'My Debts'!$E$21-(I52+O52+U52+AA52+AG52+AM52+AS52+AY52+BE52+BK52))</f>
        <v/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>
        <f>MAX(0,'My Debts'!$E$21-(I53+O53+U53+AA53+AG53+AM53+AS53+AY53+BE53+BK53))</f>
        <v/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>
        <f>MAX(0,'My Debts'!$E$21-(I54+O54+U54+AA54+AG54+AM54+AS54+AY54+BE54+BK54))</f>
        <v/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>
        <f>MAX(0,'My Debts'!$E$21-(I55+O55+U55+AA55+AG55+AM55+AS55+AY55+BE55+BK55))</f>
        <v/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>
        <f>MAX(0,'My Debts'!$E$21-(I56+O56+U56+AA56+AG56+AM56+AS56+AY56+BE56+BK56))</f>
        <v/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>
        <f>MAX(0,'My Debts'!$E$21-(I57+O57+U57+AA57+AG57+AM57+AS57+AY57+BE57+BK57))</f>
        <v/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>
        <f>MAX(0,'My Debts'!$E$21-(I58+O58+U58+AA58+AG58+AM58+AS58+AY58+BE58+BK58))</f>
        <v/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>
        <f>MAX(0,'My Debts'!$E$21-(I59+O59+U59+AA59+AG59+AM59+AS59+AY59+BE59+BK59))</f>
        <v/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>
        <f>MAX(0,'My Debts'!$E$21-(I60+O60+U60+AA60+AG60+AM60+AS60+AY60+BE60+BK60))</f>
        <v/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>
        <f>MAX(0,'My Debts'!$E$21-(I61+O61+U61+AA61+AG61+AM61+AS61+AY61+BE61+BK61))</f>
        <v/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>
        <f>MAX(0,'My Debts'!$E$21-(I62+O62+U62+AA62+AG62+AM62+AS62+AY62+BE62+BK62))</f>
        <v/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>
        <f>MAX(0,'My Debts'!$E$21-(I63+O63+U63+AA63+AG63+AM63+AS63+AY63+BE63+BK63))</f>
        <v/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>
        <f>MAX(0,'My Debts'!$E$21-(I64+O64+U64+AA64+AG64+AM64+AS64+AY64+BE64+BK64))</f>
        <v/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>
        <f>MAX(0,'My Debts'!$E$21-(I65+O65+U65+AA65+AG65+AM65+AS65+AY65+BE65+BK65))</f>
        <v/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>
        <f>MAX(0,'My Debts'!$E$21-(I66+O66+U66+AA66+AG66+AM66+AS66+AY66+BE66+BK66))</f>
        <v/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>
        <f>MAX(0,'My Debts'!$E$21-(I67+O67+U67+AA67+AG67+AM67+AS67+AY67+BE67+BK67))</f>
        <v/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>
        <f>MAX(0,'My Debts'!$E$21-(I68+O68+U68+AA68+AG68+AM68+AS68+AY68+BE68+BK68))</f>
        <v/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>
        <f>MAX(0,'My Debts'!$E$21-(I69+O69+U69+AA69+AG69+AM69+AS69+AY69+BE69+BK69))</f>
        <v/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>
        <f>MAX(0,'My Debts'!$E$21-(I70+O70+U70+AA70+AG70+AM70+AS70+AY70+BE70+BK70))</f>
        <v/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>
        <f>MAX(0,'My Debts'!$E$21-(I71+O71+U71+AA71+AG71+AM71+AS71+AY71+BE71+BK71))</f>
        <v/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>
        <f>MAX(0,'My Debts'!$E$21-(I72+O72+U72+AA72+AG72+AM72+AS72+AY72+BE72+BK72))</f>
        <v/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>
        <f>MAX(0,'My Debts'!$E$21-(I73+O73+U73+AA73+AG73+AM73+AS73+AY73+BE73+BK73))</f>
        <v/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>
        <f>MAX(0,'My Debts'!$E$21-(I74+O74+U74+AA74+AG74+AM74+AS74+AY74+BE74+BK74))</f>
        <v/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>
        <f>MAX(0,'My Debts'!$E$21-(I75+O75+U75+AA75+AG75+AM75+AS75+AY75+BE75+BK75))</f>
        <v/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>
        <f>MAX(0,'My Debts'!$E$21-(I76+O76+U76+AA76+AG76+AM76+AS76+AY76+BE76+BK76))</f>
        <v/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>
        <f>MAX(0,'My Debts'!$E$21-(I77+O77+U77+AA77+AG77+AM77+AS77+AY77+BE77+BK77))</f>
        <v/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>
        <f>MAX(0,'My Debts'!$E$21-(I78+O78+U78+AA78+AG78+AM78+AS78+AY78+BE78+BK78))</f>
        <v/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>
        <f>MAX(0,'My Debts'!$E$21-(I79+O79+U79+AA79+AG79+AM79+AS79+AY79+BE79+BK79))</f>
        <v/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>
        <f>MAX(0,'My Debts'!$E$21-(I80+O80+U80+AA80+AG80+AM80+AS80+AY80+BE80+BK80))</f>
        <v/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>
        <f>MAX(0,'My Debts'!$E$21-(I81+O81+U81+AA81+AG81+AM81+AS81+AY81+BE81+BK81))</f>
        <v/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>
        <f>MAX(0,'My Debts'!$E$21-(I82+O82+U82+AA82+AG82+AM82+AS82+AY82+BE82+BK82))</f>
        <v/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>
        <f>MAX(0,'My Debts'!$E$21-(I83+O83+U83+AA83+AG83+AM83+AS83+AY83+BE83+BK83))</f>
        <v/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>
        <f>MAX(0,'My Debts'!$E$21-(I84+O84+U84+AA84+AG84+AM84+AS84+AY84+BE84+BK84))</f>
        <v/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>
        <f>MAX(0,'My Debts'!$E$21-(I85+O85+U85+AA85+AG85+AM85+AS85+AY85+BE85+BK85))</f>
        <v/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>
        <f>MAX(0,'My Debts'!$E$21-(I86+O86+U86+AA86+AG86+AM86+AS86+AY86+BE86+BK86))</f>
        <v/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>
        <f>MAX(0,'My Debts'!$E$21-(I87+O87+U87+AA87+AG87+AM87+AS87+AY87+BE87+BK87))</f>
        <v/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>
        <f>MAX(0,'My Debts'!$E$21-(I88+O88+U88+AA88+AG88+AM88+AS88+AY88+BE88+BK88))</f>
        <v/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>
        <f>MAX(0,'My Debts'!$E$21-(I89+O89+U89+AA89+AG89+AM89+AS89+AY89+BE89+BK89))</f>
        <v/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>
        <f>MAX(0,'My Debts'!$E$21-(I90+O90+U90+AA90+AG90+AM90+AS90+AY90+BE90+BK90))</f>
        <v/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>
        <f>MAX(0,'My Debts'!$E$21-(I91+O91+U91+AA91+AG91+AM91+AS91+AY91+BE91+BK91))</f>
        <v/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>
        <f>MAX(0,'My Debts'!$E$21-(I92+O92+U92+AA92+AG92+AM92+AS92+AY92+BE92+BK92))</f>
        <v/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>
        <f>MAX(0,'My Debts'!$E$21-(I93+O93+U93+AA93+AG93+AM93+AS93+AY93+BE93+BK93))</f>
        <v/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>
        <f>MAX(0,'My Debts'!$E$21-(I94+O94+U94+AA94+AG94+AM94+AS94+AY94+BE94+BK94))</f>
        <v/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>
        <f>MAX(0,'My Debts'!$E$21-(I95+O95+U95+AA95+AG95+AM95+AS95+AY95+BE95+BK95))</f>
        <v/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>
        <f>MAX(0,'My Debts'!$E$21-(I96+O96+U96+AA96+AG96+AM96+AS96+AY96+BE96+BK96))</f>
        <v/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>
        <f>MAX(0,'My Debts'!$E$21-(I97+O97+U97+AA97+AG97+AM97+AS97+AY97+BE97+BK97))</f>
        <v/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>
        <f>MAX(0,'My Debts'!$E$21-(I98+O98+U98+AA98+AG98+AM98+AS98+AY98+BE98+BK98))</f>
        <v/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>
        <f>MAX(0,'My Debts'!$E$21-(I99+O99+U99+AA99+AG99+AM99+AS99+AY99+BE99+BK99))</f>
        <v/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>
        <f>MAX(0,'My Debts'!$E$21-(I100+O100+U100+AA100+AG100+AM100+AS100+AY100+BE100+BK100))</f>
        <v/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>
        <f>MAX(0,'My Debts'!$E$21-(I101+O101+U101+AA101+AG101+AM101+AS101+AY101+BE101+BK101))</f>
        <v/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>
        <f>MAX(0,'My Debts'!$E$21-(I102+O102+U102+AA102+AG102+AM102+AS102+AY102+BE102+BK102))</f>
        <v/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>
        <f>MAX(0,'My Debts'!$E$21-(I103+O103+U103+AA103+AG103+AM103+AS103+AY103+BE103+BK103))</f>
        <v/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>
        <f>MAX(0,'My Debts'!$E$21-(I104+O104+U104+AA104+AG104+AM104+AS104+AY104+BE104+BK104))</f>
        <v/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>
        <f>MAX(0,'My Debts'!$E$21-(I105+O105+U105+AA105+AG105+AM105+AS105+AY105+BE105+BK105))</f>
        <v/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>
        <f>MAX(0,'My Debts'!$E$21-(I106+O106+U106+AA106+AG106+AM106+AS106+AY106+BE106+BK106))</f>
        <v/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>
        <f>MAX(0,'My Debts'!$E$21-(I107+O107+U107+AA107+AG107+AM107+AS107+AY107+BE107+BK107))</f>
        <v/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>
        <f>MAX(0,'My Debts'!$E$21-(I108+O108+U108+AA108+AG108+AM108+AS108+AY108+BE108+BK108))</f>
        <v/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>
        <f>MAX(0,'My Debts'!$E$21-(I109+O109+U109+AA109+AG109+AM109+AS109+AY109+BE109+BK109))</f>
        <v/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>
        <f>MAX(0,'My Debts'!$E$21-(I110+O110+U110+AA110+AG110+AM110+AS110+AY110+BE110+BK110))</f>
        <v/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>
        <f>MAX(0,'My Debts'!$E$21-(I111+O111+U111+AA111+AG111+AM111+AS111+AY111+BE111+BK111))</f>
        <v/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>
        <f>MAX(0,'My Debts'!$E$21-(I112+O112+U112+AA112+AG112+AM112+AS112+AY112+BE112+BK112))</f>
        <v/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>
        <f>MAX(0,'My Debts'!$E$21-(I113+O113+U113+AA113+AG113+AM113+AS113+AY113+BE113+BK113))</f>
        <v/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>
        <f>MAX(0,'My Debts'!$E$21-(I114+O114+U114+AA114+AG114+AM114+AS114+AY114+BE114+BK114))</f>
        <v/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>
        <f>MAX(0,'My Debts'!$E$21-(I115+O115+U115+AA115+AG115+AM115+AS115+AY115+BE115+BK115))</f>
        <v/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>
        <f>MAX(0,'My Debts'!$E$21-(I116+O116+U116+AA116+AG116+AM116+AS116+AY116+BE116+BK116))</f>
        <v/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>
        <f>MAX(0,'My Debts'!$E$21-(I117+O117+U117+AA117+AG117+AM117+AS117+AY117+BE117+BK117))</f>
        <v/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>
        <f>MAX(0,'My Debts'!$E$21-(I118+O118+U118+AA118+AG118+AM118+AS118+AY118+BE118+BK118))</f>
        <v/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>
        <f>MAX(0,'My Debts'!$E$21-(I119+O119+U119+AA119+AG119+AM119+AS119+AY119+BE119+BK119))</f>
        <v/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>
        <f>MAX(0,'My Debts'!$E$21-(I120+O120+U120+AA120+AG120+AM120+AS120+AY120+BE120+BK120))</f>
        <v/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>
        <f>MAX(0,'My Debts'!$E$21-(I121+O121+U121+AA121+AG121+AM121+AS121+AY121+BE121+BK121))</f>
        <v/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>
        <f>MAX(0,'My Debts'!$E$21-(I122+O122+U122+AA122+AG122+AM122+AS122+AY122+BE122+BK122))</f>
        <v/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>
        <f>MAX(0,'My Debts'!$E$21-(I123+O123+U123+AA123+AG123+AM123+AS123+AY123+BE123+BK123))</f>
        <v/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>
        <f>MAX(0,'My Debts'!$E$21-(I124+O124+U124+AA124+AG124+AM124+AS124+AY124+BE124+BK124))</f>
        <v/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>
        <f>MAX(0,'My Debts'!$E$21-(I125+O125+U125+AA125+AG125+AM125+AS125+AY125+BE125+BK125))</f>
        <v/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>
        <f>MAX(0,'My Debts'!$E$21-(I126+O126+U126+AA126+AG126+AM126+AS126+AY126+BE126+BK126))</f>
        <v/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>
        <f>MAX(0,'My Debts'!$E$21-(I127+O127+U127+AA127+AG127+AM127+AS127+AY127+BE127+BK127))</f>
        <v/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>
        <f>MAX(0,'My Debts'!$E$21-(I128+O128+U128+AA128+AG128+AM128+AS128+AY128+BE128+BK128))</f>
        <v/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>
        <f>MAX(0,'My Debts'!$E$21-(I129+O129+U129+AA129+AG129+AM129+AS129+AY129+BE129+BK129))</f>
        <v/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>
        <f>MAX(0,'My Debts'!$E$21-(I130+O130+U130+AA130+AG130+AM130+AS130+AY130+BE130+BK130))</f>
        <v/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>
        <f>MAX(0,'My Debts'!$E$21-(I131+O131+U131+AA131+AG131+AM131+AS131+AY131+BE131+BK131))</f>
        <v/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>
        <f>MAX(0,'My Debts'!$E$21-(I132+O132+U132+AA132+AG132+AM132+AS132+AY132+BE132+BK132))</f>
        <v/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>
        <f>MAX(0,'My Debts'!$E$21-(I133+O133+U133+AA133+AG133+AM133+AS133+AY133+BE133+BK133))</f>
        <v/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>
        <f>MAX(0,'My Debts'!$E$21-(I134+O134+U134+AA134+AG134+AM134+AS134+AY134+BE134+BK134))</f>
        <v/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>
        <f>MAX(0,'My Debts'!$E$21-(I135+O135+U135+AA135+AG135+AM135+AS135+AY135+BE135+BK135))</f>
        <v/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>
        <f>MAX(0,'My Debts'!$E$21-(I136+O136+U136+AA136+AG136+AM136+AS136+AY136+BE136+BK136))</f>
        <v/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>
        <f>MAX(0,'My Debts'!$E$21-(I137+O137+U137+AA137+AG137+AM137+AS137+AY137+BE137+BK137))</f>
        <v/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>
        <f>MAX(0,'My Debts'!$E$21-(I138+O138+U138+AA138+AG138+AM138+AS138+AY138+BE138+BK138))</f>
        <v/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>
        <f>MAX(0,'My Debts'!$E$21-(I139+O139+U139+AA139+AG139+AM139+AS139+AY139+BE139+BK139))</f>
        <v/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>
        <f>MAX(0,'My Debts'!$E$21-(I140+O140+U140+AA140+AG140+AM140+AS140+AY140+BE140+BK140))</f>
        <v/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>
        <f>MAX(0,'My Debts'!$E$21-(I141+O141+U141+AA141+AG141+AM141+AS141+AY141+BE141+BK141))</f>
        <v/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>
        <f>MAX(0,'My Debts'!$E$21-(I142+O142+U142+AA142+AG142+AM142+AS142+AY142+BE142+BK142))</f>
        <v/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>
        <f>MAX(0,'My Debts'!$E$21-(I143+O143+U143+AA143+AG143+AM143+AS143+AY143+BE143+BK143))</f>
        <v/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>
        <f>MAX(0,'My Debts'!$E$21-(I144+O144+U144+AA144+AG144+AM144+AS144+AY144+BE144+BK144))</f>
        <v/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>
        <f>MAX(0,'My Debts'!$E$21-(I145+O145+U145+AA145+AG145+AM145+AS145+AY145+BE145+BK145))</f>
        <v/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>
        <f>MAX(0,'My Debts'!$E$21-(I146+O146+U146+AA146+AG146+AM146+AS146+AY146+BE146+BK146))</f>
        <v/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>
        <f>MAX(0,'My Debts'!$E$21-(I147+O147+U147+AA147+AG147+AM147+AS147+AY147+BE147+BK147))</f>
        <v/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>
        <f>MAX(0,'My Debts'!$E$21-(I148+O148+U148+AA148+AG148+AM148+AS148+AY148+BE148+BK148))</f>
        <v/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>
        <f>MAX(0,'My Debts'!$E$21-(I149+O149+U149+AA149+AG149+AM149+AS149+AY149+BE149+BK149))</f>
        <v/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>
        <f>MAX(0,'My Debts'!$E$21-(I150+O150+U150+AA150+AG150+AM150+AS150+AY150+BE150+BK150))</f>
        <v/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>
        <f>MAX(0,'My Debts'!$E$21-(I151+O151+U151+AA151+AG151+AM151+AS151+AY151+BE151+BK151))</f>
        <v/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>
        <f>MAX(0,'My Debts'!$E$21-(I152+O152+U152+AA152+AG152+AM152+AS152+AY152+BE152+BK152))</f>
        <v/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>
        <f>MAX(0,'My Debts'!$E$21-(I153+O153+U153+AA153+AG153+AM153+AS153+AY153+BE153+BK153))</f>
        <v/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>
        <f>MAX(0,'My Debts'!$E$21-(I154+O154+U154+AA154+AG154+AM154+AS154+AY154+BE154+BK154))</f>
        <v/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>
        <f>MAX(0,'My Debts'!$E$21-(I155+O155+U155+AA155+AG155+AM155+AS155+AY155+BE155+BK155))</f>
        <v/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>
        <f>MAX(0,'My Debts'!$E$21-(I156+O156+U156+AA156+AG156+AM156+AS156+AY156+BE156+BK156))</f>
        <v/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>
        <f>MAX(0,'My Debts'!$E$21-(I157+O157+U157+AA157+AG157+AM157+AS157+AY157+BE157+BK157))</f>
        <v/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>
        <f>MAX(0,'My Debts'!$E$21-(I158+O158+U158+AA158+AG158+AM158+AS158+AY158+BE158+BK158))</f>
        <v/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>
        <f>MAX(0,'My Debts'!$E$21-(I159+O159+U159+AA159+AG159+AM159+AS159+AY159+BE159+BK159))</f>
        <v/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>
        <f>MAX(0,'My Debts'!$E$21-(I160+O160+U160+AA160+AG160+AM160+AS160+AY160+BE160+BK160))</f>
        <v/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>
        <f>MAX(0,'My Debts'!$E$21-(I161+O161+U161+AA161+AG161+AM161+AS161+AY161+BE161+BK161))</f>
        <v/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>
        <f>MAX(0,'My Debts'!$E$21-(I162+O162+U162+AA162+AG162+AM162+AS162+AY162+BE162+BK162))</f>
        <v/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>
        <f>MAX(0,'My Debts'!$E$21-(I163+O163+U163+AA163+AG163+AM163+AS163+AY163+BE163+BK163))</f>
        <v/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>
        <f>MAX(0,'My Debts'!$E$21-(I164+O164+U164+AA164+AG164+AM164+AS164+AY164+BE164+BK164))</f>
        <v/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>
        <f>MAX(0,'My Debts'!$E$21-(I165+O165+U165+AA165+AG165+AM165+AS165+AY165+BE165+BK165))</f>
        <v/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>
        <f>MAX(0,'My Debts'!$E$21-(I166+O166+U166+AA166+AG166+AM166+AS166+AY166+BE166+BK166))</f>
        <v/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>
        <f>MAX(0,'My Debts'!$E$21-(I167+O167+U167+AA167+AG167+AM167+AS167+AY167+BE167+BK167))</f>
        <v/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>
        <f>MAX(0,'My Debts'!$E$21-(I168+O168+U168+AA168+AG168+AM168+AS168+AY168+BE168+BK168))</f>
        <v/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>
        <f>MAX(0,'My Debts'!$E$21-(I169+O169+U169+AA169+AG169+AM169+AS169+AY169+BE169+BK169))</f>
        <v/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>
        <f>MAX(0,'My Debts'!$E$21-(I170+O170+U170+AA170+AG170+AM170+AS170+AY170+BE170+BK170))</f>
        <v/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>
        <f>MAX(0,'My Debts'!$E$21-(I171+O171+U171+AA171+AG171+AM171+AS171+AY171+BE171+BK171))</f>
        <v/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>
        <f>MAX(0,'My Debts'!$E$21-(I172+O172+U172+AA172+AG172+AM172+AS172+AY172+BE172+BK172))</f>
        <v/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>
        <f>MAX(0,'My Debts'!$E$21-(I173+O173+U173+AA173+AG173+AM173+AS173+AY173+BE173+BK173))</f>
        <v/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>
        <f>MAX(0,'My Debts'!$E$21-(I174+O174+U174+AA174+AG174+AM174+AS174+AY174+BE174+BK174))</f>
        <v/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>
        <f>MAX(0,'My Debts'!$E$21-(I175+O175+U175+AA175+AG175+AM175+AS175+AY175+BE175+BK175))</f>
        <v/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>
        <f>MAX(0,'My Debts'!$E$21-(I176+O176+U176+AA176+AG176+AM176+AS176+AY176+BE176+BK176))</f>
        <v/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>
        <f>MAX(0,'My Debts'!$E$21-(I177+O177+U177+AA177+AG177+AM177+AS177+AY177+BE177+BK177))</f>
        <v/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>
        <f>MAX(0,'My Debts'!$E$21-(I178+O178+U178+AA178+AG178+AM178+AS178+AY178+BE178+BK178))</f>
        <v/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>
        <f>MAX(0,'My Debts'!$E$21-(I179+O179+U179+AA179+AG179+AM179+AS179+AY179+BE179+BK179))</f>
        <v/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>
        <f>MAX(0,'My Debts'!$E$21-(I180+O180+U180+AA180+AG180+AM180+AS180+AY180+BE180+BK180))</f>
        <v/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>
        <f>MAX(0,'My Debts'!$E$21-(I181+O181+U181+AA181+AG181+AM181+AS181+AY181+BE181+BK181))</f>
        <v/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>
        <f>MAX(0,'My Debts'!$E$21-(I182+O182+U182+AA182+AG182+AM182+AS182+AY182+BE182+BK182))</f>
        <v/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>
        <f>MAX(0,'My Debts'!$E$21-(I183+O183+U183+AA183+AG183+AM183+AS183+AY183+BE183+BK183))</f>
        <v/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>
        <f>MAX(0,'My Debts'!$E$21-(I184+O184+U184+AA184+AG184+AM184+AS184+AY184+BE184+BK184))</f>
        <v/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>
        <f>MAX(0,'My Debts'!$E$21-(I185+O185+U185+AA185+AG185+AM185+AS185+AY185+BE185+BK185))</f>
        <v/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>
        <f>MAX(0,'My Debts'!$E$21-(I186+O186+U186+AA186+AG186+AM186+AS186+AY186+BE186+BK186))</f>
        <v/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>
        <f>MAX(0,'My Debts'!$E$21-(I187+O187+U187+AA187+AG187+AM187+AS187+AY187+BE187+BK187))</f>
        <v/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>
        <f>MAX(0,'My Debts'!$E$21-(I188+O188+U188+AA188+AG188+AM188+AS188+AY188+BE188+BK188))</f>
        <v/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>
        <f>MAX(0,'My Debts'!$E$21-(I189+O189+U189+AA189+AG189+AM189+AS189+AY189+BE189+BK189))</f>
        <v/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>
        <f>MAX(0,'My Debts'!$E$21-(I190+O190+U190+AA190+AG190+AM190+AS190+AY190+BE190+BK190))</f>
        <v/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>
        <f>MAX(0,'My Debts'!$E$21-(I191+O191+U191+AA191+AG191+AM191+AS191+AY191+BE191+BK191))</f>
        <v/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>
        <f>MAX(0,'My Debts'!$E$21-(I192+O192+U192+AA192+AG192+AM192+AS192+AY192+BE192+BK192))</f>
        <v/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>
        <f>MAX(0,'My Debts'!$E$21-(I193+O193+U193+AA193+AG193+AM193+AS193+AY193+BE193+BK193))</f>
        <v/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>
        <f>MAX(0,'My Debts'!$E$21-(I194+O194+U194+AA194+AG194+AM194+AS194+AY194+BE194+BK194))</f>
        <v/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>
        <f>MAX(0,'My Debts'!$E$21-(I195+O195+U195+AA195+AG195+AM195+AS195+AY195+BE195+BK195))</f>
        <v/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>
        <f>MAX(0,'My Debts'!$E$21-(I196+O196+U196+AA196+AG196+AM196+AS196+AY196+BE196+BK196))</f>
        <v/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>
        <f>MAX(0,'My Debts'!$E$21-(I197+O197+U197+AA197+AG197+AM197+AS197+AY197+BE197+BK197))</f>
        <v/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>
        <f>MAX(0,'My Debts'!$E$21-(I198+O198+U198+AA198+AG198+AM198+AS198+AY198+BE198+BK198))</f>
        <v/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>
        <f>MAX(0,'My Debts'!$E$21-(I199+O199+U199+AA199+AG199+AM199+AS199+AY199+BE199+BK199))</f>
        <v/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>
        <f>MAX(0,'My Debts'!$E$21-(I200+O200+U200+AA200+AG200+AM200+AS200+AY200+BE200+BK200))</f>
        <v/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>
        <f>MAX(0,'My Debts'!$E$21-(I201+O201+U201+AA201+AG201+AM201+AS201+AY201+BE201+BK201))</f>
        <v/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>
        <f>MAX(0,'My Debts'!$E$21-(I202+O202+U202+AA202+AG202+AM202+AS202+AY202+BE202+BK202))</f>
        <v/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>
        <f>MAX(0,'My Debts'!$E$21-(I203+O203+U203+AA203+AG203+AM203+AS203+AY203+BE203+BK203))</f>
        <v/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>
        <f>MAX(0,'My Debts'!$E$21-(I204+O204+U204+AA204+AG204+AM204+AS204+AY204+BE204+BK204))</f>
        <v/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>
        <f>MAX(0,'My Debts'!$E$21-(I205+O205+U205+AA205+AG205+AM205+AS205+AY205+BE205+BK205))</f>
        <v/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>
        <f>MAX(0,'My Debts'!$E$21-(I206+O206+U206+AA206+AG206+AM206+AS206+AY206+BE206+BK206))</f>
        <v/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>
        <f>MAX(0,'My Debts'!$E$21-(I207+O207+U207+AA207+AG207+AM207+AS207+AY207+BE207+BK207))</f>
        <v/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>
        <f>MAX(0,'My Debts'!$E$21-(I208+O208+U208+AA208+AG208+AM208+AS208+AY208+BE208+BK208))</f>
        <v/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>
        <f>MAX(0,'My Debts'!$E$21-(I209+O209+U209+AA209+AG209+AM209+AS209+AY209+BE209+BK209))</f>
        <v/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>
        <f>MAX(0,'My Debts'!$E$21-(I210+O210+U210+AA210+AG210+AM210+AS210+AY210+BE210+BK210))</f>
        <v/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>
        <f>MAX(0,'My Debts'!$E$21-(I211+O211+U211+AA211+AG211+AM211+AS211+AY211+BE211+BK211))</f>
        <v/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>
        <f>MAX(0,'My Debts'!$E$21-(I212+O212+U212+AA212+AG212+AM212+AS212+AY212+BE212+BK212))</f>
        <v/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>
        <f>MAX(0,'My Debts'!$E$21-(I213+O213+U213+AA213+AG213+AM213+AS213+AY213+BE213+BK213))</f>
        <v/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>
        <f>MAX(0,'My Debts'!$E$21-(I214+O214+U214+AA214+AG214+AM214+AS214+AY214+BE214+BK214))</f>
        <v/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>
        <f>MAX(0,'My Debts'!$E$21-(I215+O215+U215+AA215+AG215+AM215+AS215+AY215+BE215+BK215))</f>
        <v/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>
        <f>MAX(0,'My Debts'!$E$21-(I216+O216+U216+AA216+AG216+AM216+AS216+AY216+BE216+BK216))</f>
        <v/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>
        <f>MAX(0,'My Debts'!$E$21-(I217+O217+U217+AA217+AG217+AM217+AS217+AY217+BE217+BK217))</f>
        <v/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>
        <f>MAX(0,'My Debts'!$E$21-(I218+O218+U218+AA218+AG218+AM218+AS218+AY218+BE218+BK218))</f>
        <v/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>
        <f>MAX(0,'My Debts'!$E$21-(I219+O219+U219+AA219+AG219+AM219+AS219+AY219+BE219+BK219))</f>
        <v/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>
        <f>MAX(0,'My Debts'!$E$21-(I220+O220+U220+AA220+AG220+AM220+AS220+AY220+BE220+BK220))</f>
        <v/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>
        <f>MAX(0,'My Debts'!$E$21-(I221+O221+U221+AA221+AG221+AM221+AS221+AY221+BE221+BK221))</f>
        <v/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>
        <f>MAX(0,'My Debts'!$E$21-(I222+O222+U222+AA222+AG222+AM222+AS222+AY222+BE222+BK222))</f>
        <v/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>
        <f>MAX(0,'My Debts'!$E$21-(I223+O223+U223+AA223+AG223+AM223+AS223+AY223+BE223+BK223))</f>
        <v/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>
        <f>MAX(0,'My Debts'!$E$21-(I224+O224+U224+AA224+AG224+AM224+AS224+AY224+BE224+BK224))</f>
        <v/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>
        <f>MAX(0,'My Debts'!$E$21-(I225+O225+U225+AA225+AG225+AM225+AS225+AY225+BE225+BK225))</f>
        <v/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>
        <f>MAX(0,'My Debts'!$E$21-(I226+O226+U226+AA226+AG226+AM226+AS226+AY226+BE226+BK226))</f>
        <v/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>
        <f>MAX(0,'My Debts'!$E$21-(I227+O227+U227+AA227+AG227+AM227+AS227+AY227+BE227+BK227))</f>
        <v/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>
        <f>MAX(0,'My Debts'!$E$21-(I228+O228+U228+AA228+AG228+AM228+AS228+AY228+BE228+BK228))</f>
        <v/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>
        <f>MAX(0,'My Debts'!$E$21-(I229+O229+U229+AA229+AG229+AM229+AS229+AY229+BE229+BK229))</f>
        <v/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>
        <f>MAX(0,'My Debts'!$E$21-(I230+O230+U230+AA230+AG230+AM230+AS230+AY230+BE230+BK230))</f>
        <v/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>
        <f>MAX(0,'My Debts'!$E$21-(I231+O231+U231+AA231+AG231+AM231+AS231+AY231+BE231+BK231))</f>
        <v/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>
        <f>MAX(0,'My Debts'!$E$21-(I232+O232+U232+AA232+AG232+AM232+AS232+AY232+BE232+BK232))</f>
        <v/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>
        <f>MAX(0,'My Debts'!$E$21-(I233+O233+U233+AA233+AG233+AM233+AS233+AY233+BE233+BK233))</f>
        <v/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>
        <f>MAX(0,'My Debts'!$E$21-(I234+O234+U234+AA234+AG234+AM234+AS234+AY234+BE234+BK234))</f>
        <v/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>
        <f>MAX(0,'My Debts'!$E$21-(I235+O235+U235+AA235+AG235+AM235+AS235+AY235+BE235+BK235))</f>
        <v/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>
        <f>MAX(0,'My Debts'!$E$21-(I236+O236+U236+AA236+AG236+AM236+AS236+AY236+BE236+BK236))</f>
        <v/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>
        <f>MAX(0,'My Debts'!$E$21-(I237+O237+U237+AA237+AG237+AM237+AS237+AY237+BE237+BK237))</f>
        <v/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>
        <f>MAX(0,'My Debts'!$E$21-(I238+O238+U238+AA238+AG238+AM238+AS238+AY238+BE238+BK238))</f>
        <v/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>
        <f>MAX(0,'My Debts'!$E$21-(I239+O239+U239+AA239+AG239+AM239+AS239+AY239+BE239+BK239))</f>
        <v/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>
        <f>MAX(0,'My Debts'!$E$21-(I240+O240+U240+AA240+AG240+AM240+AS240+AY240+BE240+BK240))</f>
        <v/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>
        <f>MAX(0,'My Debts'!$E$21-(I241+O241+U241+AA241+AG241+AM241+AS241+AY241+BE241+BK241))</f>
        <v/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>
        <f>MAX(0,'My Debts'!$E$21-(I242+O242+U242+AA242+AG242+AM242+AS242+AY242+BE242+BK242))</f>
        <v/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>
        <f>MAX(0,'My Debts'!$E$21-(I243+O243+U243+AA243+AG243+AM243+AS243+AY243+BE243+BK243))</f>
        <v/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>
        <f>MAX(0,'My Debts'!$E$21-(I244+O244+U244+AA244+AG244+AM244+AS244+AY244+BE244+BK244))</f>
        <v/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>
        <f>MAX(0,'My Debts'!$E$21-(I245+O245+U245+AA245+AG245+AM245+AS245+AY245+BE245+BK245))</f>
        <v/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>
        <f>MAX(0,'My Debts'!$E$21-(I246+O246+U246+AA246+AG246+AM246+AS246+AY246+BE246+BK246))</f>
        <v/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>
        <f>MAX(0,'My Debts'!$E$21-(I247+O247+U247+AA247+AG247+AM247+AS247+AY247+BE247+BK247))</f>
        <v/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>
        <f>MAX(0,'My Debts'!$E$21-(I248+O248+U248+AA248+AG248+AM248+AS248+AY248+BE248+BK248))</f>
        <v/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>
        <f>MAX(0,'My Debts'!$E$21-(I249+O249+U249+AA249+AG249+AM249+AS249+AY249+BE249+BK249))</f>
        <v/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>
        <f>MAX(0,'My Debts'!$E$21-(I250+O250+U250+AA250+AG250+AM250+AS250+AY250+BE250+BK250))</f>
        <v/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>
        <f>MAX(0,'My Debts'!$E$21-(I251+O251+U251+AA251+AG251+AM251+AS251+AY251+BE251+BK251))</f>
        <v/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>
        <f>MAX(0,'My Debts'!$E$21-(I252+O252+U252+AA252+AG252+AM252+AS252+AY252+BE252+BK252))</f>
        <v/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>
        <f>MAX(0,'My Debts'!$E$21-(I253+O253+U253+AA253+AG253+AM253+AS253+AY253+BE253+BK253))</f>
        <v/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>
        <f>MAX(0,'My Debts'!$E$21-(I254+O254+U254+AA254+AG254+AM254+AS254+AY254+BE254+BK254))</f>
        <v/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>
        <f>MAX(0,'My Debts'!$E$21-(I255+O255+U255+AA255+AG255+AM255+AS255+AY255+BE255+BK255))</f>
        <v/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>
        <f>MAX(0,'My Debts'!$E$21-(I256+O256+U256+AA256+AG256+AM256+AS256+AY256+BE256+BK256))</f>
        <v/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>
        <f>MAX(0,'My Debts'!$E$21-(I257+O257+U257+AA257+AG257+AM257+AS257+AY257+BE257+BK257))</f>
        <v/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>
        <f>MAX(0,'My Debts'!$E$21-(I258+O258+U258+AA258+AG258+AM258+AS258+AY258+BE258+BK258))</f>
        <v/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>
        <f>MAX(0,'My Debts'!$E$21-(I259+O259+U259+AA259+AG259+AM259+AS259+AY259+BE259+BK259))</f>
        <v/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>
        <f>MAX(0,'My Debts'!$E$21-(I260+O260+U260+AA260+AG260+AM260+AS260+AY260+BE260+BK260))</f>
        <v/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>
        <f>MAX(0,'My Debts'!$E$21-(I261+O261+U261+AA261+AG261+AM261+AS261+AY261+BE261+BK261))</f>
        <v/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>
        <f>MAX(0,'My Debts'!$E$21-(I262+O262+U262+AA262+AG262+AM262+AS262+AY262+BE262+BK262))</f>
        <v/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>
        <f>MAX(0,'My Debts'!$E$21-(I263+O263+U263+AA263+AG263+AM263+AS263+AY263+BE263+BK263))</f>
        <v/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>
        <f>MAX(0,'My Debts'!$E$21-(I264+O264+U264+AA264+AG264+AM264+AS264+AY264+BE264+BK264))</f>
        <v/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>
        <f>MAX(0,'My Debts'!$E$21-(I265+O265+U265+AA265+AG265+AM265+AS265+AY265+BE265+BK265))</f>
        <v/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>
        <f>MAX(0,'My Debts'!$E$21-(I266+O266+U266+AA266+AG266+AM266+AS266+AY266+BE266+BK266))</f>
        <v/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>
        <f>MAX(0,'My Debts'!$E$21-(I267+O267+U267+AA267+AG267+AM267+AS267+AY267+BE267+BK267))</f>
        <v/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>
        <f>MAX(0,'My Debts'!$E$21-(I268+O268+U268+AA268+AG268+AM268+AS268+AY268+BE268+BK268))</f>
        <v/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>
        <f>MAX(0,'My Debts'!$E$21-(I269+O269+U269+AA269+AG269+AM269+AS269+AY269+BE269+BK269))</f>
        <v/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>
        <f>MAX(0,'My Debts'!$E$21-(I270+O270+U270+AA270+AG270+AM270+AS270+AY270+BE270+BK270))</f>
        <v/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>
        <f>MAX(0,'My Debts'!$E$21-(I271+O271+U271+AA271+AG271+AM271+AS271+AY271+BE271+BK271))</f>
        <v/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>
        <f>MAX(0,'My Debts'!$E$21-(I272+O272+U272+AA272+AG272+AM272+AS272+AY272+BE272+BK272))</f>
        <v/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>
        <f>MAX(0,'My Debts'!$E$21-(I273+O273+U273+AA273+AG273+AM273+AS273+AY273+BE273+BK273))</f>
        <v/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>
        <f>MAX(0,'My Debts'!$E$21-(I274+O274+U274+AA274+AG274+AM274+AS274+AY274+BE274+BK274))</f>
        <v/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>
        <f>MAX(0,'My Debts'!$E$21-(I275+O275+U275+AA275+AG275+AM275+AS275+AY275+BE275+BK275))</f>
        <v/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>
        <f>MAX(0,'My Debts'!$E$21-(I276+O276+U276+AA276+AG276+AM276+AS276+AY276+BE276+BK276))</f>
        <v/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>
        <f>MAX(0,'My Debts'!$E$21-(I277+O277+U277+AA277+AG277+AM277+AS277+AY277+BE277+BK277))</f>
        <v/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>
        <f>MAX(0,'My Debts'!$E$21-(I278+O278+U278+AA278+AG278+AM278+AS278+AY278+BE278+BK278))</f>
        <v/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>
        <f>MAX(0,'My Debts'!$E$21-(I279+O279+U279+AA279+AG279+AM279+AS279+AY279+BE279+BK279))</f>
        <v/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>
        <f>MAX(0,'My Debts'!$E$21-(I280+O280+U280+AA280+AG280+AM280+AS280+AY280+BE280+BK280))</f>
        <v/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>
        <f>MAX(0,'My Debts'!$E$21-(I281+O281+U281+AA281+AG281+AM281+AS281+AY281+BE281+BK281))</f>
        <v/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>
        <f>MAX(0,'My Debts'!$E$21-(I282+O282+U282+AA282+AG282+AM282+AS282+AY282+BE282+BK282))</f>
        <v/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>
        <f>MAX(0,'My Debts'!$E$21-(I283+O283+U283+AA283+AG283+AM283+AS283+AY283+BE283+BK283))</f>
        <v/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>
        <f>MAX(0,'My Debts'!$E$21-(I284+O284+U284+AA284+AG284+AM284+AS284+AY284+BE284+BK284))</f>
        <v/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>
        <f>MAX(0,'My Debts'!$E$21-(I285+O285+U285+AA285+AG285+AM285+AS285+AY285+BE285+BK285))</f>
        <v/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>
        <f>MAX(0,'My Debts'!$E$21-(I286+O286+U286+AA286+AG286+AM286+AS286+AY286+BE286+BK286))</f>
        <v/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>
        <f>MAX(0,'My Debts'!$E$21-(I287+O287+U287+AA287+AG287+AM287+AS287+AY287+BE287+BK287))</f>
        <v/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>
        <f>MAX(0,'My Debts'!$E$21-(I288+O288+U288+AA288+AG288+AM288+AS288+AY288+BE288+BK288))</f>
        <v/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>
        <f>MAX(0,'My Debts'!$E$21-(I289+O289+U289+AA289+AG289+AM289+AS289+AY289+BE289+BK289))</f>
        <v/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>
        <f>MAX(0,'My Debts'!$E$21-(I290+O290+U290+AA290+AG290+AM290+AS290+AY290+BE290+BK290))</f>
        <v/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>
        <f>MAX(0,'My Debts'!$E$21-(I291+O291+U291+AA291+AG291+AM291+AS291+AY291+BE291+BK291))</f>
        <v/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>
        <f>MAX(0,'My Debts'!$E$21-(I292+O292+U292+AA292+AG292+AM292+AS292+AY292+BE292+BK292))</f>
        <v/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>
        <f>MAX(0,'My Debts'!$E$21-(I293+O293+U293+AA293+AG293+AM293+AS293+AY293+BE293+BK293))</f>
        <v/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>
        <f>MAX(0,'My Debts'!$E$21-(I294+O294+U294+AA294+AG294+AM294+AS294+AY294+BE294+BK294))</f>
        <v/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>
        <f>MAX(0,'My Debts'!$E$21-(I295+O295+U295+AA295+AG295+AM295+AS295+AY295+BE295+BK295))</f>
        <v/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>
        <f>MAX(0,'My Debts'!$E$21-(I296+O296+U296+AA296+AG296+AM296+AS296+AY296+BE296+BK296))</f>
        <v/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>
        <f>MAX(0,'My Debts'!$E$21-(I297+O297+U297+AA297+AG297+AM297+AS297+AY297+BE297+BK297))</f>
        <v/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>
        <f>MAX(0,'My Debts'!$E$21-(I298+O298+U298+AA298+AG298+AM298+AS298+AY298+BE298+BK298))</f>
        <v/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>
        <f>MAX(0,'My Debts'!$E$21-(I299+O299+U299+AA299+AG299+AM299+AS299+AY299+BE299+BK299))</f>
        <v/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>
        <f>MAX(0,'My Debts'!$E$21-(I300+O300+U300+AA300+AG300+AM300+AS300+AY300+BE300+BK300))</f>
        <v/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>
        <f>MAX(0,'My Debts'!$E$21-(I301+O301+U301+AA301+AG301+AM301+AS301+AY301+BE301+BK301))</f>
        <v/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>
        <f>MAX(0,'My Debts'!$E$21-(I302+O302+U302+AA302+AG302+AM302+AS302+AY302+BE302+BK302))</f>
        <v/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>
        <f>MAX(0,'My Debts'!$E$21-(I303+O303+U303+AA303+AG303+AM303+AS303+AY303+BE303+BK303))</f>
        <v/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>
        <f>MAX(0,'My Debts'!$E$21-(I304+O304+U304+AA304+AG304+AM304+AS304+AY304+BE304+BK304))</f>
        <v/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>
        <f>MAX(0,'My Debts'!$E$21-(I305+O305+U305+AA305+AG305+AM305+AS305+AY305+BE305+BK305))</f>
        <v/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>
        <f>MAX(0,'My Debts'!$E$21-(I306+O306+U306+AA306+AG306+AM306+AS306+AY306+BE306+BK306))</f>
        <v/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>
        <f>MAX(0,'My Debts'!$E$21-(I307+O307+U307+AA307+AG307+AM307+AS307+AY307+BE307+BK307))</f>
        <v/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Avalanche schedule</t>
        </is>
      </c>
    </row>
    <row r="3">
      <c r="B3" s="10" t="inlineStr">
        <is>
          <t>Highest APR first. Each paid-off debt's payment rolls into the next one.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"Payoff #1: "&amp;IF(K6="","(empty)",K6)</f>
        <v/>
      </c>
      <c r="M5" s="38">
        <f>"Payoff #2: "&amp;IF(Q6="","(empty)",Q6)</f>
        <v/>
      </c>
      <c r="S5" s="38">
        <f>"Payoff #3: "&amp;IF(W6="","(empty)",W6)</f>
        <v/>
      </c>
      <c r="Y5" s="38">
        <f>"Payoff #4: "&amp;IF(AC6="","(empty)",AC6)</f>
        <v/>
      </c>
      <c r="AE5" s="38">
        <f>"Payoff #5: "&amp;IF(AI6="","(empty)",AI6)</f>
        <v/>
      </c>
      <c r="AK5" s="38">
        <f>"Payoff #6: "&amp;IF(AO6="","(empty)",AO6)</f>
        <v/>
      </c>
      <c r="AQ5" s="38">
        <f>"Payoff #7: "&amp;IF(AU6="","(empty)",AU6)</f>
        <v/>
      </c>
      <c r="AW5" s="38">
        <f>"Payoff #8: "&amp;IF(BA6="","(empty)",BA6)</f>
        <v/>
      </c>
      <c r="BC5" s="38">
        <f>"Payoff #9: "&amp;IF(BG6="","(empty)",BG6)</f>
        <v/>
      </c>
      <c r="BI5" s="38">
        <f>"Payoff #10: "&amp;IF(BM6="","(empty)",BM6)</f>
        <v/>
      </c>
    </row>
    <row r="6" hidden="1">
      <c r="G6">
        <f>MATCH(1,'My Debts'!$K$10:$K$19,0)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MATCH(2,'My Debts'!$K$10:$K$19,0)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MATCH(3,'My Debts'!$K$10:$K$19,0)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MATCH(4,'My Debts'!$K$10:$K$19,0)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MATCH(5,'My Debts'!$K$10:$K$19,0)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MATCH(6,'My Debts'!$K$10:$K$19,0)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MATCH(7,'My Debts'!$K$10:$K$19,0)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MATCH(8,'My Debts'!$K$10:$K$19,0)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MATCH(9,'My Debts'!$K$10:$K$19,0)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MATCH(10,'My Debts'!$K$10:$K$19,0)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>
        <f>MAX(0,'My Debts'!$E$21-(I8+O8+U8+AA8+AG8+AM8+AS8+AY8+BE8+BK8))</f>
        <v/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>
        <f>MAX(0,'My Debts'!$E$21-(I9+O9+U9+AA9+AG9+AM9+AS9+AY9+BE9+BK9))</f>
        <v/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>
        <f>MAX(0,'My Debts'!$E$21-(I10+O10+U10+AA10+AG10+AM10+AS10+AY10+BE10+BK10))</f>
        <v/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>
        <f>MAX(0,'My Debts'!$E$21-(I11+O11+U11+AA11+AG11+AM11+AS11+AY11+BE11+BK11))</f>
        <v/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>
        <f>MAX(0,'My Debts'!$E$21-(I12+O12+U12+AA12+AG12+AM12+AS12+AY12+BE12+BK12))</f>
        <v/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>
        <f>MAX(0,'My Debts'!$E$21-(I13+O13+U13+AA13+AG13+AM13+AS13+AY13+BE13+BK13))</f>
        <v/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>
        <f>MAX(0,'My Debts'!$E$21-(I14+O14+U14+AA14+AG14+AM14+AS14+AY14+BE14+BK14))</f>
        <v/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>
        <f>MAX(0,'My Debts'!$E$21-(I15+O15+U15+AA15+AG15+AM15+AS15+AY15+BE15+BK15))</f>
        <v/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>
        <f>MAX(0,'My Debts'!$E$21-(I16+O16+U16+AA16+AG16+AM16+AS16+AY16+BE16+BK16))</f>
        <v/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>
        <f>MAX(0,'My Debts'!$E$21-(I17+O17+U17+AA17+AG17+AM17+AS17+AY17+BE17+BK17))</f>
        <v/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>
        <f>MAX(0,'My Debts'!$E$21-(I18+O18+U18+AA18+AG18+AM18+AS18+AY18+BE18+BK18))</f>
        <v/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>
        <f>MAX(0,'My Debts'!$E$21-(I19+O19+U19+AA19+AG19+AM19+AS19+AY19+BE19+BK19))</f>
        <v/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>
        <f>MAX(0,'My Debts'!$E$21-(I20+O20+U20+AA20+AG20+AM20+AS20+AY20+BE20+BK20))</f>
        <v/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>
        <f>MAX(0,'My Debts'!$E$21-(I21+O21+U21+AA21+AG21+AM21+AS21+AY21+BE21+BK21))</f>
        <v/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>
        <f>MAX(0,'My Debts'!$E$21-(I22+O22+U22+AA22+AG22+AM22+AS22+AY22+BE22+BK22))</f>
        <v/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>
        <f>MAX(0,'My Debts'!$E$21-(I23+O23+U23+AA23+AG23+AM23+AS23+AY23+BE23+BK23))</f>
        <v/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>
        <f>MAX(0,'My Debts'!$E$21-(I24+O24+U24+AA24+AG24+AM24+AS24+AY24+BE24+BK24))</f>
        <v/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>
        <f>MAX(0,'My Debts'!$E$21-(I25+O25+U25+AA25+AG25+AM25+AS25+AY25+BE25+BK25))</f>
        <v/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>
        <f>MAX(0,'My Debts'!$E$21-(I26+O26+U26+AA26+AG26+AM26+AS26+AY26+BE26+BK26))</f>
        <v/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>
        <f>MAX(0,'My Debts'!$E$21-(I27+O27+U27+AA27+AG27+AM27+AS27+AY27+BE27+BK27))</f>
        <v/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>
        <f>MAX(0,'My Debts'!$E$21-(I28+O28+U28+AA28+AG28+AM28+AS28+AY28+BE28+BK28))</f>
        <v/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>
        <f>MAX(0,'My Debts'!$E$21-(I29+O29+U29+AA29+AG29+AM29+AS29+AY29+BE29+BK29))</f>
        <v/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>
        <f>MAX(0,'My Debts'!$E$21-(I30+O30+U30+AA30+AG30+AM30+AS30+AY30+BE30+BK30))</f>
        <v/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>
        <f>MAX(0,'My Debts'!$E$21-(I31+O31+U31+AA31+AG31+AM31+AS31+AY31+BE31+BK31))</f>
        <v/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>
        <f>MAX(0,'My Debts'!$E$21-(I32+O32+U32+AA32+AG32+AM32+AS32+AY32+BE32+BK32))</f>
        <v/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>
        <f>MAX(0,'My Debts'!$E$21-(I33+O33+U33+AA33+AG33+AM33+AS33+AY33+BE33+BK33))</f>
        <v/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>
        <f>MAX(0,'My Debts'!$E$21-(I34+O34+U34+AA34+AG34+AM34+AS34+AY34+BE34+BK34))</f>
        <v/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>
        <f>MAX(0,'My Debts'!$E$21-(I35+O35+U35+AA35+AG35+AM35+AS35+AY35+BE35+BK35))</f>
        <v/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>
        <f>MAX(0,'My Debts'!$E$21-(I36+O36+U36+AA36+AG36+AM36+AS36+AY36+BE36+BK36))</f>
        <v/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>
        <f>MAX(0,'My Debts'!$E$21-(I37+O37+U37+AA37+AG37+AM37+AS37+AY37+BE37+BK37))</f>
        <v/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>
        <f>MAX(0,'My Debts'!$E$21-(I38+O38+U38+AA38+AG38+AM38+AS38+AY38+BE38+BK38))</f>
        <v/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>
        <f>MAX(0,'My Debts'!$E$21-(I39+O39+U39+AA39+AG39+AM39+AS39+AY39+BE39+BK39))</f>
        <v/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>
        <f>MAX(0,'My Debts'!$E$21-(I40+O40+U40+AA40+AG40+AM40+AS40+AY40+BE40+BK40))</f>
        <v/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>
        <f>MAX(0,'My Debts'!$E$21-(I41+O41+U41+AA41+AG41+AM41+AS41+AY41+BE41+BK41))</f>
        <v/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>
        <f>MAX(0,'My Debts'!$E$21-(I42+O42+U42+AA42+AG42+AM42+AS42+AY42+BE42+BK42))</f>
        <v/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>
        <f>MAX(0,'My Debts'!$E$21-(I43+O43+U43+AA43+AG43+AM43+AS43+AY43+BE43+BK43))</f>
        <v/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>
        <f>MAX(0,'My Debts'!$E$21-(I44+O44+U44+AA44+AG44+AM44+AS44+AY44+BE44+BK44))</f>
        <v/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>
        <f>MAX(0,'My Debts'!$E$21-(I45+O45+U45+AA45+AG45+AM45+AS45+AY45+BE45+BK45))</f>
        <v/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>
        <f>MAX(0,'My Debts'!$E$21-(I46+O46+U46+AA46+AG46+AM46+AS46+AY46+BE46+BK46))</f>
        <v/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>
        <f>MAX(0,'My Debts'!$E$21-(I47+O47+U47+AA47+AG47+AM47+AS47+AY47+BE47+BK47))</f>
        <v/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>
        <f>MAX(0,'My Debts'!$E$21-(I48+O48+U48+AA48+AG48+AM48+AS48+AY48+BE48+BK48))</f>
        <v/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>
        <f>MAX(0,'My Debts'!$E$21-(I49+O49+U49+AA49+AG49+AM49+AS49+AY49+BE49+BK49))</f>
        <v/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>
        <f>MAX(0,'My Debts'!$E$21-(I50+O50+U50+AA50+AG50+AM50+AS50+AY50+BE50+BK50))</f>
        <v/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>
        <f>MAX(0,'My Debts'!$E$21-(I51+O51+U51+AA51+AG51+AM51+AS51+AY51+BE51+BK51))</f>
        <v/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>
        <f>MAX(0,'My Debts'!$E$21-(I52+O52+U52+AA52+AG52+AM52+AS52+AY52+BE52+BK52))</f>
        <v/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>
        <f>MAX(0,'My Debts'!$E$21-(I53+O53+U53+AA53+AG53+AM53+AS53+AY53+BE53+BK53))</f>
        <v/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>
        <f>MAX(0,'My Debts'!$E$21-(I54+O54+U54+AA54+AG54+AM54+AS54+AY54+BE54+BK54))</f>
        <v/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>
        <f>MAX(0,'My Debts'!$E$21-(I55+O55+U55+AA55+AG55+AM55+AS55+AY55+BE55+BK55))</f>
        <v/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>
        <f>MAX(0,'My Debts'!$E$21-(I56+O56+U56+AA56+AG56+AM56+AS56+AY56+BE56+BK56))</f>
        <v/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>
        <f>MAX(0,'My Debts'!$E$21-(I57+O57+U57+AA57+AG57+AM57+AS57+AY57+BE57+BK57))</f>
        <v/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>
        <f>MAX(0,'My Debts'!$E$21-(I58+O58+U58+AA58+AG58+AM58+AS58+AY58+BE58+BK58))</f>
        <v/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>
        <f>MAX(0,'My Debts'!$E$21-(I59+O59+U59+AA59+AG59+AM59+AS59+AY59+BE59+BK59))</f>
        <v/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>
        <f>MAX(0,'My Debts'!$E$21-(I60+O60+U60+AA60+AG60+AM60+AS60+AY60+BE60+BK60))</f>
        <v/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>
        <f>MAX(0,'My Debts'!$E$21-(I61+O61+U61+AA61+AG61+AM61+AS61+AY61+BE61+BK61))</f>
        <v/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>
        <f>MAX(0,'My Debts'!$E$21-(I62+O62+U62+AA62+AG62+AM62+AS62+AY62+BE62+BK62))</f>
        <v/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>
        <f>MAX(0,'My Debts'!$E$21-(I63+O63+U63+AA63+AG63+AM63+AS63+AY63+BE63+BK63))</f>
        <v/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>
        <f>MAX(0,'My Debts'!$E$21-(I64+O64+U64+AA64+AG64+AM64+AS64+AY64+BE64+BK64))</f>
        <v/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>
        <f>MAX(0,'My Debts'!$E$21-(I65+O65+U65+AA65+AG65+AM65+AS65+AY65+BE65+BK65))</f>
        <v/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>
        <f>MAX(0,'My Debts'!$E$21-(I66+O66+U66+AA66+AG66+AM66+AS66+AY66+BE66+BK66))</f>
        <v/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>
        <f>MAX(0,'My Debts'!$E$21-(I67+O67+U67+AA67+AG67+AM67+AS67+AY67+BE67+BK67))</f>
        <v/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>
        <f>MAX(0,'My Debts'!$E$21-(I68+O68+U68+AA68+AG68+AM68+AS68+AY68+BE68+BK68))</f>
        <v/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>
        <f>MAX(0,'My Debts'!$E$21-(I69+O69+U69+AA69+AG69+AM69+AS69+AY69+BE69+BK69))</f>
        <v/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>
        <f>MAX(0,'My Debts'!$E$21-(I70+O70+U70+AA70+AG70+AM70+AS70+AY70+BE70+BK70))</f>
        <v/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>
        <f>MAX(0,'My Debts'!$E$21-(I71+O71+U71+AA71+AG71+AM71+AS71+AY71+BE71+BK71))</f>
        <v/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>
        <f>MAX(0,'My Debts'!$E$21-(I72+O72+U72+AA72+AG72+AM72+AS72+AY72+BE72+BK72))</f>
        <v/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>
        <f>MAX(0,'My Debts'!$E$21-(I73+O73+U73+AA73+AG73+AM73+AS73+AY73+BE73+BK73))</f>
        <v/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>
        <f>MAX(0,'My Debts'!$E$21-(I74+O74+U74+AA74+AG74+AM74+AS74+AY74+BE74+BK74))</f>
        <v/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>
        <f>MAX(0,'My Debts'!$E$21-(I75+O75+U75+AA75+AG75+AM75+AS75+AY75+BE75+BK75))</f>
        <v/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>
        <f>MAX(0,'My Debts'!$E$21-(I76+O76+U76+AA76+AG76+AM76+AS76+AY76+BE76+BK76))</f>
        <v/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>
        <f>MAX(0,'My Debts'!$E$21-(I77+O77+U77+AA77+AG77+AM77+AS77+AY77+BE77+BK77))</f>
        <v/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>
        <f>MAX(0,'My Debts'!$E$21-(I78+O78+U78+AA78+AG78+AM78+AS78+AY78+BE78+BK78))</f>
        <v/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>
        <f>MAX(0,'My Debts'!$E$21-(I79+O79+U79+AA79+AG79+AM79+AS79+AY79+BE79+BK79))</f>
        <v/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>
        <f>MAX(0,'My Debts'!$E$21-(I80+O80+U80+AA80+AG80+AM80+AS80+AY80+BE80+BK80))</f>
        <v/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>
        <f>MAX(0,'My Debts'!$E$21-(I81+O81+U81+AA81+AG81+AM81+AS81+AY81+BE81+BK81))</f>
        <v/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>
        <f>MAX(0,'My Debts'!$E$21-(I82+O82+U82+AA82+AG82+AM82+AS82+AY82+BE82+BK82))</f>
        <v/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>
        <f>MAX(0,'My Debts'!$E$21-(I83+O83+U83+AA83+AG83+AM83+AS83+AY83+BE83+BK83))</f>
        <v/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>
        <f>MAX(0,'My Debts'!$E$21-(I84+O84+U84+AA84+AG84+AM84+AS84+AY84+BE84+BK84))</f>
        <v/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>
        <f>MAX(0,'My Debts'!$E$21-(I85+O85+U85+AA85+AG85+AM85+AS85+AY85+BE85+BK85))</f>
        <v/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>
        <f>MAX(0,'My Debts'!$E$21-(I86+O86+U86+AA86+AG86+AM86+AS86+AY86+BE86+BK86))</f>
        <v/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>
        <f>MAX(0,'My Debts'!$E$21-(I87+O87+U87+AA87+AG87+AM87+AS87+AY87+BE87+BK87))</f>
        <v/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>
        <f>MAX(0,'My Debts'!$E$21-(I88+O88+U88+AA88+AG88+AM88+AS88+AY88+BE88+BK88))</f>
        <v/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>
        <f>MAX(0,'My Debts'!$E$21-(I89+O89+U89+AA89+AG89+AM89+AS89+AY89+BE89+BK89))</f>
        <v/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>
        <f>MAX(0,'My Debts'!$E$21-(I90+O90+U90+AA90+AG90+AM90+AS90+AY90+BE90+BK90))</f>
        <v/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>
        <f>MAX(0,'My Debts'!$E$21-(I91+O91+U91+AA91+AG91+AM91+AS91+AY91+BE91+BK91))</f>
        <v/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>
        <f>MAX(0,'My Debts'!$E$21-(I92+O92+U92+AA92+AG92+AM92+AS92+AY92+BE92+BK92))</f>
        <v/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>
        <f>MAX(0,'My Debts'!$E$21-(I93+O93+U93+AA93+AG93+AM93+AS93+AY93+BE93+BK93))</f>
        <v/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>
        <f>MAX(0,'My Debts'!$E$21-(I94+O94+U94+AA94+AG94+AM94+AS94+AY94+BE94+BK94))</f>
        <v/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>
        <f>MAX(0,'My Debts'!$E$21-(I95+O95+U95+AA95+AG95+AM95+AS95+AY95+BE95+BK95))</f>
        <v/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>
        <f>MAX(0,'My Debts'!$E$21-(I96+O96+U96+AA96+AG96+AM96+AS96+AY96+BE96+BK96))</f>
        <v/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>
        <f>MAX(0,'My Debts'!$E$21-(I97+O97+U97+AA97+AG97+AM97+AS97+AY97+BE97+BK97))</f>
        <v/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>
        <f>MAX(0,'My Debts'!$E$21-(I98+O98+U98+AA98+AG98+AM98+AS98+AY98+BE98+BK98))</f>
        <v/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>
        <f>MAX(0,'My Debts'!$E$21-(I99+O99+U99+AA99+AG99+AM99+AS99+AY99+BE99+BK99))</f>
        <v/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>
        <f>MAX(0,'My Debts'!$E$21-(I100+O100+U100+AA100+AG100+AM100+AS100+AY100+BE100+BK100))</f>
        <v/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>
        <f>MAX(0,'My Debts'!$E$21-(I101+O101+U101+AA101+AG101+AM101+AS101+AY101+BE101+BK101))</f>
        <v/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>
        <f>MAX(0,'My Debts'!$E$21-(I102+O102+U102+AA102+AG102+AM102+AS102+AY102+BE102+BK102))</f>
        <v/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>
        <f>MAX(0,'My Debts'!$E$21-(I103+O103+U103+AA103+AG103+AM103+AS103+AY103+BE103+BK103))</f>
        <v/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>
        <f>MAX(0,'My Debts'!$E$21-(I104+O104+U104+AA104+AG104+AM104+AS104+AY104+BE104+BK104))</f>
        <v/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>
        <f>MAX(0,'My Debts'!$E$21-(I105+O105+U105+AA105+AG105+AM105+AS105+AY105+BE105+BK105))</f>
        <v/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>
        <f>MAX(0,'My Debts'!$E$21-(I106+O106+U106+AA106+AG106+AM106+AS106+AY106+BE106+BK106))</f>
        <v/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>
        <f>MAX(0,'My Debts'!$E$21-(I107+O107+U107+AA107+AG107+AM107+AS107+AY107+BE107+BK107))</f>
        <v/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>
        <f>MAX(0,'My Debts'!$E$21-(I108+O108+U108+AA108+AG108+AM108+AS108+AY108+BE108+BK108))</f>
        <v/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>
        <f>MAX(0,'My Debts'!$E$21-(I109+O109+U109+AA109+AG109+AM109+AS109+AY109+BE109+BK109))</f>
        <v/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>
        <f>MAX(0,'My Debts'!$E$21-(I110+O110+U110+AA110+AG110+AM110+AS110+AY110+BE110+BK110))</f>
        <v/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>
        <f>MAX(0,'My Debts'!$E$21-(I111+O111+U111+AA111+AG111+AM111+AS111+AY111+BE111+BK111))</f>
        <v/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>
        <f>MAX(0,'My Debts'!$E$21-(I112+O112+U112+AA112+AG112+AM112+AS112+AY112+BE112+BK112))</f>
        <v/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>
        <f>MAX(0,'My Debts'!$E$21-(I113+O113+U113+AA113+AG113+AM113+AS113+AY113+BE113+BK113))</f>
        <v/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>
        <f>MAX(0,'My Debts'!$E$21-(I114+O114+U114+AA114+AG114+AM114+AS114+AY114+BE114+BK114))</f>
        <v/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>
        <f>MAX(0,'My Debts'!$E$21-(I115+O115+U115+AA115+AG115+AM115+AS115+AY115+BE115+BK115))</f>
        <v/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>
        <f>MAX(0,'My Debts'!$E$21-(I116+O116+U116+AA116+AG116+AM116+AS116+AY116+BE116+BK116))</f>
        <v/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>
        <f>MAX(0,'My Debts'!$E$21-(I117+O117+U117+AA117+AG117+AM117+AS117+AY117+BE117+BK117))</f>
        <v/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>
        <f>MAX(0,'My Debts'!$E$21-(I118+O118+U118+AA118+AG118+AM118+AS118+AY118+BE118+BK118))</f>
        <v/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>
        <f>MAX(0,'My Debts'!$E$21-(I119+O119+U119+AA119+AG119+AM119+AS119+AY119+BE119+BK119))</f>
        <v/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>
        <f>MAX(0,'My Debts'!$E$21-(I120+O120+U120+AA120+AG120+AM120+AS120+AY120+BE120+BK120))</f>
        <v/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>
        <f>MAX(0,'My Debts'!$E$21-(I121+O121+U121+AA121+AG121+AM121+AS121+AY121+BE121+BK121))</f>
        <v/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>
        <f>MAX(0,'My Debts'!$E$21-(I122+O122+U122+AA122+AG122+AM122+AS122+AY122+BE122+BK122))</f>
        <v/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>
        <f>MAX(0,'My Debts'!$E$21-(I123+O123+U123+AA123+AG123+AM123+AS123+AY123+BE123+BK123))</f>
        <v/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>
        <f>MAX(0,'My Debts'!$E$21-(I124+O124+U124+AA124+AG124+AM124+AS124+AY124+BE124+BK124))</f>
        <v/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>
        <f>MAX(0,'My Debts'!$E$21-(I125+O125+U125+AA125+AG125+AM125+AS125+AY125+BE125+BK125))</f>
        <v/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>
        <f>MAX(0,'My Debts'!$E$21-(I126+O126+U126+AA126+AG126+AM126+AS126+AY126+BE126+BK126))</f>
        <v/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>
        <f>MAX(0,'My Debts'!$E$21-(I127+O127+U127+AA127+AG127+AM127+AS127+AY127+BE127+BK127))</f>
        <v/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>
        <f>MAX(0,'My Debts'!$E$21-(I128+O128+U128+AA128+AG128+AM128+AS128+AY128+BE128+BK128))</f>
        <v/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>
        <f>MAX(0,'My Debts'!$E$21-(I129+O129+U129+AA129+AG129+AM129+AS129+AY129+BE129+BK129))</f>
        <v/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>
        <f>MAX(0,'My Debts'!$E$21-(I130+O130+U130+AA130+AG130+AM130+AS130+AY130+BE130+BK130))</f>
        <v/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>
        <f>MAX(0,'My Debts'!$E$21-(I131+O131+U131+AA131+AG131+AM131+AS131+AY131+BE131+BK131))</f>
        <v/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>
        <f>MAX(0,'My Debts'!$E$21-(I132+O132+U132+AA132+AG132+AM132+AS132+AY132+BE132+BK132))</f>
        <v/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>
        <f>MAX(0,'My Debts'!$E$21-(I133+O133+U133+AA133+AG133+AM133+AS133+AY133+BE133+BK133))</f>
        <v/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>
        <f>MAX(0,'My Debts'!$E$21-(I134+O134+U134+AA134+AG134+AM134+AS134+AY134+BE134+BK134))</f>
        <v/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>
        <f>MAX(0,'My Debts'!$E$21-(I135+O135+U135+AA135+AG135+AM135+AS135+AY135+BE135+BK135))</f>
        <v/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>
        <f>MAX(0,'My Debts'!$E$21-(I136+O136+U136+AA136+AG136+AM136+AS136+AY136+BE136+BK136))</f>
        <v/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>
        <f>MAX(0,'My Debts'!$E$21-(I137+O137+U137+AA137+AG137+AM137+AS137+AY137+BE137+BK137))</f>
        <v/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>
        <f>MAX(0,'My Debts'!$E$21-(I138+O138+U138+AA138+AG138+AM138+AS138+AY138+BE138+BK138))</f>
        <v/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>
        <f>MAX(0,'My Debts'!$E$21-(I139+O139+U139+AA139+AG139+AM139+AS139+AY139+BE139+BK139))</f>
        <v/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>
        <f>MAX(0,'My Debts'!$E$21-(I140+O140+U140+AA140+AG140+AM140+AS140+AY140+BE140+BK140))</f>
        <v/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>
        <f>MAX(0,'My Debts'!$E$21-(I141+O141+U141+AA141+AG141+AM141+AS141+AY141+BE141+BK141))</f>
        <v/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>
        <f>MAX(0,'My Debts'!$E$21-(I142+O142+U142+AA142+AG142+AM142+AS142+AY142+BE142+BK142))</f>
        <v/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>
        <f>MAX(0,'My Debts'!$E$21-(I143+O143+U143+AA143+AG143+AM143+AS143+AY143+BE143+BK143))</f>
        <v/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>
        <f>MAX(0,'My Debts'!$E$21-(I144+O144+U144+AA144+AG144+AM144+AS144+AY144+BE144+BK144))</f>
        <v/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>
        <f>MAX(0,'My Debts'!$E$21-(I145+O145+U145+AA145+AG145+AM145+AS145+AY145+BE145+BK145))</f>
        <v/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>
        <f>MAX(0,'My Debts'!$E$21-(I146+O146+U146+AA146+AG146+AM146+AS146+AY146+BE146+BK146))</f>
        <v/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>
        <f>MAX(0,'My Debts'!$E$21-(I147+O147+U147+AA147+AG147+AM147+AS147+AY147+BE147+BK147))</f>
        <v/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>
        <f>MAX(0,'My Debts'!$E$21-(I148+O148+U148+AA148+AG148+AM148+AS148+AY148+BE148+BK148))</f>
        <v/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>
        <f>MAX(0,'My Debts'!$E$21-(I149+O149+U149+AA149+AG149+AM149+AS149+AY149+BE149+BK149))</f>
        <v/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>
        <f>MAX(0,'My Debts'!$E$21-(I150+O150+U150+AA150+AG150+AM150+AS150+AY150+BE150+BK150))</f>
        <v/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>
        <f>MAX(0,'My Debts'!$E$21-(I151+O151+U151+AA151+AG151+AM151+AS151+AY151+BE151+BK151))</f>
        <v/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>
        <f>MAX(0,'My Debts'!$E$21-(I152+O152+U152+AA152+AG152+AM152+AS152+AY152+BE152+BK152))</f>
        <v/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>
        <f>MAX(0,'My Debts'!$E$21-(I153+O153+U153+AA153+AG153+AM153+AS153+AY153+BE153+BK153))</f>
        <v/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>
        <f>MAX(0,'My Debts'!$E$21-(I154+O154+U154+AA154+AG154+AM154+AS154+AY154+BE154+BK154))</f>
        <v/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>
        <f>MAX(0,'My Debts'!$E$21-(I155+O155+U155+AA155+AG155+AM155+AS155+AY155+BE155+BK155))</f>
        <v/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>
        <f>MAX(0,'My Debts'!$E$21-(I156+O156+U156+AA156+AG156+AM156+AS156+AY156+BE156+BK156))</f>
        <v/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>
        <f>MAX(0,'My Debts'!$E$21-(I157+O157+U157+AA157+AG157+AM157+AS157+AY157+BE157+BK157))</f>
        <v/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>
        <f>MAX(0,'My Debts'!$E$21-(I158+O158+U158+AA158+AG158+AM158+AS158+AY158+BE158+BK158))</f>
        <v/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>
        <f>MAX(0,'My Debts'!$E$21-(I159+O159+U159+AA159+AG159+AM159+AS159+AY159+BE159+BK159))</f>
        <v/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>
        <f>MAX(0,'My Debts'!$E$21-(I160+O160+U160+AA160+AG160+AM160+AS160+AY160+BE160+BK160))</f>
        <v/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>
        <f>MAX(0,'My Debts'!$E$21-(I161+O161+U161+AA161+AG161+AM161+AS161+AY161+BE161+BK161))</f>
        <v/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>
        <f>MAX(0,'My Debts'!$E$21-(I162+O162+U162+AA162+AG162+AM162+AS162+AY162+BE162+BK162))</f>
        <v/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>
        <f>MAX(0,'My Debts'!$E$21-(I163+O163+U163+AA163+AG163+AM163+AS163+AY163+BE163+BK163))</f>
        <v/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>
        <f>MAX(0,'My Debts'!$E$21-(I164+O164+U164+AA164+AG164+AM164+AS164+AY164+BE164+BK164))</f>
        <v/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>
        <f>MAX(0,'My Debts'!$E$21-(I165+O165+U165+AA165+AG165+AM165+AS165+AY165+BE165+BK165))</f>
        <v/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>
        <f>MAX(0,'My Debts'!$E$21-(I166+O166+U166+AA166+AG166+AM166+AS166+AY166+BE166+BK166))</f>
        <v/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>
        <f>MAX(0,'My Debts'!$E$21-(I167+O167+U167+AA167+AG167+AM167+AS167+AY167+BE167+BK167))</f>
        <v/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>
        <f>MAX(0,'My Debts'!$E$21-(I168+O168+U168+AA168+AG168+AM168+AS168+AY168+BE168+BK168))</f>
        <v/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>
        <f>MAX(0,'My Debts'!$E$21-(I169+O169+U169+AA169+AG169+AM169+AS169+AY169+BE169+BK169))</f>
        <v/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>
        <f>MAX(0,'My Debts'!$E$21-(I170+O170+U170+AA170+AG170+AM170+AS170+AY170+BE170+BK170))</f>
        <v/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>
        <f>MAX(0,'My Debts'!$E$21-(I171+O171+U171+AA171+AG171+AM171+AS171+AY171+BE171+BK171))</f>
        <v/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>
        <f>MAX(0,'My Debts'!$E$21-(I172+O172+U172+AA172+AG172+AM172+AS172+AY172+BE172+BK172))</f>
        <v/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>
        <f>MAX(0,'My Debts'!$E$21-(I173+O173+U173+AA173+AG173+AM173+AS173+AY173+BE173+BK173))</f>
        <v/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>
        <f>MAX(0,'My Debts'!$E$21-(I174+O174+U174+AA174+AG174+AM174+AS174+AY174+BE174+BK174))</f>
        <v/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>
        <f>MAX(0,'My Debts'!$E$21-(I175+O175+U175+AA175+AG175+AM175+AS175+AY175+BE175+BK175))</f>
        <v/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>
        <f>MAX(0,'My Debts'!$E$21-(I176+O176+U176+AA176+AG176+AM176+AS176+AY176+BE176+BK176))</f>
        <v/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>
        <f>MAX(0,'My Debts'!$E$21-(I177+O177+U177+AA177+AG177+AM177+AS177+AY177+BE177+BK177))</f>
        <v/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>
        <f>MAX(0,'My Debts'!$E$21-(I178+O178+U178+AA178+AG178+AM178+AS178+AY178+BE178+BK178))</f>
        <v/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>
        <f>MAX(0,'My Debts'!$E$21-(I179+O179+U179+AA179+AG179+AM179+AS179+AY179+BE179+BK179))</f>
        <v/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>
        <f>MAX(0,'My Debts'!$E$21-(I180+O180+U180+AA180+AG180+AM180+AS180+AY180+BE180+BK180))</f>
        <v/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>
        <f>MAX(0,'My Debts'!$E$21-(I181+O181+U181+AA181+AG181+AM181+AS181+AY181+BE181+BK181))</f>
        <v/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>
        <f>MAX(0,'My Debts'!$E$21-(I182+O182+U182+AA182+AG182+AM182+AS182+AY182+BE182+BK182))</f>
        <v/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>
        <f>MAX(0,'My Debts'!$E$21-(I183+O183+U183+AA183+AG183+AM183+AS183+AY183+BE183+BK183))</f>
        <v/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>
        <f>MAX(0,'My Debts'!$E$21-(I184+O184+U184+AA184+AG184+AM184+AS184+AY184+BE184+BK184))</f>
        <v/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>
        <f>MAX(0,'My Debts'!$E$21-(I185+O185+U185+AA185+AG185+AM185+AS185+AY185+BE185+BK185))</f>
        <v/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>
        <f>MAX(0,'My Debts'!$E$21-(I186+O186+U186+AA186+AG186+AM186+AS186+AY186+BE186+BK186))</f>
        <v/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>
        <f>MAX(0,'My Debts'!$E$21-(I187+O187+U187+AA187+AG187+AM187+AS187+AY187+BE187+BK187))</f>
        <v/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>
        <f>MAX(0,'My Debts'!$E$21-(I188+O188+U188+AA188+AG188+AM188+AS188+AY188+BE188+BK188))</f>
        <v/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>
        <f>MAX(0,'My Debts'!$E$21-(I189+O189+U189+AA189+AG189+AM189+AS189+AY189+BE189+BK189))</f>
        <v/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>
        <f>MAX(0,'My Debts'!$E$21-(I190+O190+U190+AA190+AG190+AM190+AS190+AY190+BE190+BK190))</f>
        <v/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>
        <f>MAX(0,'My Debts'!$E$21-(I191+O191+U191+AA191+AG191+AM191+AS191+AY191+BE191+BK191))</f>
        <v/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>
        <f>MAX(0,'My Debts'!$E$21-(I192+O192+U192+AA192+AG192+AM192+AS192+AY192+BE192+BK192))</f>
        <v/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>
        <f>MAX(0,'My Debts'!$E$21-(I193+O193+U193+AA193+AG193+AM193+AS193+AY193+BE193+BK193))</f>
        <v/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>
        <f>MAX(0,'My Debts'!$E$21-(I194+O194+U194+AA194+AG194+AM194+AS194+AY194+BE194+BK194))</f>
        <v/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>
        <f>MAX(0,'My Debts'!$E$21-(I195+O195+U195+AA195+AG195+AM195+AS195+AY195+BE195+BK195))</f>
        <v/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>
        <f>MAX(0,'My Debts'!$E$21-(I196+O196+U196+AA196+AG196+AM196+AS196+AY196+BE196+BK196))</f>
        <v/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>
        <f>MAX(0,'My Debts'!$E$21-(I197+O197+U197+AA197+AG197+AM197+AS197+AY197+BE197+BK197))</f>
        <v/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>
        <f>MAX(0,'My Debts'!$E$21-(I198+O198+U198+AA198+AG198+AM198+AS198+AY198+BE198+BK198))</f>
        <v/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>
        <f>MAX(0,'My Debts'!$E$21-(I199+O199+U199+AA199+AG199+AM199+AS199+AY199+BE199+BK199))</f>
        <v/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>
        <f>MAX(0,'My Debts'!$E$21-(I200+O200+U200+AA200+AG200+AM200+AS200+AY200+BE200+BK200))</f>
        <v/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>
        <f>MAX(0,'My Debts'!$E$21-(I201+O201+U201+AA201+AG201+AM201+AS201+AY201+BE201+BK201))</f>
        <v/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>
        <f>MAX(0,'My Debts'!$E$21-(I202+O202+U202+AA202+AG202+AM202+AS202+AY202+BE202+BK202))</f>
        <v/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>
        <f>MAX(0,'My Debts'!$E$21-(I203+O203+U203+AA203+AG203+AM203+AS203+AY203+BE203+BK203))</f>
        <v/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>
        <f>MAX(0,'My Debts'!$E$21-(I204+O204+U204+AA204+AG204+AM204+AS204+AY204+BE204+BK204))</f>
        <v/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>
        <f>MAX(0,'My Debts'!$E$21-(I205+O205+U205+AA205+AG205+AM205+AS205+AY205+BE205+BK205))</f>
        <v/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>
        <f>MAX(0,'My Debts'!$E$21-(I206+O206+U206+AA206+AG206+AM206+AS206+AY206+BE206+BK206))</f>
        <v/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>
        <f>MAX(0,'My Debts'!$E$21-(I207+O207+U207+AA207+AG207+AM207+AS207+AY207+BE207+BK207))</f>
        <v/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>
        <f>MAX(0,'My Debts'!$E$21-(I208+O208+U208+AA208+AG208+AM208+AS208+AY208+BE208+BK208))</f>
        <v/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>
        <f>MAX(0,'My Debts'!$E$21-(I209+O209+U209+AA209+AG209+AM209+AS209+AY209+BE209+BK209))</f>
        <v/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>
        <f>MAX(0,'My Debts'!$E$21-(I210+O210+U210+AA210+AG210+AM210+AS210+AY210+BE210+BK210))</f>
        <v/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>
        <f>MAX(0,'My Debts'!$E$21-(I211+O211+U211+AA211+AG211+AM211+AS211+AY211+BE211+BK211))</f>
        <v/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>
        <f>MAX(0,'My Debts'!$E$21-(I212+O212+U212+AA212+AG212+AM212+AS212+AY212+BE212+BK212))</f>
        <v/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>
        <f>MAX(0,'My Debts'!$E$21-(I213+O213+U213+AA213+AG213+AM213+AS213+AY213+BE213+BK213))</f>
        <v/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>
        <f>MAX(0,'My Debts'!$E$21-(I214+O214+U214+AA214+AG214+AM214+AS214+AY214+BE214+BK214))</f>
        <v/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>
        <f>MAX(0,'My Debts'!$E$21-(I215+O215+U215+AA215+AG215+AM215+AS215+AY215+BE215+BK215))</f>
        <v/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>
        <f>MAX(0,'My Debts'!$E$21-(I216+O216+U216+AA216+AG216+AM216+AS216+AY216+BE216+BK216))</f>
        <v/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>
        <f>MAX(0,'My Debts'!$E$21-(I217+O217+U217+AA217+AG217+AM217+AS217+AY217+BE217+BK217))</f>
        <v/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>
        <f>MAX(0,'My Debts'!$E$21-(I218+O218+U218+AA218+AG218+AM218+AS218+AY218+BE218+BK218))</f>
        <v/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>
        <f>MAX(0,'My Debts'!$E$21-(I219+O219+U219+AA219+AG219+AM219+AS219+AY219+BE219+BK219))</f>
        <v/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>
        <f>MAX(0,'My Debts'!$E$21-(I220+O220+U220+AA220+AG220+AM220+AS220+AY220+BE220+BK220))</f>
        <v/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>
        <f>MAX(0,'My Debts'!$E$21-(I221+O221+U221+AA221+AG221+AM221+AS221+AY221+BE221+BK221))</f>
        <v/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>
        <f>MAX(0,'My Debts'!$E$21-(I222+O222+U222+AA222+AG222+AM222+AS222+AY222+BE222+BK222))</f>
        <v/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>
        <f>MAX(0,'My Debts'!$E$21-(I223+O223+U223+AA223+AG223+AM223+AS223+AY223+BE223+BK223))</f>
        <v/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>
        <f>MAX(0,'My Debts'!$E$21-(I224+O224+U224+AA224+AG224+AM224+AS224+AY224+BE224+BK224))</f>
        <v/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>
        <f>MAX(0,'My Debts'!$E$21-(I225+O225+U225+AA225+AG225+AM225+AS225+AY225+BE225+BK225))</f>
        <v/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>
        <f>MAX(0,'My Debts'!$E$21-(I226+O226+U226+AA226+AG226+AM226+AS226+AY226+BE226+BK226))</f>
        <v/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>
        <f>MAX(0,'My Debts'!$E$21-(I227+O227+U227+AA227+AG227+AM227+AS227+AY227+BE227+BK227))</f>
        <v/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>
        <f>MAX(0,'My Debts'!$E$21-(I228+O228+U228+AA228+AG228+AM228+AS228+AY228+BE228+BK228))</f>
        <v/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>
        <f>MAX(0,'My Debts'!$E$21-(I229+O229+U229+AA229+AG229+AM229+AS229+AY229+BE229+BK229))</f>
        <v/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>
        <f>MAX(0,'My Debts'!$E$21-(I230+O230+U230+AA230+AG230+AM230+AS230+AY230+BE230+BK230))</f>
        <v/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>
        <f>MAX(0,'My Debts'!$E$21-(I231+O231+U231+AA231+AG231+AM231+AS231+AY231+BE231+BK231))</f>
        <v/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>
        <f>MAX(0,'My Debts'!$E$21-(I232+O232+U232+AA232+AG232+AM232+AS232+AY232+BE232+BK232))</f>
        <v/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>
        <f>MAX(0,'My Debts'!$E$21-(I233+O233+U233+AA233+AG233+AM233+AS233+AY233+BE233+BK233))</f>
        <v/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>
        <f>MAX(0,'My Debts'!$E$21-(I234+O234+U234+AA234+AG234+AM234+AS234+AY234+BE234+BK234))</f>
        <v/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>
        <f>MAX(0,'My Debts'!$E$21-(I235+O235+U235+AA235+AG235+AM235+AS235+AY235+BE235+BK235))</f>
        <v/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>
        <f>MAX(0,'My Debts'!$E$21-(I236+O236+U236+AA236+AG236+AM236+AS236+AY236+BE236+BK236))</f>
        <v/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>
        <f>MAX(0,'My Debts'!$E$21-(I237+O237+U237+AA237+AG237+AM237+AS237+AY237+BE237+BK237))</f>
        <v/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>
        <f>MAX(0,'My Debts'!$E$21-(I238+O238+U238+AA238+AG238+AM238+AS238+AY238+BE238+BK238))</f>
        <v/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>
        <f>MAX(0,'My Debts'!$E$21-(I239+O239+U239+AA239+AG239+AM239+AS239+AY239+BE239+BK239))</f>
        <v/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>
        <f>MAX(0,'My Debts'!$E$21-(I240+O240+U240+AA240+AG240+AM240+AS240+AY240+BE240+BK240))</f>
        <v/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>
        <f>MAX(0,'My Debts'!$E$21-(I241+O241+U241+AA241+AG241+AM241+AS241+AY241+BE241+BK241))</f>
        <v/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>
        <f>MAX(0,'My Debts'!$E$21-(I242+O242+U242+AA242+AG242+AM242+AS242+AY242+BE242+BK242))</f>
        <v/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>
        <f>MAX(0,'My Debts'!$E$21-(I243+O243+U243+AA243+AG243+AM243+AS243+AY243+BE243+BK243))</f>
        <v/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>
        <f>MAX(0,'My Debts'!$E$21-(I244+O244+U244+AA244+AG244+AM244+AS244+AY244+BE244+BK244))</f>
        <v/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>
        <f>MAX(0,'My Debts'!$E$21-(I245+O245+U245+AA245+AG245+AM245+AS245+AY245+BE245+BK245))</f>
        <v/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>
        <f>MAX(0,'My Debts'!$E$21-(I246+O246+U246+AA246+AG246+AM246+AS246+AY246+BE246+BK246))</f>
        <v/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>
        <f>MAX(0,'My Debts'!$E$21-(I247+O247+U247+AA247+AG247+AM247+AS247+AY247+BE247+BK247))</f>
        <v/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>
        <f>MAX(0,'My Debts'!$E$21-(I248+O248+U248+AA248+AG248+AM248+AS248+AY248+BE248+BK248))</f>
        <v/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>
        <f>MAX(0,'My Debts'!$E$21-(I249+O249+U249+AA249+AG249+AM249+AS249+AY249+BE249+BK249))</f>
        <v/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>
        <f>MAX(0,'My Debts'!$E$21-(I250+O250+U250+AA250+AG250+AM250+AS250+AY250+BE250+BK250))</f>
        <v/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>
        <f>MAX(0,'My Debts'!$E$21-(I251+O251+U251+AA251+AG251+AM251+AS251+AY251+BE251+BK251))</f>
        <v/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>
        <f>MAX(0,'My Debts'!$E$21-(I252+O252+U252+AA252+AG252+AM252+AS252+AY252+BE252+BK252))</f>
        <v/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>
        <f>MAX(0,'My Debts'!$E$21-(I253+O253+U253+AA253+AG253+AM253+AS253+AY253+BE253+BK253))</f>
        <v/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>
        <f>MAX(0,'My Debts'!$E$21-(I254+O254+U254+AA254+AG254+AM254+AS254+AY254+BE254+BK254))</f>
        <v/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>
        <f>MAX(0,'My Debts'!$E$21-(I255+O255+U255+AA255+AG255+AM255+AS255+AY255+BE255+BK255))</f>
        <v/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>
        <f>MAX(0,'My Debts'!$E$21-(I256+O256+U256+AA256+AG256+AM256+AS256+AY256+BE256+BK256))</f>
        <v/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>
        <f>MAX(0,'My Debts'!$E$21-(I257+O257+U257+AA257+AG257+AM257+AS257+AY257+BE257+BK257))</f>
        <v/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>
        <f>MAX(0,'My Debts'!$E$21-(I258+O258+U258+AA258+AG258+AM258+AS258+AY258+BE258+BK258))</f>
        <v/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>
        <f>MAX(0,'My Debts'!$E$21-(I259+O259+U259+AA259+AG259+AM259+AS259+AY259+BE259+BK259))</f>
        <v/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>
        <f>MAX(0,'My Debts'!$E$21-(I260+O260+U260+AA260+AG260+AM260+AS260+AY260+BE260+BK260))</f>
        <v/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>
        <f>MAX(0,'My Debts'!$E$21-(I261+O261+U261+AA261+AG261+AM261+AS261+AY261+BE261+BK261))</f>
        <v/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>
        <f>MAX(0,'My Debts'!$E$21-(I262+O262+U262+AA262+AG262+AM262+AS262+AY262+BE262+BK262))</f>
        <v/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>
        <f>MAX(0,'My Debts'!$E$21-(I263+O263+U263+AA263+AG263+AM263+AS263+AY263+BE263+BK263))</f>
        <v/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>
        <f>MAX(0,'My Debts'!$E$21-(I264+O264+U264+AA264+AG264+AM264+AS264+AY264+BE264+BK264))</f>
        <v/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>
        <f>MAX(0,'My Debts'!$E$21-(I265+O265+U265+AA265+AG265+AM265+AS265+AY265+BE265+BK265))</f>
        <v/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>
        <f>MAX(0,'My Debts'!$E$21-(I266+O266+U266+AA266+AG266+AM266+AS266+AY266+BE266+BK266))</f>
        <v/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>
        <f>MAX(0,'My Debts'!$E$21-(I267+O267+U267+AA267+AG267+AM267+AS267+AY267+BE267+BK267))</f>
        <v/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>
        <f>MAX(0,'My Debts'!$E$21-(I268+O268+U268+AA268+AG268+AM268+AS268+AY268+BE268+BK268))</f>
        <v/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>
        <f>MAX(0,'My Debts'!$E$21-(I269+O269+U269+AA269+AG269+AM269+AS269+AY269+BE269+BK269))</f>
        <v/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>
        <f>MAX(0,'My Debts'!$E$21-(I270+O270+U270+AA270+AG270+AM270+AS270+AY270+BE270+BK270))</f>
        <v/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>
        <f>MAX(0,'My Debts'!$E$21-(I271+O271+U271+AA271+AG271+AM271+AS271+AY271+BE271+BK271))</f>
        <v/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>
        <f>MAX(0,'My Debts'!$E$21-(I272+O272+U272+AA272+AG272+AM272+AS272+AY272+BE272+BK272))</f>
        <v/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>
        <f>MAX(0,'My Debts'!$E$21-(I273+O273+U273+AA273+AG273+AM273+AS273+AY273+BE273+BK273))</f>
        <v/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>
        <f>MAX(0,'My Debts'!$E$21-(I274+O274+U274+AA274+AG274+AM274+AS274+AY274+BE274+BK274))</f>
        <v/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>
        <f>MAX(0,'My Debts'!$E$21-(I275+O275+U275+AA275+AG275+AM275+AS275+AY275+BE275+BK275))</f>
        <v/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>
        <f>MAX(0,'My Debts'!$E$21-(I276+O276+U276+AA276+AG276+AM276+AS276+AY276+BE276+BK276))</f>
        <v/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>
        <f>MAX(0,'My Debts'!$E$21-(I277+O277+U277+AA277+AG277+AM277+AS277+AY277+BE277+BK277))</f>
        <v/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>
        <f>MAX(0,'My Debts'!$E$21-(I278+O278+U278+AA278+AG278+AM278+AS278+AY278+BE278+BK278))</f>
        <v/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>
        <f>MAX(0,'My Debts'!$E$21-(I279+O279+U279+AA279+AG279+AM279+AS279+AY279+BE279+BK279))</f>
        <v/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>
        <f>MAX(0,'My Debts'!$E$21-(I280+O280+U280+AA280+AG280+AM280+AS280+AY280+BE280+BK280))</f>
        <v/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>
        <f>MAX(0,'My Debts'!$E$21-(I281+O281+U281+AA281+AG281+AM281+AS281+AY281+BE281+BK281))</f>
        <v/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>
        <f>MAX(0,'My Debts'!$E$21-(I282+O282+U282+AA282+AG282+AM282+AS282+AY282+BE282+BK282))</f>
        <v/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>
        <f>MAX(0,'My Debts'!$E$21-(I283+O283+U283+AA283+AG283+AM283+AS283+AY283+BE283+BK283))</f>
        <v/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>
        <f>MAX(0,'My Debts'!$E$21-(I284+O284+U284+AA284+AG284+AM284+AS284+AY284+BE284+BK284))</f>
        <v/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>
        <f>MAX(0,'My Debts'!$E$21-(I285+O285+U285+AA285+AG285+AM285+AS285+AY285+BE285+BK285))</f>
        <v/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>
        <f>MAX(0,'My Debts'!$E$21-(I286+O286+U286+AA286+AG286+AM286+AS286+AY286+BE286+BK286))</f>
        <v/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>
        <f>MAX(0,'My Debts'!$E$21-(I287+O287+U287+AA287+AG287+AM287+AS287+AY287+BE287+BK287))</f>
        <v/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>
        <f>MAX(0,'My Debts'!$E$21-(I288+O288+U288+AA288+AG288+AM288+AS288+AY288+BE288+BK288))</f>
        <v/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>
        <f>MAX(0,'My Debts'!$E$21-(I289+O289+U289+AA289+AG289+AM289+AS289+AY289+BE289+BK289))</f>
        <v/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>
        <f>MAX(0,'My Debts'!$E$21-(I290+O290+U290+AA290+AG290+AM290+AS290+AY290+BE290+BK290))</f>
        <v/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>
        <f>MAX(0,'My Debts'!$E$21-(I291+O291+U291+AA291+AG291+AM291+AS291+AY291+BE291+BK291))</f>
        <v/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>
        <f>MAX(0,'My Debts'!$E$21-(I292+O292+U292+AA292+AG292+AM292+AS292+AY292+BE292+BK292))</f>
        <v/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>
        <f>MAX(0,'My Debts'!$E$21-(I293+O293+U293+AA293+AG293+AM293+AS293+AY293+BE293+BK293))</f>
        <v/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>
        <f>MAX(0,'My Debts'!$E$21-(I294+O294+U294+AA294+AG294+AM294+AS294+AY294+BE294+BK294))</f>
        <v/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>
        <f>MAX(0,'My Debts'!$E$21-(I295+O295+U295+AA295+AG295+AM295+AS295+AY295+BE295+BK295))</f>
        <v/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>
        <f>MAX(0,'My Debts'!$E$21-(I296+O296+U296+AA296+AG296+AM296+AS296+AY296+BE296+BK296))</f>
        <v/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>
        <f>MAX(0,'My Debts'!$E$21-(I297+O297+U297+AA297+AG297+AM297+AS297+AY297+BE297+BK297))</f>
        <v/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>
        <f>MAX(0,'My Debts'!$E$21-(I298+O298+U298+AA298+AG298+AM298+AS298+AY298+BE298+BK298))</f>
        <v/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>
        <f>MAX(0,'My Debts'!$E$21-(I299+O299+U299+AA299+AG299+AM299+AS299+AY299+BE299+BK299))</f>
        <v/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>
        <f>MAX(0,'My Debts'!$E$21-(I300+O300+U300+AA300+AG300+AM300+AS300+AY300+BE300+BK300))</f>
        <v/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>
        <f>MAX(0,'My Debts'!$E$21-(I301+O301+U301+AA301+AG301+AM301+AS301+AY301+BE301+BK301))</f>
        <v/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>
        <f>MAX(0,'My Debts'!$E$21-(I302+O302+U302+AA302+AG302+AM302+AS302+AY302+BE302+BK302))</f>
        <v/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>
        <f>MAX(0,'My Debts'!$E$21-(I303+O303+U303+AA303+AG303+AM303+AS303+AY303+BE303+BK303))</f>
        <v/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>
        <f>MAX(0,'My Debts'!$E$21-(I304+O304+U304+AA304+AG304+AM304+AS304+AY304+BE304+BK304))</f>
        <v/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>
        <f>MAX(0,'My Debts'!$E$21-(I305+O305+U305+AA305+AG305+AM305+AS305+AY305+BE305+BK305))</f>
        <v/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>
        <f>MAX(0,'My Debts'!$E$21-(I306+O306+U306+AA306+AG306+AM306+AS306+AY306+BE306+BK306))</f>
        <v/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>
        <f>MAX(0,'My Debts'!$E$21-(I307+O307+U307+AA307+AG307+AM307+AS307+AY307+BE307+BK307))</f>
        <v/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Minimum-only schedule</t>
        </is>
      </c>
    </row>
    <row r="3">
      <c r="B3" s="10" t="inlineStr">
        <is>
          <t>What happens if you only ever pay the minimums. Shown for comparison.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"Debt 1: "&amp;IF(K6="","(empty)",K6)</f>
        <v/>
      </c>
      <c r="M5" s="38">
        <f>"Debt 2: "&amp;IF(Q6="","(empty)",Q6)</f>
        <v/>
      </c>
      <c r="S5" s="38">
        <f>"Debt 3: "&amp;IF(W6="","(empty)",W6)</f>
        <v/>
      </c>
      <c r="Y5" s="38">
        <f>"Debt 4: "&amp;IF(AC6="","(empty)",AC6)</f>
        <v/>
      </c>
      <c r="AE5" s="38">
        <f>"Debt 5: "&amp;IF(AI6="","(empty)",AI6)</f>
        <v/>
      </c>
      <c r="AK5" s="38">
        <f>"Debt 6: "&amp;IF(AO6="","(empty)",AO6)</f>
        <v/>
      </c>
      <c r="AQ5" s="38">
        <f>"Debt 7: "&amp;IF(AU6="","(empty)",AU6)</f>
        <v/>
      </c>
      <c r="AW5" s="38">
        <f>"Debt 8: "&amp;IF(BA6="","(empty)",BA6)</f>
        <v/>
      </c>
      <c r="BC5" s="38">
        <f>"Debt 9: "&amp;IF(BG6="","(empty)",BG6)</f>
        <v/>
      </c>
      <c r="BI5" s="38">
        <f>"Debt 10: "&amp;IF(BM6="","(empty)",BM6)</f>
        <v/>
      </c>
    </row>
    <row r="6" hidden="1">
      <c r="G6">
        <f>1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2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3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4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5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6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7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8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9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10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 t="n">
        <v>0</v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 t="n">
        <v>0</v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 t="n">
        <v>0</v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 t="n">
        <v>0</v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 t="n">
        <v>0</v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 t="n">
        <v>0</v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 t="n">
        <v>0</v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 t="n">
        <v>0</v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 t="n">
        <v>0</v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 t="n">
        <v>0</v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 t="n">
        <v>0</v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 t="n">
        <v>0</v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 t="n">
        <v>0</v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 t="n">
        <v>0</v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 t="n">
        <v>0</v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 t="n">
        <v>0</v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 t="n">
        <v>0</v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 t="n">
        <v>0</v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 t="n">
        <v>0</v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 t="n">
        <v>0</v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 t="n">
        <v>0</v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 t="n">
        <v>0</v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 t="n">
        <v>0</v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 t="n">
        <v>0</v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 t="n">
        <v>0</v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 t="n">
        <v>0</v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 t="n">
        <v>0</v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 t="n">
        <v>0</v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 t="n">
        <v>0</v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 t="n">
        <v>0</v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 t="n">
        <v>0</v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 t="n">
        <v>0</v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 t="n">
        <v>0</v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 t="n">
        <v>0</v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 t="n">
        <v>0</v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 t="n">
        <v>0</v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 t="n">
        <v>0</v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 t="n">
        <v>0</v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 t="n">
        <v>0</v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 t="n">
        <v>0</v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 t="n">
        <v>0</v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 t="n">
        <v>0</v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 t="n">
        <v>0</v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 t="n">
        <v>0</v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 t="n">
        <v>0</v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 t="n">
        <v>0</v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 t="n">
        <v>0</v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 t="n">
        <v>0</v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 t="n">
        <v>0</v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 t="n">
        <v>0</v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 t="n">
        <v>0</v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 t="n">
        <v>0</v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 t="n">
        <v>0</v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 t="n">
        <v>0</v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 t="n">
        <v>0</v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 t="n">
        <v>0</v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 t="n">
        <v>0</v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 t="n">
        <v>0</v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 t="n">
        <v>0</v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 t="n">
        <v>0</v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 t="n">
        <v>0</v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 t="n">
        <v>0</v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 t="n">
        <v>0</v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 t="n">
        <v>0</v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 t="n">
        <v>0</v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 t="n">
        <v>0</v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 t="n">
        <v>0</v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 t="n">
        <v>0</v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 t="n">
        <v>0</v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 t="n">
        <v>0</v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 t="n">
        <v>0</v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 t="n">
        <v>0</v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 t="n">
        <v>0</v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 t="n">
        <v>0</v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 t="n">
        <v>0</v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 t="n">
        <v>0</v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 t="n">
        <v>0</v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 t="n">
        <v>0</v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 t="n">
        <v>0</v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 t="n">
        <v>0</v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 t="n">
        <v>0</v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 t="n">
        <v>0</v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 t="n">
        <v>0</v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 t="n">
        <v>0</v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 t="n">
        <v>0</v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 t="n">
        <v>0</v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 t="n">
        <v>0</v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 t="n">
        <v>0</v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 t="n">
        <v>0</v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 t="n">
        <v>0</v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 t="n">
        <v>0</v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 t="n">
        <v>0</v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 t="n">
        <v>0</v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 t="n">
        <v>0</v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 t="n">
        <v>0</v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 t="n">
        <v>0</v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 t="n">
        <v>0</v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 t="n">
        <v>0</v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 t="n">
        <v>0</v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 t="n">
        <v>0</v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 t="n">
        <v>0</v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 t="n">
        <v>0</v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 t="n">
        <v>0</v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 t="n">
        <v>0</v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 t="n">
        <v>0</v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 t="n">
        <v>0</v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 t="n">
        <v>0</v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 t="n">
        <v>0</v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 t="n">
        <v>0</v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 t="n">
        <v>0</v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 t="n">
        <v>0</v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 t="n">
        <v>0</v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 t="n">
        <v>0</v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 t="n">
        <v>0</v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 t="n">
        <v>0</v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 t="n">
        <v>0</v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 t="n">
        <v>0</v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 t="n">
        <v>0</v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 t="n">
        <v>0</v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 t="n">
        <v>0</v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 t="n">
        <v>0</v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 t="n">
        <v>0</v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 t="n">
        <v>0</v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 t="n">
        <v>0</v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 t="n">
        <v>0</v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 t="n">
        <v>0</v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 t="n">
        <v>0</v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 t="n">
        <v>0</v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 t="n">
        <v>0</v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 t="n">
        <v>0</v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 t="n">
        <v>0</v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 t="n">
        <v>0</v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 t="n">
        <v>0</v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 t="n">
        <v>0</v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 t="n">
        <v>0</v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 t="n">
        <v>0</v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 t="n">
        <v>0</v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 t="n">
        <v>0</v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 t="n">
        <v>0</v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 t="n">
        <v>0</v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 t="n">
        <v>0</v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 t="n">
        <v>0</v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 t="n">
        <v>0</v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 t="n">
        <v>0</v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 t="n">
        <v>0</v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 t="n">
        <v>0</v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 t="n">
        <v>0</v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 t="n">
        <v>0</v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 t="n">
        <v>0</v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 t="n">
        <v>0</v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 t="n">
        <v>0</v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 t="n">
        <v>0</v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 t="n">
        <v>0</v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 t="n">
        <v>0</v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 t="n">
        <v>0</v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 t="n">
        <v>0</v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 t="n">
        <v>0</v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 t="n">
        <v>0</v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 t="n">
        <v>0</v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 t="n">
        <v>0</v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 t="n">
        <v>0</v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 t="n">
        <v>0</v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 t="n">
        <v>0</v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 t="n">
        <v>0</v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 t="n">
        <v>0</v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 t="n">
        <v>0</v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 t="n">
        <v>0</v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 t="n">
        <v>0</v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 t="n">
        <v>0</v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 t="n">
        <v>0</v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 t="n">
        <v>0</v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 t="n">
        <v>0</v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 t="n">
        <v>0</v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 t="n">
        <v>0</v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 t="n">
        <v>0</v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 t="n">
        <v>0</v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 t="n">
        <v>0</v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 t="n">
        <v>0</v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 t="n">
        <v>0</v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 t="n">
        <v>0</v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 t="n">
        <v>0</v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 t="n">
        <v>0</v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 t="n">
        <v>0</v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 t="n">
        <v>0</v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 t="n">
        <v>0</v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 t="n">
        <v>0</v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 t="n">
        <v>0</v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 t="n">
        <v>0</v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 t="n">
        <v>0</v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 t="n">
        <v>0</v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 t="n">
        <v>0</v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 t="n">
        <v>0</v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 t="n">
        <v>0</v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 t="n">
        <v>0</v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 t="n">
        <v>0</v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 t="n">
        <v>0</v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 t="n">
        <v>0</v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 t="n">
        <v>0</v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 t="n">
        <v>0</v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 t="n">
        <v>0</v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 t="n">
        <v>0</v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 t="n">
        <v>0</v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 t="n">
        <v>0</v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 t="n">
        <v>0</v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 t="n">
        <v>0</v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 t="n">
        <v>0</v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 t="n">
        <v>0</v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 t="n">
        <v>0</v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 t="n">
        <v>0</v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 t="n">
        <v>0</v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 t="n">
        <v>0</v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 t="n">
        <v>0</v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 t="n">
        <v>0</v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 t="n">
        <v>0</v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 t="n">
        <v>0</v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 t="n">
        <v>0</v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 t="n">
        <v>0</v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 t="n">
        <v>0</v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 t="n">
        <v>0</v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 t="n">
        <v>0</v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 t="n">
        <v>0</v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 t="n">
        <v>0</v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 t="n">
        <v>0</v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 t="n">
        <v>0</v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 t="n">
        <v>0</v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 t="n">
        <v>0</v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 t="n">
        <v>0</v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 t="n">
        <v>0</v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 t="n">
        <v>0</v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 t="n">
        <v>0</v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 t="n">
        <v>0</v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 t="n">
        <v>0</v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 t="n">
        <v>0</v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 t="n">
        <v>0</v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 t="n">
        <v>0</v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 t="n">
        <v>0</v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 t="n">
        <v>0</v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 t="n">
        <v>0</v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 t="n">
        <v>0</v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 t="n">
        <v>0</v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 t="n">
        <v>0</v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 t="n">
        <v>0</v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 t="n">
        <v>0</v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 t="n">
        <v>0</v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 t="n">
        <v>0</v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 t="n">
        <v>0</v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 t="n">
        <v>0</v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 t="n">
        <v>0</v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 t="n">
        <v>0</v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 t="n">
        <v>0</v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 t="n">
        <v>0</v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 t="n">
        <v>0</v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 t="n">
        <v>0</v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 t="n">
        <v>0</v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 t="n">
        <v>0</v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 t="n">
        <v>0</v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 t="n">
        <v>0</v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 t="n">
        <v>0</v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 t="n">
        <v>0</v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 t="n">
        <v>0</v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 t="n">
        <v>0</v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 t="n">
        <v>0</v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 t="n">
        <v>0</v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 t="n">
        <v>0</v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 t="n">
        <v>0</v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 t="n">
        <v>0</v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 t="n">
        <v>0</v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 t="n">
        <v>0</v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 t="n">
        <v>0</v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 t="n">
        <v>0</v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 t="n">
        <v>0</v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 t="n">
        <v>0</v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 t="n">
        <v>0</v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 t="n">
        <v>0</v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 t="n">
        <v>0</v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 t="n">
        <v>0</v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 t="n">
        <v>0</v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 t="n">
        <v>0</v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 t="n">
        <v>0</v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 t="n">
        <v>0</v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 t="n">
        <v>0</v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 t="n">
        <v>0</v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 t="n">
        <v>0</v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 t="n">
        <v>0</v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 t="n">
        <v>0</v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 t="n">
        <v>0</v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 t="n">
        <v>0</v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 t="n">
        <v>0</v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 t="n">
        <v>0</v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 t="n">
        <v>0</v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 t="n">
        <v>0</v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 t="n">
        <v>0</v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 t="n">
        <v>0</v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 t="n">
        <v>0</v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 t="n">
        <v>0</v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 t="n">
        <v>0</v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 t="n">
        <v>0</v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 t="n">
        <v>0</v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 t="n">
        <v>0</v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 t="n">
        <v>0</v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B2:F6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6" customWidth="1" min="3" max="3"/>
    <col width="16" customWidth="1" min="4" max="4"/>
    <col width="14" customWidth="1" min="5" max="5"/>
    <col width="36" customWidth="1" min="6" max="6"/>
  </cols>
  <sheetData>
    <row r="1" ht="10" customHeight="1"/>
    <row r="2" ht="32" customHeight="1">
      <c r="B2" s="9" t="inlineStr">
        <is>
          <t>Progress log</t>
        </is>
      </c>
    </row>
    <row r="3">
      <c r="B3" s="10" t="inlineStr">
        <is>
          <t>Once a month, write down what you really owe. Watch it shrink.</t>
        </is>
      </c>
    </row>
    <row r="4" ht="8" customHeight="1">
      <c r="B4" s="11" t="n"/>
      <c r="C4" s="11" t="n"/>
      <c r="D4" s="11" t="n"/>
      <c r="E4" s="11" t="n"/>
      <c r="F4" s="11" t="n"/>
    </row>
    <row r="5">
      <c r="B5" s="12" t="inlineStr">
        <is>
          <t>Starting total</t>
        </is>
      </c>
      <c r="C5" s="21">
        <f>'My Debts'!C20</f>
        <v/>
      </c>
    </row>
    <row r="7" ht="30" customHeight="1">
      <c r="B7" s="17" t="inlineStr">
        <is>
          <t>Month</t>
        </is>
      </c>
      <c r="C7" s="17" t="inlineStr">
        <is>
          <t>Total you owe now</t>
        </is>
      </c>
      <c r="D7" s="17" t="inlineStr">
        <is>
          <t>Paid this month</t>
        </is>
      </c>
      <c r="E7" s="17" t="inlineStr">
        <is>
          <t>Progress</t>
        </is>
      </c>
      <c r="F7" s="17" t="inlineStr">
        <is>
          <t>Notes / wins</t>
        </is>
      </c>
    </row>
    <row r="8">
      <c r="B8" s="28">
        <f>EDATE('My Debts'!$C$6,0)</f>
        <v/>
      </c>
      <c r="C8" s="15" t="n"/>
      <c r="D8" s="15" t="n"/>
      <c r="E8" s="47">
        <f>IF(OR(C8="",$C$5&lt;=0),"",1-C8/$C$5)</f>
        <v/>
      </c>
      <c r="F8" s="16" t="n"/>
    </row>
    <row r="9">
      <c r="B9" s="28">
        <f>EDATE('My Debts'!$C$6,1)</f>
        <v/>
      </c>
      <c r="C9" s="15" t="n"/>
      <c r="D9" s="15" t="n"/>
      <c r="E9" s="47">
        <f>IF(OR(C9="",$C$5&lt;=0),"",1-C9/$C$5)</f>
        <v/>
      </c>
      <c r="F9" s="16" t="n"/>
    </row>
    <row r="10">
      <c r="B10" s="28">
        <f>EDATE('My Debts'!$C$6,2)</f>
        <v/>
      </c>
      <c r="C10" s="15" t="n"/>
      <c r="D10" s="15" t="n"/>
      <c r="E10" s="47">
        <f>IF(OR(C10="",$C$5&lt;=0),"",1-C10/$C$5)</f>
        <v/>
      </c>
      <c r="F10" s="16" t="n"/>
    </row>
    <row r="11">
      <c r="B11" s="28">
        <f>EDATE('My Debts'!$C$6,3)</f>
        <v/>
      </c>
      <c r="C11" s="15" t="n"/>
      <c r="D11" s="15" t="n"/>
      <c r="E11" s="47">
        <f>IF(OR(C11="",$C$5&lt;=0),"",1-C11/$C$5)</f>
        <v/>
      </c>
      <c r="F11" s="16" t="n"/>
    </row>
    <row r="12">
      <c r="B12" s="28">
        <f>EDATE('My Debts'!$C$6,4)</f>
        <v/>
      </c>
      <c r="C12" s="15" t="n"/>
      <c r="D12" s="15" t="n"/>
      <c r="E12" s="47">
        <f>IF(OR(C12="",$C$5&lt;=0),"",1-C12/$C$5)</f>
        <v/>
      </c>
      <c r="F12" s="16" t="n"/>
    </row>
    <row r="13">
      <c r="B13" s="28">
        <f>EDATE('My Debts'!$C$6,5)</f>
        <v/>
      </c>
      <c r="C13" s="15" t="n"/>
      <c r="D13" s="15" t="n"/>
      <c r="E13" s="47">
        <f>IF(OR(C13="",$C$5&lt;=0),"",1-C13/$C$5)</f>
        <v/>
      </c>
      <c r="F13" s="16" t="n"/>
    </row>
    <row r="14">
      <c r="B14" s="28">
        <f>EDATE('My Debts'!$C$6,6)</f>
        <v/>
      </c>
      <c r="C14" s="15" t="n"/>
      <c r="D14" s="15" t="n"/>
      <c r="E14" s="47">
        <f>IF(OR(C14="",$C$5&lt;=0),"",1-C14/$C$5)</f>
        <v/>
      </c>
      <c r="F14" s="16" t="n"/>
    </row>
    <row r="15">
      <c r="B15" s="28">
        <f>EDATE('My Debts'!$C$6,7)</f>
        <v/>
      </c>
      <c r="C15" s="15" t="n"/>
      <c r="D15" s="15" t="n"/>
      <c r="E15" s="47">
        <f>IF(OR(C15="",$C$5&lt;=0),"",1-C15/$C$5)</f>
        <v/>
      </c>
      <c r="F15" s="16" t="n"/>
    </row>
    <row r="16">
      <c r="B16" s="28">
        <f>EDATE('My Debts'!$C$6,8)</f>
        <v/>
      </c>
      <c r="C16" s="15" t="n"/>
      <c r="D16" s="15" t="n"/>
      <c r="E16" s="47">
        <f>IF(OR(C16="",$C$5&lt;=0),"",1-C16/$C$5)</f>
        <v/>
      </c>
      <c r="F16" s="16" t="n"/>
    </row>
    <row r="17">
      <c r="B17" s="28">
        <f>EDATE('My Debts'!$C$6,9)</f>
        <v/>
      </c>
      <c r="C17" s="15" t="n"/>
      <c r="D17" s="15" t="n"/>
      <c r="E17" s="47">
        <f>IF(OR(C17="",$C$5&lt;=0),"",1-C17/$C$5)</f>
        <v/>
      </c>
      <c r="F17" s="16" t="n"/>
    </row>
    <row r="18">
      <c r="B18" s="28">
        <f>EDATE('My Debts'!$C$6,10)</f>
        <v/>
      </c>
      <c r="C18" s="15" t="n"/>
      <c r="D18" s="15" t="n"/>
      <c r="E18" s="47">
        <f>IF(OR(C18="",$C$5&lt;=0),"",1-C18/$C$5)</f>
        <v/>
      </c>
      <c r="F18" s="16" t="n"/>
    </row>
    <row r="19">
      <c r="B19" s="28">
        <f>EDATE('My Debts'!$C$6,11)</f>
        <v/>
      </c>
      <c r="C19" s="15" t="n"/>
      <c r="D19" s="15" t="n"/>
      <c r="E19" s="47">
        <f>IF(OR(C19="",$C$5&lt;=0),"",1-C19/$C$5)</f>
        <v/>
      </c>
      <c r="F19" s="16" t="n"/>
    </row>
    <row r="20">
      <c r="B20" s="28">
        <f>EDATE('My Debts'!$C$6,12)</f>
        <v/>
      </c>
      <c r="C20" s="15" t="n"/>
      <c r="D20" s="15" t="n"/>
      <c r="E20" s="47">
        <f>IF(OR(C20="",$C$5&lt;=0),"",1-C20/$C$5)</f>
        <v/>
      </c>
      <c r="F20" s="16" t="n"/>
    </row>
    <row r="21">
      <c r="B21" s="28">
        <f>EDATE('My Debts'!$C$6,13)</f>
        <v/>
      </c>
      <c r="C21" s="15" t="n"/>
      <c r="D21" s="15" t="n"/>
      <c r="E21" s="47">
        <f>IF(OR(C21="",$C$5&lt;=0),"",1-C21/$C$5)</f>
        <v/>
      </c>
      <c r="F21" s="16" t="n"/>
    </row>
    <row r="22">
      <c r="B22" s="28">
        <f>EDATE('My Debts'!$C$6,14)</f>
        <v/>
      </c>
      <c r="C22" s="15" t="n"/>
      <c r="D22" s="15" t="n"/>
      <c r="E22" s="47">
        <f>IF(OR(C22="",$C$5&lt;=0),"",1-C22/$C$5)</f>
        <v/>
      </c>
      <c r="F22" s="16" t="n"/>
    </row>
    <row r="23">
      <c r="B23" s="28">
        <f>EDATE('My Debts'!$C$6,15)</f>
        <v/>
      </c>
      <c r="C23" s="15" t="n"/>
      <c r="D23" s="15" t="n"/>
      <c r="E23" s="47">
        <f>IF(OR(C23="",$C$5&lt;=0),"",1-C23/$C$5)</f>
        <v/>
      </c>
      <c r="F23" s="16" t="n"/>
    </row>
    <row r="24">
      <c r="B24" s="28">
        <f>EDATE('My Debts'!$C$6,16)</f>
        <v/>
      </c>
      <c r="C24" s="15" t="n"/>
      <c r="D24" s="15" t="n"/>
      <c r="E24" s="47">
        <f>IF(OR(C24="",$C$5&lt;=0),"",1-C24/$C$5)</f>
        <v/>
      </c>
      <c r="F24" s="16" t="n"/>
    </row>
    <row r="25">
      <c r="B25" s="28">
        <f>EDATE('My Debts'!$C$6,17)</f>
        <v/>
      </c>
      <c r="C25" s="15" t="n"/>
      <c r="D25" s="15" t="n"/>
      <c r="E25" s="47">
        <f>IF(OR(C25="",$C$5&lt;=0),"",1-C25/$C$5)</f>
        <v/>
      </c>
      <c r="F25" s="16" t="n"/>
    </row>
    <row r="26">
      <c r="B26" s="28">
        <f>EDATE('My Debts'!$C$6,18)</f>
        <v/>
      </c>
      <c r="C26" s="15" t="n"/>
      <c r="D26" s="15" t="n"/>
      <c r="E26" s="47">
        <f>IF(OR(C26="",$C$5&lt;=0),"",1-C26/$C$5)</f>
        <v/>
      </c>
      <c r="F26" s="16" t="n"/>
    </row>
    <row r="27">
      <c r="B27" s="28">
        <f>EDATE('My Debts'!$C$6,19)</f>
        <v/>
      </c>
      <c r="C27" s="15" t="n"/>
      <c r="D27" s="15" t="n"/>
      <c r="E27" s="47">
        <f>IF(OR(C27="",$C$5&lt;=0),"",1-C27/$C$5)</f>
        <v/>
      </c>
      <c r="F27" s="16" t="n"/>
    </row>
    <row r="28">
      <c r="B28" s="28">
        <f>EDATE('My Debts'!$C$6,20)</f>
        <v/>
      </c>
      <c r="C28" s="15" t="n"/>
      <c r="D28" s="15" t="n"/>
      <c r="E28" s="47">
        <f>IF(OR(C28="",$C$5&lt;=0),"",1-C28/$C$5)</f>
        <v/>
      </c>
      <c r="F28" s="16" t="n"/>
    </row>
    <row r="29">
      <c r="B29" s="28">
        <f>EDATE('My Debts'!$C$6,21)</f>
        <v/>
      </c>
      <c r="C29" s="15" t="n"/>
      <c r="D29" s="15" t="n"/>
      <c r="E29" s="47">
        <f>IF(OR(C29="",$C$5&lt;=0),"",1-C29/$C$5)</f>
        <v/>
      </c>
      <c r="F29" s="16" t="n"/>
    </row>
    <row r="30">
      <c r="B30" s="28">
        <f>EDATE('My Debts'!$C$6,22)</f>
        <v/>
      </c>
      <c r="C30" s="15" t="n"/>
      <c r="D30" s="15" t="n"/>
      <c r="E30" s="47">
        <f>IF(OR(C30="",$C$5&lt;=0),"",1-C30/$C$5)</f>
        <v/>
      </c>
      <c r="F30" s="16" t="n"/>
    </row>
    <row r="31">
      <c r="B31" s="28">
        <f>EDATE('My Debts'!$C$6,23)</f>
        <v/>
      </c>
      <c r="C31" s="15" t="n"/>
      <c r="D31" s="15" t="n"/>
      <c r="E31" s="47">
        <f>IF(OR(C31="",$C$5&lt;=0),"",1-C31/$C$5)</f>
        <v/>
      </c>
      <c r="F31" s="16" t="n"/>
    </row>
    <row r="32">
      <c r="B32" s="28">
        <f>EDATE('My Debts'!$C$6,24)</f>
        <v/>
      </c>
      <c r="C32" s="15" t="n"/>
      <c r="D32" s="15" t="n"/>
      <c r="E32" s="47">
        <f>IF(OR(C32="",$C$5&lt;=0),"",1-C32/$C$5)</f>
        <v/>
      </c>
      <c r="F32" s="16" t="n"/>
    </row>
    <row r="33">
      <c r="B33" s="28">
        <f>EDATE('My Debts'!$C$6,25)</f>
        <v/>
      </c>
      <c r="C33" s="15" t="n"/>
      <c r="D33" s="15" t="n"/>
      <c r="E33" s="47">
        <f>IF(OR(C33="",$C$5&lt;=0),"",1-C33/$C$5)</f>
        <v/>
      </c>
      <c r="F33" s="16" t="n"/>
    </row>
    <row r="34">
      <c r="B34" s="28">
        <f>EDATE('My Debts'!$C$6,26)</f>
        <v/>
      </c>
      <c r="C34" s="15" t="n"/>
      <c r="D34" s="15" t="n"/>
      <c r="E34" s="47">
        <f>IF(OR(C34="",$C$5&lt;=0),"",1-C34/$C$5)</f>
        <v/>
      </c>
      <c r="F34" s="16" t="n"/>
    </row>
    <row r="35">
      <c r="B35" s="28">
        <f>EDATE('My Debts'!$C$6,27)</f>
        <v/>
      </c>
      <c r="C35" s="15" t="n"/>
      <c r="D35" s="15" t="n"/>
      <c r="E35" s="47">
        <f>IF(OR(C35="",$C$5&lt;=0),"",1-C35/$C$5)</f>
        <v/>
      </c>
      <c r="F35" s="16" t="n"/>
    </row>
    <row r="36">
      <c r="B36" s="28">
        <f>EDATE('My Debts'!$C$6,28)</f>
        <v/>
      </c>
      <c r="C36" s="15" t="n"/>
      <c r="D36" s="15" t="n"/>
      <c r="E36" s="47">
        <f>IF(OR(C36="",$C$5&lt;=0),"",1-C36/$C$5)</f>
        <v/>
      </c>
      <c r="F36" s="16" t="n"/>
    </row>
    <row r="37">
      <c r="B37" s="28">
        <f>EDATE('My Debts'!$C$6,29)</f>
        <v/>
      </c>
      <c r="C37" s="15" t="n"/>
      <c r="D37" s="15" t="n"/>
      <c r="E37" s="47">
        <f>IF(OR(C37="",$C$5&lt;=0),"",1-C37/$C$5)</f>
        <v/>
      </c>
      <c r="F37" s="16" t="n"/>
    </row>
    <row r="38">
      <c r="B38" s="28">
        <f>EDATE('My Debts'!$C$6,30)</f>
        <v/>
      </c>
      <c r="C38" s="15" t="n"/>
      <c r="D38" s="15" t="n"/>
      <c r="E38" s="47">
        <f>IF(OR(C38="",$C$5&lt;=0),"",1-C38/$C$5)</f>
        <v/>
      </c>
      <c r="F38" s="16" t="n"/>
    </row>
    <row r="39">
      <c r="B39" s="28">
        <f>EDATE('My Debts'!$C$6,31)</f>
        <v/>
      </c>
      <c r="C39" s="15" t="n"/>
      <c r="D39" s="15" t="n"/>
      <c r="E39" s="47">
        <f>IF(OR(C39="",$C$5&lt;=0),"",1-C39/$C$5)</f>
        <v/>
      </c>
      <c r="F39" s="16" t="n"/>
    </row>
    <row r="40">
      <c r="B40" s="28">
        <f>EDATE('My Debts'!$C$6,32)</f>
        <v/>
      </c>
      <c r="C40" s="15" t="n"/>
      <c r="D40" s="15" t="n"/>
      <c r="E40" s="47">
        <f>IF(OR(C40="",$C$5&lt;=0),"",1-C40/$C$5)</f>
        <v/>
      </c>
      <c r="F40" s="16" t="n"/>
    </row>
    <row r="41">
      <c r="B41" s="28">
        <f>EDATE('My Debts'!$C$6,33)</f>
        <v/>
      </c>
      <c r="C41" s="15" t="n"/>
      <c r="D41" s="15" t="n"/>
      <c r="E41" s="47">
        <f>IF(OR(C41="",$C$5&lt;=0),"",1-C41/$C$5)</f>
        <v/>
      </c>
      <c r="F41" s="16" t="n"/>
    </row>
    <row r="42">
      <c r="B42" s="28">
        <f>EDATE('My Debts'!$C$6,34)</f>
        <v/>
      </c>
      <c r="C42" s="15" t="n"/>
      <c r="D42" s="15" t="n"/>
      <c r="E42" s="47">
        <f>IF(OR(C42="",$C$5&lt;=0),"",1-C42/$C$5)</f>
        <v/>
      </c>
      <c r="F42" s="16" t="n"/>
    </row>
    <row r="43">
      <c r="B43" s="28">
        <f>EDATE('My Debts'!$C$6,35)</f>
        <v/>
      </c>
      <c r="C43" s="15" t="n"/>
      <c r="D43" s="15" t="n"/>
      <c r="E43" s="47">
        <f>IF(OR(C43="",$C$5&lt;=0),"",1-C43/$C$5)</f>
        <v/>
      </c>
      <c r="F43" s="16" t="n"/>
    </row>
    <row r="44">
      <c r="B44" s="28">
        <f>EDATE('My Debts'!$C$6,36)</f>
        <v/>
      </c>
      <c r="C44" s="15" t="n"/>
      <c r="D44" s="15" t="n"/>
      <c r="E44" s="47">
        <f>IF(OR(C44="",$C$5&lt;=0),"",1-C44/$C$5)</f>
        <v/>
      </c>
      <c r="F44" s="16" t="n"/>
    </row>
    <row r="45">
      <c r="B45" s="28">
        <f>EDATE('My Debts'!$C$6,37)</f>
        <v/>
      </c>
      <c r="C45" s="15" t="n"/>
      <c r="D45" s="15" t="n"/>
      <c r="E45" s="47">
        <f>IF(OR(C45="",$C$5&lt;=0),"",1-C45/$C$5)</f>
        <v/>
      </c>
      <c r="F45" s="16" t="n"/>
    </row>
    <row r="46">
      <c r="B46" s="28">
        <f>EDATE('My Debts'!$C$6,38)</f>
        <v/>
      </c>
      <c r="C46" s="15" t="n"/>
      <c r="D46" s="15" t="n"/>
      <c r="E46" s="47">
        <f>IF(OR(C46="",$C$5&lt;=0),"",1-C46/$C$5)</f>
        <v/>
      </c>
      <c r="F46" s="16" t="n"/>
    </row>
    <row r="47">
      <c r="B47" s="28">
        <f>EDATE('My Debts'!$C$6,39)</f>
        <v/>
      </c>
      <c r="C47" s="15" t="n"/>
      <c r="D47" s="15" t="n"/>
      <c r="E47" s="47">
        <f>IF(OR(C47="",$C$5&lt;=0),"",1-C47/$C$5)</f>
        <v/>
      </c>
      <c r="F47" s="16" t="n"/>
    </row>
    <row r="48">
      <c r="B48" s="28">
        <f>EDATE('My Debts'!$C$6,40)</f>
        <v/>
      </c>
      <c r="C48" s="15" t="n"/>
      <c r="D48" s="15" t="n"/>
      <c r="E48" s="47">
        <f>IF(OR(C48="",$C$5&lt;=0),"",1-C48/$C$5)</f>
        <v/>
      </c>
      <c r="F48" s="16" t="n"/>
    </row>
    <row r="49">
      <c r="B49" s="28">
        <f>EDATE('My Debts'!$C$6,41)</f>
        <v/>
      </c>
      <c r="C49" s="15" t="n"/>
      <c r="D49" s="15" t="n"/>
      <c r="E49" s="47">
        <f>IF(OR(C49="",$C$5&lt;=0),"",1-C49/$C$5)</f>
        <v/>
      </c>
      <c r="F49" s="16" t="n"/>
    </row>
    <row r="50">
      <c r="B50" s="28">
        <f>EDATE('My Debts'!$C$6,42)</f>
        <v/>
      </c>
      <c r="C50" s="15" t="n"/>
      <c r="D50" s="15" t="n"/>
      <c r="E50" s="47">
        <f>IF(OR(C50="",$C$5&lt;=0),"",1-C50/$C$5)</f>
        <v/>
      </c>
      <c r="F50" s="16" t="n"/>
    </row>
    <row r="51">
      <c r="B51" s="28">
        <f>EDATE('My Debts'!$C$6,43)</f>
        <v/>
      </c>
      <c r="C51" s="15" t="n"/>
      <c r="D51" s="15" t="n"/>
      <c r="E51" s="47">
        <f>IF(OR(C51="",$C$5&lt;=0),"",1-C51/$C$5)</f>
        <v/>
      </c>
      <c r="F51" s="16" t="n"/>
    </row>
    <row r="52">
      <c r="B52" s="28">
        <f>EDATE('My Debts'!$C$6,44)</f>
        <v/>
      </c>
      <c r="C52" s="15" t="n"/>
      <c r="D52" s="15" t="n"/>
      <c r="E52" s="47">
        <f>IF(OR(C52="",$C$5&lt;=0),"",1-C52/$C$5)</f>
        <v/>
      </c>
      <c r="F52" s="16" t="n"/>
    </row>
    <row r="53">
      <c r="B53" s="28">
        <f>EDATE('My Debts'!$C$6,45)</f>
        <v/>
      </c>
      <c r="C53" s="15" t="n"/>
      <c r="D53" s="15" t="n"/>
      <c r="E53" s="47">
        <f>IF(OR(C53="",$C$5&lt;=0),"",1-C53/$C$5)</f>
        <v/>
      </c>
      <c r="F53" s="16" t="n"/>
    </row>
    <row r="54">
      <c r="B54" s="28">
        <f>EDATE('My Debts'!$C$6,46)</f>
        <v/>
      </c>
      <c r="C54" s="15" t="n"/>
      <c r="D54" s="15" t="n"/>
      <c r="E54" s="47">
        <f>IF(OR(C54="",$C$5&lt;=0),"",1-C54/$C$5)</f>
        <v/>
      </c>
      <c r="F54" s="16" t="n"/>
    </row>
    <row r="55">
      <c r="B55" s="28">
        <f>EDATE('My Debts'!$C$6,47)</f>
        <v/>
      </c>
      <c r="C55" s="15" t="n"/>
      <c r="D55" s="15" t="n"/>
      <c r="E55" s="47">
        <f>IF(OR(C55="",$C$5&lt;=0),"",1-C55/$C$5)</f>
        <v/>
      </c>
      <c r="F55" s="16" t="n"/>
    </row>
    <row r="56">
      <c r="B56" s="28">
        <f>EDATE('My Debts'!$C$6,48)</f>
        <v/>
      </c>
      <c r="C56" s="15" t="n"/>
      <c r="D56" s="15" t="n"/>
      <c r="E56" s="47">
        <f>IF(OR(C56="",$C$5&lt;=0),"",1-C56/$C$5)</f>
        <v/>
      </c>
      <c r="F56" s="16" t="n"/>
    </row>
    <row r="57">
      <c r="B57" s="28">
        <f>EDATE('My Debts'!$C$6,49)</f>
        <v/>
      </c>
      <c r="C57" s="15" t="n"/>
      <c r="D57" s="15" t="n"/>
      <c r="E57" s="47">
        <f>IF(OR(C57="",$C$5&lt;=0),"",1-C57/$C$5)</f>
        <v/>
      </c>
      <c r="F57" s="16" t="n"/>
    </row>
    <row r="58">
      <c r="B58" s="28">
        <f>EDATE('My Debts'!$C$6,50)</f>
        <v/>
      </c>
      <c r="C58" s="15" t="n"/>
      <c r="D58" s="15" t="n"/>
      <c r="E58" s="47">
        <f>IF(OR(C58="",$C$5&lt;=0),"",1-C58/$C$5)</f>
        <v/>
      </c>
      <c r="F58" s="16" t="n"/>
    </row>
    <row r="59">
      <c r="B59" s="28">
        <f>EDATE('My Debts'!$C$6,51)</f>
        <v/>
      </c>
      <c r="C59" s="15" t="n"/>
      <c r="D59" s="15" t="n"/>
      <c r="E59" s="47">
        <f>IF(OR(C59="",$C$5&lt;=0),"",1-C59/$C$5)</f>
        <v/>
      </c>
      <c r="F59" s="16" t="n"/>
    </row>
    <row r="60">
      <c r="B60" s="28">
        <f>EDATE('My Debts'!$C$6,52)</f>
        <v/>
      </c>
      <c r="C60" s="15" t="n"/>
      <c r="D60" s="15" t="n"/>
      <c r="E60" s="47">
        <f>IF(OR(C60="",$C$5&lt;=0),"",1-C60/$C$5)</f>
        <v/>
      </c>
      <c r="F60" s="16" t="n"/>
    </row>
    <row r="61">
      <c r="B61" s="28">
        <f>EDATE('My Debts'!$C$6,53)</f>
        <v/>
      </c>
      <c r="C61" s="15" t="n"/>
      <c r="D61" s="15" t="n"/>
      <c r="E61" s="47">
        <f>IF(OR(C61="",$C$5&lt;=0),"",1-C61/$C$5)</f>
        <v/>
      </c>
      <c r="F61" s="16" t="n"/>
    </row>
    <row r="62">
      <c r="B62" s="28">
        <f>EDATE('My Debts'!$C$6,54)</f>
        <v/>
      </c>
      <c r="C62" s="15" t="n"/>
      <c r="D62" s="15" t="n"/>
      <c r="E62" s="47">
        <f>IF(OR(C62="",$C$5&lt;=0),"",1-C62/$C$5)</f>
        <v/>
      </c>
      <c r="F62" s="16" t="n"/>
    </row>
    <row r="63">
      <c r="B63" s="28">
        <f>EDATE('My Debts'!$C$6,55)</f>
        <v/>
      </c>
      <c r="C63" s="15" t="n"/>
      <c r="D63" s="15" t="n"/>
      <c r="E63" s="47">
        <f>IF(OR(C63="",$C$5&lt;=0),"",1-C63/$C$5)</f>
        <v/>
      </c>
      <c r="F63" s="16" t="n"/>
    </row>
    <row r="64">
      <c r="B64" s="28">
        <f>EDATE('My Debts'!$C$6,56)</f>
        <v/>
      </c>
      <c r="C64" s="15" t="n"/>
      <c r="D64" s="15" t="n"/>
      <c r="E64" s="47">
        <f>IF(OR(C64="",$C$5&lt;=0),"",1-C64/$C$5)</f>
        <v/>
      </c>
      <c r="F64" s="16" t="n"/>
    </row>
    <row r="65">
      <c r="B65" s="28">
        <f>EDATE('My Debts'!$C$6,57)</f>
        <v/>
      </c>
      <c r="C65" s="15" t="n"/>
      <c r="D65" s="15" t="n"/>
      <c r="E65" s="47">
        <f>IF(OR(C65="",$C$5&lt;=0),"",1-C65/$C$5)</f>
        <v/>
      </c>
      <c r="F65" s="16" t="n"/>
    </row>
    <row r="66">
      <c r="B66" s="28">
        <f>EDATE('My Debts'!$C$6,58)</f>
        <v/>
      </c>
      <c r="C66" s="15" t="n"/>
      <c r="D66" s="15" t="n"/>
      <c r="E66" s="47">
        <f>IF(OR(C66="",$C$5&lt;=0),"",1-C66/$C$5)</f>
        <v/>
      </c>
      <c r="F66" s="16" t="n"/>
    </row>
    <row r="67">
      <c r="B67" s="28">
        <f>EDATE('My Debts'!$C$6,59)</f>
        <v/>
      </c>
      <c r="C67" s="15" t="n"/>
      <c r="D67" s="15" t="n"/>
      <c r="E67" s="47">
        <f>IF(OR(C67="",$C$5&lt;=0),"",1-C67/$C$5)</f>
        <v/>
      </c>
      <c r="F67" s="16" t="n"/>
    </row>
  </sheetData>
  <conditionalFormatting sqref="E8:E67">
    <cfRule type="dataBar" priority="1">
      <dataBar>
        <cfvo type="num" val="0"/>
        <cfvo type="num" val="1"/>
        <color rgb="003F6E8C"/>
      </dataBar>
    </cfRule>
  </conditionalFormatting>
  <printOptions horizontalCentered="1"/>
  <pageMargins left="0.4" right="0.4" top="0.5" bottom="0.5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2026-09-25T05:44:51Z</dcterms:created>
  <dcterms:modified xsi:type="dcterms:W3CDTF">2026-09-25T05:44:53Z</dcterms:modified>
</cp:coreProperties>
</file>