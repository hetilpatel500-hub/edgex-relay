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y Debts" sheetId="2" state="visible" r:id="rId2"/>
    <sheet xmlns:r="http://schemas.openxmlformats.org/officeDocument/2006/relationships" name="Compare" sheetId="3" state="visible" r:id="rId3"/>
    <sheet xmlns:r="http://schemas.openxmlformats.org/officeDocument/2006/relationships" name="Snowball" sheetId="4" state="visible" r:id="rId4"/>
    <sheet xmlns:r="http://schemas.openxmlformats.org/officeDocument/2006/relationships" name="Avalanche" sheetId="5" state="visible" r:id="rId5"/>
    <sheet xmlns:r="http://schemas.openxmlformats.org/officeDocument/2006/relationships" name="Minimum Only" sheetId="6" state="visible" r:id="rId6"/>
    <sheet xmlns:r="http://schemas.openxmlformats.org/officeDocument/2006/relationships" name="Progress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yyyy"/>
    <numFmt numFmtId="166" formatCode="&quot;$&quot;#,##0.00"/>
    <numFmt numFmtId="167" formatCode="&quot;$&quot;#,##0"/>
  </numFmts>
  <fonts count="19">
    <font>
      <name val="Calibri"/>
      <family val="2"/>
      <color theme="1"/>
      <sz val="11"/>
      <scheme val="minor"/>
    </font>
    <font>
      <name val="Georgia"/>
      <b val="1"/>
      <color rgb="0026313B"/>
      <sz val="20"/>
    </font>
    <font>
      <name val="Arial"/>
      <color rgb="006B7580"/>
      <sz val="10"/>
    </font>
    <font>
      <name val="Arial"/>
      <b val="1"/>
      <color rgb="003F6E8C"/>
      <sz val="9"/>
    </font>
    <font>
      <name val="Arial"/>
      <b val="1"/>
      <color rgb="006B7580"/>
      <sz val="9"/>
    </font>
    <font>
      <name val="Arial"/>
      <color rgb="0026313B"/>
      <sz val="10"/>
    </font>
    <font>
      <name val="Arial"/>
      <color rgb="006B7580"/>
      <sz val="9"/>
    </font>
    <font>
      <name val="Arial"/>
      <b val="1"/>
      <color rgb="00FFFFFF"/>
      <sz val="9"/>
    </font>
    <font>
      <name val="Arial"/>
      <b val="1"/>
      <color rgb="0026313B"/>
      <sz val="9"/>
    </font>
    <font>
      <name val="Arial"/>
      <b val="1"/>
      <color rgb="0026313B"/>
      <sz val="10"/>
    </font>
    <font>
      <name val="Arial"/>
      <b val="1"/>
      <color rgb="006B7580"/>
      <sz val="8"/>
    </font>
    <font>
      <name val="Georgia"/>
      <b val="1"/>
      <color rgb="0026313B"/>
      <sz val="18"/>
    </font>
    <font>
      <name val="Arial"/>
      <i val="1"/>
      <color rgb="006B7580"/>
      <sz val="9"/>
    </font>
    <font>
      <name val="Arial"/>
      <b val="1"/>
      <color rgb="003F6E8C"/>
      <sz val="10"/>
    </font>
    <font>
      <name val="Arial"/>
      <color rgb="0026313B"/>
      <sz val="9"/>
    </font>
    <font>
      <name val="Georgia"/>
      <b val="1"/>
      <color rgb="0026313B"/>
      <sz val="24"/>
    </font>
    <font>
      <name val="Arial"/>
      <color rgb="006B7580"/>
      <sz val="11"/>
    </font>
    <font>
      <name val="Georgia"/>
      <b val="1"/>
      <color rgb="003F6E8C"/>
      <sz val="12"/>
    </font>
    <font>
      <name val="Arial"/>
      <color rgb="0026313B"/>
      <sz val="10.5"/>
    </font>
  </fonts>
  <fills count="5">
    <fill>
      <patternFill/>
    </fill>
    <fill>
      <patternFill patternType="gray125"/>
    </fill>
    <fill>
      <patternFill patternType="solid">
        <fgColor rgb="00FFF8E8"/>
        <bgColor rgb="00FFF8E8"/>
      </patternFill>
    </fill>
    <fill>
      <patternFill patternType="solid">
        <fgColor rgb="003F6E8C"/>
        <bgColor rgb="003F6E8C"/>
      </patternFill>
    </fill>
    <fill>
      <patternFill patternType="solid">
        <fgColor rgb="00F0F3F6"/>
        <bgColor rgb="00F0F3F6"/>
      </patternFill>
    </fill>
  </fills>
  <borders count="3">
    <border>
      <left/>
      <right/>
      <top/>
      <bottom/>
      <diagonal/>
    </border>
    <border>
      <top style="medium">
        <color rgb="003F6E8C"/>
      </top>
    </border>
    <border>
      <left style="thin">
        <color rgb="00D9DEE2"/>
      </left>
      <right style="thin">
        <color rgb="00D9DEE2"/>
      </right>
      <top style="thin">
        <color rgb="00D9DEE2"/>
      </top>
      <bottom style="thin">
        <color rgb="00D9DEE2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3" fillId="0" borderId="0" pivotButton="0" quotePrefix="0" xfId="0"/>
    <xf numFmtId="0" fontId="17" fillId="0" borderId="0" applyAlignment="1" pivotButton="0" quotePrefix="0" xfId="0">
      <alignment horizontal="center" vertical="top"/>
    </xf>
    <xf numFmtId="0" fontId="18" fillId="0" borderId="0" applyAlignment="1" pivotButton="0" quotePrefix="0" xfId="0">
      <alignment vertical="top" wrapText="1"/>
    </xf>
    <xf numFmtId="0" fontId="0" fillId="2" borderId="2" pivotButton="0" quotePrefix="0" xfId="0"/>
    <xf numFmtId="0" fontId="18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4" fillId="0" borderId="0" applyAlignment="1" pivotButton="0" quotePrefix="0" xfId="0">
      <alignment vertical="center"/>
    </xf>
    <xf numFmtId="165" fontId="5" fillId="2" borderId="2" applyAlignment="1" pivotButton="0" quotePrefix="0" xfId="0">
      <alignment vertical="center"/>
    </xf>
    <xf numFmtId="0" fontId="6" fillId="0" borderId="0" pivotButton="0" quotePrefix="0" xfId="0"/>
    <xf numFmtId="166" fontId="5" fillId="2" borderId="2" applyAlignment="1" pivotButton="0" quotePrefix="0" xfId="0">
      <alignment vertical="center"/>
    </xf>
    <xf numFmtId="0" fontId="5" fillId="2" borderId="2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2" fontId="5" fillId="2" borderId="2" applyAlignment="1" pivotButton="0" quotePrefix="0" xfId="0">
      <alignment vertical="center"/>
    </xf>
    <xf numFmtId="1" fontId="5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6" fontId="9" fillId="4" borderId="2" applyAlignment="1" pivotButton="0" quotePrefix="0" xfId="0">
      <alignment vertical="center"/>
    </xf>
    <xf numFmtId="0" fontId="10" fillId="4" borderId="0" applyAlignment="1" pivotButton="0" quotePrefix="0" xfId="0">
      <alignment horizontal="left" vertical="center" indent="1"/>
    </xf>
    <xf numFmtId="165" fontId="11" fillId="4" borderId="0" applyAlignment="1" pivotButton="0" quotePrefix="0" xfId="0">
      <alignment horizontal="left" vertical="center" indent="1"/>
    </xf>
    <xf numFmtId="1" fontId="11" fillId="4" borderId="0" applyAlignment="1" pivotButton="0" quotePrefix="0" xfId="0">
      <alignment horizontal="left" vertical="center" indent="1"/>
    </xf>
    <xf numFmtId="167" fontId="11" fillId="4" borderId="0" applyAlignment="1" pivotButton="0" quotePrefix="0" xfId="0">
      <alignment horizontal="left" vertical="center" indent="1"/>
    </xf>
    <xf numFmtId="0" fontId="12" fillId="0" borderId="0" pivotButton="0" quotePrefix="0" xfId="0"/>
    <xf numFmtId="0" fontId="9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165" fontId="5" fillId="4" borderId="2" applyAlignment="1" pivotButton="0" quotePrefix="0" xfId="0">
      <alignment vertical="center"/>
    </xf>
    <xf numFmtId="1" fontId="5" fillId="4" borderId="2" applyAlignment="1" pivotButton="0" quotePrefix="0" xfId="0">
      <alignment vertical="center"/>
    </xf>
    <xf numFmtId="166" fontId="5" fillId="4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1" fontId="5" fillId="4" borderId="2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/>
    </xf>
    <xf numFmtId="1" fontId="14" fillId="0" borderId="0" pivotButton="0" quotePrefix="0" xfId="0"/>
    <xf numFmtId="165" fontId="14" fillId="0" borderId="0" pivotButton="0" quotePrefix="0" xfId="0"/>
    <xf numFmtId="166" fontId="8" fillId="0" borderId="0" pivotButton="0" quotePrefix="0" xfId="0"/>
    <xf numFmtId="166" fontId="14" fillId="0" borderId="0" pivotButton="0" quotePrefix="0" xfId="0"/>
    <xf numFmtId="1" fontId="14" fillId="4" borderId="0" pivotButton="0" quotePrefix="0" xfId="0"/>
    <xf numFmtId="165" fontId="14" fillId="4" borderId="0" pivotButton="0" quotePrefix="0" xfId="0"/>
    <xf numFmtId="166" fontId="8" fillId="4" borderId="0" pivotButton="0" quotePrefix="0" xfId="0"/>
    <xf numFmtId="166" fontId="14" fillId="4" borderId="0" pivotButton="0" quotePrefix="0" xfId="0"/>
    <xf numFmtId="9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color rgb="00B8BEC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owed over time</a:t>
            </a:r>
          </a:p>
        </rich>
      </tx>
    </title>
    <plotArea>
      <lineChart>
        <grouping val="standard"/>
        <ser>
          <idx val="0"/>
          <order val="0"/>
          <tx>
            <v>Snowball</v>
          </tx>
          <spPr>
            <a:ln xmlns:a="http://schemas.openxmlformats.org/drawingml/2006/main">
              <a:solidFill>
                <a:srgbClr val="3F6E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'Snowball'!$C$8:$C$187</f>
            </numRef>
          </val>
          <smooth val="0"/>
        </ser>
        <ser>
          <idx val="1"/>
          <order val="1"/>
          <tx>
            <v>Avalanche</v>
          </tx>
          <spPr>
            <a:ln xmlns:a="http://schemas.openxmlformats.org/drawingml/2006/main">
              <a:solidFill>
                <a:srgbClr val="C7823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'Avalanche'!$C$8:$C$187</f>
            </numRef>
          </val>
          <smooth val="0"/>
        </ser>
        <ser>
          <idx val="2"/>
          <order val="2"/>
          <tx>
            <v>Minimums only</v>
          </tx>
          <spPr>
            <a:ln xmlns:a="http://schemas.openxmlformats.org/drawingml/2006/main">
              <a:solidFill>
                <a:srgbClr val="A9B1B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'Minimum Only'!$C$8:$C$187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  <tickLblSkip val="1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owed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26</row>
      <rowOff>0</rowOff>
    </from>
    <ext cx="79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3F6E8C"/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90" customWidth="1" min="3" max="3"/>
    <col width="3" customWidth="1" min="4" max="4"/>
  </cols>
  <sheetData>
    <row r="1" ht="14" customHeight="1"/>
    <row r="2" ht="40" customHeight="1">
      <c r="C2" s="1" t="inlineStr">
        <is>
          <t>Debt Payoff Planner</t>
        </is>
      </c>
    </row>
    <row r="3" ht="48" customHeight="1">
      <c r="C3" s="2" t="inlineStr">
        <is>
          <t>See exactly when you will be debt-free, and compare the snowball and avalanche methods side by side. Works in Microsoft Excel and Google Sheets.</t>
        </is>
      </c>
    </row>
    <row r="5">
      <c r="C5" s="3" t="inlineStr">
        <is>
          <t>HOW TO USE IT</t>
        </is>
      </c>
    </row>
    <row r="6" ht="20" customHeight="1">
      <c r="B6" s="4" t="n">
        <v>1</v>
      </c>
      <c r="C6" s="5" t="inlineStr">
        <is>
          <t>Go to My Debts. Type each debt's name, balance, APR and minimum payment (up to 10 debts).</t>
        </is>
      </c>
    </row>
    <row r="7" ht="36" customHeight="1">
      <c r="B7" s="4" t="n">
        <v>2</v>
      </c>
      <c r="C7" s="5" t="inlineStr">
        <is>
          <t>Enter the first month of your plan and any extra amount you can pay each month on top of the minimums.</t>
        </is>
      </c>
    </row>
    <row r="8" ht="20" customHeight="1">
      <c r="B8" s="4" t="n">
        <v>3</v>
      </c>
      <c r="C8" s="5" t="inlineStr">
        <is>
          <t>Open Compare to see your debt-free date, total interest and payoff order for each method.</t>
        </is>
      </c>
    </row>
    <row r="9" ht="36" customHeight="1">
      <c r="B9" s="4" t="n">
        <v>4</v>
      </c>
      <c r="C9" s="5" t="inlineStr">
        <is>
          <t>Pick Snowball or Avalanche on My Debts. Pay your monthly debt budget every month, following the payoff order.</t>
        </is>
      </c>
    </row>
    <row r="10" ht="20" customHeight="1">
      <c r="B10" s="4" t="n">
        <v>5</v>
      </c>
      <c r="C10" s="5" t="inlineStr">
        <is>
          <t>Each month, log what you really owe on Progress Log.</t>
        </is>
      </c>
    </row>
    <row r="11" ht="36" customHeight="1">
      <c r="B11" s="4" t="n">
        <v>6</v>
      </c>
      <c r="C11" s="5" t="inlineStr">
        <is>
          <t>Want the detail? The Snowball, Avalanche and Minimum Only tabs show every month for up to 25 years.</t>
        </is>
      </c>
    </row>
    <row r="13">
      <c r="C13" s="3" t="inlineStr">
        <is>
          <t>CELL COLOURS</t>
        </is>
      </c>
    </row>
    <row r="14">
      <c r="B14" s="6" t="n"/>
      <c r="C14" s="7" t="inlineStr">
        <is>
          <t>Cream cells are for typing. Everything else calculates on its own.</t>
        </is>
      </c>
    </row>
    <row r="16">
      <c r="C16" s="3" t="inlineStr">
        <is>
          <t>GOOD TO KNOW</t>
        </is>
      </c>
    </row>
    <row r="17" ht="19" customHeight="1">
      <c r="C17" s="8" t="inlineStr">
        <is>
          <t>Google Sheets: File &gt; Import &gt; Upload, or upload to Google Drive and open with Google Sheets.</t>
        </is>
      </c>
    </row>
    <row r="18" ht="19" customHeight="1">
      <c r="C18" s="8" t="inlineStr">
        <is>
          <t>Type APR as a plain number, e.g. 22.99 for 22.99%.</t>
        </is>
      </c>
    </row>
    <row r="19" ht="34" customHeight="1">
      <c r="C19" s="8" t="inlineStr">
        <is>
          <t>Interest is estimated monthly (balance x APR / 12). Your lender may calculate it daily, so their numbers will be a little different.</t>
        </is>
      </c>
    </row>
    <row r="20" ht="19" customHeight="1">
      <c r="C20" s="8" t="inlineStr">
        <is>
          <t>This is a planning tool, not financial advice. Check payoff amounts with your lender.</t>
        </is>
      </c>
    </row>
    <row r="21" ht="34" customHeight="1">
      <c r="C21" s="8" t="inlineStr">
        <is>
          <t>Please do not change the white formula cells. If something breaks, re-download your original file from Etsy (Purchases &gt; Download files).</t>
        </is>
      </c>
    </row>
  </sheetData>
  <printOptions horizontalCentered="1"/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3F6E8C"/>
    <outlinePr summaryBelow="1" summaryRight="1"/>
    <pageSetUpPr fitToPage="1"/>
  </sheetPr>
  <dimension ref="B2:K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2" customWidth="1" min="4" max="4"/>
    <col width="16" customWidth="1" min="5" max="5"/>
    <col width="13" customWidth="1" min="6" max="6"/>
    <col width="13" customWidth="1" min="7" max="7"/>
    <col hidden="1" width="3" customWidth="1" min="8" max="8"/>
    <col hidden="1" width="3" customWidth="1" min="9" max="9"/>
    <col hidden="1" width="3" customWidth="1" min="10" max="10"/>
    <col hidden="1" width="3" customWidth="1" min="11" max="11"/>
  </cols>
  <sheetData>
    <row r="1" ht="10" customHeight="1"/>
    <row r="2" ht="32" customHeight="1">
      <c r="B2" s="9" t="inlineStr">
        <is>
          <t>My Debts</t>
        </is>
      </c>
    </row>
    <row r="3">
      <c r="B3" s="10" t="inlineStr">
        <is>
          <t>List every debt once. Everything else in this file updates from this page.</t>
        </is>
      </c>
    </row>
    <row r="4" ht="8" customHeight="1">
      <c r="B4" s="11" t="n"/>
      <c r="C4" s="11" t="n"/>
      <c r="D4" s="11" t="n"/>
      <c r="E4" s="11" t="n"/>
      <c r="F4" s="11" t="n"/>
      <c r="G4" s="11" t="n"/>
    </row>
    <row r="5">
      <c r="B5" s="3" t="inlineStr">
        <is>
          <t>YOUR PLAN SETTINGS</t>
        </is>
      </c>
    </row>
    <row r="6">
      <c r="B6" s="12" t="inlineStr">
        <is>
          <t>First month of your plan</t>
        </is>
      </c>
      <c r="C6" s="13" t="n">
        <v>46296</v>
      </c>
      <c r="D6" s="14" t="inlineStr">
        <is>
          <t>Pick the 1st of the month you start.</t>
        </is>
      </c>
    </row>
    <row r="7">
      <c r="B7" s="12" t="inlineStr">
        <is>
          <t>Extra you can pay each month</t>
        </is>
      </c>
      <c r="C7" s="15" t="n">
        <v>0</v>
      </c>
      <c r="D7" s="14" t="inlineStr">
        <is>
          <t>On top of your minimum payments. Can be $0.</t>
        </is>
      </c>
    </row>
    <row r="8">
      <c r="B8" s="12" t="inlineStr">
        <is>
          <t>Method you will follow</t>
        </is>
      </c>
      <c r="C8" s="16" t="inlineStr">
        <is>
          <t>Snowball</t>
        </is>
      </c>
      <c r="D8" s="14" t="inlineStr">
        <is>
          <t>Not sure? See the Compare tab.</t>
        </is>
      </c>
    </row>
    <row r="9" ht="30" customHeight="1">
      <c r="B9" s="17" t="inlineStr">
        <is>
          <t>Debt name</t>
        </is>
      </c>
      <c r="C9" s="17" t="inlineStr">
        <is>
          <t>Balance now</t>
        </is>
      </c>
      <c r="D9" s="17" t="inlineStr">
        <is>
          <t>APR (%)</t>
        </is>
      </c>
      <c r="E9" s="17" t="inlineStr">
        <is>
          <t>Minimum payment</t>
        </is>
      </c>
      <c r="F9" s="17" t="inlineStr">
        <is>
          <t>Snowball order</t>
        </is>
      </c>
      <c r="G9" s="17" t="inlineStr">
        <is>
          <t>Avalanche order</t>
        </is>
      </c>
    </row>
    <row r="10">
      <c r="B10" s="16" t="n"/>
      <c r="C10" s="15" t="n"/>
      <c r="D10" s="18" t="n"/>
      <c r="E10" s="15" t="n"/>
      <c r="F10" s="19">
        <f>IF(OR(B10="",N(C10)&lt;=0),"",J10)</f>
        <v/>
      </c>
      <c r="G10" s="19">
        <f>IF(OR(B10="",N(C10)&lt;=0),"",K10)</f>
        <v/>
      </c>
      <c r="H10">
        <f>IF(OR(B10="",N(C10)&lt;=0),1E9+ROW(),C10+ROW()/1E6)</f>
        <v/>
      </c>
      <c r="I10">
        <f>IF(OR(B10="",N(C10)&lt;=0),1E9+ROW(),-N(D10)+ROW()/1E6)</f>
        <v/>
      </c>
      <c r="J10">
        <f>RANK(H10,$H$10:$H$19,1)</f>
        <v/>
      </c>
      <c r="K10">
        <f>RANK(I10,$I$10:$I$19,1)</f>
        <v/>
      </c>
    </row>
    <row r="11">
      <c r="B11" s="16" t="n"/>
      <c r="C11" s="15" t="n"/>
      <c r="D11" s="18" t="n"/>
      <c r="E11" s="15" t="n"/>
      <c r="F11" s="19">
        <f>IF(OR(B11="",N(C11)&lt;=0),"",J11)</f>
        <v/>
      </c>
      <c r="G11" s="19">
        <f>IF(OR(B11="",N(C11)&lt;=0),"",K11)</f>
        <v/>
      </c>
      <c r="H11">
        <f>IF(OR(B11="",N(C11)&lt;=0),1E9+ROW(),C11+ROW()/1E6)</f>
        <v/>
      </c>
      <c r="I11">
        <f>IF(OR(B11="",N(C11)&lt;=0),1E9+ROW(),-N(D11)+ROW()/1E6)</f>
        <v/>
      </c>
      <c r="J11">
        <f>RANK(H11,$H$10:$H$19,1)</f>
        <v/>
      </c>
      <c r="K11">
        <f>RANK(I11,$I$10:$I$19,1)</f>
        <v/>
      </c>
    </row>
    <row r="12">
      <c r="B12" s="16" t="n"/>
      <c r="C12" s="15" t="n"/>
      <c r="D12" s="18" t="n"/>
      <c r="E12" s="15" t="n"/>
      <c r="F12" s="19">
        <f>IF(OR(B12="",N(C12)&lt;=0),"",J12)</f>
        <v/>
      </c>
      <c r="G12" s="19">
        <f>IF(OR(B12="",N(C12)&lt;=0),"",K12)</f>
        <v/>
      </c>
      <c r="H12">
        <f>IF(OR(B12="",N(C12)&lt;=0),1E9+ROW(),C12+ROW()/1E6)</f>
        <v/>
      </c>
      <c r="I12">
        <f>IF(OR(B12="",N(C12)&lt;=0),1E9+ROW(),-N(D12)+ROW()/1E6)</f>
        <v/>
      </c>
      <c r="J12">
        <f>RANK(H12,$H$10:$H$19,1)</f>
        <v/>
      </c>
      <c r="K12">
        <f>RANK(I12,$I$10:$I$19,1)</f>
        <v/>
      </c>
    </row>
    <row r="13">
      <c r="B13" s="16" t="n"/>
      <c r="C13" s="15" t="n"/>
      <c r="D13" s="18" t="n"/>
      <c r="E13" s="15" t="n"/>
      <c r="F13" s="19">
        <f>IF(OR(B13="",N(C13)&lt;=0),"",J13)</f>
        <v/>
      </c>
      <c r="G13" s="19">
        <f>IF(OR(B13="",N(C13)&lt;=0),"",K13)</f>
        <v/>
      </c>
      <c r="H13">
        <f>IF(OR(B13="",N(C13)&lt;=0),1E9+ROW(),C13+ROW()/1E6)</f>
        <v/>
      </c>
      <c r="I13">
        <f>IF(OR(B13="",N(C13)&lt;=0),1E9+ROW(),-N(D13)+ROW()/1E6)</f>
        <v/>
      </c>
      <c r="J13">
        <f>RANK(H13,$H$10:$H$19,1)</f>
        <v/>
      </c>
      <c r="K13">
        <f>RANK(I13,$I$10:$I$19,1)</f>
        <v/>
      </c>
    </row>
    <row r="14">
      <c r="B14" s="16" t="n"/>
      <c r="C14" s="15" t="n"/>
      <c r="D14" s="18" t="n"/>
      <c r="E14" s="15" t="n"/>
      <c r="F14" s="19">
        <f>IF(OR(B14="",N(C14)&lt;=0),"",J14)</f>
        <v/>
      </c>
      <c r="G14" s="19">
        <f>IF(OR(B14="",N(C14)&lt;=0),"",K14)</f>
        <v/>
      </c>
      <c r="H14">
        <f>IF(OR(B14="",N(C14)&lt;=0),1E9+ROW(),C14+ROW()/1E6)</f>
        <v/>
      </c>
      <c r="I14">
        <f>IF(OR(B14="",N(C14)&lt;=0),1E9+ROW(),-N(D14)+ROW()/1E6)</f>
        <v/>
      </c>
      <c r="J14">
        <f>RANK(H14,$H$10:$H$19,1)</f>
        <v/>
      </c>
      <c r="K14">
        <f>RANK(I14,$I$10:$I$19,1)</f>
        <v/>
      </c>
    </row>
    <row r="15">
      <c r="B15" s="16" t="n"/>
      <c r="C15" s="15" t="n"/>
      <c r="D15" s="18" t="n"/>
      <c r="E15" s="15" t="n"/>
      <c r="F15" s="19">
        <f>IF(OR(B15="",N(C15)&lt;=0),"",J15)</f>
        <v/>
      </c>
      <c r="G15" s="19">
        <f>IF(OR(B15="",N(C15)&lt;=0),"",K15)</f>
        <v/>
      </c>
      <c r="H15">
        <f>IF(OR(B15="",N(C15)&lt;=0),1E9+ROW(),C15+ROW()/1E6)</f>
        <v/>
      </c>
      <c r="I15">
        <f>IF(OR(B15="",N(C15)&lt;=0),1E9+ROW(),-N(D15)+ROW()/1E6)</f>
        <v/>
      </c>
      <c r="J15">
        <f>RANK(H15,$H$10:$H$19,1)</f>
        <v/>
      </c>
      <c r="K15">
        <f>RANK(I15,$I$10:$I$19,1)</f>
        <v/>
      </c>
    </row>
    <row r="16">
      <c r="B16" s="16" t="n"/>
      <c r="C16" s="15" t="n"/>
      <c r="D16" s="18" t="n"/>
      <c r="E16" s="15" t="n"/>
      <c r="F16" s="19">
        <f>IF(OR(B16="",N(C16)&lt;=0),"",J16)</f>
        <v/>
      </c>
      <c r="G16" s="19">
        <f>IF(OR(B16="",N(C16)&lt;=0),"",K16)</f>
        <v/>
      </c>
      <c r="H16">
        <f>IF(OR(B16="",N(C16)&lt;=0),1E9+ROW(),C16+ROW()/1E6)</f>
        <v/>
      </c>
      <c r="I16">
        <f>IF(OR(B16="",N(C16)&lt;=0),1E9+ROW(),-N(D16)+ROW()/1E6)</f>
        <v/>
      </c>
      <c r="J16">
        <f>RANK(H16,$H$10:$H$19,1)</f>
        <v/>
      </c>
      <c r="K16">
        <f>RANK(I16,$I$10:$I$19,1)</f>
        <v/>
      </c>
    </row>
    <row r="17">
      <c r="B17" s="16" t="n"/>
      <c r="C17" s="15" t="n"/>
      <c r="D17" s="18" t="n"/>
      <c r="E17" s="15" t="n"/>
      <c r="F17" s="19">
        <f>IF(OR(B17="",N(C17)&lt;=0),"",J17)</f>
        <v/>
      </c>
      <c r="G17" s="19">
        <f>IF(OR(B17="",N(C17)&lt;=0),"",K17)</f>
        <v/>
      </c>
      <c r="H17">
        <f>IF(OR(B17="",N(C17)&lt;=0),1E9+ROW(),C17+ROW()/1E6)</f>
        <v/>
      </c>
      <c r="I17">
        <f>IF(OR(B17="",N(C17)&lt;=0),1E9+ROW(),-N(D17)+ROW()/1E6)</f>
        <v/>
      </c>
      <c r="J17">
        <f>RANK(H17,$H$10:$H$19,1)</f>
        <v/>
      </c>
      <c r="K17">
        <f>RANK(I17,$I$10:$I$19,1)</f>
        <v/>
      </c>
    </row>
    <row r="18">
      <c r="B18" s="16" t="n"/>
      <c r="C18" s="15" t="n"/>
      <c r="D18" s="18" t="n"/>
      <c r="E18" s="15" t="n"/>
      <c r="F18" s="19">
        <f>IF(OR(B18="",N(C18)&lt;=0),"",J18)</f>
        <v/>
      </c>
      <c r="G18" s="19">
        <f>IF(OR(B18="",N(C18)&lt;=0),"",K18)</f>
        <v/>
      </c>
      <c r="H18">
        <f>IF(OR(B18="",N(C18)&lt;=0),1E9+ROW(),C18+ROW()/1E6)</f>
        <v/>
      </c>
      <c r="I18">
        <f>IF(OR(B18="",N(C18)&lt;=0),1E9+ROW(),-N(D18)+ROW()/1E6)</f>
        <v/>
      </c>
      <c r="J18">
        <f>RANK(H18,$H$10:$H$19,1)</f>
        <v/>
      </c>
      <c r="K18">
        <f>RANK(I18,$I$10:$I$19,1)</f>
        <v/>
      </c>
    </row>
    <row r="19">
      <c r="B19" s="16" t="n"/>
      <c r="C19" s="15" t="n"/>
      <c r="D19" s="18" t="n"/>
      <c r="E19" s="15" t="n"/>
      <c r="F19" s="19">
        <f>IF(OR(B19="",N(C19)&lt;=0),"",J19)</f>
        <v/>
      </c>
      <c r="G19" s="19">
        <f>IF(OR(B19="",N(C19)&lt;=0),"",K19)</f>
        <v/>
      </c>
      <c r="H19">
        <f>IF(OR(B19="",N(C19)&lt;=0),1E9+ROW(),C19+ROW()/1E6)</f>
        <v/>
      </c>
      <c r="I19">
        <f>IF(OR(B19="",N(C19)&lt;=0),1E9+ROW(),-N(D19)+ROW()/1E6)</f>
        <v/>
      </c>
      <c r="J19">
        <f>RANK(H19,$H$10:$H$19,1)</f>
        <v/>
      </c>
      <c r="K19">
        <f>RANK(I19,$I$10:$I$19,1)</f>
        <v/>
      </c>
    </row>
    <row r="20">
      <c r="B20" s="20" t="inlineStr">
        <is>
          <t>Totals</t>
        </is>
      </c>
      <c r="C20" s="21">
        <f>SUM(C10:C19)</f>
        <v/>
      </c>
      <c r="E20" s="21">
        <f>SUM(E10:E19)</f>
        <v/>
      </c>
    </row>
    <row r="21">
      <c r="B21" s="20" t="inlineStr">
        <is>
          <t>Monthly debt budget</t>
        </is>
      </c>
      <c r="E21" s="21">
        <f>E20+C7</f>
        <v/>
      </c>
      <c r="F21" s="14" t="inlineStr">
        <is>
          <t>Minimums + extra, every month.</t>
        </is>
      </c>
    </row>
    <row r="23">
      <c r="B23" s="3" t="inlineStr">
        <is>
          <t>YOUR PLAN AT A GLANCE</t>
        </is>
      </c>
    </row>
    <row r="24">
      <c r="B24" s="22" t="inlineStr">
        <is>
          <t>DEBT-FREE BY</t>
        </is>
      </c>
      <c r="C24" s="22" t="inlineStr">
        <is>
          <t>MONTHS TO GO</t>
        </is>
      </c>
      <c r="E24" s="22" t="inlineStr">
        <is>
          <t>TOTAL INTEREST</t>
        </is>
      </c>
      <c r="F24" s="22" t="inlineStr">
        <is>
          <t>INTEREST SAVED</t>
        </is>
      </c>
    </row>
    <row r="25" ht="34" customHeight="1">
      <c r="B25" s="23">
        <f>IF($C$8="Avalanche",Compare!C7,Compare!C6)</f>
        <v/>
      </c>
      <c r="C25" s="24">
        <f>IF($C$8="Avalanche",Compare!D7,Compare!D6)</f>
        <v/>
      </c>
      <c r="E25" s="25">
        <f>IF($C$8="Avalanche",Compare!E7,Compare!E6)</f>
        <v/>
      </c>
      <c r="F25" s="25">
        <f>IF($C$8="Avalanche",Compare!G7,Compare!G6)</f>
        <v/>
      </c>
    </row>
    <row r="27">
      <c r="B27" s="26" t="inlineStr">
        <is>
          <t>Interest saved is compared with paying only the minimums. Estimates only: interest is worked out monthly as balance x APR / 12.</t>
        </is>
      </c>
    </row>
  </sheetData>
  <mergeCells count="4">
    <mergeCell ref="F25:G25"/>
    <mergeCell ref="C25:D25"/>
    <mergeCell ref="F24:G24"/>
    <mergeCell ref="C24:D24"/>
  </mergeCells>
  <dataValidations count="1">
    <dataValidation sqref="C8" showDropDown="0" showInputMessage="1" showErrorMessage="0" allowBlank="1" promptTitle="Pick from list" prompt="Snowball = smallest balance first. Avalanche = highest interest first." type="list">
      <formula1>"Snowball,Avalanche"</formula1>
    </dataValidation>
  </dataValidations>
  <printOptions horizontalCentered="1"/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3F6E8C"/>
    <outlinePr summaryBelow="1" summaryRight="1"/>
    <pageSetUpPr fitToPage="1"/>
  </sheetPr>
  <dimension ref="B2:L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1" customWidth="1" min="4" max="4"/>
    <col width="15" customWidth="1" min="5" max="5"/>
    <col width="15" customWidth="1" min="6" max="6"/>
    <col width="16" customWidth="1" min="7" max="7"/>
    <col width="3" customWidth="1" min="8" max="8"/>
    <col width="10" customWidth="1" min="9" max="9"/>
    <col width="22" customWidth="1" min="10" max="10"/>
    <col width="14" customWidth="1" min="11" max="11"/>
    <col width="14" customWidth="1" min="12" max="12"/>
  </cols>
  <sheetData>
    <row r="1" ht="10" customHeight="1"/>
    <row r="2" ht="32" customHeight="1">
      <c r="B2" s="9" t="inlineStr">
        <is>
          <t>Compare methods</t>
        </is>
      </c>
    </row>
    <row r="3">
      <c r="B3" s="10" t="inlineStr">
        <is>
          <t>Same monthly budget, three ways to use it. Pick yours on the My Debts tab.</t>
        </is>
      </c>
    </row>
    <row r="4" ht="8" customHeight="1"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</row>
    <row r="5" ht="30" customHeight="1">
      <c r="B5" s="17" t="inlineStr">
        <is>
          <t>Method</t>
        </is>
      </c>
      <c r="C5" s="17" t="inlineStr">
        <is>
          <t>Debt-free by</t>
        </is>
      </c>
      <c r="D5" s="17" t="inlineStr">
        <is>
          <t>Months</t>
        </is>
      </c>
      <c r="E5" s="17" t="inlineStr">
        <is>
          <t>Total interest</t>
        </is>
      </c>
      <c r="F5" s="17" t="inlineStr">
        <is>
          <t>Total paid</t>
        </is>
      </c>
      <c r="G5" s="17" t="inlineStr">
        <is>
          <t>Interest saved vs minimums</t>
        </is>
      </c>
    </row>
    <row r="6">
      <c r="B6" s="27" t="inlineStr">
        <is>
          <t>Snowball</t>
        </is>
      </c>
      <c r="C6" s="28">
        <f>IF(ISNUMBER(D6),EDATE('My Debts'!$C$6,MAX(D6,1)-1),"Not in 25 yrs")</f>
        <v/>
      </c>
      <c r="D6" s="29">
        <f>IF('My Debts'!$C$20&lt;=0,0,IF(COUNTIF('Snowball'!$C$8:$C$307,"&gt;0.005")&gt;=300,"25+ yrs",COUNTIF('Snowball'!$C$8:$C$307,"&gt;0.005")+1))</f>
        <v/>
      </c>
      <c r="E6" s="30">
        <f>SUM('Snowball'!$E$8:$E$307)</f>
        <v/>
      </c>
      <c r="F6" s="30">
        <f>SUM('Snowball'!$D$8:$D$307)</f>
        <v/>
      </c>
      <c r="G6" s="30">
        <f>E8-E6</f>
        <v/>
      </c>
    </row>
    <row r="7">
      <c r="B7" s="27" t="inlineStr">
        <is>
          <t>Avalanche</t>
        </is>
      </c>
      <c r="C7" s="28">
        <f>IF(ISNUMBER(D7),EDATE('My Debts'!$C$6,MAX(D7,1)-1),"Not in 25 yrs")</f>
        <v/>
      </c>
      <c r="D7" s="29">
        <f>IF('My Debts'!$C$20&lt;=0,0,IF(COUNTIF('Avalanche'!$C$8:$C$307,"&gt;0.005")&gt;=300,"25+ yrs",COUNTIF('Avalanche'!$C$8:$C$307,"&gt;0.005")+1))</f>
        <v/>
      </c>
      <c r="E7" s="30">
        <f>SUM('Avalanche'!$E$8:$E$307)</f>
        <v/>
      </c>
      <c r="F7" s="30">
        <f>SUM('Avalanche'!$D$8:$D$307)</f>
        <v/>
      </c>
      <c r="G7" s="30">
        <f>E8-E7</f>
        <v/>
      </c>
    </row>
    <row r="8">
      <c r="B8" s="31" t="inlineStr">
        <is>
          <t>Minimums only</t>
        </is>
      </c>
      <c r="C8" s="32">
        <f>IF(ISNUMBER(D8),EDATE('My Debts'!$C$6,MAX(D8,1)-1),"Not in 25 yrs")</f>
        <v/>
      </c>
      <c r="D8" s="33">
        <f>IF('My Debts'!$C$20&lt;=0,0,IF(COUNTIF('Minimum Only'!$C$8:$C$307,"&gt;0.005")&gt;=300,"25+ yrs",COUNTIF('Minimum Only'!$C$8:$C$307,"&gt;0.005")+1))</f>
        <v/>
      </c>
      <c r="E8" s="34">
        <f>SUM('Minimum Only'!$E$8:$E$307)</f>
        <v/>
      </c>
      <c r="F8" s="34">
        <f>SUM('Minimum Only'!$D$8:$D$307)</f>
        <v/>
      </c>
      <c r="G8" s="34" t="inlineStr">
        <is>
          <t>—</t>
        </is>
      </c>
    </row>
    <row r="10">
      <c r="B10" s="26" t="inlineStr">
        <is>
          <t>If minimums never clear a debt within 25 years, the minimum-only interest shown is only the first 25 years, so real savings are larger.</t>
        </is>
      </c>
    </row>
    <row r="11">
      <c r="B11" s="26" t="inlineStr">
        <is>
          <t>Snowball often feels better (quick wins). Avalanche usually costs less. The best plan is the one you stick with.</t>
        </is>
      </c>
    </row>
    <row r="13">
      <c r="B13" s="3" t="inlineStr">
        <is>
          <t>SNOWBALL ORDER</t>
        </is>
      </c>
      <c r="I13" s="3" t="inlineStr">
        <is>
          <t>AVALANCHE ORDER</t>
        </is>
      </c>
    </row>
    <row r="14" ht="30" customHeight="1">
      <c r="B14" s="17" t="inlineStr">
        <is>
          <t>Debt</t>
        </is>
      </c>
      <c r="C14" s="17" t="inlineStr">
        <is>
          <t>Paid off</t>
        </is>
      </c>
      <c r="D14" s="17" t="inlineStr">
        <is>
          <t>Interest paid</t>
        </is>
      </c>
      <c r="I14" s="17" t="inlineStr">
        <is>
          <t>#</t>
        </is>
      </c>
      <c r="J14" s="17" t="inlineStr">
        <is>
          <t>Debt</t>
        </is>
      </c>
      <c r="K14" s="17" t="inlineStr">
        <is>
          <t>Paid off</t>
        </is>
      </c>
      <c r="L14" s="17" t="inlineStr">
        <is>
          <t>Interest paid</t>
        </is>
      </c>
    </row>
    <row r="15">
      <c r="B15" s="35">
        <f>'Snowball'!K6</f>
        <v/>
      </c>
      <c r="C15" s="28">
        <f>IF('Snowball'!K6="","",IF(COUNTIF('Snowball'!$K$8:$K$307,"&gt;0.005")&gt;=300,"Not in 25 yrs",EDATE('My Debts'!$C$6,COUNTIF('Snowball'!$K$8:$K$307,"&gt;0.005"))))</f>
        <v/>
      </c>
      <c r="D15" s="30">
        <f>IF('Snowball'!K6="","",SUM('Snowball'!$H$8:$H$307))</f>
        <v/>
      </c>
      <c r="I15" s="19" t="n">
        <v>1</v>
      </c>
      <c r="J15" s="35">
        <f>'Avalanche'!K6</f>
        <v/>
      </c>
      <c r="K15" s="28">
        <f>IF('Avalanche'!K6="","",IF(COUNTIF('Avalanche'!$K$8:$K$307,"&gt;0.005")&gt;=300,"Not in 25 yrs",EDATE('My Debts'!$C$6,COUNTIF('Avalanche'!$K$8:$K$307,"&gt;0.005"))))</f>
        <v/>
      </c>
      <c r="L15" s="30">
        <f>IF('Avalanche'!K6="","",SUM('Avalanche'!$H$8:$H$307))</f>
        <v/>
      </c>
    </row>
    <row r="16">
      <c r="B16" s="36">
        <f>'Snowball'!Q6</f>
        <v/>
      </c>
      <c r="C16" s="32">
        <f>IF('Snowball'!Q6="","",IF(COUNTIF('Snowball'!$Q$8:$Q$307,"&gt;0.005")&gt;=300,"Not in 25 yrs",EDATE('My Debts'!$C$6,COUNTIF('Snowball'!$Q$8:$Q$307,"&gt;0.005"))))</f>
        <v/>
      </c>
      <c r="D16" s="34">
        <f>IF('Snowball'!Q6="","",SUM('Snowball'!$N$8:$N$307))</f>
        <v/>
      </c>
      <c r="I16" s="37" t="n">
        <v>2</v>
      </c>
      <c r="J16" s="36">
        <f>'Avalanche'!Q6</f>
        <v/>
      </c>
      <c r="K16" s="32">
        <f>IF('Avalanche'!Q6="","",IF(COUNTIF('Avalanche'!$Q$8:$Q$307,"&gt;0.005")&gt;=300,"Not in 25 yrs",EDATE('My Debts'!$C$6,COUNTIF('Avalanche'!$Q$8:$Q$307,"&gt;0.005"))))</f>
        <v/>
      </c>
      <c r="L16" s="34">
        <f>IF('Avalanche'!Q6="","",SUM('Avalanche'!$N$8:$N$307))</f>
        <v/>
      </c>
    </row>
    <row r="17">
      <c r="B17" s="35">
        <f>'Snowball'!W6</f>
        <v/>
      </c>
      <c r="C17" s="28">
        <f>IF('Snowball'!W6="","",IF(COUNTIF('Snowball'!$W$8:$W$307,"&gt;0.005")&gt;=300,"Not in 25 yrs",EDATE('My Debts'!$C$6,COUNTIF('Snowball'!$W$8:$W$307,"&gt;0.005"))))</f>
        <v/>
      </c>
      <c r="D17" s="30">
        <f>IF('Snowball'!W6="","",SUM('Snowball'!$T$8:$T$307))</f>
        <v/>
      </c>
      <c r="I17" s="19" t="n">
        <v>3</v>
      </c>
      <c r="J17" s="35">
        <f>'Avalanche'!W6</f>
        <v/>
      </c>
      <c r="K17" s="28">
        <f>IF('Avalanche'!W6="","",IF(COUNTIF('Avalanche'!$W$8:$W$307,"&gt;0.005")&gt;=300,"Not in 25 yrs",EDATE('My Debts'!$C$6,COUNTIF('Avalanche'!$W$8:$W$307,"&gt;0.005"))))</f>
        <v/>
      </c>
      <c r="L17" s="30">
        <f>IF('Avalanche'!W6="","",SUM('Avalanche'!$T$8:$T$307))</f>
        <v/>
      </c>
    </row>
    <row r="18">
      <c r="B18" s="36">
        <f>'Snowball'!AC6</f>
        <v/>
      </c>
      <c r="C18" s="32">
        <f>IF('Snowball'!AC6="","",IF(COUNTIF('Snowball'!$AC$8:$AC$307,"&gt;0.005")&gt;=300,"Not in 25 yrs",EDATE('My Debts'!$C$6,COUNTIF('Snowball'!$AC$8:$AC$307,"&gt;0.005"))))</f>
        <v/>
      </c>
      <c r="D18" s="34">
        <f>IF('Snowball'!AC6="","",SUM('Snowball'!$Z$8:$Z$307))</f>
        <v/>
      </c>
      <c r="I18" s="37" t="n">
        <v>4</v>
      </c>
      <c r="J18" s="36">
        <f>'Avalanche'!AC6</f>
        <v/>
      </c>
      <c r="K18" s="32">
        <f>IF('Avalanche'!AC6="","",IF(COUNTIF('Avalanche'!$AC$8:$AC$307,"&gt;0.005")&gt;=300,"Not in 25 yrs",EDATE('My Debts'!$C$6,COUNTIF('Avalanche'!$AC$8:$AC$307,"&gt;0.005"))))</f>
        <v/>
      </c>
      <c r="L18" s="34">
        <f>IF('Avalanche'!AC6="","",SUM('Avalanche'!$Z$8:$Z$307))</f>
        <v/>
      </c>
    </row>
    <row r="19">
      <c r="B19" s="35">
        <f>'Snowball'!AI6</f>
        <v/>
      </c>
      <c r="C19" s="28">
        <f>IF('Snowball'!AI6="","",IF(COUNTIF('Snowball'!$AI$8:$AI$307,"&gt;0.005")&gt;=300,"Not in 25 yrs",EDATE('My Debts'!$C$6,COUNTIF('Snowball'!$AI$8:$AI$307,"&gt;0.005"))))</f>
        <v/>
      </c>
      <c r="D19" s="30">
        <f>IF('Snowball'!AI6="","",SUM('Snowball'!$AF$8:$AF$307))</f>
        <v/>
      </c>
      <c r="I19" s="19" t="n">
        <v>5</v>
      </c>
      <c r="J19" s="35">
        <f>'Avalanche'!AI6</f>
        <v/>
      </c>
      <c r="K19" s="28">
        <f>IF('Avalanche'!AI6="","",IF(COUNTIF('Avalanche'!$AI$8:$AI$307,"&gt;0.005")&gt;=300,"Not in 25 yrs",EDATE('My Debts'!$C$6,COUNTIF('Avalanche'!$AI$8:$AI$307,"&gt;0.005"))))</f>
        <v/>
      </c>
      <c r="L19" s="30">
        <f>IF('Avalanche'!AI6="","",SUM('Avalanche'!$AF$8:$AF$307))</f>
        <v/>
      </c>
    </row>
    <row r="20">
      <c r="B20" s="36">
        <f>'Snowball'!AO6</f>
        <v/>
      </c>
      <c r="C20" s="32">
        <f>IF('Snowball'!AO6="","",IF(COUNTIF('Snowball'!$AO$8:$AO$307,"&gt;0.005")&gt;=300,"Not in 25 yrs",EDATE('My Debts'!$C$6,COUNTIF('Snowball'!$AO$8:$AO$307,"&gt;0.005"))))</f>
        <v/>
      </c>
      <c r="D20" s="34">
        <f>IF('Snowball'!AO6="","",SUM('Snowball'!$AL$8:$AL$307))</f>
        <v/>
      </c>
      <c r="I20" s="37" t="n">
        <v>6</v>
      </c>
      <c r="J20" s="36">
        <f>'Avalanche'!AO6</f>
        <v/>
      </c>
      <c r="K20" s="32">
        <f>IF('Avalanche'!AO6="","",IF(COUNTIF('Avalanche'!$AO$8:$AO$307,"&gt;0.005")&gt;=300,"Not in 25 yrs",EDATE('My Debts'!$C$6,COUNTIF('Avalanche'!$AO$8:$AO$307,"&gt;0.005"))))</f>
        <v/>
      </c>
      <c r="L20" s="34">
        <f>IF('Avalanche'!AO6="","",SUM('Avalanche'!$AL$8:$AL$307))</f>
        <v/>
      </c>
    </row>
    <row r="21">
      <c r="B21" s="35">
        <f>'Snowball'!AU6</f>
        <v/>
      </c>
      <c r="C21" s="28">
        <f>IF('Snowball'!AU6="","",IF(COUNTIF('Snowball'!$AU$8:$AU$307,"&gt;0.005")&gt;=300,"Not in 25 yrs",EDATE('My Debts'!$C$6,COUNTIF('Snowball'!$AU$8:$AU$307,"&gt;0.005"))))</f>
        <v/>
      </c>
      <c r="D21" s="30">
        <f>IF('Snowball'!AU6="","",SUM('Snowball'!$AR$8:$AR$307))</f>
        <v/>
      </c>
      <c r="I21" s="19" t="n">
        <v>7</v>
      </c>
      <c r="J21" s="35">
        <f>'Avalanche'!AU6</f>
        <v/>
      </c>
      <c r="K21" s="28">
        <f>IF('Avalanche'!AU6="","",IF(COUNTIF('Avalanche'!$AU$8:$AU$307,"&gt;0.005")&gt;=300,"Not in 25 yrs",EDATE('My Debts'!$C$6,COUNTIF('Avalanche'!$AU$8:$AU$307,"&gt;0.005"))))</f>
        <v/>
      </c>
      <c r="L21" s="30">
        <f>IF('Avalanche'!AU6="","",SUM('Avalanche'!$AR$8:$AR$307))</f>
        <v/>
      </c>
    </row>
    <row r="22">
      <c r="B22" s="36">
        <f>'Snowball'!BA6</f>
        <v/>
      </c>
      <c r="C22" s="32">
        <f>IF('Snowball'!BA6="","",IF(COUNTIF('Snowball'!$BA$8:$BA$307,"&gt;0.005")&gt;=300,"Not in 25 yrs",EDATE('My Debts'!$C$6,COUNTIF('Snowball'!$BA$8:$BA$307,"&gt;0.005"))))</f>
        <v/>
      </c>
      <c r="D22" s="34">
        <f>IF('Snowball'!BA6="","",SUM('Snowball'!$AX$8:$AX$307))</f>
        <v/>
      </c>
      <c r="I22" s="37" t="n">
        <v>8</v>
      </c>
      <c r="J22" s="36">
        <f>'Avalanche'!BA6</f>
        <v/>
      </c>
      <c r="K22" s="32">
        <f>IF('Avalanche'!BA6="","",IF(COUNTIF('Avalanche'!$BA$8:$BA$307,"&gt;0.005")&gt;=300,"Not in 25 yrs",EDATE('My Debts'!$C$6,COUNTIF('Avalanche'!$BA$8:$BA$307,"&gt;0.005"))))</f>
        <v/>
      </c>
      <c r="L22" s="34">
        <f>IF('Avalanche'!BA6="","",SUM('Avalanche'!$AX$8:$AX$307))</f>
        <v/>
      </c>
    </row>
    <row r="23">
      <c r="B23" s="35">
        <f>'Snowball'!BG6</f>
        <v/>
      </c>
      <c r="C23" s="28">
        <f>IF('Snowball'!BG6="","",IF(COUNTIF('Snowball'!$BG$8:$BG$307,"&gt;0.005")&gt;=300,"Not in 25 yrs",EDATE('My Debts'!$C$6,COUNTIF('Snowball'!$BG$8:$BG$307,"&gt;0.005"))))</f>
        <v/>
      </c>
      <c r="D23" s="30">
        <f>IF('Snowball'!BG6="","",SUM('Snowball'!$BD$8:$BD$307))</f>
        <v/>
      </c>
      <c r="I23" s="19" t="n">
        <v>9</v>
      </c>
      <c r="J23" s="35">
        <f>'Avalanche'!BG6</f>
        <v/>
      </c>
      <c r="K23" s="28">
        <f>IF('Avalanche'!BG6="","",IF(COUNTIF('Avalanche'!$BG$8:$BG$307,"&gt;0.005")&gt;=300,"Not in 25 yrs",EDATE('My Debts'!$C$6,COUNTIF('Avalanche'!$BG$8:$BG$307,"&gt;0.005"))))</f>
        <v/>
      </c>
      <c r="L23" s="30">
        <f>IF('Avalanche'!BG6="","",SUM('Avalanche'!$BD$8:$BD$307))</f>
        <v/>
      </c>
    </row>
    <row r="24">
      <c r="B24" s="36">
        <f>'Snowball'!BM6</f>
        <v/>
      </c>
      <c r="C24" s="32">
        <f>IF('Snowball'!BM6="","",IF(COUNTIF('Snowball'!$BM$8:$BM$307,"&gt;0.005")&gt;=300,"Not in 25 yrs",EDATE('My Debts'!$C$6,COUNTIF('Snowball'!$BM$8:$BM$307,"&gt;0.005"))))</f>
        <v/>
      </c>
      <c r="D24" s="34">
        <f>IF('Snowball'!BM6="","",SUM('Snowball'!$BJ$8:$BJ$307))</f>
        <v/>
      </c>
      <c r="I24" s="37" t="n">
        <v>10</v>
      </c>
      <c r="J24" s="36">
        <f>'Avalanche'!BM6</f>
        <v/>
      </c>
      <c r="K24" s="32">
        <f>IF('Avalanche'!BM6="","",IF(COUNTIF('Avalanche'!$BM$8:$BM$307,"&gt;0.005")&gt;=300,"Not in 25 yrs",EDATE('My Debts'!$C$6,COUNTIF('Avalanche'!$BM$8:$BM$307,"&gt;0.005"))))</f>
        <v/>
      </c>
      <c r="L24" s="34">
        <f>IF('Avalanche'!BM6="","",SUM('Avalanche'!$BJ$8:$BJ$307))</f>
        <v/>
      </c>
    </row>
    <row r="26">
      <c r="B26" s="26" t="inlineStr">
        <is>
          <t>Chart shows the first 15 years.</t>
        </is>
      </c>
    </row>
  </sheetData>
  <printOptions horizontalCentered="1"/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DCE5EA"/>
    <outlinePr summaryBelow="1" summaryRight="1"/>
    <pageSetUpPr fitToPage="1"/>
  </sheetPr>
  <dimension ref="A2:BN30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13" customWidth="1" min="4" max="4"/>
    <col width="12" customWidth="1" min="5" max="5"/>
    <col hidden="1" width="3" customWidth="1" min="6" max="6"/>
    <col width="12" customWidth="1" min="7" max="7"/>
    <col width="10" customWidth="1" min="8" max="8"/>
    <col width="11" customWidth="1" min="9" max="9"/>
    <col width="11" customWidth="1" min="10" max="10"/>
    <col width="12" customWidth="1" min="11" max="11"/>
    <col hidden="1" width="3" customWidth="1" min="12" max="12"/>
    <col width="12" customWidth="1" min="13" max="13"/>
    <col width="10" customWidth="1" min="14" max="14"/>
    <col width="11" customWidth="1" min="15" max="15"/>
    <col width="11" customWidth="1" min="16" max="16"/>
    <col width="12" customWidth="1" min="17" max="17"/>
    <col hidden="1" width="3" customWidth="1" min="18" max="18"/>
    <col width="12" customWidth="1" min="19" max="19"/>
    <col width="10" customWidth="1" min="20" max="20"/>
    <col width="11" customWidth="1" min="21" max="21"/>
    <col width="11" customWidth="1" min="22" max="22"/>
    <col width="12" customWidth="1" min="23" max="23"/>
    <col hidden="1" width="3" customWidth="1" min="24" max="24"/>
    <col width="12" customWidth="1" min="25" max="25"/>
    <col width="10" customWidth="1" min="26" max="26"/>
    <col width="11" customWidth="1" min="27" max="27"/>
    <col width="11" customWidth="1" min="28" max="28"/>
    <col width="12" customWidth="1" min="29" max="29"/>
    <col hidden="1" width="3" customWidth="1" min="30" max="30"/>
    <col width="12" customWidth="1" min="31" max="31"/>
    <col width="10" customWidth="1" min="32" max="32"/>
    <col width="11" customWidth="1" min="33" max="33"/>
    <col width="11" customWidth="1" min="34" max="34"/>
    <col width="12" customWidth="1" min="35" max="35"/>
    <col hidden="1" width="3" customWidth="1" min="36" max="36"/>
    <col width="12" customWidth="1" min="37" max="37"/>
    <col width="10" customWidth="1" min="38" max="38"/>
    <col width="11" customWidth="1" min="39" max="39"/>
    <col width="11" customWidth="1" min="40" max="40"/>
    <col width="12" customWidth="1" min="41" max="41"/>
    <col hidden="1" width="3" customWidth="1" min="42" max="42"/>
    <col width="12" customWidth="1" min="43" max="43"/>
    <col width="10" customWidth="1" min="44" max="44"/>
    <col width="11" customWidth="1" min="45" max="45"/>
    <col width="11" customWidth="1" min="46" max="46"/>
    <col width="12" customWidth="1" min="47" max="47"/>
    <col hidden="1" width="3" customWidth="1" min="48" max="48"/>
    <col width="12" customWidth="1" min="49" max="49"/>
    <col width="10" customWidth="1" min="50" max="50"/>
    <col width="11" customWidth="1" min="51" max="51"/>
    <col width="11" customWidth="1" min="52" max="52"/>
    <col width="12" customWidth="1" min="53" max="53"/>
    <col hidden="1" width="3" customWidth="1" min="54" max="54"/>
    <col width="12" customWidth="1" min="55" max="55"/>
    <col width="10" customWidth="1" min="56" max="56"/>
    <col width="11" customWidth="1" min="57" max="57"/>
    <col width="11" customWidth="1" min="58" max="58"/>
    <col width="12" customWidth="1" min="59" max="59"/>
    <col hidden="1" width="3" customWidth="1" min="60" max="60"/>
    <col width="12" customWidth="1" min="61" max="61"/>
    <col width="10" customWidth="1" min="62" max="62"/>
    <col width="11" customWidth="1" min="63" max="63"/>
    <col width="11" customWidth="1" min="64" max="64"/>
    <col width="12" customWidth="1" min="65" max="65"/>
    <col hidden="1" width="3" customWidth="1" min="66" max="66"/>
  </cols>
  <sheetData>
    <row r="1" ht="10" customHeight="1"/>
    <row r="2" ht="32" customHeight="1">
      <c r="B2" s="9" t="inlineStr">
        <is>
          <t>Snowball schedule</t>
        </is>
      </c>
    </row>
    <row r="3">
      <c r="B3" s="10" t="inlineStr">
        <is>
          <t>Smallest balance first. Each paid-off debt's payment rolls into the next one.</t>
        </is>
      </c>
    </row>
    <row r="4" ht="8" customHeight="1">
      <c r="B4" s="11" t="n"/>
      <c r="C4" s="11" t="n"/>
      <c r="D4" s="11" t="n"/>
      <c r="E4" s="11" t="n"/>
      <c r="F4" s="11" t="n"/>
    </row>
    <row r="5">
      <c r="G5" s="38">
        <f>"Payoff #1: "&amp;IF(K6="","(empty)",K6)</f>
        <v/>
      </c>
      <c r="M5" s="38">
        <f>"Payoff #2: "&amp;IF(Q6="","(empty)",Q6)</f>
        <v/>
      </c>
      <c r="S5" s="38">
        <f>"Payoff #3: "&amp;IF(W6="","(empty)",W6)</f>
        <v/>
      </c>
      <c r="Y5" s="38">
        <f>"Payoff #4: "&amp;IF(AC6="","(empty)",AC6)</f>
        <v/>
      </c>
      <c r="AE5" s="38">
        <f>"Payoff #5: "&amp;IF(AI6="","(empty)",AI6)</f>
        <v/>
      </c>
      <c r="AK5" s="38">
        <f>"Payoff #6: "&amp;IF(AO6="","(empty)",AO6)</f>
        <v/>
      </c>
      <c r="AQ5" s="38">
        <f>"Payoff #7: "&amp;IF(AU6="","(empty)",AU6)</f>
        <v/>
      </c>
      <c r="AW5" s="38">
        <f>"Payoff #8: "&amp;IF(BA6="","(empty)",BA6)</f>
        <v/>
      </c>
      <c r="BC5" s="38">
        <f>"Payoff #9: "&amp;IF(BG6="","(empty)",BG6)</f>
        <v/>
      </c>
      <c r="BI5" s="38">
        <f>"Payoff #10: "&amp;IF(BM6="","(empty)",BM6)</f>
        <v/>
      </c>
    </row>
    <row r="6" hidden="1">
      <c r="G6">
        <f>MATCH(1,'My Debts'!$J$10:$J$19,0)</f>
        <v/>
      </c>
      <c r="H6">
        <f>N(INDEX('My Debts'!$D$10:$D$19,G$6))/100</f>
        <v/>
      </c>
      <c r="I6">
        <f>IF(INDEX('My Debts'!$B$10:$B$19,G$6)="",0,N(INDEX('My Debts'!$E$10:$E$19,G$6)))</f>
        <v/>
      </c>
      <c r="J6">
        <f>IF(INDEX('My Debts'!$B$10:$B$19,G$6)="",0,N(INDEX('My Debts'!$C$10:$C$19,G$6)))</f>
        <v/>
      </c>
      <c r="K6">
        <f>IF(INDEX('My Debts'!$B$10:$B$19,G$6)="","",INDEX('My Debts'!$B$10:$B$19,G$6))</f>
        <v/>
      </c>
      <c r="M6">
        <f>MATCH(2,'My Debts'!$J$10:$J$19,0)</f>
        <v/>
      </c>
      <c r="N6">
        <f>N(INDEX('My Debts'!$D$10:$D$19,M$6))/100</f>
        <v/>
      </c>
      <c r="O6">
        <f>IF(INDEX('My Debts'!$B$10:$B$19,M$6)="",0,N(INDEX('My Debts'!$E$10:$E$19,M$6)))</f>
        <v/>
      </c>
      <c r="P6">
        <f>IF(INDEX('My Debts'!$B$10:$B$19,M$6)="",0,N(INDEX('My Debts'!$C$10:$C$19,M$6)))</f>
        <v/>
      </c>
      <c r="Q6">
        <f>IF(INDEX('My Debts'!$B$10:$B$19,M$6)="","",INDEX('My Debts'!$B$10:$B$19,M$6))</f>
        <v/>
      </c>
      <c r="S6">
        <f>MATCH(3,'My Debts'!$J$10:$J$19,0)</f>
        <v/>
      </c>
      <c r="T6">
        <f>N(INDEX('My Debts'!$D$10:$D$19,S$6))/100</f>
        <v/>
      </c>
      <c r="U6">
        <f>IF(INDEX('My Debts'!$B$10:$B$19,S$6)="",0,N(INDEX('My Debts'!$E$10:$E$19,S$6)))</f>
        <v/>
      </c>
      <c r="V6">
        <f>IF(INDEX('My Debts'!$B$10:$B$19,S$6)="",0,N(INDEX('My Debts'!$C$10:$C$19,S$6)))</f>
        <v/>
      </c>
      <c r="W6">
        <f>IF(INDEX('My Debts'!$B$10:$B$19,S$6)="","",INDEX('My Debts'!$B$10:$B$19,S$6))</f>
        <v/>
      </c>
      <c r="Y6">
        <f>MATCH(4,'My Debts'!$J$10:$J$19,0)</f>
        <v/>
      </c>
      <c r="Z6">
        <f>N(INDEX('My Debts'!$D$10:$D$19,Y$6))/100</f>
        <v/>
      </c>
      <c r="AA6">
        <f>IF(INDEX('My Debts'!$B$10:$B$19,Y$6)="",0,N(INDEX('My Debts'!$E$10:$E$19,Y$6)))</f>
        <v/>
      </c>
      <c r="AB6">
        <f>IF(INDEX('My Debts'!$B$10:$B$19,Y$6)="",0,N(INDEX('My Debts'!$C$10:$C$19,Y$6)))</f>
        <v/>
      </c>
      <c r="AC6">
        <f>IF(INDEX('My Debts'!$B$10:$B$19,Y$6)="","",INDEX('My Debts'!$B$10:$B$19,Y$6))</f>
        <v/>
      </c>
      <c r="AE6">
        <f>MATCH(5,'My Debts'!$J$10:$J$19,0)</f>
        <v/>
      </c>
      <c r="AF6">
        <f>N(INDEX('My Debts'!$D$10:$D$19,AE$6))/100</f>
        <v/>
      </c>
      <c r="AG6">
        <f>IF(INDEX('My Debts'!$B$10:$B$19,AE$6)="",0,N(INDEX('My Debts'!$E$10:$E$19,AE$6)))</f>
        <v/>
      </c>
      <c r="AH6">
        <f>IF(INDEX('My Debts'!$B$10:$B$19,AE$6)="",0,N(INDEX('My Debts'!$C$10:$C$19,AE$6)))</f>
        <v/>
      </c>
      <c r="AI6">
        <f>IF(INDEX('My Debts'!$B$10:$B$19,AE$6)="","",INDEX('My Debts'!$B$10:$B$19,AE$6))</f>
        <v/>
      </c>
      <c r="AK6">
        <f>MATCH(6,'My Debts'!$J$10:$J$19,0)</f>
        <v/>
      </c>
      <c r="AL6">
        <f>N(INDEX('My Debts'!$D$10:$D$19,AK$6))/100</f>
        <v/>
      </c>
      <c r="AM6">
        <f>IF(INDEX('My Debts'!$B$10:$B$19,AK$6)="",0,N(INDEX('My Debts'!$E$10:$E$19,AK$6)))</f>
        <v/>
      </c>
      <c r="AN6">
        <f>IF(INDEX('My Debts'!$B$10:$B$19,AK$6)="",0,N(INDEX('My Debts'!$C$10:$C$19,AK$6)))</f>
        <v/>
      </c>
      <c r="AO6">
        <f>IF(INDEX('My Debts'!$B$10:$B$19,AK$6)="","",INDEX('My Debts'!$B$10:$B$19,AK$6))</f>
        <v/>
      </c>
      <c r="AQ6">
        <f>MATCH(7,'My Debts'!$J$10:$J$19,0)</f>
        <v/>
      </c>
      <c r="AR6">
        <f>N(INDEX('My Debts'!$D$10:$D$19,AQ$6))/100</f>
        <v/>
      </c>
      <c r="AS6">
        <f>IF(INDEX('My Debts'!$B$10:$B$19,AQ$6)="",0,N(INDEX('My Debts'!$E$10:$E$19,AQ$6)))</f>
        <v/>
      </c>
      <c r="AT6">
        <f>IF(INDEX('My Debts'!$B$10:$B$19,AQ$6)="",0,N(INDEX('My Debts'!$C$10:$C$19,AQ$6)))</f>
        <v/>
      </c>
      <c r="AU6">
        <f>IF(INDEX('My Debts'!$B$10:$B$19,AQ$6)="","",INDEX('My Debts'!$B$10:$B$19,AQ$6))</f>
        <v/>
      </c>
      <c r="AW6">
        <f>MATCH(8,'My Debts'!$J$10:$J$19,0)</f>
        <v/>
      </c>
      <c r="AX6">
        <f>N(INDEX('My Debts'!$D$10:$D$19,AW$6))/100</f>
        <v/>
      </c>
      <c r="AY6">
        <f>IF(INDEX('My Debts'!$B$10:$B$19,AW$6)="",0,N(INDEX('My Debts'!$E$10:$E$19,AW$6)))</f>
        <v/>
      </c>
      <c r="AZ6">
        <f>IF(INDEX('My Debts'!$B$10:$B$19,AW$6)="",0,N(INDEX('My Debts'!$C$10:$C$19,AW$6)))</f>
        <v/>
      </c>
      <c r="BA6">
        <f>IF(INDEX('My Debts'!$B$10:$B$19,AW$6)="","",INDEX('My Debts'!$B$10:$B$19,AW$6))</f>
        <v/>
      </c>
      <c r="BC6">
        <f>MATCH(9,'My Debts'!$J$10:$J$19,0)</f>
        <v/>
      </c>
      <c r="BD6">
        <f>N(INDEX('My Debts'!$D$10:$D$19,BC$6))/100</f>
        <v/>
      </c>
      <c r="BE6">
        <f>IF(INDEX('My Debts'!$B$10:$B$19,BC$6)="",0,N(INDEX('My Debts'!$E$10:$E$19,BC$6)))</f>
        <v/>
      </c>
      <c r="BF6">
        <f>IF(INDEX('My Debts'!$B$10:$B$19,BC$6)="",0,N(INDEX('My Debts'!$C$10:$C$19,BC$6)))</f>
        <v/>
      </c>
      <c r="BG6">
        <f>IF(INDEX('My Debts'!$B$10:$B$19,BC$6)="","",INDEX('My Debts'!$B$10:$B$19,BC$6))</f>
        <v/>
      </c>
      <c r="BI6">
        <f>MATCH(10,'My Debts'!$J$10:$J$19,0)</f>
        <v/>
      </c>
      <c r="BJ6">
        <f>N(INDEX('My Debts'!$D$10:$D$19,BI$6))/100</f>
        <v/>
      </c>
      <c r="BK6">
        <f>IF(INDEX('My Debts'!$B$10:$B$19,BI$6)="",0,N(INDEX('My Debts'!$E$10:$E$19,BI$6)))</f>
        <v/>
      </c>
      <c r="BL6">
        <f>IF(INDEX('My Debts'!$B$10:$B$19,BI$6)="",0,N(INDEX('My Debts'!$C$10:$C$19,BI$6)))</f>
        <v/>
      </c>
      <c r="BM6">
        <f>IF(INDEX('My Debts'!$B$10:$B$19,BI$6)="","",INDEX('My Debts'!$B$10:$B$19,BI$6))</f>
        <v/>
      </c>
    </row>
    <row r="7" ht="30" customHeight="1">
      <c r="A7" s="17" t="inlineStr">
        <is>
          <t>Month</t>
        </is>
      </c>
      <c r="B7" s="17" t="inlineStr">
        <is>
          <t>Date</t>
        </is>
      </c>
      <c r="C7" s="17" t="inlineStr">
        <is>
          <t>Total owed (end)</t>
        </is>
      </c>
      <c r="D7" s="17" t="inlineStr">
        <is>
          <t>Paid this month</t>
        </is>
      </c>
      <c r="E7" s="17" t="inlineStr">
        <is>
          <t>Interest this month</t>
        </is>
      </c>
      <c r="G7" s="17" t="inlineStr">
        <is>
          <t>Start balance</t>
        </is>
      </c>
      <c r="H7" s="17" t="inlineStr">
        <is>
          <t>Interest</t>
        </is>
      </c>
      <c r="I7" s="17" t="inlineStr">
        <is>
          <t>Minimum paid</t>
        </is>
      </c>
      <c r="J7" s="17" t="inlineStr">
        <is>
          <t>Extra paid</t>
        </is>
      </c>
      <c r="K7" s="17" t="inlineStr">
        <is>
          <t>End balance</t>
        </is>
      </c>
      <c r="M7" s="17" t="inlineStr">
        <is>
          <t>Start balance</t>
        </is>
      </c>
      <c r="N7" s="17" t="inlineStr">
        <is>
          <t>Interest</t>
        </is>
      </c>
      <c r="O7" s="17" t="inlineStr">
        <is>
          <t>Minimum paid</t>
        </is>
      </c>
      <c r="P7" s="17" t="inlineStr">
        <is>
          <t>Extra paid</t>
        </is>
      </c>
      <c r="Q7" s="17" t="inlineStr">
        <is>
          <t>End balance</t>
        </is>
      </c>
      <c r="S7" s="17" t="inlineStr">
        <is>
          <t>Start balance</t>
        </is>
      </c>
      <c r="T7" s="17" t="inlineStr">
        <is>
          <t>Interest</t>
        </is>
      </c>
      <c r="U7" s="17" t="inlineStr">
        <is>
          <t>Minimum paid</t>
        </is>
      </c>
      <c r="V7" s="17" t="inlineStr">
        <is>
          <t>Extra paid</t>
        </is>
      </c>
      <c r="W7" s="17" t="inlineStr">
        <is>
          <t>End balance</t>
        </is>
      </c>
      <c r="Y7" s="17" t="inlineStr">
        <is>
          <t>Start balance</t>
        </is>
      </c>
      <c r="Z7" s="17" t="inlineStr">
        <is>
          <t>Interest</t>
        </is>
      </c>
      <c r="AA7" s="17" t="inlineStr">
        <is>
          <t>Minimum paid</t>
        </is>
      </c>
      <c r="AB7" s="17" t="inlineStr">
        <is>
          <t>Extra paid</t>
        </is>
      </c>
      <c r="AC7" s="17" t="inlineStr">
        <is>
          <t>End balance</t>
        </is>
      </c>
      <c r="AE7" s="17" t="inlineStr">
        <is>
          <t>Start balance</t>
        </is>
      </c>
      <c r="AF7" s="17" t="inlineStr">
        <is>
          <t>Interest</t>
        </is>
      </c>
      <c r="AG7" s="17" t="inlineStr">
        <is>
          <t>Minimum paid</t>
        </is>
      </c>
      <c r="AH7" s="17" t="inlineStr">
        <is>
          <t>Extra paid</t>
        </is>
      </c>
      <c r="AI7" s="17" t="inlineStr">
        <is>
          <t>End balance</t>
        </is>
      </c>
      <c r="AK7" s="17" t="inlineStr">
        <is>
          <t>Start balance</t>
        </is>
      </c>
      <c r="AL7" s="17" t="inlineStr">
        <is>
          <t>Interest</t>
        </is>
      </c>
      <c r="AM7" s="17" t="inlineStr">
        <is>
          <t>Minimum paid</t>
        </is>
      </c>
      <c r="AN7" s="17" t="inlineStr">
        <is>
          <t>Extra paid</t>
        </is>
      </c>
      <c r="AO7" s="17" t="inlineStr">
        <is>
          <t>End balance</t>
        </is>
      </c>
      <c r="AQ7" s="17" t="inlineStr">
        <is>
          <t>Start balance</t>
        </is>
      </c>
      <c r="AR7" s="17" t="inlineStr">
        <is>
          <t>Interest</t>
        </is>
      </c>
      <c r="AS7" s="17" t="inlineStr">
        <is>
          <t>Minimum paid</t>
        </is>
      </c>
      <c r="AT7" s="17" t="inlineStr">
        <is>
          <t>Extra paid</t>
        </is>
      </c>
      <c r="AU7" s="17" t="inlineStr">
        <is>
          <t>End balance</t>
        </is>
      </c>
      <c r="AW7" s="17" t="inlineStr">
        <is>
          <t>Start balance</t>
        </is>
      </c>
      <c r="AX7" s="17" t="inlineStr">
        <is>
          <t>Interest</t>
        </is>
      </c>
      <c r="AY7" s="17" t="inlineStr">
        <is>
          <t>Minimum paid</t>
        </is>
      </c>
      <c r="AZ7" s="17" t="inlineStr">
        <is>
          <t>Extra paid</t>
        </is>
      </c>
      <c r="BA7" s="17" t="inlineStr">
        <is>
          <t>End balance</t>
        </is>
      </c>
      <c r="BC7" s="17" t="inlineStr">
        <is>
          <t>Start balance</t>
        </is>
      </c>
      <c r="BD7" s="17" t="inlineStr">
        <is>
          <t>Interest</t>
        </is>
      </c>
      <c r="BE7" s="17" t="inlineStr">
        <is>
          <t>Minimum paid</t>
        </is>
      </c>
      <c r="BF7" s="17" t="inlineStr">
        <is>
          <t>Extra paid</t>
        </is>
      </c>
      <c r="BG7" s="17" t="inlineStr">
        <is>
          <t>End balance</t>
        </is>
      </c>
      <c r="BI7" s="17" t="inlineStr">
        <is>
          <t>Start balance</t>
        </is>
      </c>
      <c r="BJ7" s="17" t="inlineStr">
        <is>
          <t>Interest</t>
        </is>
      </c>
      <c r="BK7" s="17" t="inlineStr">
        <is>
          <t>Minimum paid</t>
        </is>
      </c>
      <c r="BL7" s="17" t="inlineStr">
        <is>
          <t>Extra paid</t>
        </is>
      </c>
      <c r="BM7" s="17" t="inlineStr">
        <is>
          <t>End balance</t>
        </is>
      </c>
    </row>
    <row r="8">
      <c r="A8" s="39" t="n">
        <v>1</v>
      </c>
      <c r="B8" s="40">
        <f>EDATE('My Debts'!$C$6,A8-1)</f>
        <v/>
      </c>
      <c r="C8" s="41">
        <f>K8+Q8+W8+AC8+AI8+AO8+AU8+BA8+BG8+BM8</f>
        <v/>
      </c>
      <c r="D8" s="42">
        <f>I8+O8+U8+AA8+AG8+AM8+AS8+AY8+BE8+BK8+J8+P8+V8+AB8+AH8+AN8+AT8+AZ8+BF8+BL8</f>
        <v/>
      </c>
      <c r="E8" s="42">
        <f>H8+N8+T8+Z8+AF8+AL8+AR8+AX8+BD8+BJ8</f>
        <v/>
      </c>
      <c r="F8">
        <f>MAX(0,'My Debts'!$E$21-(I8+O8+U8+AA8+AG8+AM8+AS8+AY8+BE8+BK8))</f>
        <v/>
      </c>
      <c r="G8" s="42">
        <f>J$6</f>
        <v/>
      </c>
      <c r="H8" s="42">
        <f>ROUND(G8*H$6/12,2)</f>
        <v/>
      </c>
      <c r="I8" s="42">
        <f>MIN(I$6,G8+H8)</f>
        <v/>
      </c>
      <c r="J8" s="42">
        <f>MAX(0,MIN(G8+H8-I8,$F8))</f>
        <v/>
      </c>
      <c r="K8" s="42">
        <f>ROUND(G8+H8-I8-J8,2)</f>
        <v/>
      </c>
      <c r="L8">
        <f>$F8-J8</f>
        <v/>
      </c>
      <c r="M8" s="42">
        <f>P$6</f>
        <v/>
      </c>
      <c r="N8" s="42">
        <f>ROUND(M8*N$6/12,2)</f>
        <v/>
      </c>
      <c r="O8" s="42">
        <f>MIN(O$6,M8+N8)</f>
        <v/>
      </c>
      <c r="P8" s="42">
        <f>MAX(0,MIN(M8+N8-O8,L8))</f>
        <v/>
      </c>
      <c r="Q8" s="42">
        <f>ROUND(M8+N8-O8-P8,2)</f>
        <v/>
      </c>
      <c r="R8">
        <f>L8-P8</f>
        <v/>
      </c>
      <c r="S8" s="42">
        <f>V$6</f>
        <v/>
      </c>
      <c r="T8" s="42">
        <f>ROUND(S8*T$6/12,2)</f>
        <v/>
      </c>
      <c r="U8" s="42">
        <f>MIN(U$6,S8+T8)</f>
        <v/>
      </c>
      <c r="V8" s="42">
        <f>MAX(0,MIN(S8+T8-U8,R8))</f>
        <v/>
      </c>
      <c r="W8" s="42">
        <f>ROUND(S8+T8-U8-V8,2)</f>
        <v/>
      </c>
      <c r="X8">
        <f>R8-V8</f>
        <v/>
      </c>
      <c r="Y8" s="42">
        <f>AB$6</f>
        <v/>
      </c>
      <c r="Z8" s="42">
        <f>ROUND(Y8*Z$6/12,2)</f>
        <v/>
      </c>
      <c r="AA8" s="42">
        <f>MIN(AA$6,Y8+Z8)</f>
        <v/>
      </c>
      <c r="AB8" s="42">
        <f>MAX(0,MIN(Y8+Z8-AA8,X8))</f>
        <v/>
      </c>
      <c r="AC8" s="42">
        <f>ROUND(Y8+Z8-AA8-AB8,2)</f>
        <v/>
      </c>
      <c r="AD8">
        <f>X8-AB8</f>
        <v/>
      </c>
      <c r="AE8" s="42">
        <f>AH$6</f>
        <v/>
      </c>
      <c r="AF8" s="42">
        <f>ROUND(AE8*AF$6/12,2)</f>
        <v/>
      </c>
      <c r="AG8" s="42">
        <f>MIN(AG$6,AE8+AF8)</f>
        <v/>
      </c>
      <c r="AH8" s="42">
        <f>MAX(0,MIN(AE8+AF8-AG8,AD8))</f>
        <v/>
      </c>
      <c r="AI8" s="42">
        <f>ROUND(AE8+AF8-AG8-AH8,2)</f>
        <v/>
      </c>
      <c r="AJ8">
        <f>AD8-AH8</f>
        <v/>
      </c>
      <c r="AK8" s="42">
        <f>AN$6</f>
        <v/>
      </c>
      <c r="AL8" s="42">
        <f>ROUND(AK8*AL$6/12,2)</f>
        <v/>
      </c>
      <c r="AM8" s="42">
        <f>MIN(AM$6,AK8+AL8)</f>
        <v/>
      </c>
      <c r="AN8" s="42">
        <f>MAX(0,MIN(AK8+AL8-AM8,AJ8))</f>
        <v/>
      </c>
      <c r="AO8" s="42">
        <f>ROUND(AK8+AL8-AM8-AN8,2)</f>
        <v/>
      </c>
      <c r="AP8">
        <f>AJ8-AN8</f>
        <v/>
      </c>
      <c r="AQ8" s="42">
        <f>AT$6</f>
        <v/>
      </c>
      <c r="AR8" s="42">
        <f>ROUND(AQ8*AR$6/12,2)</f>
        <v/>
      </c>
      <c r="AS8" s="42">
        <f>MIN(AS$6,AQ8+AR8)</f>
        <v/>
      </c>
      <c r="AT8" s="42">
        <f>MAX(0,MIN(AQ8+AR8-AS8,AP8))</f>
        <v/>
      </c>
      <c r="AU8" s="42">
        <f>ROUND(AQ8+AR8-AS8-AT8,2)</f>
        <v/>
      </c>
      <c r="AV8">
        <f>AP8-AT8</f>
        <v/>
      </c>
      <c r="AW8" s="42">
        <f>AZ$6</f>
        <v/>
      </c>
      <c r="AX8" s="42">
        <f>ROUND(AW8*AX$6/12,2)</f>
        <v/>
      </c>
      <c r="AY8" s="42">
        <f>MIN(AY$6,AW8+AX8)</f>
        <v/>
      </c>
      <c r="AZ8" s="42">
        <f>MAX(0,MIN(AW8+AX8-AY8,AV8))</f>
        <v/>
      </c>
      <c r="BA8" s="42">
        <f>ROUND(AW8+AX8-AY8-AZ8,2)</f>
        <v/>
      </c>
      <c r="BB8">
        <f>AV8-AZ8</f>
        <v/>
      </c>
      <c r="BC8" s="42">
        <f>BF$6</f>
        <v/>
      </c>
      <c r="BD8" s="42">
        <f>ROUND(BC8*BD$6/12,2)</f>
        <v/>
      </c>
      <c r="BE8" s="42">
        <f>MIN(BE$6,BC8+BD8)</f>
        <v/>
      </c>
      <c r="BF8" s="42">
        <f>MAX(0,MIN(BC8+BD8-BE8,BB8))</f>
        <v/>
      </c>
      <c r="BG8" s="42">
        <f>ROUND(BC8+BD8-BE8-BF8,2)</f>
        <v/>
      </c>
      <c r="BH8">
        <f>BB8-BF8</f>
        <v/>
      </c>
      <c r="BI8" s="42">
        <f>BL$6</f>
        <v/>
      </c>
      <c r="BJ8" s="42">
        <f>ROUND(BI8*BJ$6/12,2)</f>
        <v/>
      </c>
      <c r="BK8" s="42">
        <f>MIN(BK$6,BI8+BJ8)</f>
        <v/>
      </c>
      <c r="BL8" s="42">
        <f>MAX(0,MIN(BI8+BJ8-BK8,BH8))</f>
        <v/>
      </c>
      <c r="BM8" s="42">
        <f>ROUND(BI8+BJ8-BK8-BL8,2)</f>
        <v/>
      </c>
      <c r="BN8">
        <f>BH8-BL8</f>
        <v/>
      </c>
    </row>
    <row r="9">
      <c r="A9" s="43" t="n">
        <v>2</v>
      </c>
      <c r="B9" s="44">
        <f>EDATE('My Debts'!$C$6,A9-1)</f>
        <v/>
      </c>
      <c r="C9" s="45">
        <f>K9+Q9+W9+AC9+AI9+AO9+AU9+BA9+BG9+BM9</f>
        <v/>
      </c>
      <c r="D9" s="46">
        <f>I9+O9+U9+AA9+AG9+AM9+AS9+AY9+BE9+BK9+J9+P9+V9+AB9+AH9+AN9+AT9+AZ9+BF9+BL9</f>
        <v/>
      </c>
      <c r="E9" s="46">
        <f>H9+N9+T9+Z9+AF9+AL9+AR9+AX9+BD9+BJ9</f>
        <v/>
      </c>
      <c r="F9">
        <f>MAX(0,'My Debts'!$E$21-(I9+O9+U9+AA9+AG9+AM9+AS9+AY9+BE9+BK9))</f>
        <v/>
      </c>
      <c r="G9" s="42">
        <f>K8</f>
        <v/>
      </c>
      <c r="H9" s="42">
        <f>ROUND(G9*H$6/12,2)</f>
        <v/>
      </c>
      <c r="I9" s="42">
        <f>MIN(I$6,G9+H9)</f>
        <v/>
      </c>
      <c r="J9" s="42">
        <f>MAX(0,MIN(G9+H9-I9,$F9))</f>
        <v/>
      </c>
      <c r="K9" s="42">
        <f>ROUND(G9+H9-I9-J9,2)</f>
        <v/>
      </c>
      <c r="L9">
        <f>$F9-J9</f>
        <v/>
      </c>
      <c r="M9" s="42">
        <f>Q8</f>
        <v/>
      </c>
      <c r="N9" s="42">
        <f>ROUND(M9*N$6/12,2)</f>
        <v/>
      </c>
      <c r="O9" s="42">
        <f>MIN(O$6,M9+N9)</f>
        <v/>
      </c>
      <c r="P9" s="42">
        <f>MAX(0,MIN(M9+N9-O9,L9))</f>
        <v/>
      </c>
      <c r="Q9" s="42">
        <f>ROUND(M9+N9-O9-P9,2)</f>
        <v/>
      </c>
      <c r="R9">
        <f>L9-P9</f>
        <v/>
      </c>
      <c r="S9" s="42">
        <f>W8</f>
        <v/>
      </c>
      <c r="T9" s="42">
        <f>ROUND(S9*T$6/12,2)</f>
        <v/>
      </c>
      <c r="U9" s="42">
        <f>MIN(U$6,S9+T9)</f>
        <v/>
      </c>
      <c r="V9" s="42">
        <f>MAX(0,MIN(S9+T9-U9,R9))</f>
        <v/>
      </c>
      <c r="W9" s="42">
        <f>ROUND(S9+T9-U9-V9,2)</f>
        <v/>
      </c>
      <c r="X9">
        <f>R9-V9</f>
        <v/>
      </c>
      <c r="Y9" s="42">
        <f>AC8</f>
        <v/>
      </c>
      <c r="Z9" s="42">
        <f>ROUND(Y9*Z$6/12,2)</f>
        <v/>
      </c>
      <c r="AA9" s="42">
        <f>MIN(AA$6,Y9+Z9)</f>
        <v/>
      </c>
      <c r="AB9" s="42">
        <f>MAX(0,MIN(Y9+Z9-AA9,X9))</f>
        <v/>
      </c>
      <c r="AC9" s="42">
        <f>ROUND(Y9+Z9-AA9-AB9,2)</f>
        <v/>
      </c>
      <c r="AD9">
        <f>X9-AB9</f>
        <v/>
      </c>
      <c r="AE9" s="42">
        <f>AI8</f>
        <v/>
      </c>
      <c r="AF9" s="42">
        <f>ROUND(AE9*AF$6/12,2)</f>
        <v/>
      </c>
      <c r="AG9" s="42">
        <f>MIN(AG$6,AE9+AF9)</f>
        <v/>
      </c>
      <c r="AH9" s="42">
        <f>MAX(0,MIN(AE9+AF9-AG9,AD9))</f>
        <v/>
      </c>
      <c r="AI9" s="42">
        <f>ROUND(AE9+AF9-AG9-AH9,2)</f>
        <v/>
      </c>
      <c r="AJ9">
        <f>AD9-AH9</f>
        <v/>
      </c>
      <c r="AK9" s="42">
        <f>AO8</f>
        <v/>
      </c>
      <c r="AL9" s="42">
        <f>ROUND(AK9*AL$6/12,2)</f>
        <v/>
      </c>
      <c r="AM9" s="42">
        <f>MIN(AM$6,AK9+AL9)</f>
        <v/>
      </c>
      <c r="AN9" s="42">
        <f>MAX(0,MIN(AK9+AL9-AM9,AJ9))</f>
        <v/>
      </c>
      <c r="AO9" s="42">
        <f>ROUND(AK9+AL9-AM9-AN9,2)</f>
        <v/>
      </c>
      <c r="AP9">
        <f>AJ9-AN9</f>
        <v/>
      </c>
      <c r="AQ9" s="42">
        <f>AU8</f>
        <v/>
      </c>
      <c r="AR9" s="42">
        <f>ROUND(AQ9*AR$6/12,2)</f>
        <v/>
      </c>
      <c r="AS9" s="42">
        <f>MIN(AS$6,AQ9+AR9)</f>
        <v/>
      </c>
      <c r="AT9" s="42">
        <f>MAX(0,MIN(AQ9+AR9-AS9,AP9))</f>
        <v/>
      </c>
      <c r="AU9" s="42">
        <f>ROUND(AQ9+AR9-AS9-AT9,2)</f>
        <v/>
      </c>
      <c r="AV9">
        <f>AP9-AT9</f>
        <v/>
      </c>
      <c r="AW9" s="42">
        <f>BA8</f>
        <v/>
      </c>
      <c r="AX9" s="42">
        <f>ROUND(AW9*AX$6/12,2)</f>
        <v/>
      </c>
      <c r="AY9" s="42">
        <f>MIN(AY$6,AW9+AX9)</f>
        <v/>
      </c>
      <c r="AZ9" s="42">
        <f>MAX(0,MIN(AW9+AX9-AY9,AV9))</f>
        <v/>
      </c>
      <c r="BA9" s="42">
        <f>ROUND(AW9+AX9-AY9-AZ9,2)</f>
        <v/>
      </c>
      <c r="BB9">
        <f>AV9-AZ9</f>
        <v/>
      </c>
      <c r="BC9" s="42">
        <f>BG8</f>
        <v/>
      </c>
      <c r="BD9" s="42">
        <f>ROUND(BC9*BD$6/12,2)</f>
        <v/>
      </c>
      <c r="BE9" s="42">
        <f>MIN(BE$6,BC9+BD9)</f>
        <v/>
      </c>
      <c r="BF9" s="42">
        <f>MAX(0,MIN(BC9+BD9-BE9,BB9))</f>
        <v/>
      </c>
      <c r="BG9" s="42">
        <f>ROUND(BC9+BD9-BE9-BF9,2)</f>
        <v/>
      </c>
      <c r="BH9">
        <f>BB9-BF9</f>
        <v/>
      </c>
      <c r="BI9" s="42">
        <f>BM8</f>
        <v/>
      </c>
      <c r="BJ9" s="42">
        <f>ROUND(BI9*BJ$6/12,2)</f>
        <v/>
      </c>
      <c r="BK9" s="42">
        <f>MIN(BK$6,BI9+BJ9)</f>
        <v/>
      </c>
      <c r="BL9" s="42">
        <f>MAX(0,MIN(BI9+BJ9-BK9,BH9))</f>
        <v/>
      </c>
      <c r="BM9" s="42">
        <f>ROUND(BI9+BJ9-BK9-BL9,2)</f>
        <v/>
      </c>
      <c r="BN9">
        <f>BH9-BL9</f>
        <v/>
      </c>
    </row>
    <row r="10">
      <c r="A10" s="39" t="n">
        <v>3</v>
      </c>
      <c r="B10" s="40">
        <f>EDATE('My Debts'!$C$6,A10-1)</f>
        <v/>
      </c>
      <c r="C10" s="41">
        <f>K10+Q10+W10+AC10+AI10+AO10+AU10+BA10+BG10+BM10</f>
        <v/>
      </c>
      <c r="D10" s="42">
        <f>I10+O10+U10+AA10+AG10+AM10+AS10+AY10+BE10+BK10+J10+P10+V10+AB10+AH10+AN10+AT10+AZ10+BF10+BL10</f>
        <v/>
      </c>
      <c r="E10" s="42">
        <f>H10+N10+T10+Z10+AF10+AL10+AR10+AX10+BD10+BJ10</f>
        <v/>
      </c>
      <c r="F10">
        <f>MAX(0,'My Debts'!$E$21-(I10+O10+U10+AA10+AG10+AM10+AS10+AY10+BE10+BK10))</f>
        <v/>
      </c>
      <c r="G10" s="42">
        <f>K9</f>
        <v/>
      </c>
      <c r="H10" s="42">
        <f>ROUND(G10*H$6/12,2)</f>
        <v/>
      </c>
      <c r="I10" s="42">
        <f>MIN(I$6,G10+H10)</f>
        <v/>
      </c>
      <c r="J10" s="42">
        <f>MAX(0,MIN(G10+H10-I10,$F10))</f>
        <v/>
      </c>
      <c r="K10" s="42">
        <f>ROUND(G10+H10-I10-J10,2)</f>
        <v/>
      </c>
      <c r="L10">
        <f>$F10-J10</f>
        <v/>
      </c>
      <c r="M10" s="42">
        <f>Q9</f>
        <v/>
      </c>
      <c r="N10" s="42">
        <f>ROUND(M10*N$6/12,2)</f>
        <v/>
      </c>
      <c r="O10" s="42">
        <f>MIN(O$6,M10+N10)</f>
        <v/>
      </c>
      <c r="P10" s="42">
        <f>MAX(0,MIN(M10+N10-O10,L10))</f>
        <v/>
      </c>
      <c r="Q10" s="42">
        <f>ROUND(M10+N10-O10-P10,2)</f>
        <v/>
      </c>
      <c r="R10">
        <f>L10-P10</f>
        <v/>
      </c>
      <c r="S10" s="42">
        <f>W9</f>
        <v/>
      </c>
      <c r="T10" s="42">
        <f>ROUND(S10*T$6/12,2)</f>
        <v/>
      </c>
      <c r="U10" s="42">
        <f>MIN(U$6,S10+T10)</f>
        <v/>
      </c>
      <c r="V10" s="42">
        <f>MAX(0,MIN(S10+T10-U10,R10))</f>
        <v/>
      </c>
      <c r="W10" s="42">
        <f>ROUND(S10+T10-U10-V10,2)</f>
        <v/>
      </c>
      <c r="X10">
        <f>R10-V10</f>
        <v/>
      </c>
      <c r="Y10" s="42">
        <f>AC9</f>
        <v/>
      </c>
      <c r="Z10" s="42">
        <f>ROUND(Y10*Z$6/12,2)</f>
        <v/>
      </c>
      <c r="AA10" s="42">
        <f>MIN(AA$6,Y10+Z10)</f>
        <v/>
      </c>
      <c r="AB10" s="42">
        <f>MAX(0,MIN(Y10+Z10-AA10,X10))</f>
        <v/>
      </c>
      <c r="AC10" s="42">
        <f>ROUND(Y10+Z10-AA10-AB10,2)</f>
        <v/>
      </c>
      <c r="AD10">
        <f>X10-AB10</f>
        <v/>
      </c>
      <c r="AE10" s="42">
        <f>AI9</f>
        <v/>
      </c>
      <c r="AF10" s="42">
        <f>ROUND(AE10*AF$6/12,2)</f>
        <v/>
      </c>
      <c r="AG10" s="42">
        <f>MIN(AG$6,AE10+AF10)</f>
        <v/>
      </c>
      <c r="AH10" s="42">
        <f>MAX(0,MIN(AE10+AF10-AG10,AD10))</f>
        <v/>
      </c>
      <c r="AI10" s="42">
        <f>ROUND(AE10+AF10-AG10-AH10,2)</f>
        <v/>
      </c>
      <c r="AJ10">
        <f>AD10-AH10</f>
        <v/>
      </c>
      <c r="AK10" s="42">
        <f>AO9</f>
        <v/>
      </c>
      <c r="AL10" s="42">
        <f>ROUND(AK10*AL$6/12,2)</f>
        <v/>
      </c>
      <c r="AM10" s="42">
        <f>MIN(AM$6,AK10+AL10)</f>
        <v/>
      </c>
      <c r="AN10" s="42">
        <f>MAX(0,MIN(AK10+AL10-AM10,AJ10))</f>
        <v/>
      </c>
      <c r="AO10" s="42">
        <f>ROUND(AK10+AL10-AM10-AN10,2)</f>
        <v/>
      </c>
      <c r="AP10">
        <f>AJ10-AN10</f>
        <v/>
      </c>
      <c r="AQ10" s="42">
        <f>AU9</f>
        <v/>
      </c>
      <c r="AR10" s="42">
        <f>ROUND(AQ10*AR$6/12,2)</f>
        <v/>
      </c>
      <c r="AS10" s="42">
        <f>MIN(AS$6,AQ10+AR10)</f>
        <v/>
      </c>
      <c r="AT10" s="42">
        <f>MAX(0,MIN(AQ10+AR10-AS10,AP10))</f>
        <v/>
      </c>
      <c r="AU10" s="42">
        <f>ROUND(AQ10+AR10-AS10-AT10,2)</f>
        <v/>
      </c>
      <c r="AV10">
        <f>AP10-AT10</f>
        <v/>
      </c>
      <c r="AW10" s="42">
        <f>BA9</f>
        <v/>
      </c>
      <c r="AX10" s="42">
        <f>ROUND(AW10*AX$6/12,2)</f>
        <v/>
      </c>
      <c r="AY10" s="42">
        <f>MIN(AY$6,AW10+AX10)</f>
        <v/>
      </c>
      <c r="AZ10" s="42">
        <f>MAX(0,MIN(AW10+AX10-AY10,AV10))</f>
        <v/>
      </c>
      <c r="BA10" s="42">
        <f>ROUND(AW10+AX10-AY10-AZ10,2)</f>
        <v/>
      </c>
      <c r="BB10">
        <f>AV10-AZ10</f>
        <v/>
      </c>
      <c r="BC10" s="42">
        <f>BG9</f>
        <v/>
      </c>
      <c r="BD10" s="42">
        <f>ROUND(BC10*BD$6/12,2)</f>
        <v/>
      </c>
      <c r="BE10" s="42">
        <f>MIN(BE$6,BC10+BD10)</f>
        <v/>
      </c>
      <c r="BF10" s="42">
        <f>MAX(0,MIN(BC10+BD10-BE10,BB10))</f>
        <v/>
      </c>
      <c r="BG10" s="42">
        <f>ROUND(BC10+BD10-BE10-BF10,2)</f>
        <v/>
      </c>
      <c r="BH10">
        <f>BB10-BF10</f>
        <v/>
      </c>
      <c r="BI10" s="42">
        <f>BM9</f>
        <v/>
      </c>
      <c r="BJ10" s="42">
        <f>ROUND(BI10*BJ$6/12,2)</f>
        <v/>
      </c>
      <c r="BK10" s="42">
        <f>MIN(BK$6,BI10+BJ10)</f>
        <v/>
      </c>
      <c r="BL10" s="42">
        <f>MAX(0,MIN(BI10+BJ10-BK10,BH10))</f>
        <v/>
      </c>
      <c r="BM10" s="42">
        <f>ROUND(BI10+BJ10-BK10-BL10,2)</f>
        <v/>
      </c>
      <c r="BN10">
        <f>BH10-BL10</f>
        <v/>
      </c>
    </row>
    <row r="11">
      <c r="A11" s="43" t="n">
        <v>4</v>
      </c>
      <c r="B11" s="44">
        <f>EDATE('My Debts'!$C$6,A11-1)</f>
        <v/>
      </c>
      <c r="C11" s="45">
        <f>K11+Q11+W11+AC11+AI11+AO11+AU11+BA11+BG11+BM11</f>
        <v/>
      </c>
      <c r="D11" s="46">
        <f>I11+O11+U11+AA11+AG11+AM11+AS11+AY11+BE11+BK11+J11+P11+V11+AB11+AH11+AN11+AT11+AZ11+BF11+BL11</f>
        <v/>
      </c>
      <c r="E11" s="46">
        <f>H11+N11+T11+Z11+AF11+AL11+AR11+AX11+BD11+BJ11</f>
        <v/>
      </c>
      <c r="F11">
        <f>MAX(0,'My Debts'!$E$21-(I11+O11+U11+AA11+AG11+AM11+AS11+AY11+BE11+BK11))</f>
        <v/>
      </c>
      <c r="G11" s="42">
        <f>K10</f>
        <v/>
      </c>
      <c r="H11" s="42">
        <f>ROUND(G11*H$6/12,2)</f>
        <v/>
      </c>
      <c r="I11" s="42">
        <f>MIN(I$6,G11+H11)</f>
        <v/>
      </c>
      <c r="J11" s="42">
        <f>MAX(0,MIN(G11+H11-I11,$F11))</f>
        <v/>
      </c>
      <c r="K11" s="42">
        <f>ROUND(G11+H11-I11-J11,2)</f>
        <v/>
      </c>
      <c r="L11">
        <f>$F11-J11</f>
        <v/>
      </c>
      <c r="M11" s="42">
        <f>Q10</f>
        <v/>
      </c>
      <c r="N11" s="42">
        <f>ROUND(M11*N$6/12,2)</f>
        <v/>
      </c>
      <c r="O11" s="42">
        <f>MIN(O$6,M11+N11)</f>
        <v/>
      </c>
      <c r="P11" s="42">
        <f>MAX(0,MIN(M11+N11-O11,L11))</f>
        <v/>
      </c>
      <c r="Q11" s="42">
        <f>ROUND(M11+N11-O11-P11,2)</f>
        <v/>
      </c>
      <c r="R11">
        <f>L11-P11</f>
        <v/>
      </c>
      <c r="S11" s="42">
        <f>W10</f>
        <v/>
      </c>
      <c r="T11" s="42">
        <f>ROUND(S11*T$6/12,2)</f>
        <v/>
      </c>
      <c r="U11" s="42">
        <f>MIN(U$6,S11+T11)</f>
        <v/>
      </c>
      <c r="V11" s="42">
        <f>MAX(0,MIN(S11+T11-U11,R11))</f>
        <v/>
      </c>
      <c r="W11" s="42">
        <f>ROUND(S11+T11-U11-V11,2)</f>
        <v/>
      </c>
      <c r="X11">
        <f>R11-V11</f>
        <v/>
      </c>
      <c r="Y11" s="42">
        <f>AC10</f>
        <v/>
      </c>
      <c r="Z11" s="42">
        <f>ROUND(Y11*Z$6/12,2)</f>
        <v/>
      </c>
      <c r="AA11" s="42">
        <f>MIN(AA$6,Y11+Z11)</f>
        <v/>
      </c>
      <c r="AB11" s="42">
        <f>MAX(0,MIN(Y11+Z11-AA11,X11))</f>
        <v/>
      </c>
      <c r="AC11" s="42">
        <f>ROUND(Y11+Z11-AA11-AB11,2)</f>
        <v/>
      </c>
      <c r="AD11">
        <f>X11-AB11</f>
        <v/>
      </c>
      <c r="AE11" s="42">
        <f>AI10</f>
        <v/>
      </c>
      <c r="AF11" s="42">
        <f>ROUND(AE11*AF$6/12,2)</f>
        <v/>
      </c>
      <c r="AG11" s="42">
        <f>MIN(AG$6,AE11+AF11)</f>
        <v/>
      </c>
      <c r="AH11" s="42">
        <f>MAX(0,MIN(AE11+AF11-AG11,AD11))</f>
        <v/>
      </c>
      <c r="AI11" s="42">
        <f>ROUND(AE11+AF11-AG11-AH11,2)</f>
        <v/>
      </c>
      <c r="AJ11">
        <f>AD11-AH11</f>
        <v/>
      </c>
      <c r="AK11" s="42">
        <f>AO10</f>
        <v/>
      </c>
      <c r="AL11" s="42">
        <f>ROUND(AK11*AL$6/12,2)</f>
        <v/>
      </c>
      <c r="AM11" s="42">
        <f>MIN(AM$6,AK11+AL11)</f>
        <v/>
      </c>
      <c r="AN11" s="42">
        <f>MAX(0,MIN(AK11+AL11-AM11,AJ11))</f>
        <v/>
      </c>
      <c r="AO11" s="42">
        <f>ROUND(AK11+AL11-AM11-AN11,2)</f>
        <v/>
      </c>
      <c r="AP11">
        <f>AJ11-AN11</f>
        <v/>
      </c>
      <c r="AQ11" s="42">
        <f>AU10</f>
        <v/>
      </c>
      <c r="AR11" s="42">
        <f>ROUND(AQ11*AR$6/12,2)</f>
        <v/>
      </c>
      <c r="AS11" s="42">
        <f>MIN(AS$6,AQ11+AR11)</f>
        <v/>
      </c>
      <c r="AT11" s="42">
        <f>MAX(0,MIN(AQ11+AR11-AS11,AP11))</f>
        <v/>
      </c>
      <c r="AU11" s="42">
        <f>ROUND(AQ11+AR11-AS11-AT11,2)</f>
        <v/>
      </c>
      <c r="AV11">
        <f>AP11-AT11</f>
        <v/>
      </c>
      <c r="AW11" s="42">
        <f>BA10</f>
        <v/>
      </c>
      <c r="AX11" s="42">
        <f>ROUND(AW11*AX$6/12,2)</f>
        <v/>
      </c>
      <c r="AY11" s="42">
        <f>MIN(AY$6,AW11+AX11)</f>
        <v/>
      </c>
      <c r="AZ11" s="42">
        <f>MAX(0,MIN(AW11+AX11-AY11,AV11))</f>
        <v/>
      </c>
      <c r="BA11" s="42">
        <f>ROUND(AW11+AX11-AY11-AZ11,2)</f>
        <v/>
      </c>
      <c r="BB11">
        <f>AV11-AZ11</f>
        <v/>
      </c>
      <c r="BC11" s="42">
        <f>BG10</f>
        <v/>
      </c>
      <c r="BD11" s="42">
        <f>ROUND(BC11*BD$6/12,2)</f>
        <v/>
      </c>
      <c r="BE11" s="42">
        <f>MIN(BE$6,BC11+BD11)</f>
        <v/>
      </c>
      <c r="BF11" s="42">
        <f>MAX(0,MIN(BC11+BD11-BE11,BB11))</f>
        <v/>
      </c>
      <c r="BG11" s="42">
        <f>ROUND(BC11+BD11-BE11-BF11,2)</f>
        <v/>
      </c>
      <c r="BH11">
        <f>BB11-BF11</f>
        <v/>
      </c>
      <c r="BI11" s="42">
        <f>BM10</f>
        <v/>
      </c>
      <c r="BJ11" s="42">
        <f>ROUND(BI11*BJ$6/12,2)</f>
        <v/>
      </c>
      <c r="BK11" s="42">
        <f>MIN(BK$6,BI11+BJ11)</f>
        <v/>
      </c>
      <c r="BL11" s="42">
        <f>MAX(0,MIN(BI11+BJ11-BK11,BH11))</f>
        <v/>
      </c>
      <c r="BM11" s="42">
        <f>ROUND(BI11+BJ11-BK11-BL11,2)</f>
        <v/>
      </c>
      <c r="BN11">
        <f>BH11-BL11</f>
        <v/>
      </c>
    </row>
    <row r="12">
      <c r="A12" s="39" t="n">
        <v>5</v>
      </c>
      <c r="B12" s="40">
        <f>EDATE('My Debts'!$C$6,A12-1)</f>
        <v/>
      </c>
      <c r="C12" s="41">
        <f>K12+Q12+W12+AC12+AI12+AO12+AU12+BA12+BG12+BM12</f>
        <v/>
      </c>
      <c r="D12" s="42">
        <f>I12+O12+U12+AA12+AG12+AM12+AS12+AY12+BE12+BK12+J12+P12+V12+AB12+AH12+AN12+AT12+AZ12+BF12+BL12</f>
        <v/>
      </c>
      <c r="E12" s="42">
        <f>H12+N12+T12+Z12+AF12+AL12+AR12+AX12+BD12+BJ12</f>
        <v/>
      </c>
      <c r="F12">
        <f>MAX(0,'My Debts'!$E$21-(I12+O12+U12+AA12+AG12+AM12+AS12+AY12+BE12+BK12))</f>
        <v/>
      </c>
      <c r="G12" s="42">
        <f>K11</f>
        <v/>
      </c>
      <c r="H12" s="42">
        <f>ROUND(G12*H$6/12,2)</f>
        <v/>
      </c>
      <c r="I12" s="42">
        <f>MIN(I$6,G12+H12)</f>
        <v/>
      </c>
      <c r="J12" s="42">
        <f>MAX(0,MIN(G12+H12-I12,$F12))</f>
        <v/>
      </c>
      <c r="K12" s="42">
        <f>ROUND(G12+H12-I12-J12,2)</f>
        <v/>
      </c>
      <c r="L12">
        <f>$F12-J12</f>
        <v/>
      </c>
      <c r="M12" s="42">
        <f>Q11</f>
        <v/>
      </c>
      <c r="N12" s="42">
        <f>ROUND(M12*N$6/12,2)</f>
        <v/>
      </c>
      <c r="O12" s="42">
        <f>MIN(O$6,M12+N12)</f>
        <v/>
      </c>
      <c r="P12" s="42">
        <f>MAX(0,MIN(M12+N12-O12,L12))</f>
        <v/>
      </c>
      <c r="Q12" s="42">
        <f>ROUND(M12+N12-O12-P12,2)</f>
        <v/>
      </c>
      <c r="R12">
        <f>L12-P12</f>
        <v/>
      </c>
      <c r="S12" s="42">
        <f>W11</f>
        <v/>
      </c>
      <c r="T12" s="42">
        <f>ROUND(S12*T$6/12,2)</f>
        <v/>
      </c>
      <c r="U12" s="42">
        <f>MIN(U$6,S12+T12)</f>
        <v/>
      </c>
      <c r="V12" s="42">
        <f>MAX(0,MIN(S12+T12-U12,R12))</f>
        <v/>
      </c>
      <c r="W12" s="42">
        <f>ROUND(S12+T12-U12-V12,2)</f>
        <v/>
      </c>
      <c r="X12">
        <f>R12-V12</f>
        <v/>
      </c>
      <c r="Y12" s="42">
        <f>AC11</f>
        <v/>
      </c>
      <c r="Z12" s="42">
        <f>ROUND(Y12*Z$6/12,2)</f>
        <v/>
      </c>
      <c r="AA12" s="42">
        <f>MIN(AA$6,Y12+Z12)</f>
        <v/>
      </c>
      <c r="AB12" s="42">
        <f>MAX(0,MIN(Y12+Z12-AA12,X12))</f>
        <v/>
      </c>
      <c r="AC12" s="42">
        <f>ROUND(Y12+Z12-AA12-AB12,2)</f>
        <v/>
      </c>
      <c r="AD12">
        <f>X12-AB12</f>
        <v/>
      </c>
      <c r="AE12" s="42">
        <f>AI11</f>
        <v/>
      </c>
      <c r="AF12" s="42">
        <f>ROUND(AE12*AF$6/12,2)</f>
        <v/>
      </c>
      <c r="AG12" s="42">
        <f>MIN(AG$6,AE12+AF12)</f>
        <v/>
      </c>
      <c r="AH12" s="42">
        <f>MAX(0,MIN(AE12+AF12-AG12,AD12))</f>
        <v/>
      </c>
      <c r="AI12" s="42">
        <f>ROUND(AE12+AF12-AG12-AH12,2)</f>
        <v/>
      </c>
      <c r="AJ12">
        <f>AD12-AH12</f>
        <v/>
      </c>
      <c r="AK12" s="42">
        <f>AO11</f>
        <v/>
      </c>
      <c r="AL12" s="42">
        <f>ROUND(AK12*AL$6/12,2)</f>
        <v/>
      </c>
      <c r="AM12" s="42">
        <f>MIN(AM$6,AK12+AL12)</f>
        <v/>
      </c>
      <c r="AN12" s="42">
        <f>MAX(0,MIN(AK12+AL12-AM12,AJ12))</f>
        <v/>
      </c>
      <c r="AO12" s="42">
        <f>ROUND(AK12+AL12-AM12-AN12,2)</f>
        <v/>
      </c>
      <c r="AP12">
        <f>AJ12-AN12</f>
        <v/>
      </c>
      <c r="AQ12" s="42">
        <f>AU11</f>
        <v/>
      </c>
      <c r="AR12" s="42">
        <f>ROUND(AQ12*AR$6/12,2)</f>
        <v/>
      </c>
      <c r="AS12" s="42">
        <f>MIN(AS$6,AQ12+AR12)</f>
        <v/>
      </c>
      <c r="AT12" s="42">
        <f>MAX(0,MIN(AQ12+AR12-AS12,AP12))</f>
        <v/>
      </c>
      <c r="AU12" s="42">
        <f>ROUND(AQ12+AR12-AS12-AT12,2)</f>
        <v/>
      </c>
      <c r="AV12">
        <f>AP12-AT12</f>
        <v/>
      </c>
      <c r="AW12" s="42">
        <f>BA11</f>
        <v/>
      </c>
      <c r="AX12" s="42">
        <f>ROUND(AW12*AX$6/12,2)</f>
        <v/>
      </c>
      <c r="AY12" s="42">
        <f>MIN(AY$6,AW12+AX12)</f>
        <v/>
      </c>
      <c r="AZ12" s="42">
        <f>MAX(0,MIN(AW12+AX12-AY12,AV12))</f>
        <v/>
      </c>
      <c r="BA12" s="42">
        <f>ROUND(AW12+AX12-AY12-AZ12,2)</f>
        <v/>
      </c>
      <c r="BB12">
        <f>AV12-AZ12</f>
        <v/>
      </c>
      <c r="BC12" s="42">
        <f>BG11</f>
        <v/>
      </c>
      <c r="BD12" s="42">
        <f>ROUND(BC12*BD$6/12,2)</f>
        <v/>
      </c>
      <c r="BE12" s="42">
        <f>MIN(BE$6,BC12+BD12)</f>
        <v/>
      </c>
      <c r="BF12" s="42">
        <f>MAX(0,MIN(BC12+BD12-BE12,BB12))</f>
        <v/>
      </c>
      <c r="BG12" s="42">
        <f>ROUND(BC12+BD12-BE12-BF12,2)</f>
        <v/>
      </c>
      <c r="BH12">
        <f>BB12-BF12</f>
        <v/>
      </c>
      <c r="BI12" s="42">
        <f>BM11</f>
        <v/>
      </c>
      <c r="BJ12" s="42">
        <f>ROUND(BI12*BJ$6/12,2)</f>
        <v/>
      </c>
      <c r="BK12" s="42">
        <f>MIN(BK$6,BI12+BJ12)</f>
        <v/>
      </c>
      <c r="BL12" s="42">
        <f>MAX(0,MIN(BI12+BJ12-BK12,BH12))</f>
        <v/>
      </c>
      <c r="BM12" s="42">
        <f>ROUND(BI12+BJ12-BK12-BL12,2)</f>
        <v/>
      </c>
      <c r="BN12">
        <f>BH12-BL12</f>
        <v/>
      </c>
    </row>
    <row r="13">
      <c r="A13" s="43" t="n">
        <v>6</v>
      </c>
      <c r="B13" s="44">
        <f>EDATE('My Debts'!$C$6,A13-1)</f>
        <v/>
      </c>
      <c r="C13" s="45">
        <f>K13+Q13+W13+AC13+AI13+AO13+AU13+BA13+BG13+BM13</f>
        <v/>
      </c>
      <c r="D13" s="46">
        <f>I13+O13+U13+AA13+AG13+AM13+AS13+AY13+BE13+BK13+J13+P13+V13+AB13+AH13+AN13+AT13+AZ13+BF13+BL13</f>
        <v/>
      </c>
      <c r="E13" s="46">
        <f>H13+N13+T13+Z13+AF13+AL13+AR13+AX13+BD13+BJ13</f>
        <v/>
      </c>
      <c r="F13">
        <f>MAX(0,'My Debts'!$E$21-(I13+O13+U13+AA13+AG13+AM13+AS13+AY13+BE13+BK13))</f>
        <v/>
      </c>
      <c r="G13" s="42">
        <f>K12</f>
        <v/>
      </c>
      <c r="H13" s="42">
        <f>ROUND(G13*H$6/12,2)</f>
        <v/>
      </c>
      <c r="I13" s="42">
        <f>MIN(I$6,G13+H13)</f>
        <v/>
      </c>
      <c r="J13" s="42">
        <f>MAX(0,MIN(G13+H13-I13,$F13))</f>
        <v/>
      </c>
      <c r="K13" s="42">
        <f>ROUND(G13+H13-I13-J13,2)</f>
        <v/>
      </c>
      <c r="L13">
        <f>$F13-J13</f>
        <v/>
      </c>
      <c r="M13" s="42">
        <f>Q12</f>
        <v/>
      </c>
      <c r="N13" s="42">
        <f>ROUND(M13*N$6/12,2)</f>
        <v/>
      </c>
      <c r="O13" s="42">
        <f>MIN(O$6,M13+N13)</f>
        <v/>
      </c>
      <c r="P13" s="42">
        <f>MAX(0,MIN(M13+N13-O13,L13))</f>
        <v/>
      </c>
      <c r="Q13" s="42">
        <f>ROUND(M13+N13-O13-P13,2)</f>
        <v/>
      </c>
      <c r="R13">
        <f>L13-P13</f>
        <v/>
      </c>
      <c r="S13" s="42">
        <f>W12</f>
        <v/>
      </c>
      <c r="T13" s="42">
        <f>ROUND(S13*T$6/12,2)</f>
        <v/>
      </c>
      <c r="U13" s="42">
        <f>MIN(U$6,S13+T13)</f>
        <v/>
      </c>
      <c r="V13" s="42">
        <f>MAX(0,MIN(S13+T13-U13,R13))</f>
        <v/>
      </c>
      <c r="W13" s="42">
        <f>ROUND(S13+T13-U13-V13,2)</f>
        <v/>
      </c>
      <c r="X13">
        <f>R13-V13</f>
        <v/>
      </c>
      <c r="Y13" s="42">
        <f>AC12</f>
        <v/>
      </c>
      <c r="Z13" s="42">
        <f>ROUND(Y13*Z$6/12,2)</f>
        <v/>
      </c>
      <c r="AA13" s="42">
        <f>MIN(AA$6,Y13+Z13)</f>
        <v/>
      </c>
      <c r="AB13" s="42">
        <f>MAX(0,MIN(Y13+Z13-AA13,X13))</f>
        <v/>
      </c>
      <c r="AC13" s="42">
        <f>ROUND(Y13+Z13-AA13-AB13,2)</f>
        <v/>
      </c>
      <c r="AD13">
        <f>X13-AB13</f>
        <v/>
      </c>
      <c r="AE13" s="42">
        <f>AI12</f>
        <v/>
      </c>
      <c r="AF13" s="42">
        <f>ROUND(AE13*AF$6/12,2)</f>
        <v/>
      </c>
      <c r="AG13" s="42">
        <f>MIN(AG$6,AE13+AF13)</f>
        <v/>
      </c>
      <c r="AH13" s="42">
        <f>MAX(0,MIN(AE13+AF13-AG13,AD13))</f>
        <v/>
      </c>
      <c r="AI13" s="42">
        <f>ROUND(AE13+AF13-AG13-AH13,2)</f>
        <v/>
      </c>
      <c r="AJ13">
        <f>AD13-AH13</f>
        <v/>
      </c>
      <c r="AK13" s="42">
        <f>AO12</f>
        <v/>
      </c>
      <c r="AL13" s="42">
        <f>ROUND(AK13*AL$6/12,2)</f>
        <v/>
      </c>
      <c r="AM13" s="42">
        <f>MIN(AM$6,AK13+AL13)</f>
        <v/>
      </c>
      <c r="AN13" s="42">
        <f>MAX(0,MIN(AK13+AL13-AM13,AJ13))</f>
        <v/>
      </c>
      <c r="AO13" s="42">
        <f>ROUND(AK13+AL13-AM13-AN13,2)</f>
        <v/>
      </c>
      <c r="AP13">
        <f>AJ13-AN13</f>
        <v/>
      </c>
      <c r="AQ13" s="42">
        <f>AU12</f>
        <v/>
      </c>
      <c r="AR13" s="42">
        <f>ROUND(AQ13*AR$6/12,2)</f>
        <v/>
      </c>
      <c r="AS13" s="42">
        <f>MIN(AS$6,AQ13+AR13)</f>
        <v/>
      </c>
      <c r="AT13" s="42">
        <f>MAX(0,MIN(AQ13+AR13-AS13,AP13))</f>
        <v/>
      </c>
      <c r="AU13" s="42">
        <f>ROUND(AQ13+AR13-AS13-AT13,2)</f>
        <v/>
      </c>
      <c r="AV13">
        <f>AP13-AT13</f>
        <v/>
      </c>
      <c r="AW13" s="42">
        <f>BA12</f>
        <v/>
      </c>
      <c r="AX13" s="42">
        <f>ROUND(AW13*AX$6/12,2)</f>
        <v/>
      </c>
      <c r="AY13" s="42">
        <f>MIN(AY$6,AW13+AX13)</f>
        <v/>
      </c>
      <c r="AZ13" s="42">
        <f>MAX(0,MIN(AW13+AX13-AY13,AV13))</f>
        <v/>
      </c>
      <c r="BA13" s="42">
        <f>ROUND(AW13+AX13-AY13-AZ13,2)</f>
        <v/>
      </c>
      <c r="BB13">
        <f>AV13-AZ13</f>
        <v/>
      </c>
      <c r="BC13" s="42">
        <f>BG12</f>
        <v/>
      </c>
      <c r="BD13" s="42">
        <f>ROUND(BC13*BD$6/12,2)</f>
        <v/>
      </c>
      <c r="BE13" s="42">
        <f>MIN(BE$6,BC13+BD13)</f>
        <v/>
      </c>
      <c r="BF13" s="42">
        <f>MAX(0,MIN(BC13+BD13-BE13,BB13))</f>
        <v/>
      </c>
      <c r="BG13" s="42">
        <f>ROUND(BC13+BD13-BE13-BF13,2)</f>
        <v/>
      </c>
      <c r="BH13">
        <f>BB13-BF13</f>
        <v/>
      </c>
      <c r="BI13" s="42">
        <f>BM12</f>
        <v/>
      </c>
      <c r="BJ13" s="42">
        <f>ROUND(BI13*BJ$6/12,2)</f>
        <v/>
      </c>
      <c r="BK13" s="42">
        <f>MIN(BK$6,BI13+BJ13)</f>
        <v/>
      </c>
      <c r="BL13" s="42">
        <f>MAX(0,MIN(BI13+BJ13-BK13,BH13))</f>
        <v/>
      </c>
      <c r="BM13" s="42">
        <f>ROUND(BI13+BJ13-BK13-BL13,2)</f>
        <v/>
      </c>
      <c r="BN13">
        <f>BH13-BL13</f>
        <v/>
      </c>
    </row>
    <row r="14">
      <c r="A14" s="39" t="n">
        <v>7</v>
      </c>
      <c r="B14" s="40">
        <f>EDATE('My Debts'!$C$6,A14-1)</f>
        <v/>
      </c>
      <c r="C14" s="41">
        <f>K14+Q14+W14+AC14+AI14+AO14+AU14+BA14+BG14+BM14</f>
        <v/>
      </c>
      <c r="D14" s="42">
        <f>I14+O14+U14+AA14+AG14+AM14+AS14+AY14+BE14+BK14+J14+P14+V14+AB14+AH14+AN14+AT14+AZ14+BF14+BL14</f>
        <v/>
      </c>
      <c r="E14" s="42">
        <f>H14+N14+T14+Z14+AF14+AL14+AR14+AX14+BD14+BJ14</f>
        <v/>
      </c>
      <c r="F14">
        <f>MAX(0,'My Debts'!$E$21-(I14+O14+U14+AA14+AG14+AM14+AS14+AY14+BE14+BK14))</f>
        <v/>
      </c>
      <c r="G14" s="42">
        <f>K13</f>
        <v/>
      </c>
      <c r="H14" s="42">
        <f>ROUND(G14*H$6/12,2)</f>
        <v/>
      </c>
      <c r="I14" s="42">
        <f>MIN(I$6,G14+H14)</f>
        <v/>
      </c>
      <c r="J14" s="42">
        <f>MAX(0,MIN(G14+H14-I14,$F14))</f>
        <v/>
      </c>
      <c r="K14" s="42">
        <f>ROUND(G14+H14-I14-J14,2)</f>
        <v/>
      </c>
      <c r="L14">
        <f>$F14-J14</f>
        <v/>
      </c>
      <c r="M14" s="42">
        <f>Q13</f>
        <v/>
      </c>
      <c r="N14" s="42">
        <f>ROUND(M14*N$6/12,2)</f>
        <v/>
      </c>
      <c r="O14" s="42">
        <f>MIN(O$6,M14+N14)</f>
        <v/>
      </c>
      <c r="P14" s="42">
        <f>MAX(0,MIN(M14+N14-O14,L14))</f>
        <v/>
      </c>
      <c r="Q14" s="42">
        <f>ROUND(M14+N14-O14-P14,2)</f>
        <v/>
      </c>
      <c r="R14">
        <f>L14-P14</f>
        <v/>
      </c>
      <c r="S14" s="42">
        <f>W13</f>
        <v/>
      </c>
      <c r="T14" s="42">
        <f>ROUND(S14*T$6/12,2)</f>
        <v/>
      </c>
      <c r="U14" s="42">
        <f>MIN(U$6,S14+T14)</f>
        <v/>
      </c>
      <c r="V14" s="42">
        <f>MAX(0,MIN(S14+T14-U14,R14))</f>
        <v/>
      </c>
      <c r="W14" s="42">
        <f>ROUND(S14+T14-U14-V14,2)</f>
        <v/>
      </c>
      <c r="X14">
        <f>R14-V14</f>
        <v/>
      </c>
      <c r="Y14" s="42">
        <f>AC13</f>
        <v/>
      </c>
      <c r="Z14" s="42">
        <f>ROUND(Y14*Z$6/12,2)</f>
        <v/>
      </c>
      <c r="AA14" s="42">
        <f>MIN(AA$6,Y14+Z14)</f>
        <v/>
      </c>
      <c r="AB14" s="42">
        <f>MAX(0,MIN(Y14+Z14-AA14,X14))</f>
        <v/>
      </c>
      <c r="AC14" s="42">
        <f>ROUND(Y14+Z14-AA14-AB14,2)</f>
        <v/>
      </c>
      <c r="AD14">
        <f>X14-AB14</f>
        <v/>
      </c>
      <c r="AE14" s="42">
        <f>AI13</f>
        <v/>
      </c>
      <c r="AF14" s="42">
        <f>ROUND(AE14*AF$6/12,2)</f>
        <v/>
      </c>
      <c r="AG14" s="42">
        <f>MIN(AG$6,AE14+AF14)</f>
        <v/>
      </c>
      <c r="AH14" s="42">
        <f>MAX(0,MIN(AE14+AF14-AG14,AD14))</f>
        <v/>
      </c>
      <c r="AI14" s="42">
        <f>ROUND(AE14+AF14-AG14-AH14,2)</f>
        <v/>
      </c>
      <c r="AJ14">
        <f>AD14-AH14</f>
        <v/>
      </c>
      <c r="AK14" s="42">
        <f>AO13</f>
        <v/>
      </c>
      <c r="AL14" s="42">
        <f>ROUND(AK14*AL$6/12,2)</f>
        <v/>
      </c>
      <c r="AM14" s="42">
        <f>MIN(AM$6,AK14+AL14)</f>
        <v/>
      </c>
      <c r="AN14" s="42">
        <f>MAX(0,MIN(AK14+AL14-AM14,AJ14))</f>
        <v/>
      </c>
      <c r="AO14" s="42">
        <f>ROUND(AK14+AL14-AM14-AN14,2)</f>
        <v/>
      </c>
      <c r="AP14">
        <f>AJ14-AN14</f>
        <v/>
      </c>
      <c r="AQ14" s="42">
        <f>AU13</f>
        <v/>
      </c>
      <c r="AR14" s="42">
        <f>ROUND(AQ14*AR$6/12,2)</f>
        <v/>
      </c>
      <c r="AS14" s="42">
        <f>MIN(AS$6,AQ14+AR14)</f>
        <v/>
      </c>
      <c r="AT14" s="42">
        <f>MAX(0,MIN(AQ14+AR14-AS14,AP14))</f>
        <v/>
      </c>
      <c r="AU14" s="42">
        <f>ROUND(AQ14+AR14-AS14-AT14,2)</f>
        <v/>
      </c>
      <c r="AV14">
        <f>AP14-AT14</f>
        <v/>
      </c>
      <c r="AW14" s="42">
        <f>BA13</f>
        <v/>
      </c>
      <c r="AX14" s="42">
        <f>ROUND(AW14*AX$6/12,2)</f>
        <v/>
      </c>
      <c r="AY14" s="42">
        <f>MIN(AY$6,AW14+AX14)</f>
        <v/>
      </c>
      <c r="AZ14" s="42">
        <f>MAX(0,MIN(AW14+AX14-AY14,AV14))</f>
        <v/>
      </c>
      <c r="BA14" s="42">
        <f>ROUND(AW14+AX14-AY14-AZ14,2)</f>
        <v/>
      </c>
      <c r="BB14">
        <f>AV14-AZ14</f>
        <v/>
      </c>
      <c r="BC14" s="42">
        <f>BG13</f>
        <v/>
      </c>
      <c r="BD14" s="42">
        <f>ROUND(BC14*BD$6/12,2)</f>
        <v/>
      </c>
      <c r="BE14" s="42">
        <f>MIN(BE$6,BC14+BD14)</f>
        <v/>
      </c>
      <c r="BF14" s="42">
        <f>MAX(0,MIN(BC14+BD14-BE14,BB14))</f>
        <v/>
      </c>
      <c r="BG14" s="42">
        <f>ROUND(BC14+BD14-BE14-BF14,2)</f>
        <v/>
      </c>
      <c r="BH14">
        <f>BB14-BF14</f>
        <v/>
      </c>
      <c r="BI14" s="42">
        <f>BM13</f>
        <v/>
      </c>
      <c r="BJ14" s="42">
        <f>ROUND(BI14*BJ$6/12,2)</f>
        <v/>
      </c>
      <c r="BK14" s="42">
        <f>MIN(BK$6,BI14+BJ14)</f>
        <v/>
      </c>
      <c r="BL14" s="42">
        <f>MAX(0,MIN(BI14+BJ14-BK14,BH14))</f>
        <v/>
      </c>
      <c r="BM14" s="42">
        <f>ROUND(BI14+BJ14-BK14-BL14,2)</f>
        <v/>
      </c>
      <c r="BN14">
        <f>BH14-BL14</f>
        <v/>
      </c>
    </row>
    <row r="15">
      <c r="A15" s="43" t="n">
        <v>8</v>
      </c>
      <c r="B15" s="44">
        <f>EDATE('My Debts'!$C$6,A15-1)</f>
        <v/>
      </c>
      <c r="C15" s="45">
        <f>K15+Q15+W15+AC15+AI15+AO15+AU15+BA15+BG15+BM15</f>
        <v/>
      </c>
      <c r="D15" s="46">
        <f>I15+O15+U15+AA15+AG15+AM15+AS15+AY15+BE15+BK15+J15+P15+V15+AB15+AH15+AN15+AT15+AZ15+BF15+BL15</f>
        <v/>
      </c>
      <c r="E15" s="46">
        <f>H15+N15+T15+Z15+AF15+AL15+AR15+AX15+BD15+BJ15</f>
        <v/>
      </c>
      <c r="F15">
        <f>MAX(0,'My Debts'!$E$21-(I15+O15+U15+AA15+AG15+AM15+AS15+AY15+BE15+BK15))</f>
        <v/>
      </c>
      <c r="G15" s="42">
        <f>K14</f>
        <v/>
      </c>
      <c r="H15" s="42">
        <f>ROUND(G15*H$6/12,2)</f>
        <v/>
      </c>
      <c r="I15" s="42">
        <f>MIN(I$6,G15+H15)</f>
        <v/>
      </c>
      <c r="J15" s="42">
        <f>MAX(0,MIN(G15+H15-I15,$F15))</f>
        <v/>
      </c>
      <c r="K15" s="42">
        <f>ROUND(G15+H15-I15-J15,2)</f>
        <v/>
      </c>
      <c r="L15">
        <f>$F15-J15</f>
        <v/>
      </c>
      <c r="M15" s="42">
        <f>Q14</f>
        <v/>
      </c>
      <c r="N15" s="42">
        <f>ROUND(M15*N$6/12,2)</f>
        <v/>
      </c>
      <c r="O15" s="42">
        <f>MIN(O$6,M15+N15)</f>
        <v/>
      </c>
      <c r="P15" s="42">
        <f>MAX(0,MIN(M15+N15-O15,L15))</f>
        <v/>
      </c>
      <c r="Q15" s="42">
        <f>ROUND(M15+N15-O15-P15,2)</f>
        <v/>
      </c>
      <c r="R15">
        <f>L15-P15</f>
        <v/>
      </c>
      <c r="S15" s="42">
        <f>W14</f>
        <v/>
      </c>
      <c r="T15" s="42">
        <f>ROUND(S15*T$6/12,2)</f>
        <v/>
      </c>
      <c r="U15" s="42">
        <f>MIN(U$6,S15+T15)</f>
        <v/>
      </c>
      <c r="V15" s="42">
        <f>MAX(0,MIN(S15+T15-U15,R15))</f>
        <v/>
      </c>
      <c r="W15" s="42">
        <f>ROUND(S15+T15-U15-V15,2)</f>
        <v/>
      </c>
      <c r="X15">
        <f>R15-V15</f>
        <v/>
      </c>
      <c r="Y15" s="42">
        <f>AC14</f>
        <v/>
      </c>
      <c r="Z15" s="42">
        <f>ROUND(Y15*Z$6/12,2)</f>
        <v/>
      </c>
      <c r="AA15" s="42">
        <f>MIN(AA$6,Y15+Z15)</f>
        <v/>
      </c>
      <c r="AB15" s="42">
        <f>MAX(0,MIN(Y15+Z15-AA15,X15))</f>
        <v/>
      </c>
      <c r="AC15" s="42">
        <f>ROUND(Y15+Z15-AA15-AB15,2)</f>
        <v/>
      </c>
      <c r="AD15">
        <f>X15-AB15</f>
        <v/>
      </c>
      <c r="AE15" s="42">
        <f>AI14</f>
        <v/>
      </c>
      <c r="AF15" s="42">
        <f>ROUND(AE15*AF$6/12,2)</f>
        <v/>
      </c>
      <c r="AG15" s="42">
        <f>MIN(AG$6,AE15+AF15)</f>
        <v/>
      </c>
      <c r="AH15" s="42">
        <f>MAX(0,MIN(AE15+AF15-AG15,AD15))</f>
        <v/>
      </c>
      <c r="AI15" s="42">
        <f>ROUND(AE15+AF15-AG15-AH15,2)</f>
        <v/>
      </c>
      <c r="AJ15">
        <f>AD15-AH15</f>
        <v/>
      </c>
      <c r="AK15" s="42">
        <f>AO14</f>
        <v/>
      </c>
      <c r="AL15" s="42">
        <f>ROUND(AK15*AL$6/12,2)</f>
        <v/>
      </c>
      <c r="AM15" s="42">
        <f>MIN(AM$6,AK15+AL15)</f>
        <v/>
      </c>
      <c r="AN15" s="42">
        <f>MAX(0,MIN(AK15+AL15-AM15,AJ15))</f>
        <v/>
      </c>
      <c r="AO15" s="42">
        <f>ROUND(AK15+AL15-AM15-AN15,2)</f>
        <v/>
      </c>
      <c r="AP15">
        <f>AJ15-AN15</f>
        <v/>
      </c>
      <c r="AQ15" s="42">
        <f>AU14</f>
        <v/>
      </c>
      <c r="AR15" s="42">
        <f>ROUND(AQ15*AR$6/12,2)</f>
        <v/>
      </c>
      <c r="AS15" s="42">
        <f>MIN(AS$6,AQ15+AR15)</f>
        <v/>
      </c>
      <c r="AT15" s="42">
        <f>MAX(0,MIN(AQ15+AR15-AS15,AP15))</f>
        <v/>
      </c>
      <c r="AU15" s="42">
        <f>ROUND(AQ15+AR15-AS15-AT15,2)</f>
        <v/>
      </c>
      <c r="AV15">
        <f>AP15-AT15</f>
        <v/>
      </c>
      <c r="AW15" s="42">
        <f>BA14</f>
        <v/>
      </c>
      <c r="AX15" s="42">
        <f>ROUND(AW15*AX$6/12,2)</f>
        <v/>
      </c>
      <c r="AY15" s="42">
        <f>MIN(AY$6,AW15+AX15)</f>
        <v/>
      </c>
      <c r="AZ15" s="42">
        <f>MAX(0,MIN(AW15+AX15-AY15,AV15))</f>
        <v/>
      </c>
      <c r="BA15" s="42">
        <f>ROUND(AW15+AX15-AY15-AZ15,2)</f>
        <v/>
      </c>
      <c r="BB15">
        <f>AV15-AZ15</f>
        <v/>
      </c>
      <c r="BC15" s="42">
        <f>BG14</f>
        <v/>
      </c>
      <c r="BD15" s="42">
        <f>ROUND(BC15*BD$6/12,2)</f>
        <v/>
      </c>
      <c r="BE15" s="42">
        <f>MIN(BE$6,BC15+BD15)</f>
        <v/>
      </c>
      <c r="BF15" s="42">
        <f>MAX(0,MIN(BC15+BD15-BE15,BB15))</f>
        <v/>
      </c>
      <c r="BG15" s="42">
        <f>ROUND(BC15+BD15-BE15-BF15,2)</f>
        <v/>
      </c>
      <c r="BH15">
        <f>BB15-BF15</f>
        <v/>
      </c>
      <c r="BI15" s="42">
        <f>BM14</f>
        <v/>
      </c>
      <c r="BJ15" s="42">
        <f>ROUND(BI15*BJ$6/12,2)</f>
        <v/>
      </c>
      <c r="BK15" s="42">
        <f>MIN(BK$6,BI15+BJ15)</f>
        <v/>
      </c>
      <c r="BL15" s="42">
        <f>MAX(0,MIN(BI15+BJ15-BK15,BH15))</f>
        <v/>
      </c>
      <c r="BM15" s="42">
        <f>ROUND(BI15+BJ15-BK15-BL15,2)</f>
        <v/>
      </c>
      <c r="BN15">
        <f>BH15-BL15</f>
        <v/>
      </c>
    </row>
    <row r="16">
      <c r="A16" s="39" t="n">
        <v>9</v>
      </c>
      <c r="B16" s="40">
        <f>EDATE('My Debts'!$C$6,A16-1)</f>
        <v/>
      </c>
      <c r="C16" s="41">
        <f>K16+Q16+W16+AC16+AI16+AO16+AU16+BA16+BG16+BM16</f>
        <v/>
      </c>
      <c r="D16" s="42">
        <f>I16+O16+U16+AA16+AG16+AM16+AS16+AY16+BE16+BK16+J16+P16+V16+AB16+AH16+AN16+AT16+AZ16+BF16+BL16</f>
        <v/>
      </c>
      <c r="E16" s="42">
        <f>H16+N16+T16+Z16+AF16+AL16+AR16+AX16+BD16+BJ16</f>
        <v/>
      </c>
      <c r="F16">
        <f>MAX(0,'My Debts'!$E$21-(I16+O16+U16+AA16+AG16+AM16+AS16+AY16+BE16+BK16))</f>
        <v/>
      </c>
      <c r="G16" s="42">
        <f>K15</f>
        <v/>
      </c>
      <c r="H16" s="42">
        <f>ROUND(G16*H$6/12,2)</f>
        <v/>
      </c>
      <c r="I16" s="42">
        <f>MIN(I$6,G16+H16)</f>
        <v/>
      </c>
      <c r="J16" s="42">
        <f>MAX(0,MIN(G16+H16-I16,$F16))</f>
        <v/>
      </c>
      <c r="K16" s="42">
        <f>ROUND(G16+H16-I16-J16,2)</f>
        <v/>
      </c>
      <c r="L16">
        <f>$F16-J16</f>
        <v/>
      </c>
      <c r="M16" s="42">
        <f>Q15</f>
        <v/>
      </c>
      <c r="N16" s="42">
        <f>ROUND(M16*N$6/12,2)</f>
        <v/>
      </c>
      <c r="O16" s="42">
        <f>MIN(O$6,M16+N16)</f>
        <v/>
      </c>
      <c r="P16" s="42">
        <f>MAX(0,MIN(M16+N16-O16,L16))</f>
        <v/>
      </c>
      <c r="Q16" s="42">
        <f>ROUND(M16+N16-O16-P16,2)</f>
        <v/>
      </c>
      <c r="R16">
        <f>L16-P16</f>
        <v/>
      </c>
      <c r="S16" s="42">
        <f>W15</f>
        <v/>
      </c>
      <c r="T16" s="42">
        <f>ROUND(S16*T$6/12,2)</f>
        <v/>
      </c>
      <c r="U16" s="42">
        <f>MIN(U$6,S16+T16)</f>
        <v/>
      </c>
      <c r="V16" s="42">
        <f>MAX(0,MIN(S16+T16-U16,R16))</f>
        <v/>
      </c>
      <c r="W16" s="42">
        <f>ROUND(S16+T16-U16-V16,2)</f>
        <v/>
      </c>
      <c r="X16">
        <f>R16-V16</f>
        <v/>
      </c>
      <c r="Y16" s="42">
        <f>AC15</f>
        <v/>
      </c>
      <c r="Z16" s="42">
        <f>ROUND(Y16*Z$6/12,2)</f>
        <v/>
      </c>
      <c r="AA16" s="42">
        <f>MIN(AA$6,Y16+Z16)</f>
        <v/>
      </c>
      <c r="AB16" s="42">
        <f>MAX(0,MIN(Y16+Z16-AA16,X16))</f>
        <v/>
      </c>
      <c r="AC16" s="42">
        <f>ROUND(Y16+Z16-AA16-AB16,2)</f>
        <v/>
      </c>
      <c r="AD16">
        <f>X16-AB16</f>
        <v/>
      </c>
      <c r="AE16" s="42">
        <f>AI15</f>
        <v/>
      </c>
      <c r="AF16" s="42">
        <f>ROUND(AE16*AF$6/12,2)</f>
        <v/>
      </c>
      <c r="AG16" s="42">
        <f>MIN(AG$6,AE16+AF16)</f>
        <v/>
      </c>
      <c r="AH16" s="42">
        <f>MAX(0,MIN(AE16+AF16-AG16,AD16))</f>
        <v/>
      </c>
      <c r="AI16" s="42">
        <f>ROUND(AE16+AF16-AG16-AH16,2)</f>
        <v/>
      </c>
      <c r="AJ16">
        <f>AD16-AH16</f>
        <v/>
      </c>
      <c r="AK16" s="42">
        <f>AO15</f>
        <v/>
      </c>
      <c r="AL16" s="42">
        <f>ROUND(AK16*AL$6/12,2)</f>
        <v/>
      </c>
      <c r="AM16" s="42">
        <f>MIN(AM$6,AK16+AL16)</f>
        <v/>
      </c>
      <c r="AN16" s="42">
        <f>MAX(0,MIN(AK16+AL16-AM16,AJ16))</f>
        <v/>
      </c>
      <c r="AO16" s="42">
        <f>ROUND(AK16+AL16-AM16-AN16,2)</f>
        <v/>
      </c>
      <c r="AP16">
        <f>AJ16-AN16</f>
        <v/>
      </c>
      <c r="AQ16" s="42">
        <f>AU15</f>
        <v/>
      </c>
      <c r="AR16" s="42">
        <f>ROUND(AQ16*AR$6/12,2)</f>
        <v/>
      </c>
      <c r="AS16" s="42">
        <f>MIN(AS$6,AQ16+AR16)</f>
        <v/>
      </c>
      <c r="AT16" s="42">
        <f>MAX(0,MIN(AQ16+AR16-AS16,AP16))</f>
        <v/>
      </c>
      <c r="AU16" s="42">
        <f>ROUND(AQ16+AR16-AS16-AT16,2)</f>
        <v/>
      </c>
      <c r="AV16">
        <f>AP16-AT16</f>
        <v/>
      </c>
      <c r="AW16" s="42">
        <f>BA15</f>
        <v/>
      </c>
      <c r="AX16" s="42">
        <f>ROUND(AW16*AX$6/12,2)</f>
        <v/>
      </c>
      <c r="AY16" s="42">
        <f>MIN(AY$6,AW16+AX16)</f>
        <v/>
      </c>
      <c r="AZ16" s="42">
        <f>MAX(0,MIN(AW16+AX16-AY16,AV16))</f>
        <v/>
      </c>
      <c r="BA16" s="42">
        <f>ROUND(AW16+AX16-AY16-AZ16,2)</f>
        <v/>
      </c>
      <c r="BB16">
        <f>AV16-AZ16</f>
        <v/>
      </c>
      <c r="BC16" s="42">
        <f>BG15</f>
        <v/>
      </c>
      <c r="BD16" s="42">
        <f>ROUND(BC16*BD$6/12,2)</f>
        <v/>
      </c>
      <c r="BE16" s="42">
        <f>MIN(BE$6,BC16+BD16)</f>
        <v/>
      </c>
      <c r="BF16" s="42">
        <f>MAX(0,MIN(BC16+BD16-BE16,BB16))</f>
        <v/>
      </c>
      <c r="BG16" s="42">
        <f>ROUND(BC16+BD16-BE16-BF16,2)</f>
        <v/>
      </c>
      <c r="BH16">
        <f>BB16-BF16</f>
        <v/>
      </c>
      <c r="BI16" s="42">
        <f>BM15</f>
        <v/>
      </c>
      <c r="BJ16" s="42">
        <f>ROUND(BI16*BJ$6/12,2)</f>
        <v/>
      </c>
      <c r="BK16" s="42">
        <f>MIN(BK$6,BI16+BJ16)</f>
        <v/>
      </c>
      <c r="BL16" s="42">
        <f>MAX(0,MIN(BI16+BJ16-BK16,BH16))</f>
        <v/>
      </c>
      <c r="BM16" s="42">
        <f>ROUND(BI16+BJ16-BK16-BL16,2)</f>
        <v/>
      </c>
      <c r="BN16">
        <f>BH16-BL16</f>
        <v/>
      </c>
    </row>
    <row r="17">
      <c r="A17" s="43" t="n">
        <v>10</v>
      </c>
      <c r="B17" s="44">
        <f>EDATE('My Debts'!$C$6,A17-1)</f>
        <v/>
      </c>
      <c r="C17" s="45">
        <f>K17+Q17+W17+AC17+AI17+AO17+AU17+BA17+BG17+BM17</f>
        <v/>
      </c>
      <c r="D17" s="46">
        <f>I17+O17+U17+AA17+AG17+AM17+AS17+AY17+BE17+BK17+J17+P17+V17+AB17+AH17+AN17+AT17+AZ17+BF17+BL17</f>
        <v/>
      </c>
      <c r="E17" s="46">
        <f>H17+N17+T17+Z17+AF17+AL17+AR17+AX17+BD17+BJ17</f>
        <v/>
      </c>
      <c r="F17">
        <f>MAX(0,'My Debts'!$E$21-(I17+O17+U17+AA17+AG17+AM17+AS17+AY17+BE17+BK17))</f>
        <v/>
      </c>
      <c r="G17" s="42">
        <f>K16</f>
        <v/>
      </c>
      <c r="H17" s="42">
        <f>ROUND(G17*H$6/12,2)</f>
        <v/>
      </c>
      <c r="I17" s="42">
        <f>MIN(I$6,G17+H17)</f>
        <v/>
      </c>
      <c r="J17" s="42">
        <f>MAX(0,MIN(G17+H17-I17,$F17))</f>
        <v/>
      </c>
      <c r="K17" s="42">
        <f>ROUND(G17+H17-I17-J17,2)</f>
        <v/>
      </c>
      <c r="L17">
        <f>$F17-J17</f>
        <v/>
      </c>
      <c r="M17" s="42">
        <f>Q16</f>
        <v/>
      </c>
      <c r="N17" s="42">
        <f>ROUND(M17*N$6/12,2)</f>
        <v/>
      </c>
      <c r="O17" s="42">
        <f>MIN(O$6,M17+N17)</f>
        <v/>
      </c>
      <c r="P17" s="42">
        <f>MAX(0,MIN(M17+N17-O17,L17))</f>
        <v/>
      </c>
      <c r="Q17" s="42">
        <f>ROUND(M17+N17-O17-P17,2)</f>
        <v/>
      </c>
      <c r="R17">
        <f>L17-P17</f>
        <v/>
      </c>
      <c r="S17" s="42">
        <f>W16</f>
        <v/>
      </c>
      <c r="T17" s="42">
        <f>ROUND(S17*T$6/12,2)</f>
        <v/>
      </c>
      <c r="U17" s="42">
        <f>MIN(U$6,S17+T17)</f>
        <v/>
      </c>
      <c r="V17" s="42">
        <f>MAX(0,MIN(S17+T17-U17,R17))</f>
        <v/>
      </c>
      <c r="W17" s="42">
        <f>ROUND(S17+T17-U17-V17,2)</f>
        <v/>
      </c>
      <c r="X17">
        <f>R17-V17</f>
        <v/>
      </c>
      <c r="Y17" s="42">
        <f>AC16</f>
        <v/>
      </c>
      <c r="Z17" s="42">
        <f>ROUND(Y17*Z$6/12,2)</f>
        <v/>
      </c>
      <c r="AA17" s="42">
        <f>MIN(AA$6,Y17+Z17)</f>
        <v/>
      </c>
      <c r="AB17" s="42">
        <f>MAX(0,MIN(Y17+Z17-AA17,X17))</f>
        <v/>
      </c>
      <c r="AC17" s="42">
        <f>ROUND(Y17+Z17-AA17-AB17,2)</f>
        <v/>
      </c>
      <c r="AD17">
        <f>X17-AB17</f>
        <v/>
      </c>
      <c r="AE17" s="42">
        <f>AI16</f>
        <v/>
      </c>
      <c r="AF17" s="42">
        <f>ROUND(AE17*AF$6/12,2)</f>
        <v/>
      </c>
      <c r="AG17" s="42">
        <f>MIN(AG$6,AE17+AF17)</f>
        <v/>
      </c>
      <c r="AH17" s="42">
        <f>MAX(0,MIN(AE17+AF17-AG17,AD17))</f>
        <v/>
      </c>
      <c r="AI17" s="42">
        <f>ROUND(AE17+AF17-AG17-AH17,2)</f>
        <v/>
      </c>
      <c r="AJ17">
        <f>AD17-AH17</f>
        <v/>
      </c>
      <c r="AK17" s="42">
        <f>AO16</f>
        <v/>
      </c>
      <c r="AL17" s="42">
        <f>ROUND(AK17*AL$6/12,2)</f>
        <v/>
      </c>
      <c r="AM17" s="42">
        <f>MIN(AM$6,AK17+AL17)</f>
        <v/>
      </c>
      <c r="AN17" s="42">
        <f>MAX(0,MIN(AK17+AL17-AM17,AJ17))</f>
        <v/>
      </c>
      <c r="AO17" s="42">
        <f>ROUND(AK17+AL17-AM17-AN17,2)</f>
        <v/>
      </c>
      <c r="AP17">
        <f>AJ17-AN17</f>
        <v/>
      </c>
      <c r="AQ17" s="42">
        <f>AU16</f>
        <v/>
      </c>
      <c r="AR17" s="42">
        <f>ROUND(AQ17*AR$6/12,2)</f>
        <v/>
      </c>
      <c r="AS17" s="42">
        <f>MIN(AS$6,AQ17+AR17)</f>
        <v/>
      </c>
      <c r="AT17" s="42">
        <f>MAX(0,MIN(AQ17+AR17-AS17,AP17))</f>
        <v/>
      </c>
      <c r="AU17" s="42">
        <f>ROUND(AQ17+AR17-AS17-AT17,2)</f>
        <v/>
      </c>
      <c r="AV17">
        <f>AP17-AT17</f>
        <v/>
      </c>
      <c r="AW17" s="42">
        <f>BA16</f>
        <v/>
      </c>
      <c r="AX17" s="42">
        <f>ROUND(AW17*AX$6/12,2)</f>
        <v/>
      </c>
      <c r="AY17" s="42">
        <f>MIN(AY$6,AW17+AX17)</f>
        <v/>
      </c>
      <c r="AZ17" s="42">
        <f>MAX(0,MIN(AW17+AX17-AY17,AV17))</f>
        <v/>
      </c>
      <c r="BA17" s="42">
        <f>ROUND(AW17+AX17-AY17-AZ17,2)</f>
        <v/>
      </c>
      <c r="BB17">
        <f>AV17-AZ17</f>
        <v/>
      </c>
      <c r="BC17" s="42">
        <f>BG16</f>
        <v/>
      </c>
      <c r="BD17" s="42">
        <f>ROUND(BC17*BD$6/12,2)</f>
        <v/>
      </c>
      <c r="BE17" s="42">
        <f>MIN(BE$6,BC17+BD17)</f>
        <v/>
      </c>
      <c r="BF17" s="42">
        <f>MAX(0,MIN(BC17+BD17-BE17,BB17))</f>
        <v/>
      </c>
      <c r="BG17" s="42">
        <f>ROUND(BC17+BD17-BE17-BF17,2)</f>
        <v/>
      </c>
      <c r="BH17">
        <f>BB17-BF17</f>
        <v/>
      </c>
      <c r="BI17" s="42">
        <f>BM16</f>
        <v/>
      </c>
      <c r="BJ17" s="42">
        <f>ROUND(BI17*BJ$6/12,2)</f>
        <v/>
      </c>
      <c r="BK17" s="42">
        <f>MIN(BK$6,BI17+BJ17)</f>
        <v/>
      </c>
      <c r="BL17" s="42">
        <f>MAX(0,MIN(BI17+BJ17-BK17,BH17))</f>
        <v/>
      </c>
      <c r="BM17" s="42">
        <f>ROUND(BI17+BJ17-BK17-BL17,2)</f>
        <v/>
      </c>
      <c r="BN17">
        <f>BH17-BL17</f>
        <v/>
      </c>
    </row>
    <row r="18">
      <c r="A18" s="39" t="n">
        <v>11</v>
      </c>
      <c r="B18" s="40">
        <f>EDATE('My Debts'!$C$6,A18-1)</f>
        <v/>
      </c>
      <c r="C18" s="41">
        <f>K18+Q18+W18+AC18+AI18+AO18+AU18+BA18+BG18+BM18</f>
        <v/>
      </c>
      <c r="D18" s="42">
        <f>I18+O18+U18+AA18+AG18+AM18+AS18+AY18+BE18+BK18+J18+P18+V18+AB18+AH18+AN18+AT18+AZ18+BF18+BL18</f>
        <v/>
      </c>
      <c r="E18" s="42">
        <f>H18+N18+T18+Z18+AF18+AL18+AR18+AX18+BD18+BJ18</f>
        <v/>
      </c>
      <c r="F18">
        <f>MAX(0,'My Debts'!$E$21-(I18+O18+U18+AA18+AG18+AM18+AS18+AY18+BE18+BK18))</f>
        <v/>
      </c>
      <c r="G18" s="42">
        <f>K17</f>
        <v/>
      </c>
      <c r="H18" s="42">
        <f>ROUND(G18*H$6/12,2)</f>
        <v/>
      </c>
      <c r="I18" s="42">
        <f>MIN(I$6,G18+H18)</f>
        <v/>
      </c>
      <c r="J18" s="42">
        <f>MAX(0,MIN(G18+H18-I18,$F18))</f>
        <v/>
      </c>
      <c r="K18" s="42">
        <f>ROUND(G18+H18-I18-J18,2)</f>
        <v/>
      </c>
      <c r="L18">
        <f>$F18-J18</f>
        <v/>
      </c>
      <c r="M18" s="42">
        <f>Q17</f>
        <v/>
      </c>
      <c r="N18" s="42">
        <f>ROUND(M18*N$6/12,2)</f>
        <v/>
      </c>
      <c r="O18" s="42">
        <f>MIN(O$6,M18+N18)</f>
        <v/>
      </c>
      <c r="P18" s="42">
        <f>MAX(0,MIN(M18+N18-O18,L18))</f>
        <v/>
      </c>
      <c r="Q18" s="42">
        <f>ROUND(M18+N18-O18-P18,2)</f>
        <v/>
      </c>
      <c r="R18">
        <f>L18-P18</f>
        <v/>
      </c>
      <c r="S18" s="42">
        <f>W17</f>
        <v/>
      </c>
      <c r="T18" s="42">
        <f>ROUND(S18*T$6/12,2)</f>
        <v/>
      </c>
      <c r="U18" s="42">
        <f>MIN(U$6,S18+T18)</f>
        <v/>
      </c>
      <c r="V18" s="42">
        <f>MAX(0,MIN(S18+T18-U18,R18))</f>
        <v/>
      </c>
      <c r="W18" s="42">
        <f>ROUND(S18+T18-U18-V18,2)</f>
        <v/>
      </c>
      <c r="X18">
        <f>R18-V18</f>
        <v/>
      </c>
      <c r="Y18" s="42">
        <f>AC17</f>
        <v/>
      </c>
      <c r="Z18" s="42">
        <f>ROUND(Y18*Z$6/12,2)</f>
        <v/>
      </c>
      <c r="AA18" s="42">
        <f>MIN(AA$6,Y18+Z18)</f>
        <v/>
      </c>
      <c r="AB18" s="42">
        <f>MAX(0,MIN(Y18+Z18-AA18,X18))</f>
        <v/>
      </c>
      <c r="AC18" s="42">
        <f>ROUND(Y18+Z18-AA18-AB18,2)</f>
        <v/>
      </c>
      <c r="AD18">
        <f>X18-AB18</f>
        <v/>
      </c>
      <c r="AE18" s="42">
        <f>AI17</f>
        <v/>
      </c>
      <c r="AF18" s="42">
        <f>ROUND(AE18*AF$6/12,2)</f>
        <v/>
      </c>
      <c r="AG18" s="42">
        <f>MIN(AG$6,AE18+AF18)</f>
        <v/>
      </c>
      <c r="AH18" s="42">
        <f>MAX(0,MIN(AE18+AF18-AG18,AD18))</f>
        <v/>
      </c>
      <c r="AI18" s="42">
        <f>ROUND(AE18+AF18-AG18-AH18,2)</f>
        <v/>
      </c>
      <c r="AJ18">
        <f>AD18-AH18</f>
        <v/>
      </c>
      <c r="AK18" s="42">
        <f>AO17</f>
        <v/>
      </c>
      <c r="AL18" s="42">
        <f>ROUND(AK18*AL$6/12,2)</f>
        <v/>
      </c>
      <c r="AM18" s="42">
        <f>MIN(AM$6,AK18+AL18)</f>
        <v/>
      </c>
      <c r="AN18" s="42">
        <f>MAX(0,MIN(AK18+AL18-AM18,AJ18))</f>
        <v/>
      </c>
      <c r="AO18" s="42">
        <f>ROUND(AK18+AL18-AM18-AN18,2)</f>
        <v/>
      </c>
      <c r="AP18">
        <f>AJ18-AN18</f>
        <v/>
      </c>
      <c r="AQ18" s="42">
        <f>AU17</f>
        <v/>
      </c>
      <c r="AR18" s="42">
        <f>ROUND(AQ18*AR$6/12,2)</f>
        <v/>
      </c>
      <c r="AS18" s="42">
        <f>MIN(AS$6,AQ18+AR18)</f>
        <v/>
      </c>
      <c r="AT18" s="42">
        <f>MAX(0,MIN(AQ18+AR18-AS18,AP18))</f>
        <v/>
      </c>
      <c r="AU18" s="42">
        <f>ROUND(AQ18+AR18-AS18-AT18,2)</f>
        <v/>
      </c>
      <c r="AV18">
        <f>AP18-AT18</f>
        <v/>
      </c>
      <c r="AW18" s="42">
        <f>BA17</f>
        <v/>
      </c>
      <c r="AX18" s="42">
        <f>ROUND(AW18*AX$6/12,2)</f>
        <v/>
      </c>
      <c r="AY18" s="42">
        <f>MIN(AY$6,AW18+AX18)</f>
        <v/>
      </c>
      <c r="AZ18" s="42">
        <f>MAX(0,MIN(AW18+AX18-AY18,AV18))</f>
        <v/>
      </c>
      <c r="BA18" s="42">
        <f>ROUND(AW18+AX18-AY18-AZ18,2)</f>
        <v/>
      </c>
      <c r="BB18">
        <f>AV18-AZ18</f>
        <v/>
      </c>
      <c r="BC18" s="42">
        <f>BG17</f>
        <v/>
      </c>
      <c r="BD18" s="42">
        <f>ROUND(BC18*BD$6/12,2)</f>
        <v/>
      </c>
      <c r="BE18" s="42">
        <f>MIN(BE$6,BC18+BD18)</f>
        <v/>
      </c>
      <c r="BF18" s="42">
        <f>MAX(0,MIN(BC18+BD18-BE18,BB18))</f>
        <v/>
      </c>
      <c r="BG18" s="42">
        <f>ROUND(BC18+BD18-BE18-BF18,2)</f>
        <v/>
      </c>
      <c r="BH18">
        <f>BB18-BF18</f>
        <v/>
      </c>
      <c r="BI18" s="42">
        <f>BM17</f>
        <v/>
      </c>
      <c r="BJ18" s="42">
        <f>ROUND(BI18*BJ$6/12,2)</f>
        <v/>
      </c>
      <c r="BK18" s="42">
        <f>MIN(BK$6,BI18+BJ18)</f>
        <v/>
      </c>
      <c r="BL18" s="42">
        <f>MAX(0,MIN(BI18+BJ18-BK18,BH18))</f>
        <v/>
      </c>
      <c r="BM18" s="42">
        <f>ROUND(BI18+BJ18-BK18-BL18,2)</f>
        <v/>
      </c>
      <c r="BN18">
        <f>BH18-BL18</f>
        <v/>
      </c>
    </row>
    <row r="19">
      <c r="A19" s="43" t="n">
        <v>12</v>
      </c>
      <c r="B19" s="44">
        <f>EDATE('My Debts'!$C$6,A19-1)</f>
        <v/>
      </c>
      <c r="C19" s="45">
        <f>K19+Q19+W19+AC19+AI19+AO19+AU19+BA19+BG19+BM19</f>
        <v/>
      </c>
      <c r="D19" s="46">
        <f>I19+O19+U19+AA19+AG19+AM19+AS19+AY19+BE19+BK19+J19+P19+V19+AB19+AH19+AN19+AT19+AZ19+BF19+BL19</f>
        <v/>
      </c>
      <c r="E19" s="46">
        <f>H19+N19+T19+Z19+AF19+AL19+AR19+AX19+BD19+BJ19</f>
        <v/>
      </c>
      <c r="F19">
        <f>MAX(0,'My Debts'!$E$21-(I19+O19+U19+AA19+AG19+AM19+AS19+AY19+BE19+BK19))</f>
        <v/>
      </c>
      <c r="G19" s="42">
        <f>K18</f>
        <v/>
      </c>
      <c r="H19" s="42">
        <f>ROUND(G19*H$6/12,2)</f>
        <v/>
      </c>
      <c r="I19" s="42">
        <f>MIN(I$6,G19+H19)</f>
        <v/>
      </c>
      <c r="J19" s="42">
        <f>MAX(0,MIN(G19+H19-I19,$F19))</f>
        <v/>
      </c>
      <c r="K19" s="42">
        <f>ROUND(G19+H19-I19-J19,2)</f>
        <v/>
      </c>
      <c r="L19">
        <f>$F19-J19</f>
        <v/>
      </c>
      <c r="M19" s="42">
        <f>Q18</f>
        <v/>
      </c>
      <c r="N19" s="42">
        <f>ROUND(M19*N$6/12,2)</f>
        <v/>
      </c>
      <c r="O19" s="42">
        <f>MIN(O$6,M19+N19)</f>
        <v/>
      </c>
      <c r="P19" s="42">
        <f>MAX(0,MIN(M19+N19-O19,L19))</f>
        <v/>
      </c>
      <c r="Q19" s="42">
        <f>ROUND(M19+N19-O19-P19,2)</f>
        <v/>
      </c>
      <c r="R19">
        <f>L19-P19</f>
        <v/>
      </c>
      <c r="S19" s="42">
        <f>W18</f>
        <v/>
      </c>
      <c r="T19" s="42">
        <f>ROUND(S19*T$6/12,2)</f>
        <v/>
      </c>
      <c r="U19" s="42">
        <f>MIN(U$6,S19+T19)</f>
        <v/>
      </c>
      <c r="V19" s="42">
        <f>MAX(0,MIN(S19+T19-U19,R19))</f>
        <v/>
      </c>
      <c r="W19" s="42">
        <f>ROUND(S19+T19-U19-V19,2)</f>
        <v/>
      </c>
      <c r="X19">
        <f>R19-V19</f>
        <v/>
      </c>
      <c r="Y19" s="42">
        <f>AC18</f>
        <v/>
      </c>
      <c r="Z19" s="42">
        <f>ROUND(Y19*Z$6/12,2)</f>
        <v/>
      </c>
      <c r="AA19" s="42">
        <f>MIN(AA$6,Y19+Z19)</f>
        <v/>
      </c>
      <c r="AB19" s="42">
        <f>MAX(0,MIN(Y19+Z19-AA19,X19))</f>
        <v/>
      </c>
      <c r="AC19" s="42">
        <f>ROUND(Y19+Z19-AA19-AB19,2)</f>
        <v/>
      </c>
      <c r="AD19">
        <f>X19-AB19</f>
        <v/>
      </c>
      <c r="AE19" s="42">
        <f>AI18</f>
        <v/>
      </c>
      <c r="AF19" s="42">
        <f>ROUND(AE19*AF$6/12,2)</f>
        <v/>
      </c>
      <c r="AG19" s="42">
        <f>MIN(AG$6,AE19+AF19)</f>
        <v/>
      </c>
      <c r="AH19" s="42">
        <f>MAX(0,MIN(AE19+AF19-AG19,AD19))</f>
        <v/>
      </c>
      <c r="AI19" s="42">
        <f>ROUND(AE19+AF19-AG19-AH19,2)</f>
        <v/>
      </c>
      <c r="AJ19">
        <f>AD19-AH19</f>
        <v/>
      </c>
      <c r="AK19" s="42">
        <f>AO18</f>
        <v/>
      </c>
      <c r="AL19" s="42">
        <f>ROUND(AK19*AL$6/12,2)</f>
        <v/>
      </c>
      <c r="AM19" s="42">
        <f>MIN(AM$6,AK19+AL19)</f>
        <v/>
      </c>
      <c r="AN19" s="42">
        <f>MAX(0,MIN(AK19+AL19-AM19,AJ19))</f>
        <v/>
      </c>
      <c r="AO19" s="42">
        <f>ROUND(AK19+AL19-AM19-AN19,2)</f>
        <v/>
      </c>
      <c r="AP19">
        <f>AJ19-AN19</f>
        <v/>
      </c>
      <c r="AQ19" s="42">
        <f>AU18</f>
        <v/>
      </c>
      <c r="AR19" s="42">
        <f>ROUND(AQ19*AR$6/12,2)</f>
        <v/>
      </c>
      <c r="AS19" s="42">
        <f>MIN(AS$6,AQ19+AR19)</f>
        <v/>
      </c>
      <c r="AT19" s="42">
        <f>MAX(0,MIN(AQ19+AR19-AS19,AP19))</f>
        <v/>
      </c>
      <c r="AU19" s="42">
        <f>ROUND(AQ19+AR19-AS19-AT19,2)</f>
        <v/>
      </c>
      <c r="AV19">
        <f>AP19-AT19</f>
        <v/>
      </c>
      <c r="AW19" s="42">
        <f>BA18</f>
        <v/>
      </c>
      <c r="AX19" s="42">
        <f>ROUND(AW19*AX$6/12,2)</f>
        <v/>
      </c>
      <c r="AY19" s="42">
        <f>MIN(AY$6,AW19+AX19)</f>
        <v/>
      </c>
      <c r="AZ19" s="42">
        <f>MAX(0,MIN(AW19+AX19-AY19,AV19))</f>
        <v/>
      </c>
      <c r="BA19" s="42">
        <f>ROUND(AW19+AX19-AY19-AZ19,2)</f>
        <v/>
      </c>
      <c r="BB19">
        <f>AV19-AZ19</f>
        <v/>
      </c>
      <c r="BC19" s="42">
        <f>BG18</f>
        <v/>
      </c>
      <c r="BD19" s="42">
        <f>ROUND(BC19*BD$6/12,2)</f>
        <v/>
      </c>
      <c r="BE19" s="42">
        <f>MIN(BE$6,BC19+BD19)</f>
        <v/>
      </c>
      <c r="BF19" s="42">
        <f>MAX(0,MIN(BC19+BD19-BE19,BB19))</f>
        <v/>
      </c>
      <c r="BG19" s="42">
        <f>ROUND(BC19+BD19-BE19-BF19,2)</f>
        <v/>
      </c>
      <c r="BH19">
        <f>BB19-BF19</f>
        <v/>
      </c>
      <c r="BI19" s="42">
        <f>BM18</f>
        <v/>
      </c>
      <c r="BJ19" s="42">
        <f>ROUND(BI19*BJ$6/12,2)</f>
        <v/>
      </c>
      <c r="BK19" s="42">
        <f>MIN(BK$6,BI19+BJ19)</f>
        <v/>
      </c>
      <c r="BL19" s="42">
        <f>MAX(0,MIN(BI19+BJ19-BK19,BH19))</f>
        <v/>
      </c>
      <c r="BM19" s="42">
        <f>ROUND(BI19+BJ19-BK19-BL19,2)</f>
        <v/>
      </c>
      <c r="BN19">
        <f>BH19-BL19</f>
        <v/>
      </c>
    </row>
    <row r="20">
      <c r="A20" s="39" t="n">
        <v>13</v>
      </c>
      <c r="B20" s="40">
        <f>EDATE('My Debts'!$C$6,A20-1)</f>
        <v/>
      </c>
      <c r="C20" s="41">
        <f>K20+Q20+W20+AC20+AI20+AO20+AU20+BA20+BG20+BM20</f>
        <v/>
      </c>
      <c r="D20" s="42">
        <f>I20+O20+U20+AA20+AG20+AM20+AS20+AY20+BE20+BK20+J20+P20+V20+AB20+AH20+AN20+AT20+AZ20+BF20+BL20</f>
        <v/>
      </c>
      <c r="E20" s="42">
        <f>H20+N20+T20+Z20+AF20+AL20+AR20+AX20+BD20+BJ20</f>
        <v/>
      </c>
      <c r="F20">
        <f>MAX(0,'My Debts'!$E$21-(I20+O20+U20+AA20+AG20+AM20+AS20+AY20+BE20+BK20))</f>
        <v/>
      </c>
      <c r="G20" s="42">
        <f>K19</f>
        <v/>
      </c>
      <c r="H20" s="42">
        <f>ROUND(G20*H$6/12,2)</f>
        <v/>
      </c>
      <c r="I20" s="42">
        <f>MIN(I$6,G20+H20)</f>
        <v/>
      </c>
      <c r="J20" s="42">
        <f>MAX(0,MIN(G20+H20-I20,$F20))</f>
        <v/>
      </c>
      <c r="K20" s="42">
        <f>ROUND(G20+H20-I20-J20,2)</f>
        <v/>
      </c>
      <c r="L20">
        <f>$F20-J20</f>
        <v/>
      </c>
      <c r="M20" s="42">
        <f>Q19</f>
        <v/>
      </c>
      <c r="N20" s="42">
        <f>ROUND(M20*N$6/12,2)</f>
        <v/>
      </c>
      <c r="O20" s="42">
        <f>MIN(O$6,M20+N20)</f>
        <v/>
      </c>
      <c r="P20" s="42">
        <f>MAX(0,MIN(M20+N20-O20,L20))</f>
        <v/>
      </c>
      <c r="Q20" s="42">
        <f>ROUND(M20+N20-O20-P20,2)</f>
        <v/>
      </c>
      <c r="R20">
        <f>L20-P20</f>
        <v/>
      </c>
      <c r="S20" s="42">
        <f>W19</f>
        <v/>
      </c>
      <c r="T20" s="42">
        <f>ROUND(S20*T$6/12,2)</f>
        <v/>
      </c>
      <c r="U20" s="42">
        <f>MIN(U$6,S20+T20)</f>
        <v/>
      </c>
      <c r="V20" s="42">
        <f>MAX(0,MIN(S20+T20-U20,R20))</f>
        <v/>
      </c>
      <c r="W20" s="42">
        <f>ROUND(S20+T20-U20-V20,2)</f>
        <v/>
      </c>
      <c r="X20">
        <f>R20-V20</f>
        <v/>
      </c>
      <c r="Y20" s="42">
        <f>AC19</f>
        <v/>
      </c>
      <c r="Z20" s="42">
        <f>ROUND(Y20*Z$6/12,2)</f>
        <v/>
      </c>
      <c r="AA20" s="42">
        <f>MIN(AA$6,Y20+Z20)</f>
        <v/>
      </c>
      <c r="AB20" s="42">
        <f>MAX(0,MIN(Y20+Z20-AA20,X20))</f>
        <v/>
      </c>
      <c r="AC20" s="42">
        <f>ROUND(Y20+Z20-AA20-AB20,2)</f>
        <v/>
      </c>
      <c r="AD20">
        <f>X20-AB20</f>
        <v/>
      </c>
      <c r="AE20" s="42">
        <f>AI19</f>
        <v/>
      </c>
      <c r="AF20" s="42">
        <f>ROUND(AE20*AF$6/12,2)</f>
        <v/>
      </c>
      <c r="AG20" s="42">
        <f>MIN(AG$6,AE20+AF20)</f>
        <v/>
      </c>
      <c r="AH20" s="42">
        <f>MAX(0,MIN(AE20+AF20-AG20,AD20))</f>
        <v/>
      </c>
      <c r="AI20" s="42">
        <f>ROUND(AE20+AF20-AG20-AH20,2)</f>
        <v/>
      </c>
      <c r="AJ20">
        <f>AD20-AH20</f>
        <v/>
      </c>
      <c r="AK20" s="42">
        <f>AO19</f>
        <v/>
      </c>
      <c r="AL20" s="42">
        <f>ROUND(AK20*AL$6/12,2)</f>
        <v/>
      </c>
      <c r="AM20" s="42">
        <f>MIN(AM$6,AK20+AL20)</f>
        <v/>
      </c>
      <c r="AN20" s="42">
        <f>MAX(0,MIN(AK20+AL20-AM20,AJ20))</f>
        <v/>
      </c>
      <c r="AO20" s="42">
        <f>ROUND(AK20+AL20-AM20-AN20,2)</f>
        <v/>
      </c>
      <c r="AP20">
        <f>AJ20-AN20</f>
        <v/>
      </c>
      <c r="AQ20" s="42">
        <f>AU19</f>
        <v/>
      </c>
      <c r="AR20" s="42">
        <f>ROUND(AQ20*AR$6/12,2)</f>
        <v/>
      </c>
      <c r="AS20" s="42">
        <f>MIN(AS$6,AQ20+AR20)</f>
        <v/>
      </c>
      <c r="AT20" s="42">
        <f>MAX(0,MIN(AQ20+AR20-AS20,AP20))</f>
        <v/>
      </c>
      <c r="AU20" s="42">
        <f>ROUND(AQ20+AR20-AS20-AT20,2)</f>
        <v/>
      </c>
      <c r="AV20">
        <f>AP20-AT20</f>
        <v/>
      </c>
      <c r="AW20" s="42">
        <f>BA19</f>
        <v/>
      </c>
      <c r="AX20" s="42">
        <f>ROUND(AW20*AX$6/12,2)</f>
        <v/>
      </c>
      <c r="AY20" s="42">
        <f>MIN(AY$6,AW20+AX20)</f>
        <v/>
      </c>
      <c r="AZ20" s="42">
        <f>MAX(0,MIN(AW20+AX20-AY20,AV20))</f>
        <v/>
      </c>
      <c r="BA20" s="42">
        <f>ROUND(AW20+AX20-AY20-AZ20,2)</f>
        <v/>
      </c>
      <c r="BB20">
        <f>AV20-AZ20</f>
        <v/>
      </c>
      <c r="BC20" s="42">
        <f>BG19</f>
        <v/>
      </c>
      <c r="BD20" s="42">
        <f>ROUND(BC20*BD$6/12,2)</f>
        <v/>
      </c>
      <c r="BE20" s="42">
        <f>MIN(BE$6,BC20+BD20)</f>
        <v/>
      </c>
      <c r="BF20" s="42">
        <f>MAX(0,MIN(BC20+BD20-BE20,BB20))</f>
        <v/>
      </c>
      <c r="BG20" s="42">
        <f>ROUND(BC20+BD20-BE20-BF20,2)</f>
        <v/>
      </c>
      <c r="BH20">
        <f>BB20-BF20</f>
        <v/>
      </c>
      <c r="BI20" s="42">
        <f>BM19</f>
        <v/>
      </c>
      <c r="BJ20" s="42">
        <f>ROUND(BI20*BJ$6/12,2)</f>
        <v/>
      </c>
      <c r="BK20" s="42">
        <f>MIN(BK$6,BI20+BJ20)</f>
        <v/>
      </c>
      <c r="BL20" s="42">
        <f>MAX(0,MIN(BI20+BJ20-BK20,BH20))</f>
        <v/>
      </c>
      <c r="BM20" s="42">
        <f>ROUND(BI20+BJ20-BK20-BL20,2)</f>
        <v/>
      </c>
      <c r="BN20">
        <f>BH20-BL20</f>
        <v/>
      </c>
    </row>
    <row r="21">
      <c r="A21" s="43" t="n">
        <v>14</v>
      </c>
      <c r="B21" s="44">
        <f>EDATE('My Debts'!$C$6,A21-1)</f>
        <v/>
      </c>
      <c r="C21" s="45">
        <f>K21+Q21+W21+AC21+AI21+AO21+AU21+BA21+BG21+BM21</f>
        <v/>
      </c>
      <c r="D21" s="46">
        <f>I21+O21+U21+AA21+AG21+AM21+AS21+AY21+BE21+BK21+J21+P21+V21+AB21+AH21+AN21+AT21+AZ21+BF21+BL21</f>
        <v/>
      </c>
      <c r="E21" s="46">
        <f>H21+N21+T21+Z21+AF21+AL21+AR21+AX21+BD21+BJ21</f>
        <v/>
      </c>
      <c r="F21">
        <f>MAX(0,'My Debts'!$E$21-(I21+O21+U21+AA21+AG21+AM21+AS21+AY21+BE21+BK21))</f>
        <v/>
      </c>
      <c r="G21" s="42">
        <f>K20</f>
        <v/>
      </c>
      <c r="H21" s="42">
        <f>ROUND(G21*H$6/12,2)</f>
        <v/>
      </c>
      <c r="I21" s="42">
        <f>MIN(I$6,G21+H21)</f>
        <v/>
      </c>
      <c r="J21" s="42">
        <f>MAX(0,MIN(G21+H21-I21,$F21))</f>
        <v/>
      </c>
      <c r="K21" s="42">
        <f>ROUND(G21+H21-I21-J21,2)</f>
        <v/>
      </c>
      <c r="L21">
        <f>$F21-J21</f>
        <v/>
      </c>
      <c r="M21" s="42">
        <f>Q20</f>
        <v/>
      </c>
      <c r="N21" s="42">
        <f>ROUND(M21*N$6/12,2)</f>
        <v/>
      </c>
      <c r="O21" s="42">
        <f>MIN(O$6,M21+N21)</f>
        <v/>
      </c>
      <c r="P21" s="42">
        <f>MAX(0,MIN(M21+N21-O21,L21))</f>
        <v/>
      </c>
      <c r="Q21" s="42">
        <f>ROUND(M21+N21-O21-P21,2)</f>
        <v/>
      </c>
      <c r="R21">
        <f>L21-P21</f>
        <v/>
      </c>
      <c r="S21" s="42">
        <f>W20</f>
        <v/>
      </c>
      <c r="T21" s="42">
        <f>ROUND(S21*T$6/12,2)</f>
        <v/>
      </c>
      <c r="U21" s="42">
        <f>MIN(U$6,S21+T21)</f>
        <v/>
      </c>
      <c r="V21" s="42">
        <f>MAX(0,MIN(S21+T21-U21,R21))</f>
        <v/>
      </c>
      <c r="W21" s="42">
        <f>ROUND(S21+T21-U21-V21,2)</f>
        <v/>
      </c>
      <c r="X21">
        <f>R21-V21</f>
        <v/>
      </c>
      <c r="Y21" s="42">
        <f>AC20</f>
        <v/>
      </c>
      <c r="Z21" s="42">
        <f>ROUND(Y21*Z$6/12,2)</f>
        <v/>
      </c>
      <c r="AA21" s="42">
        <f>MIN(AA$6,Y21+Z21)</f>
        <v/>
      </c>
      <c r="AB21" s="42">
        <f>MAX(0,MIN(Y21+Z21-AA21,X21))</f>
        <v/>
      </c>
      <c r="AC21" s="42">
        <f>ROUND(Y21+Z21-AA21-AB21,2)</f>
        <v/>
      </c>
      <c r="AD21">
        <f>X21-AB21</f>
        <v/>
      </c>
      <c r="AE21" s="42">
        <f>AI20</f>
        <v/>
      </c>
      <c r="AF21" s="42">
        <f>ROUND(AE21*AF$6/12,2)</f>
        <v/>
      </c>
      <c r="AG21" s="42">
        <f>MIN(AG$6,AE21+AF21)</f>
        <v/>
      </c>
      <c r="AH21" s="42">
        <f>MAX(0,MIN(AE21+AF21-AG21,AD21))</f>
        <v/>
      </c>
      <c r="AI21" s="42">
        <f>ROUND(AE21+AF21-AG21-AH21,2)</f>
        <v/>
      </c>
      <c r="AJ21">
        <f>AD21-AH21</f>
        <v/>
      </c>
      <c r="AK21" s="42">
        <f>AO20</f>
        <v/>
      </c>
      <c r="AL21" s="42">
        <f>ROUND(AK21*AL$6/12,2)</f>
        <v/>
      </c>
      <c r="AM21" s="42">
        <f>MIN(AM$6,AK21+AL21)</f>
        <v/>
      </c>
      <c r="AN21" s="42">
        <f>MAX(0,MIN(AK21+AL21-AM21,AJ21))</f>
        <v/>
      </c>
      <c r="AO21" s="42">
        <f>ROUND(AK21+AL21-AM21-AN21,2)</f>
        <v/>
      </c>
      <c r="AP21">
        <f>AJ21-AN21</f>
        <v/>
      </c>
      <c r="AQ21" s="42">
        <f>AU20</f>
        <v/>
      </c>
      <c r="AR21" s="42">
        <f>ROUND(AQ21*AR$6/12,2)</f>
        <v/>
      </c>
      <c r="AS21" s="42">
        <f>MIN(AS$6,AQ21+AR21)</f>
        <v/>
      </c>
      <c r="AT21" s="42">
        <f>MAX(0,MIN(AQ21+AR21-AS21,AP21))</f>
        <v/>
      </c>
      <c r="AU21" s="42">
        <f>ROUND(AQ21+AR21-AS21-AT21,2)</f>
        <v/>
      </c>
      <c r="AV21">
        <f>AP21-AT21</f>
        <v/>
      </c>
      <c r="AW21" s="42">
        <f>BA20</f>
        <v/>
      </c>
      <c r="AX21" s="42">
        <f>ROUND(AW21*AX$6/12,2)</f>
        <v/>
      </c>
      <c r="AY21" s="42">
        <f>MIN(AY$6,AW21+AX21)</f>
        <v/>
      </c>
      <c r="AZ21" s="42">
        <f>MAX(0,MIN(AW21+AX21-AY21,AV21))</f>
        <v/>
      </c>
      <c r="BA21" s="42">
        <f>ROUND(AW21+AX21-AY21-AZ21,2)</f>
        <v/>
      </c>
      <c r="BB21">
        <f>AV21-AZ21</f>
        <v/>
      </c>
      <c r="BC21" s="42">
        <f>BG20</f>
        <v/>
      </c>
      <c r="BD21" s="42">
        <f>ROUND(BC21*BD$6/12,2)</f>
        <v/>
      </c>
      <c r="BE21" s="42">
        <f>MIN(BE$6,BC21+BD21)</f>
        <v/>
      </c>
      <c r="BF21" s="42">
        <f>MAX(0,MIN(BC21+BD21-BE21,BB21))</f>
        <v/>
      </c>
      <c r="BG21" s="42">
        <f>ROUND(BC21+BD21-BE21-BF21,2)</f>
        <v/>
      </c>
      <c r="BH21">
        <f>BB21-BF21</f>
        <v/>
      </c>
      <c r="BI21" s="42">
        <f>BM20</f>
        <v/>
      </c>
      <c r="BJ21" s="42">
        <f>ROUND(BI21*BJ$6/12,2)</f>
        <v/>
      </c>
      <c r="BK21" s="42">
        <f>MIN(BK$6,BI21+BJ21)</f>
        <v/>
      </c>
      <c r="BL21" s="42">
        <f>MAX(0,MIN(BI21+BJ21-BK21,BH21))</f>
        <v/>
      </c>
      <c r="BM21" s="42">
        <f>ROUND(BI21+BJ21-BK21-BL21,2)</f>
        <v/>
      </c>
      <c r="BN21">
        <f>BH21-BL21</f>
        <v/>
      </c>
    </row>
    <row r="22">
      <c r="A22" s="39" t="n">
        <v>15</v>
      </c>
      <c r="B22" s="40">
        <f>EDATE('My Debts'!$C$6,A22-1)</f>
        <v/>
      </c>
      <c r="C22" s="41">
        <f>K22+Q22+W22+AC22+AI22+AO22+AU22+BA22+BG22+BM22</f>
        <v/>
      </c>
      <c r="D22" s="42">
        <f>I22+O22+U22+AA22+AG22+AM22+AS22+AY22+BE22+BK22+J22+P22+V22+AB22+AH22+AN22+AT22+AZ22+BF22+BL22</f>
        <v/>
      </c>
      <c r="E22" s="42">
        <f>H22+N22+T22+Z22+AF22+AL22+AR22+AX22+BD22+BJ22</f>
        <v/>
      </c>
      <c r="F22">
        <f>MAX(0,'My Debts'!$E$21-(I22+O22+U22+AA22+AG22+AM22+AS22+AY22+BE22+BK22))</f>
        <v/>
      </c>
      <c r="G22" s="42">
        <f>K21</f>
        <v/>
      </c>
      <c r="H22" s="42">
        <f>ROUND(G22*H$6/12,2)</f>
        <v/>
      </c>
      <c r="I22" s="42">
        <f>MIN(I$6,G22+H22)</f>
        <v/>
      </c>
      <c r="J22" s="42">
        <f>MAX(0,MIN(G22+H22-I22,$F22))</f>
        <v/>
      </c>
      <c r="K22" s="42">
        <f>ROUND(G22+H22-I22-J22,2)</f>
        <v/>
      </c>
      <c r="L22">
        <f>$F22-J22</f>
        <v/>
      </c>
      <c r="M22" s="42">
        <f>Q21</f>
        <v/>
      </c>
      <c r="N22" s="42">
        <f>ROUND(M22*N$6/12,2)</f>
        <v/>
      </c>
      <c r="O22" s="42">
        <f>MIN(O$6,M22+N22)</f>
        <v/>
      </c>
      <c r="P22" s="42">
        <f>MAX(0,MIN(M22+N22-O22,L22))</f>
        <v/>
      </c>
      <c r="Q22" s="42">
        <f>ROUND(M22+N22-O22-P22,2)</f>
        <v/>
      </c>
      <c r="R22">
        <f>L22-P22</f>
        <v/>
      </c>
      <c r="S22" s="42">
        <f>W21</f>
        <v/>
      </c>
      <c r="T22" s="42">
        <f>ROUND(S22*T$6/12,2)</f>
        <v/>
      </c>
      <c r="U22" s="42">
        <f>MIN(U$6,S22+T22)</f>
        <v/>
      </c>
      <c r="V22" s="42">
        <f>MAX(0,MIN(S22+T22-U22,R22))</f>
        <v/>
      </c>
      <c r="W22" s="42">
        <f>ROUND(S22+T22-U22-V22,2)</f>
        <v/>
      </c>
      <c r="X22">
        <f>R22-V22</f>
        <v/>
      </c>
      <c r="Y22" s="42">
        <f>AC21</f>
        <v/>
      </c>
      <c r="Z22" s="42">
        <f>ROUND(Y22*Z$6/12,2)</f>
        <v/>
      </c>
      <c r="AA22" s="42">
        <f>MIN(AA$6,Y22+Z22)</f>
        <v/>
      </c>
      <c r="AB22" s="42">
        <f>MAX(0,MIN(Y22+Z22-AA22,X22))</f>
        <v/>
      </c>
      <c r="AC22" s="42">
        <f>ROUND(Y22+Z22-AA22-AB22,2)</f>
        <v/>
      </c>
      <c r="AD22">
        <f>X22-AB22</f>
        <v/>
      </c>
      <c r="AE22" s="42">
        <f>AI21</f>
        <v/>
      </c>
      <c r="AF22" s="42">
        <f>ROUND(AE22*AF$6/12,2)</f>
        <v/>
      </c>
      <c r="AG22" s="42">
        <f>MIN(AG$6,AE22+AF22)</f>
        <v/>
      </c>
      <c r="AH22" s="42">
        <f>MAX(0,MIN(AE22+AF22-AG22,AD22))</f>
        <v/>
      </c>
      <c r="AI22" s="42">
        <f>ROUND(AE22+AF22-AG22-AH22,2)</f>
        <v/>
      </c>
      <c r="AJ22">
        <f>AD22-AH22</f>
        <v/>
      </c>
      <c r="AK22" s="42">
        <f>AO21</f>
        <v/>
      </c>
      <c r="AL22" s="42">
        <f>ROUND(AK22*AL$6/12,2)</f>
        <v/>
      </c>
      <c r="AM22" s="42">
        <f>MIN(AM$6,AK22+AL22)</f>
        <v/>
      </c>
      <c r="AN22" s="42">
        <f>MAX(0,MIN(AK22+AL22-AM22,AJ22))</f>
        <v/>
      </c>
      <c r="AO22" s="42">
        <f>ROUND(AK22+AL22-AM22-AN22,2)</f>
        <v/>
      </c>
      <c r="AP22">
        <f>AJ22-AN22</f>
        <v/>
      </c>
      <c r="AQ22" s="42">
        <f>AU21</f>
        <v/>
      </c>
      <c r="AR22" s="42">
        <f>ROUND(AQ22*AR$6/12,2)</f>
        <v/>
      </c>
      <c r="AS22" s="42">
        <f>MIN(AS$6,AQ22+AR22)</f>
        <v/>
      </c>
      <c r="AT22" s="42">
        <f>MAX(0,MIN(AQ22+AR22-AS22,AP22))</f>
        <v/>
      </c>
      <c r="AU22" s="42">
        <f>ROUND(AQ22+AR22-AS22-AT22,2)</f>
        <v/>
      </c>
      <c r="AV22">
        <f>AP22-AT22</f>
        <v/>
      </c>
      <c r="AW22" s="42">
        <f>BA21</f>
        <v/>
      </c>
      <c r="AX22" s="42">
        <f>ROUND(AW22*AX$6/12,2)</f>
        <v/>
      </c>
      <c r="AY22" s="42">
        <f>MIN(AY$6,AW22+AX22)</f>
        <v/>
      </c>
      <c r="AZ22" s="42">
        <f>MAX(0,MIN(AW22+AX22-AY22,AV22))</f>
        <v/>
      </c>
      <c r="BA22" s="42">
        <f>ROUND(AW22+AX22-AY22-AZ22,2)</f>
        <v/>
      </c>
      <c r="BB22">
        <f>AV22-AZ22</f>
        <v/>
      </c>
      <c r="BC22" s="42">
        <f>BG21</f>
        <v/>
      </c>
      <c r="BD22" s="42">
        <f>ROUND(BC22*BD$6/12,2)</f>
        <v/>
      </c>
      <c r="BE22" s="42">
        <f>MIN(BE$6,BC22+BD22)</f>
        <v/>
      </c>
      <c r="BF22" s="42">
        <f>MAX(0,MIN(BC22+BD22-BE22,BB22))</f>
        <v/>
      </c>
      <c r="BG22" s="42">
        <f>ROUND(BC22+BD22-BE22-BF22,2)</f>
        <v/>
      </c>
      <c r="BH22">
        <f>BB22-BF22</f>
        <v/>
      </c>
      <c r="BI22" s="42">
        <f>BM21</f>
        <v/>
      </c>
      <c r="BJ22" s="42">
        <f>ROUND(BI22*BJ$6/12,2)</f>
        <v/>
      </c>
      <c r="BK22" s="42">
        <f>MIN(BK$6,BI22+BJ22)</f>
        <v/>
      </c>
      <c r="BL22" s="42">
        <f>MAX(0,MIN(BI22+BJ22-BK22,BH22))</f>
        <v/>
      </c>
      <c r="BM22" s="42">
        <f>ROUND(BI22+BJ22-BK22-BL22,2)</f>
        <v/>
      </c>
      <c r="BN22">
        <f>BH22-BL22</f>
        <v/>
      </c>
    </row>
    <row r="23">
      <c r="A23" s="43" t="n">
        <v>16</v>
      </c>
      <c r="B23" s="44">
        <f>EDATE('My Debts'!$C$6,A23-1)</f>
        <v/>
      </c>
      <c r="C23" s="45">
        <f>K23+Q23+W23+AC23+AI23+AO23+AU23+BA23+BG23+BM23</f>
        <v/>
      </c>
      <c r="D23" s="46">
        <f>I23+O23+U23+AA23+AG23+AM23+AS23+AY23+BE23+BK23+J23+P23+V23+AB23+AH23+AN23+AT23+AZ23+BF23+BL23</f>
        <v/>
      </c>
      <c r="E23" s="46">
        <f>H23+N23+T23+Z23+AF23+AL23+AR23+AX23+BD23+BJ23</f>
        <v/>
      </c>
      <c r="F23">
        <f>MAX(0,'My Debts'!$E$21-(I23+O23+U23+AA23+AG23+AM23+AS23+AY23+BE23+BK23))</f>
        <v/>
      </c>
      <c r="G23" s="42">
        <f>K22</f>
        <v/>
      </c>
      <c r="H23" s="42">
        <f>ROUND(G23*H$6/12,2)</f>
        <v/>
      </c>
      <c r="I23" s="42">
        <f>MIN(I$6,G23+H23)</f>
        <v/>
      </c>
      <c r="J23" s="42">
        <f>MAX(0,MIN(G23+H23-I23,$F23))</f>
        <v/>
      </c>
      <c r="K23" s="42">
        <f>ROUND(G23+H23-I23-J23,2)</f>
        <v/>
      </c>
      <c r="L23">
        <f>$F23-J23</f>
        <v/>
      </c>
      <c r="M23" s="42">
        <f>Q22</f>
        <v/>
      </c>
      <c r="N23" s="42">
        <f>ROUND(M23*N$6/12,2)</f>
        <v/>
      </c>
      <c r="O23" s="42">
        <f>MIN(O$6,M23+N23)</f>
        <v/>
      </c>
      <c r="P23" s="42">
        <f>MAX(0,MIN(M23+N23-O23,L23))</f>
        <v/>
      </c>
      <c r="Q23" s="42">
        <f>ROUND(M23+N23-O23-P23,2)</f>
        <v/>
      </c>
      <c r="R23">
        <f>L23-P23</f>
        <v/>
      </c>
      <c r="S23" s="42">
        <f>W22</f>
        <v/>
      </c>
      <c r="T23" s="42">
        <f>ROUND(S23*T$6/12,2)</f>
        <v/>
      </c>
      <c r="U23" s="42">
        <f>MIN(U$6,S23+T23)</f>
        <v/>
      </c>
      <c r="V23" s="42">
        <f>MAX(0,MIN(S23+T23-U23,R23))</f>
        <v/>
      </c>
      <c r="W23" s="42">
        <f>ROUND(S23+T23-U23-V23,2)</f>
        <v/>
      </c>
      <c r="X23">
        <f>R23-V23</f>
        <v/>
      </c>
      <c r="Y23" s="42">
        <f>AC22</f>
        <v/>
      </c>
      <c r="Z23" s="42">
        <f>ROUND(Y23*Z$6/12,2)</f>
        <v/>
      </c>
      <c r="AA23" s="42">
        <f>MIN(AA$6,Y23+Z23)</f>
        <v/>
      </c>
      <c r="AB23" s="42">
        <f>MAX(0,MIN(Y23+Z23-AA23,X23))</f>
        <v/>
      </c>
      <c r="AC23" s="42">
        <f>ROUND(Y23+Z23-AA23-AB23,2)</f>
        <v/>
      </c>
      <c r="AD23">
        <f>X23-AB23</f>
        <v/>
      </c>
      <c r="AE23" s="42">
        <f>AI22</f>
        <v/>
      </c>
      <c r="AF23" s="42">
        <f>ROUND(AE23*AF$6/12,2)</f>
        <v/>
      </c>
      <c r="AG23" s="42">
        <f>MIN(AG$6,AE23+AF23)</f>
        <v/>
      </c>
      <c r="AH23" s="42">
        <f>MAX(0,MIN(AE23+AF23-AG23,AD23))</f>
        <v/>
      </c>
      <c r="AI23" s="42">
        <f>ROUND(AE23+AF23-AG23-AH23,2)</f>
        <v/>
      </c>
      <c r="AJ23">
        <f>AD23-AH23</f>
        <v/>
      </c>
      <c r="AK23" s="42">
        <f>AO22</f>
        <v/>
      </c>
      <c r="AL23" s="42">
        <f>ROUND(AK23*AL$6/12,2)</f>
        <v/>
      </c>
      <c r="AM23" s="42">
        <f>MIN(AM$6,AK23+AL23)</f>
        <v/>
      </c>
      <c r="AN23" s="42">
        <f>MAX(0,MIN(AK23+AL23-AM23,AJ23))</f>
        <v/>
      </c>
      <c r="AO23" s="42">
        <f>ROUND(AK23+AL23-AM23-AN23,2)</f>
        <v/>
      </c>
      <c r="AP23">
        <f>AJ23-AN23</f>
        <v/>
      </c>
      <c r="AQ23" s="42">
        <f>AU22</f>
        <v/>
      </c>
      <c r="AR23" s="42">
        <f>ROUND(AQ23*AR$6/12,2)</f>
        <v/>
      </c>
      <c r="AS23" s="42">
        <f>MIN(AS$6,AQ23+AR23)</f>
        <v/>
      </c>
      <c r="AT23" s="42">
        <f>MAX(0,MIN(AQ23+AR23-AS23,AP23))</f>
        <v/>
      </c>
      <c r="AU23" s="42">
        <f>ROUND(AQ23+AR23-AS23-AT23,2)</f>
        <v/>
      </c>
      <c r="AV23">
        <f>AP23-AT23</f>
        <v/>
      </c>
      <c r="AW23" s="42">
        <f>BA22</f>
        <v/>
      </c>
      <c r="AX23" s="42">
        <f>ROUND(AW23*AX$6/12,2)</f>
        <v/>
      </c>
      <c r="AY23" s="42">
        <f>MIN(AY$6,AW23+AX23)</f>
        <v/>
      </c>
      <c r="AZ23" s="42">
        <f>MAX(0,MIN(AW23+AX23-AY23,AV23))</f>
        <v/>
      </c>
      <c r="BA23" s="42">
        <f>ROUND(AW23+AX23-AY23-AZ23,2)</f>
        <v/>
      </c>
      <c r="BB23">
        <f>AV23-AZ23</f>
        <v/>
      </c>
      <c r="BC23" s="42">
        <f>BG22</f>
        <v/>
      </c>
      <c r="BD23" s="42">
        <f>ROUND(BC23*BD$6/12,2)</f>
        <v/>
      </c>
      <c r="BE23" s="42">
        <f>MIN(BE$6,BC23+BD23)</f>
        <v/>
      </c>
      <c r="BF23" s="42">
        <f>MAX(0,MIN(BC23+BD23-BE23,BB23))</f>
        <v/>
      </c>
      <c r="BG23" s="42">
        <f>ROUND(BC23+BD23-BE23-BF23,2)</f>
        <v/>
      </c>
      <c r="BH23">
        <f>BB23-BF23</f>
        <v/>
      </c>
      <c r="BI23" s="42">
        <f>BM22</f>
        <v/>
      </c>
      <c r="BJ23" s="42">
        <f>ROUND(BI23*BJ$6/12,2)</f>
        <v/>
      </c>
      <c r="BK23" s="42">
        <f>MIN(BK$6,BI23+BJ23)</f>
        <v/>
      </c>
      <c r="BL23" s="42">
        <f>MAX(0,MIN(BI23+BJ23-BK23,BH23))</f>
        <v/>
      </c>
      <c r="BM23" s="42">
        <f>ROUND(BI23+BJ23-BK23-BL23,2)</f>
        <v/>
      </c>
      <c r="BN23">
        <f>BH23-BL23</f>
        <v/>
      </c>
    </row>
    <row r="24">
      <c r="A24" s="39" t="n">
        <v>17</v>
      </c>
      <c r="B24" s="40">
        <f>EDATE('My Debts'!$C$6,A24-1)</f>
        <v/>
      </c>
      <c r="C24" s="41">
        <f>K24+Q24+W24+AC24+AI24+AO24+AU24+BA24+BG24+BM24</f>
        <v/>
      </c>
      <c r="D24" s="42">
        <f>I24+O24+U24+AA24+AG24+AM24+AS24+AY24+BE24+BK24+J24+P24+V24+AB24+AH24+AN24+AT24+AZ24+BF24+BL24</f>
        <v/>
      </c>
      <c r="E24" s="42">
        <f>H24+N24+T24+Z24+AF24+AL24+AR24+AX24+BD24+BJ24</f>
        <v/>
      </c>
      <c r="F24">
        <f>MAX(0,'My Debts'!$E$21-(I24+O24+U24+AA24+AG24+AM24+AS24+AY24+BE24+BK24))</f>
        <v/>
      </c>
      <c r="G24" s="42">
        <f>K23</f>
        <v/>
      </c>
      <c r="H24" s="42">
        <f>ROUND(G24*H$6/12,2)</f>
        <v/>
      </c>
      <c r="I24" s="42">
        <f>MIN(I$6,G24+H24)</f>
        <v/>
      </c>
      <c r="J24" s="42">
        <f>MAX(0,MIN(G24+H24-I24,$F24))</f>
        <v/>
      </c>
      <c r="K24" s="42">
        <f>ROUND(G24+H24-I24-J24,2)</f>
        <v/>
      </c>
      <c r="L24">
        <f>$F24-J24</f>
        <v/>
      </c>
      <c r="M24" s="42">
        <f>Q23</f>
        <v/>
      </c>
      <c r="N24" s="42">
        <f>ROUND(M24*N$6/12,2)</f>
        <v/>
      </c>
      <c r="O24" s="42">
        <f>MIN(O$6,M24+N24)</f>
        <v/>
      </c>
      <c r="P24" s="42">
        <f>MAX(0,MIN(M24+N24-O24,L24))</f>
        <v/>
      </c>
      <c r="Q24" s="42">
        <f>ROUND(M24+N24-O24-P24,2)</f>
        <v/>
      </c>
      <c r="R24">
        <f>L24-P24</f>
        <v/>
      </c>
      <c r="S24" s="42">
        <f>W23</f>
        <v/>
      </c>
      <c r="T24" s="42">
        <f>ROUND(S24*T$6/12,2)</f>
        <v/>
      </c>
      <c r="U24" s="42">
        <f>MIN(U$6,S24+T24)</f>
        <v/>
      </c>
      <c r="V24" s="42">
        <f>MAX(0,MIN(S24+T24-U24,R24))</f>
        <v/>
      </c>
      <c r="W24" s="42">
        <f>ROUND(S24+T24-U24-V24,2)</f>
        <v/>
      </c>
      <c r="X24">
        <f>R24-V24</f>
        <v/>
      </c>
      <c r="Y24" s="42">
        <f>AC23</f>
        <v/>
      </c>
      <c r="Z24" s="42">
        <f>ROUND(Y24*Z$6/12,2)</f>
        <v/>
      </c>
      <c r="AA24" s="42">
        <f>MIN(AA$6,Y24+Z24)</f>
        <v/>
      </c>
      <c r="AB24" s="42">
        <f>MAX(0,MIN(Y24+Z24-AA24,X24))</f>
        <v/>
      </c>
      <c r="AC24" s="42">
        <f>ROUND(Y24+Z24-AA24-AB24,2)</f>
        <v/>
      </c>
      <c r="AD24">
        <f>X24-AB24</f>
        <v/>
      </c>
      <c r="AE24" s="42">
        <f>AI23</f>
        <v/>
      </c>
      <c r="AF24" s="42">
        <f>ROUND(AE24*AF$6/12,2)</f>
        <v/>
      </c>
      <c r="AG24" s="42">
        <f>MIN(AG$6,AE24+AF24)</f>
        <v/>
      </c>
      <c r="AH24" s="42">
        <f>MAX(0,MIN(AE24+AF24-AG24,AD24))</f>
        <v/>
      </c>
      <c r="AI24" s="42">
        <f>ROUND(AE24+AF24-AG24-AH24,2)</f>
        <v/>
      </c>
      <c r="AJ24">
        <f>AD24-AH24</f>
        <v/>
      </c>
      <c r="AK24" s="42">
        <f>AO23</f>
        <v/>
      </c>
      <c r="AL24" s="42">
        <f>ROUND(AK24*AL$6/12,2)</f>
        <v/>
      </c>
      <c r="AM24" s="42">
        <f>MIN(AM$6,AK24+AL24)</f>
        <v/>
      </c>
      <c r="AN24" s="42">
        <f>MAX(0,MIN(AK24+AL24-AM24,AJ24))</f>
        <v/>
      </c>
      <c r="AO24" s="42">
        <f>ROUND(AK24+AL24-AM24-AN24,2)</f>
        <v/>
      </c>
      <c r="AP24">
        <f>AJ24-AN24</f>
        <v/>
      </c>
      <c r="AQ24" s="42">
        <f>AU23</f>
        <v/>
      </c>
      <c r="AR24" s="42">
        <f>ROUND(AQ24*AR$6/12,2)</f>
        <v/>
      </c>
      <c r="AS24" s="42">
        <f>MIN(AS$6,AQ24+AR24)</f>
        <v/>
      </c>
      <c r="AT24" s="42">
        <f>MAX(0,MIN(AQ24+AR24-AS24,AP24))</f>
        <v/>
      </c>
      <c r="AU24" s="42">
        <f>ROUND(AQ24+AR24-AS24-AT24,2)</f>
        <v/>
      </c>
      <c r="AV24">
        <f>AP24-AT24</f>
        <v/>
      </c>
      <c r="AW24" s="42">
        <f>BA23</f>
        <v/>
      </c>
      <c r="AX24" s="42">
        <f>ROUND(AW24*AX$6/12,2)</f>
        <v/>
      </c>
      <c r="AY24" s="42">
        <f>MIN(AY$6,AW24+AX24)</f>
        <v/>
      </c>
      <c r="AZ24" s="42">
        <f>MAX(0,MIN(AW24+AX24-AY24,AV24))</f>
        <v/>
      </c>
      <c r="BA24" s="42">
        <f>ROUND(AW24+AX24-AY24-AZ24,2)</f>
        <v/>
      </c>
      <c r="BB24">
        <f>AV24-AZ24</f>
        <v/>
      </c>
      <c r="BC24" s="42">
        <f>BG23</f>
        <v/>
      </c>
      <c r="BD24" s="42">
        <f>ROUND(BC24*BD$6/12,2)</f>
        <v/>
      </c>
      <c r="BE24" s="42">
        <f>MIN(BE$6,BC24+BD24)</f>
        <v/>
      </c>
      <c r="BF24" s="42">
        <f>MAX(0,MIN(BC24+BD24-BE24,BB24))</f>
        <v/>
      </c>
      <c r="BG24" s="42">
        <f>ROUND(BC24+BD24-BE24-BF24,2)</f>
        <v/>
      </c>
      <c r="BH24">
        <f>BB24-BF24</f>
        <v/>
      </c>
      <c r="BI24" s="42">
        <f>BM23</f>
        <v/>
      </c>
      <c r="BJ24" s="42">
        <f>ROUND(BI24*BJ$6/12,2)</f>
        <v/>
      </c>
      <c r="BK24" s="42">
        <f>MIN(BK$6,BI24+BJ24)</f>
        <v/>
      </c>
      <c r="BL24" s="42">
        <f>MAX(0,MIN(BI24+BJ24-BK24,BH24))</f>
        <v/>
      </c>
      <c r="BM24" s="42">
        <f>ROUND(BI24+BJ24-BK24-BL24,2)</f>
        <v/>
      </c>
      <c r="BN24">
        <f>BH24-BL24</f>
        <v/>
      </c>
    </row>
    <row r="25">
      <c r="A25" s="43" t="n">
        <v>18</v>
      </c>
      <c r="B25" s="44">
        <f>EDATE('My Debts'!$C$6,A25-1)</f>
        <v/>
      </c>
      <c r="C25" s="45">
        <f>K25+Q25+W25+AC25+AI25+AO25+AU25+BA25+BG25+BM25</f>
        <v/>
      </c>
      <c r="D25" s="46">
        <f>I25+O25+U25+AA25+AG25+AM25+AS25+AY25+BE25+BK25+J25+P25+V25+AB25+AH25+AN25+AT25+AZ25+BF25+BL25</f>
        <v/>
      </c>
      <c r="E25" s="46">
        <f>H25+N25+T25+Z25+AF25+AL25+AR25+AX25+BD25+BJ25</f>
        <v/>
      </c>
      <c r="F25">
        <f>MAX(0,'My Debts'!$E$21-(I25+O25+U25+AA25+AG25+AM25+AS25+AY25+BE25+BK25))</f>
        <v/>
      </c>
      <c r="G25" s="42">
        <f>K24</f>
        <v/>
      </c>
      <c r="H25" s="42">
        <f>ROUND(G25*H$6/12,2)</f>
        <v/>
      </c>
      <c r="I25" s="42">
        <f>MIN(I$6,G25+H25)</f>
        <v/>
      </c>
      <c r="J25" s="42">
        <f>MAX(0,MIN(G25+H25-I25,$F25))</f>
        <v/>
      </c>
      <c r="K25" s="42">
        <f>ROUND(G25+H25-I25-J25,2)</f>
        <v/>
      </c>
      <c r="L25">
        <f>$F25-J25</f>
        <v/>
      </c>
      <c r="M25" s="42">
        <f>Q24</f>
        <v/>
      </c>
      <c r="N25" s="42">
        <f>ROUND(M25*N$6/12,2)</f>
        <v/>
      </c>
      <c r="O25" s="42">
        <f>MIN(O$6,M25+N25)</f>
        <v/>
      </c>
      <c r="P25" s="42">
        <f>MAX(0,MIN(M25+N25-O25,L25))</f>
        <v/>
      </c>
      <c r="Q25" s="42">
        <f>ROUND(M25+N25-O25-P25,2)</f>
        <v/>
      </c>
      <c r="R25">
        <f>L25-P25</f>
        <v/>
      </c>
      <c r="S25" s="42">
        <f>W24</f>
        <v/>
      </c>
      <c r="T25" s="42">
        <f>ROUND(S25*T$6/12,2)</f>
        <v/>
      </c>
      <c r="U25" s="42">
        <f>MIN(U$6,S25+T25)</f>
        <v/>
      </c>
      <c r="V25" s="42">
        <f>MAX(0,MIN(S25+T25-U25,R25))</f>
        <v/>
      </c>
      <c r="W25" s="42">
        <f>ROUND(S25+T25-U25-V25,2)</f>
        <v/>
      </c>
      <c r="X25">
        <f>R25-V25</f>
        <v/>
      </c>
      <c r="Y25" s="42">
        <f>AC24</f>
        <v/>
      </c>
      <c r="Z25" s="42">
        <f>ROUND(Y25*Z$6/12,2)</f>
        <v/>
      </c>
      <c r="AA25" s="42">
        <f>MIN(AA$6,Y25+Z25)</f>
        <v/>
      </c>
      <c r="AB25" s="42">
        <f>MAX(0,MIN(Y25+Z25-AA25,X25))</f>
        <v/>
      </c>
      <c r="AC25" s="42">
        <f>ROUND(Y25+Z25-AA25-AB25,2)</f>
        <v/>
      </c>
      <c r="AD25">
        <f>X25-AB25</f>
        <v/>
      </c>
      <c r="AE25" s="42">
        <f>AI24</f>
        <v/>
      </c>
      <c r="AF25" s="42">
        <f>ROUND(AE25*AF$6/12,2)</f>
        <v/>
      </c>
      <c r="AG25" s="42">
        <f>MIN(AG$6,AE25+AF25)</f>
        <v/>
      </c>
      <c r="AH25" s="42">
        <f>MAX(0,MIN(AE25+AF25-AG25,AD25))</f>
        <v/>
      </c>
      <c r="AI25" s="42">
        <f>ROUND(AE25+AF25-AG25-AH25,2)</f>
        <v/>
      </c>
      <c r="AJ25">
        <f>AD25-AH25</f>
        <v/>
      </c>
      <c r="AK25" s="42">
        <f>AO24</f>
        <v/>
      </c>
      <c r="AL25" s="42">
        <f>ROUND(AK25*AL$6/12,2)</f>
        <v/>
      </c>
      <c r="AM25" s="42">
        <f>MIN(AM$6,AK25+AL25)</f>
        <v/>
      </c>
      <c r="AN25" s="42">
        <f>MAX(0,MIN(AK25+AL25-AM25,AJ25))</f>
        <v/>
      </c>
      <c r="AO25" s="42">
        <f>ROUND(AK25+AL25-AM25-AN25,2)</f>
        <v/>
      </c>
      <c r="AP25">
        <f>AJ25-AN25</f>
        <v/>
      </c>
      <c r="AQ25" s="42">
        <f>AU24</f>
        <v/>
      </c>
      <c r="AR25" s="42">
        <f>ROUND(AQ25*AR$6/12,2)</f>
        <v/>
      </c>
      <c r="AS25" s="42">
        <f>MIN(AS$6,AQ25+AR25)</f>
        <v/>
      </c>
      <c r="AT25" s="42">
        <f>MAX(0,MIN(AQ25+AR25-AS25,AP25))</f>
        <v/>
      </c>
      <c r="AU25" s="42">
        <f>ROUND(AQ25+AR25-AS25-AT25,2)</f>
        <v/>
      </c>
      <c r="AV25">
        <f>AP25-AT25</f>
        <v/>
      </c>
      <c r="AW25" s="42">
        <f>BA24</f>
        <v/>
      </c>
      <c r="AX25" s="42">
        <f>ROUND(AW25*AX$6/12,2)</f>
        <v/>
      </c>
      <c r="AY25" s="42">
        <f>MIN(AY$6,AW25+AX25)</f>
        <v/>
      </c>
      <c r="AZ25" s="42">
        <f>MAX(0,MIN(AW25+AX25-AY25,AV25))</f>
        <v/>
      </c>
      <c r="BA25" s="42">
        <f>ROUND(AW25+AX25-AY25-AZ25,2)</f>
        <v/>
      </c>
      <c r="BB25">
        <f>AV25-AZ25</f>
        <v/>
      </c>
      <c r="BC25" s="42">
        <f>BG24</f>
        <v/>
      </c>
      <c r="BD25" s="42">
        <f>ROUND(BC25*BD$6/12,2)</f>
        <v/>
      </c>
      <c r="BE25" s="42">
        <f>MIN(BE$6,BC25+BD25)</f>
        <v/>
      </c>
      <c r="BF25" s="42">
        <f>MAX(0,MIN(BC25+BD25-BE25,BB25))</f>
        <v/>
      </c>
      <c r="BG25" s="42">
        <f>ROUND(BC25+BD25-BE25-BF25,2)</f>
        <v/>
      </c>
      <c r="BH25">
        <f>BB25-BF25</f>
        <v/>
      </c>
      <c r="BI25" s="42">
        <f>BM24</f>
        <v/>
      </c>
      <c r="BJ25" s="42">
        <f>ROUND(BI25*BJ$6/12,2)</f>
        <v/>
      </c>
      <c r="BK25" s="42">
        <f>MIN(BK$6,BI25+BJ25)</f>
        <v/>
      </c>
      <c r="BL25" s="42">
        <f>MAX(0,MIN(BI25+BJ25-BK25,BH25))</f>
        <v/>
      </c>
      <c r="BM25" s="42">
        <f>ROUND(BI25+BJ25-BK25-BL25,2)</f>
        <v/>
      </c>
      <c r="BN25">
        <f>BH25-BL25</f>
        <v/>
      </c>
    </row>
    <row r="26">
      <c r="A26" s="39" t="n">
        <v>19</v>
      </c>
      <c r="B26" s="40">
        <f>EDATE('My Debts'!$C$6,A26-1)</f>
        <v/>
      </c>
      <c r="C26" s="41">
        <f>K26+Q26+W26+AC26+AI26+AO26+AU26+BA26+BG26+BM26</f>
        <v/>
      </c>
      <c r="D26" s="42">
        <f>I26+O26+U26+AA26+AG26+AM26+AS26+AY26+BE26+BK26+J26+P26+V26+AB26+AH26+AN26+AT26+AZ26+BF26+BL26</f>
        <v/>
      </c>
      <c r="E26" s="42">
        <f>H26+N26+T26+Z26+AF26+AL26+AR26+AX26+BD26+BJ26</f>
        <v/>
      </c>
      <c r="F26">
        <f>MAX(0,'My Debts'!$E$21-(I26+O26+U26+AA26+AG26+AM26+AS26+AY26+BE26+BK26))</f>
        <v/>
      </c>
      <c r="G26" s="42">
        <f>K25</f>
        <v/>
      </c>
      <c r="H26" s="42">
        <f>ROUND(G26*H$6/12,2)</f>
        <v/>
      </c>
      <c r="I26" s="42">
        <f>MIN(I$6,G26+H26)</f>
        <v/>
      </c>
      <c r="J26" s="42">
        <f>MAX(0,MIN(G26+H26-I26,$F26))</f>
        <v/>
      </c>
      <c r="K26" s="42">
        <f>ROUND(G26+H26-I26-J26,2)</f>
        <v/>
      </c>
      <c r="L26">
        <f>$F26-J26</f>
        <v/>
      </c>
      <c r="M26" s="42">
        <f>Q25</f>
        <v/>
      </c>
      <c r="N26" s="42">
        <f>ROUND(M26*N$6/12,2)</f>
        <v/>
      </c>
      <c r="O26" s="42">
        <f>MIN(O$6,M26+N26)</f>
        <v/>
      </c>
      <c r="P26" s="42">
        <f>MAX(0,MIN(M26+N26-O26,L26))</f>
        <v/>
      </c>
      <c r="Q26" s="42">
        <f>ROUND(M26+N26-O26-P26,2)</f>
        <v/>
      </c>
      <c r="R26">
        <f>L26-P26</f>
        <v/>
      </c>
      <c r="S26" s="42">
        <f>W25</f>
        <v/>
      </c>
      <c r="T26" s="42">
        <f>ROUND(S26*T$6/12,2)</f>
        <v/>
      </c>
      <c r="U26" s="42">
        <f>MIN(U$6,S26+T26)</f>
        <v/>
      </c>
      <c r="V26" s="42">
        <f>MAX(0,MIN(S26+T26-U26,R26))</f>
        <v/>
      </c>
      <c r="W26" s="42">
        <f>ROUND(S26+T26-U26-V26,2)</f>
        <v/>
      </c>
      <c r="X26">
        <f>R26-V26</f>
        <v/>
      </c>
      <c r="Y26" s="42">
        <f>AC25</f>
        <v/>
      </c>
      <c r="Z26" s="42">
        <f>ROUND(Y26*Z$6/12,2)</f>
        <v/>
      </c>
      <c r="AA26" s="42">
        <f>MIN(AA$6,Y26+Z26)</f>
        <v/>
      </c>
      <c r="AB26" s="42">
        <f>MAX(0,MIN(Y26+Z26-AA26,X26))</f>
        <v/>
      </c>
      <c r="AC26" s="42">
        <f>ROUND(Y26+Z26-AA26-AB26,2)</f>
        <v/>
      </c>
      <c r="AD26">
        <f>X26-AB26</f>
        <v/>
      </c>
      <c r="AE26" s="42">
        <f>AI25</f>
        <v/>
      </c>
      <c r="AF26" s="42">
        <f>ROUND(AE26*AF$6/12,2)</f>
        <v/>
      </c>
      <c r="AG26" s="42">
        <f>MIN(AG$6,AE26+AF26)</f>
        <v/>
      </c>
      <c r="AH26" s="42">
        <f>MAX(0,MIN(AE26+AF26-AG26,AD26))</f>
        <v/>
      </c>
      <c r="AI26" s="42">
        <f>ROUND(AE26+AF26-AG26-AH26,2)</f>
        <v/>
      </c>
      <c r="AJ26">
        <f>AD26-AH26</f>
        <v/>
      </c>
      <c r="AK26" s="42">
        <f>AO25</f>
        <v/>
      </c>
      <c r="AL26" s="42">
        <f>ROUND(AK26*AL$6/12,2)</f>
        <v/>
      </c>
      <c r="AM26" s="42">
        <f>MIN(AM$6,AK26+AL26)</f>
        <v/>
      </c>
      <c r="AN26" s="42">
        <f>MAX(0,MIN(AK26+AL26-AM26,AJ26))</f>
        <v/>
      </c>
      <c r="AO26" s="42">
        <f>ROUND(AK26+AL26-AM26-AN26,2)</f>
        <v/>
      </c>
      <c r="AP26">
        <f>AJ26-AN26</f>
        <v/>
      </c>
      <c r="AQ26" s="42">
        <f>AU25</f>
        <v/>
      </c>
      <c r="AR26" s="42">
        <f>ROUND(AQ26*AR$6/12,2)</f>
        <v/>
      </c>
      <c r="AS26" s="42">
        <f>MIN(AS$6,AQ26+AR26)</f>
        <v/>
      </c>
      <c r="AT26" s="42">
        <f>MAX(0,MIN(AQ26+AR26-AS26,AP26))</f>
        <v/>
      </c>
      <c r="AU26" s="42">
        <f>ROUND(AQ26+AR26-AS26-AT26,2)</f>
        <v/>
      </c>
      <c r="AV26">
        <f>AP26-AT26</f>
        <v/>
      </c>
      <c r="AW26" s="42">
        <f>BA25</f>
        <v/>
      </c>
      <c r="AX26" s="42">
        <f>ROUND(AW26*AX$6/12,2)</f>
        <v/>
      </c>
      <c r="AY26" s="42">
        <f>MIN(AY$6,AW26+AX26)</f>
        <v/>
      </c>
      <c r="AZ26" s="42">
        <f>MAX(0,MIN(AW26+AX26-AY26,AV26))</f>
        <v/>
      </c>
      <c r="BA26" s="42">
        <f>ROUND(AW26+AX26-AY26-AZ26,2)</f>
        <v/>
      </c>
      <c r="BB26">
        <f>AV26-AZ26</f>
        <v/>
      </c>
      <c r="BC26" s="42">
        <f>BG25</f>
        <v/>
      </c>
      <c r="BD26" s="42">
        <f>ROUND(BC26*BD$6/12,2)</f>
        <v/>
      </c>
      <c r="BE26" s="42">
        <f>MIN(BE$6,BC26+BD26)</f>
        <v/>
      </c>
      <c r="BF26" s="42">
        <f>MAX(0,MIN(BC26+BD26-BE26,BB26))</f>
        <v/>
      </c>
      <c r="BG26" s="42">
        <f>ROUND(BC26+BD26-BE26-BF26,2)</f>
        <v/>
      </c>
      <c r="BH26">
        <f>BB26-BF26</f>
        <v/>
      </c>
      <c r="BI26" s="42">
        <f>BM25</f>
        <v/>
      </c>
      <c r="BJ26" s="42">
        <f>ROUND(BI26*BJ$6/12,2)</f>
        <v/>
      </c>
      <c r="BK26" s="42">
        <f>MIN(BK$6,BI26+BJ26)</f>
        <v/>
      </c>
      <c r="BL26" s="42">
        <f>MAX(0,MIN(BI26+BJ26-BK26,BH26))</f>
        <v/>
      </c>
      <c r="BM26" s="42">
        <f>ROUND(BI26+BJ26-BK26-BL26,2)</f>
        <v/>
      </c>
      <c r="BN26">
        <f>BH26-BL26</f>
        <v/>
      </c>
    </row>
    <row r="27">
      <c r="A27" s="43" t="n">
        <v>20</v>
      </c>
      <c r="B27" s="44">
        <f>EDATE('My Debts'!$C$6,A27-1)</f>
        <v/>
      </c>
      <c r="C27" s="45">
        <f>K27+Q27+W27+AC27+AI27+AO27+AU27+BA27+BG27+BM27</f>
        <v/>
      </c>
      <c r="D27" s="46">
        <f>I27+O27+U27+AA27+AG27+AM27+AS27+AY27+BE27+BK27+J27+P27+V27+AB27+AH27+AN27+AT27+AZ27+BF27+BL27</f>
        <v/>
      </c>
      <c r="E27" s="46">
        <f>H27+N27+T27+Z27+AF27+AL27+AR27+AX27+BD27+BJ27</f>
        <v/>
      </c>
      <c r="F27">
        <f>MAX(0,'My Debts'!$E$21-(I27+O27+U27+AA27+AG27+AM27+AS27+AY27+BE27+BK27))</f>
        <v/>
      </c>
      <c r="G27" s="42">
        <f>K26</f>
        <v/>
      </c>
      <c r="H27" s="42">
        <f>ROUND(G27*H$6/12,2)</f>
        <v/>
      </c>
      <c r="I27" s="42">
        <f>MIN(I$6,G27+H27)</f>
        <v/>
      </c>
      <c r="J27" s="42">
        <f>MAX(0,MIN(G27+H27-I27,$F27))</f>
        <v/>
      </c>
      <c r="K27" s="42">
        <f>ROUND(G27+H27-I27-J27,2)</f>
        <v/>
      </c>
      <c r="L27">
        <f>$F27-J27</f>
        <v/>
      </c>
      <c r="M27" s="42">
        <f>Q26</f>
        <v/>
      </c>
      <c r="N27" s="42">
        <f>ROUND(M27*N$6/12,2)</f>
        <v/>
      </c>
      <c r="O27" s="42">
        <f>MIN(O$6,M27+N27)</f>
        <v/>
      </c>
      <c r="P27" s="42">
        <f>MAX(0,MIN(M27+N27-O27,L27))</f>
        <v/>
      </c>
      <c r="Q27" s="42">
        <f>ROUND(M27+N27-O27-P27,2)</f>
        <v/>
      </c>
      <c r="R27">
        <f>L27-P27</f>
        <v/>
      </c>
      <c r="S27" s="42">
        <f>W26</f>
        <v/>
      </c>
      <c r="T27" s="42">
        <f>ROUND(S27*T$6/12,2)</f>
        <v/>
      </c>
      <c r="U27" s="42">
        <f>MIN(U$6,S27+T27)</f>
        <v/>
      </c>
      <c r="V27" s="42">
        <f>MAX(0,MIN(S27+T27-U27,R27))</f>
        <v/>
      </c>
      <c r="W27" s="42">
        <f>ROUND(S27+T27-U27-V27,2)</f>
        <v/>
      </c>
      <c r="X27">
        <f>R27-V27</f>
        <v/>
      </c>
      <c r="Y27" s="42">
        <f>AC26</f>
        <v/>
      </c>
      <c r="Z27" s="42">
        <f>ROUND(Y27*Z$6/12,2)</f>
        <v/>
      </c>
      <c r="AA27" s="42">
        <f>MIN(AA$6,Y27+Z27)</f>
        <v/>
      </c>
      <c r="AB27" s="42">
        <f>MAX(0,MIN(Y27+Z27-AA27,X27))</f>
        <v/>
      </c>
      <c r="AC27" s="42">
        <f>ROUND(Y27+Z27-AA27-AB27,2)</f>
        <v/>
      </c>
      <c r="AD27">
        <f>X27-AB27</f>
        <v/>
      </c>
      <c r="AE27" s="42">
        <f>AI26</f>
        <v/>
      </c>
      <c r="AF27" s="42">
        <f>ROUND(AE27*AF$6/12,2)</f>
        <v/>
      </c>
      <c r="AG27" s="42">
        <f>MIN(AG$6,AE27+AF27)</f>
        <v/>
      </c>
      <c r="AH27" s="42">
        <f>MAX(0,MIN(AE27+AF27-AG27,AD27))</f>
        <v/>
      </c>
      <c r="AI27" s="42">
        <f>ROUND(AE27+AF27-AG27-AH27,2)</f>
        <v/>
      </c>
      <c r="AJ27">
        <f>AD27-AH27</f>
        <v/>
      </c>
      <c r="AK27" s="42">
        <f>AO26</f>
        <v/>
      </c>
      <c r="AL27" s="42">
        <f>ROUND(AK27*AL$6/12,2)</f>
        <v/>
      </c>
      <c r="AM27" s="42">
        <f>MIN(AM$6,AK27+AL27)</f>
        <v/>
      </c>
      <c r="AN27" s="42">
        <f>MAX(0,MIN(AK27+AL27-AM27,AJ27))</f>
        <v/>
      </c>
      <c r="AO27" s="42">
        <f>ROUND(AK27+AL27-AM27-AN27,2)</f>
        <v/>
      </c>
      <c r="AP27">
        <f>AJ27-AN27</f>
        <v/>
      </c>
      <c r="AQ27" s="42">
        <f>AU26</f>
        <v/>
      </c>
      <c r="AR27" s="42">
        <f>ROUND(AQ27*AR$6/12,2)</f>
        <v/>
      </c>
      <c r="AS27" s="42">
        <f>MIN(AS$6,AQ27+AR27)</f>
        <v/>
      </c>
      <c r="AT27" s="42">
        <f>MAX(0,MIN(AQ27+AR27-AS27,AP27))</f>
        <v/>
      </c>
      <c r="AU27" s="42">
        <f>ROUND(AQ27+AR27-AS27-AT27,2)</f>
        <v/>
      </c>
      <c r="AV27">
        <f>AP27-AT27</f>
        <v/>
      </c>
      <c r="AW27" s="42">
        <f>BA26</f>
        <v/>
      </c>
      <c r="AX27" s="42">
        <f>ROUND(AW27*AX$6/12,2)</f>
        <v/>
      </c>
      <c r="AY27" s="42">
        <f>MIN(AY$6,AW27+AX27)</f>
        <v/>
      </c>
      <c r="AZ27" s="42">
        <f>MAX(0,MIN(AW27+AX27-AY27,AV27))</f>
        <v/>
      </c>
      <c r="BA27" s="42">
        <f>ROUND(AW27+AX27-AY27-AZ27,2)</f>
        <v/>
      </c>
      <c r="BB27">
        <f>AV27-AZ27</f>
        <v/>
      </c>
      <c r="BC27" s="42">
        <f>BG26</f>
        <v/>
      </c>
      <c r="BD27" s="42">
        <f>ROUND(BC27*BD$6/12,2)</f>
        <v/>
      </c>
      <c r="BE27" s="42">
        <f>MIN(BE$6,BC27+BD27)</f>
        <v/>
      </c>
      <c r="BF27" s="42">
        <f>MAX(0,MIN(BC27+BD27-BE27,BB27))</f>
        <v/>
      </c>
      <c r="BG27" s="42">
        <f>ROUND(BC27+BD27-BE27-BF27,2)</f>
        <v/>
      </c>
      <c r="BH27">
        <f>BB27-BF27</f>
        <v/>
      </c>
      <c r="BI27" s="42">
        <f>BM26</f>
        <v/>
      </c>
      <c r="BJ27" s="42">
        <f>ROUND(BI27*BJ$6/12,2)</f>
        <v/>
      </c>
      <c r="BK27" s="42">
        <f>MIN(BK$6,BI27+BJ27)</f>
        <v/>
      </c>
      <c r="BL27" s="42">
        <f>MAX(0,MIN(BI27+BJ27-BK27,BH27))</f>
        <v/>
      </c>
      <c r="BM27" s="42">
        <f>ROUND(BI27+BJ27-BK27-BL27,2)</f>
        <v/>
      </c>
      <c r="BN27">
        <f>BH27-BL27</f>
        <v/>
      </c>
    </row>
    <row r="28">
      <c r="A28" s="39" t="n">
        <v>21</v>
      </c>
      <c r="B28" s="40">
        <f>EDATE('My Debts'!$C$6,A28-1)</f>
        <v/>
      </c>
      <c r="C28" s="41">
        <f>K28+Q28+W28+AC28+AI28+AO28+AU28+BA28+BG28+BM28</f>
        <v/>
      </c>
      <c r="D28" s="42">
        <f>I28+O28+U28+AA28+AG28+AM28+AS28+AY28+BE28+BK28+J28+P28+V28+AB28+AH28+AN28+AT28+AZ28+BF28+BL28</f>
        <v/>
      </c>
      <c r="E28" s="42">
        <f>H28+N28+T28+Z28+AF28+AL28+AR28+AX28+BD28+BJ28</f>
        <v/>
      </c>
      <c r="F28">
        <f>MAX(0,'My Debts'!$E$21-(I28+O28+U28+AA28+AG28+AM28+AS28+AY28+BE28+BK28))</f>
        <v/>
      </c>
      <c r="G28" s="42">
        <f>K27</f>
        <v/>
      </c>
      <c r="H28" s="42">
        <f>ROUND(G28*H$6/12,2)</f>
        <v/>
      </c>
      <c r="I28" s="42">
        <f>MIN(I$6,G28+H28)</f>
        <v/>
      </c>
      <c r="J28" s="42">
        <f>MAX(0,MIN(G28+H28-I28,$F28))</f>
        <v/>
      </c>
      <c r="K28" s="42">
        <f>ROUND(G28+H28-I28-J28,2)</f>
        <v/>
      </c>
      <c r="L28">
        <f>$F28-J28</f>
        <v/>
      </c>
      <c r="M28" s="42">
        <f>Q27</f>
        <v/>
      </c>
      <c r="N28" s="42">
        <f>ROUND(M28*N$6/12,2)</f>
        <v/>
      </c>
      <c r="O28" s="42">
        <f>MIN(O$6,M28+N28)</f>
        <v/>
      </c>
      <c r="P28" s="42">
        <f>MAX(0,MIN(M28+N28-O28,L28))</f>
        <v/>
      </c>
      <c r="Q28" s="42">
        <f>ROUND(M28+N28-O28-P28,2)</f>
        <v/>
      </c>
      <c r="R28">
        <f>L28-P28</f>
        <v/>
      </c>
      <c r="S28" s="42">
        <f>W27</f>
        <v/>
      </c>
      <c r="T28" s="42">
        <f>ROUND(S28*T$6/12,2)</f>
        <v/>
      </c>
      <c r="U28" s="42">
        <f>MIN(U$6,S28+T28)</f>
        <v/>
      </c>
      <c r="V28" s="42">
        <f>MAX(0,MIN(S28+T28-U28,R28))</f>
        <v/>
      </c>
      <c r="W28" s="42">
        <f>ROUND(S28+T28-U28-V28,2)</f>
        <v/>
      </c>
      <c r="X28">
        <f>R28-V28</f>
        <v/>
      </c>
      <c r="Y28" s="42">
        <f>AC27</f>
        <v/>
      </c>
      <c r="Z28" s="42">
        <f>ROUND(Y28*Z$6/12,2)</f>
        <v/>
      </c>
      <c r="AA28" s="42">
        <f>MIN(AA$6,Y28+Z28)</f>
        <v/>
      </c>
      <c r="AB28" s="42">
        <f>MAX(0,MIN(Y28+Z28-AA28,X28))</f>
        <v/>
      </c>
      <c r="AC28" s="42">
        <f>ROUND(Y28+Z28-AA28-AB28,2)</f>
        <v/>
      </c>
      <c r="AD28">
        <f>X28-AB28</f>
        <v/>
      </c>
      <c r="AE28" s="42">
        <f>AI27</f>
        <v/>
      </c>
      <c r="AF28" s="42">
        <f>ROUND(AE28*AF$6/12,2)</f>
        <v/>
      </c>
      <c r="AG28" s="42">
        <f>MIN(AG$6,AE28+AF28)</f>
        <v/>
      </c>
      <c r="AH28" s="42">
        <f>MAX(0,MIN(AE28+AF28-AG28,AD28))</f>
        <v/>
      </c>
      <c r="AI28" s="42">
        <f>ROUND(AE28+AF28-AG28-AH28,2)</f>
        <v/>
      </c>
      <c r="AJ28">
        <f>AD28-AH28</f>
        <v/>
      </c>
      <c r="AK28" s="42">
        <f>AO27</f>
        <v/>
      </c>
      <c r="AL28" s="42">
        <f>ROUND(AK28*AL$6/12,2)</f>
        <v/>
      </c>
      <c r="AM28" s="42">
        <f>MIN(AM$6,AK28+AL28)</f>
        <v/>
      </c>
      <c r="AN28" s="42">
        <f>MAX(0,MIN(AK28+AL28-AM28,AJ28))</f>
        <v/>
      </c>
      <c r="AO28" s="42">
        <f>ROUND(AK28+AL28-AM28-AN28,2)</f>
        <v/>
      </c>
      <c r="AP28">
        <f>AJ28-AN28</f>
        <v/>
      </c>
      <c r="AQ28" s="42">
        <f>AU27</f>
        <v/>
      </c>
      <c r="AR28" s="42">
        <f>ROUND(AQ28*AR$6/12,2)</f>
        <v/>
      </c>
      <c r="AS28" s="42">
        <f>MIN(AS$6,AQ28+AR28)</f>
        <v/>
      </c>
      <c r="AT28" s="42">
        <f>MAX(0,MIN(AQ28+AR28-AS28,AP28))</f>
        <v/>
      </c>
      <c r="AU28" s="42">
        <f>ROUND(AQ28+AR28-AS28-AT28,2)</f>
        <v/>
      </c>
      <c r="AV28">
        <f>AP28-AT28</f>
        <v/>
      </c>
      <c r="AW28" s="42">
        <f>BA27</f>
        <v/>
      </c>
      <c r="AX28" s="42">
        <f>ROUND(AW28*AX$6/12,2)</f>
        <v/>
      </c>
      <c r="AY28" s="42">
        <f>MIN(AY$6,AW28+AX28)</f>
        <v/>
      </c>
      <c r="AZ28" s="42">
        <f>MAX(0,MIN(AW28+AX28-AY28,AV28))</f>
        <v/>
      </c>
      <c r="BA28" s="42">
        <f>ROUND(AW28+AX28-AY28-AZ28,2)</f>
        <v/>
      </c>
      <c r="BB28">
        <f>AV28-AZ28</f>
        <v/>
      </c>
      <c r="BC28" s="42">
        <f>BG27</f>
        <v/>
      </c>
      <c r="BD28" s="42">
        <f>ROUND(BC28*BD$6/12,2)</f>
        <v/>
      </c>
      <c r="BE28" s="42">
        <f>MIN(BE$6,BC28+BD28)</f>
        <v/>
      </c>
      <c r="BF28" s="42">
        <f>MAX(0,MIN(BC28+BD28-BE28,BB28))</f>
        <v/>
      </c>
      <c r="BG28" s="42">
        <f>ROUND(BC28+BD28-BE28-BF28,2)</f>
        <v/>
      </c>
      <c r="BH28">
        <f>BB28-BF28</f>
        <v/>
      </c>
      <c r="BI28" s="42">
        <f>BM27</f>
        <v/>
      </c>
      <c r="BJ28" s="42">
        <f>ROUND(BI28*BJ$6/12,2)</f>
        <v/>
      </c>
      <c r="BK28" s="42">
        <f>MIN(BK$6,BI28+BJ28)</f>
        <v/>
      </c>
      <c r="BL28" s="42">
        <f>MAX(0,MIN(BI28+BJ28-BK28,BH28))</f>
        <v/>
      </c>
      <c r="BM28" s="42">
        <f>ROUND(BI28+BJ28-BK28-BL28,2)</f>
        <v/>
      </c>
      <c r="BN28">
        <f>BH28-BL28</f>
        <v/>
      </c>
    </row>
    <row r="29">
      <c r="A29" s="43" t="n">
        <v>22</v>
      </c>
      <c r="B29" s="44">
        <f>EDATE('My Debts'!$C$6,A29-1)</f>
        <v/>
      </c>
      <c r="C29" s="45">
        <f>K29+Q29+W29+AC29+AI29+AO29+AU29+BA29+BG29+BM29</f>
        <v/>
      </c>
      <c r="D29" s="46">
        <f>I29+O29+U29+AA29+AG29+AM29+AS29+AY29+BE29+BK29+J29+P29+V29+AB29+AH29+AN29+AT29+AZ29+BF29+BL29</f>
        <v/>
      </c>
      <c r="E29" s="46">
        <f>H29+N29+T29+Z29+AF29+AL29+AR29+AX29+BD29+BJ29</f>
        <v/>
      </c>
      <c r="F29">
        <f>MAX(0,'My Debts'!$E$21-(I29+O29+U29+AA29+AG29+AM29+AS29+AY29+BE29+BK29))</f>
        <v/>
      </c>
      <c r="G29" s="42">
        <f>K28</f>
        <v/>
      </c>
      <c r="H29" s="42">
        <f>ROUND(G29*H$6/12,2)</f>
        <v/>
      </c>
      <c r="I29" s="42">
        <f>MIN(I$6,G29+H29)</f>
        <v/>
      </c>
      <c r="J29" s="42">
        <f>MAX(0,MIN(G29+H29-I29,$F29))</f>
        <v/>
      </c>
      <c r="K29" s="42">
        <f>ROUND(G29+H29-I29-J29,2)</f>
        <v/>
      </c>
      <c r="L29">
        <f>$F29-J29</f>
        <v/>
      </c>
      <c r="M29" s="42">
        <f>Q28</f>
        <v/>
      </c>
      <c r="N29" s="42">
        <f>ROUND(M29*N$6/12,2)</f>
        <v/>
      </c>
      <c r="O29" s="42">
        <f>MIN(O$6,M29+N29)</f>
        <v/>
      </c>
      <c r="P29" s="42">
        <f>MAX(0,MIN(M29+N29-O29,L29))</f>
        <v/>
      </c>
      <c r="Q29" s="42">
        <f>ROUND(M29+N29-O29-P29,2)</f>
        <v/>
      </c>
      <c r="R29">
        <f>L29-P29</f>
        <v/>
      </c>
      <c r="S29" s="42">
        <f>W28</f>
        <v/>
      </c>
      <c r="T29" s="42">
        <f>ROUND(S29*T$6/12,2)</f>
        <v/>
      </c>
      <c r="U29" s="42">
        <f>MIN(U$6,S29+T29)</f>
        <v/>
      </c>
      <c r="V29" s="42">
        <f>MAX(0,MIN(S29+T29-U29,R29))</f>
        <v/>
      </c>
      <c r="W29" s="42">
        <f>ROUND(S29+T29-U29-V29,2)</f>
        <v/>
      </c>
      <c r="X29">
        <f>R29-V29</f>
        <v/>
      </c>
      <c r="Y29" s="42">
        <f>AC28</f>
        <v/>
      </c>
      <c r="Z29" s="42">
        <f>ROUND(Y29*Z$6/12,2)</f>
        <v/>
      </c>
      <c r="AA29" s="42">
        <f>MIN(AA$6,Y29+Z29)</f>
        <v/>
      </c>
      <c r="AB29" s="42">
        <f>MAX(0,MIN(Y29+Z29-AA29,X29))</f>
        <v/>
      </c>
      <c r="AC29" s="42">
        <f>ROUND(Y29+Z29-AA29-AB29,2)</f>
        <v/>
      </c>
      <c r="AD29">
        <f>X29-AB29</f>
        <v/>
      </c>
      <c r="AE29" s="42">
        <f>AI28</f>
        <v/>
      </c>
      <c r="AF29" s="42">
        <f>ROUND(AE29*AF$6/12,2)</f>
        <v/>
      </c>
      <c r="AG29" s="42">
        <f>MIN(AG$6,AE29+AF29)</f>
        <v/>
      </c>
      <c r="AH29" s="42">
        <f>MAX(0,MIN(AE29+AF29-AG29,AD29))</f>
        <v/>
      </c>
      <c r="AI29" s="42">
        <f>ROUND(AE29+AF29-AG29-AH29,2)</f>
        <v/>
      </c>
      <c r="AJ29">
        <f>AD29-AH29</f>
        <v/>
      </c>
      <c r="AK29" s="42">
        <f>AO28</f>
        <v/>
      </c>
      <c r="AL29" s="42">
        <f>ROUND(AK29*AL$6/12,2)</f>
        <v/>
      </c>
      <c r="AM29" s="42">
        <f>MIN(AM$6,AK29+AL29)</f>
        <v/>
      </c>
      <c r="AN29" s="42">
        <f>MAX(0,MIN(AK29+AL29-AM29,AJ29))</f>
        <v/>
      </c>
      <c r="AO29" s="42">
        <f>ROUND(AK29+AL29-AM29-AN29,2)</f>
        <v/>
      </c>
      <c r="AP29">
        <f>AJ29-AN29</f>
        <v/>
      </c>
      <c r="AQ29" s="42">
        <f>AU28</f>
        <v/>
      </c>
      <c r="AR29" s="42">
        <f>ROUND(AQ29*AR$6/12,2)</f>
        <v/>
      </c>
      <c r="AS29" s="42">
        <f>MIN(AS$6,AQ29+AR29)</f>
        <v/>
      </c>
      <c r="AT29" s="42">
        <f>MAX(0,MIN(AQ29+AR29-AS29,AP29))</f>
        <v/>
      </c>
      <c r="AU29" s="42">
        <f>ROUND(AQ29+AR29-AS29-AT29,2)</f>
        <v/>
      </c>
      <c r="AV29">
        <f>AP29-AT29</f>
        <v/>
      </c>
      <c r="AW29" s="42">
        <f>BA28</f>
        <v/>
      </c>
      <c r="AX29" s="42">
        <f>ROUND(AW29*AX$6/12,2)</f>
        <v/>
      </c>
      <c r="AY29" s="42">
        <f>MIN(AY$6,AW29+AX29)</f>
        <v/>
      </c>
      <c r="AZ29" s="42">
        <f>MAX(0,MIN(AW29+AX29-AY29,AV29))</f>
        <v/>
      </c>
      <c r="BA29" s="42">
        <f>ROUND(AW29+AX29-AY29-AZ29,2)</f>
        <v/>
      </c>
      <c r="BB29">
        <f>AV29-AZ29</f>
        <v/>
      </c>
      <c r="BC29" s="42">
        <f>BG28</f>
        <v/>
      </c>
      <c r="BD29" s="42">
        <f>ROUND(BC29*BD$6/12,2)</f>
        <v/>
      </c>
      <c r="BE29" s="42">
        <f>MIN(BE$6,BC29+BD29)</f>
        <v/>
      </c>
      <c r="BF29" s="42">
        <f>MAX(0,MIN(BC29+BD29-BE29,BB29))</f>
        <v/>
      </c>
      <c r="BG29" s="42">
        <f>ROUND(BC29+BD29-BE29-BF29,2)</f>
        <v/>
      </c>
      <c r="BH29">
        <f>BB29-BF29</f>
        <v/>
      </c>
      <c r="BI29" s="42">
        <f>BM28</f>
        <v/>
      </c>
      <c r="BJ29" s="42">
        <f>ROUND(BI29*BJ$6/12,2)</f>
        <v/>
      </c>
      <c r="BK29" s="42">
        <f>MIN(BK$6,BI29+BJ29)</f>
        <v/>
      </c>
      <c r="BL29" s="42">
        <f>MAX(0,MIN(BI29+BJ29-BK29,BH29))</f>
        <v/>
      </c>
      <c r="BM29" s="42">
        <f>ROUND(BI29+BJ29-BK29-BL29,2)</f>
        <v/>
      </c>
      <c r="BN29">
        <f>BH29-BL29</f>
        <v/>
      </c>
    </row>
    <row r="30">
      <c r="A30" s="39" t="n">
        <v>23</v>
      </c>
      <c r="B30" s="40">
        <f>EDATE('My Debts'!$C$6,A30-1)</f>
        <v/>
      </c>
      <c r="C30" s="41">
        <f>K30+Q30+W30+AC30+AI30+AO30+AU30+BA30+BG30+BM30</f>
        <v/>
      </c>
      <c r="D30" s="42">
        <f>I30+O30+U30+AA30+AG30+AM30+AS30+AY30+BE30+BK30+J30+P30+V30+AB30+AH30+AN30+AT30+AZ30+BF30+BL30</f>
        <v/>
      </c>
      <c r="E30" s="42">
        <f>H30+N30+T30+Z30+AF30+AL30+AR30+AX30+BD30+BJ30</f>
        <v/>
      </c>
      <c r="F30">
        <f>MAX(0,'My Debts'!$E$21-(I30+O30+U30+AA30+AG30+AM30+AS30+AY30+BE30+BK30))</f>
        <v/>
      </c>
      <c r="G30" s="42">
        <f>K29</f>
        <v/>
      </c>
      <c r="H30" s="42">
        <f>ROUND(G30*H$6/12,2)</f>
        <v/>
      </c>
      <c r="I30" s="42">
        <f>MIN(I$6,G30+H30)</f>
        <v/>
      </c>
      <c r="J30" s="42">
        <f>MAX(0,MIN(G30+H30-I30,$F30))</f>
        <v/>
      </c>
      <c r="K30" s="42">
        <f>ROUND(G30+H30-I30-J30,2)</f>
        <v/>
      </c>
      <c r="L30">
        <f>$F30-J30</f>
        <v/>
      </c>
      <c r="M30" s="42">
        <f>Q29</f>
        <v/>
      </c>
      <c r="N30" s="42">
        <f>ROUND(M30*N$6/12,2)</f>
        <v/>
      </c>
      <c r="O30" s="42">
        <f>MIN(O$6,M30+N30)</f>
        <v/>
      </c>
      <c r="P30" s="42">
        <f>MAX(0,MIN(M30+N30-O30,L30))</f>
        <v/>
      </c>
      <c r="Q30" s="42">
        <f>ROUND(M30+N30-O30-P30,2)</f>
        <v/>
      </c>
      <c r="R30">
        <f>L30-P30</f>
        <v/>
      </c>
      <c r="S30" s="42">
        <f>W29</f>
        <v/>
      </c>
      <c r="T30" s="42">
        <f>ROUND(S30*T$6/12,2)</f>
        <v/>
      </c>
      <c r="U30" s="42">
        <f>MIN(U$6,S30+T30)</f>
        <v/>
      </c>
      <c r="V30" s="42">
        <f>MAX(0,MIN(S30+T30-U30,R30))</f>
        <v/>
      </c>
      <c r="W30" s="42">
        <f>ROUND(S30+T30-U30-V30,2)</f>
        <v/>
      </c>
      <c r="X30">
        <f>R30-V30</f>
        <v/>
      </c>
      <c r="Y30" s="42">
        <f>AC29</f>
        <v/>
      </c>
      <c r="Z30" s="42">
        <f>ROUND(Y30*Z$6/12,2)</f>
        <v/>
      </c>
      <c r="AA30" s="42">
        <f>MIN(AA$6,Y30+Z30)</f>
        <v/>
      </c>
      <c r="AB30" s="42">
        <f>MAX(0,MIN(Y30+Z30-AA30,X30))</f>
        <v/>
      </c>
      <c r="AC30" s="42">
        <f>ROUND(Y30+Z30-AA30-AB30,2)</f>
        <v/>
      </c>
      <c r="AD30">
        <f>X30-AB30</f>
        <v/>
      </c>
      <c r="AE30" s="42">
        <f>AI29</f>
        <v/>
      </c>
      <c r="AF30" s="42">
        <f>ROUND(AE30*AF$6/12,2)</f>
        <v/>
      </c>
      <c r="AG30" s="42">
        <f>MIN(AG$6,AE30+AF30)</f>
        <v/>
      </c>
      <c r="AH30" s="42">
        <f>MAX(0,MIN(AE30+AF30-AG30,AD30))</f>
        <v/>
      </c>
      <c r="AI30" s="42">
        <f>ROUND(AE30+AF30-AG30-AH30,2)</f>
        <v/>
      </c>
      <c r="AJ30">
        <f>AD30-AH30</f>
        <v/>
      </c>
      <c r="AK30" s="42">
        <f>AO29</f>
        <v/>
      </c>
      <c r="AL30" s="42">
        <f>ROUND(AK30*AL$6/12,2)</f>
        <v/>
      </c>
      <c r="AM30" s="42">
        <f>MIN(AM$6,AK30+AL30)</f>
        <v/>
      </c>
      <c r="AN30" s="42">
        <f>MAX(0,MIN(AK30+AL30-AM30,AJ30))</f>
        <v/>
      </c>
      <c r="AO30" s="42">
        <f>ROUND(AK30+AL30-AM30-AN30,2)</f>
        <v/>
      </c>
      <c r="AP30">
        <f>AJ30-AN30</f>
        <v/>
      </c>
      <c r="AQ30" s="42">
        <f>AU29</f>
        <v/>
      </c>
      <c r="AR30" s="42">
        <f>ROUND(AQ30*AR$6/12,2)</f>
        <v/>
      </c>
      <c r="AS30" s="42">
        <f>MIN(AS$6,AQ30+AR30)</f>
        <v/>
      </c>
      <c r="AT30" s="42">
        <f>MAX(0,MIN(AQ30+AR30-AS30,AP30))</f>
        <v/>
      </c>
      <c r="AU30" s="42">
        <f>ROUND(AQ30+AR30-AS30-AT30,2)</f>
        <v/>
      </c>
      <c r="AV30">
        <f>AP30-AT30</f>
        <v/>
      </c>
      <c r="AW30" s="42">
        <f>BA29</f>
        <v/>
      </c>
      <c r="AX30" s="42">
        <f>ROUND(AW30*AX$6/12,2)</f>
        <v/>
      </c>
      <c r="AY30" s="42">
        <f>MIN(AY$6,AW30+AX30)</f>
        <v/>
      </c>
      <c r="AZ30" s="42">
        <f>MAX(0,MIN(AW30+AX30-AY30,AV30))</f>
        <v/>
      </c>
      <c r="BA30" s="42">
        <f>ROUND(AW30+AX30-AY30-AZ30,2)</f>
        <v/>
      </c>
      <c r="BB30">
        <f>AV30-AZ30</f>
        <v/>
      </c>
      <c r="BC30" s="42">
        <f>BG29</f>
        <v/>
      </c>
      <c r="BD30" s="42">
        <f>ROUND(BC30*BD$6/12,2)</f>
        <v/>
      </c>
      <c r="BE30" s="42">
        <f>MIN(BE$6,BC30+BD30)</f>
        <v/>
      </c>
      <c r="BF30" s="42">
        <f>MAX(0,MIN(BC30+BD30-BE30,BB30))</f>
        <v/>
      </c>
      <c r="BG30" s="42">
        <f>ROUND(BC30+BD30-BE30-BF30,2)</f>
        <v/>
      </c>
      <c r="BH30">
        <f>BB30-BF30</f>
        <v/>
      </c>
      <c r="BI30" s="42">
        <f>BM29</f>
        <v/>
      </c>
      <c r="BJ30" s="42">
        <f>ROUND(BI30*BJ$6/12,2)</f>
        <v/>
      </c>
      <c r="BK30" s="42">
        <f>MIN(BK$6,BI30+BJ30)</f>
        <v/>
      </c>
      <c r="BL30" s="42">
        <f>MAX(0,MIN(BI30+BJ30-BK30,BH30))</f>
        <v/>
      </c>
      <c r="BM30" s="42">
        <f>ROUND(BI30+BJ30-BK30-BL30,2)</f>
        <v/>
      </c>
      <c r="BN30">
        <f>BH30-BL30</f>
        <v/>
      </c>
    </row>
    <row r="31">
      <c r="A31" s="43" t="n">
        <v>24</v>
      </c>
      <c r="B31" s="44">
        <f>EDATE('My Debts'!$C$6,A31-1)</f>
        <v/>
      </c>
      <c r="C31" s="45">
        <f>K31+Q31+W31+AC31+AI31+AO31+AU31+BA31+BG31+BM31</f>
        <v/>
      </c>
      <c r="D31" s="46">
        <f>I31+O31+U31+AA31+AG31+AM31+AS31+AY31+BE31+BK31+J31+P31+V31+AB31+AH31+AN31+AT31+AZ31+BF31+BL31</f>
        <v/>
      </c>
      <c r="E31" s="46">
        <f>H31+N31+T31+Z31+AF31+AL31+AR31+AX31+BD31+BJ31</f>
        <v/>
      </c>
      <c r="F31">
        <f>MAX(0,'My Debts'!$E$21-(I31+O31+U31+AA31+AG31+AM31+AS31+AY31+BE31+BK31))</f>
        <v/>
      </c>
      <c r="G31" s="42">
        <f>K30</f>
        <v/>
      </c>
      <c r="H31" s="42">
        <f>ROUND(G31*H$6/12,2)</f>
        <v/>
      </c>
      <c r="I31" s="42">
        <f>MIN(I$6,G31+H31)</f>
        <v/>
      </c>
      <c r="J31" s="42">
        <f>MAX(0,MIN(G31+H31-I31,$F31))</f>
        <v/>
      </c>
      <c r="K31" s="42">
        <f>ROUND(G31+H31-I31-J31,2)</f>
        <v/>
      </c>
      <c r="L31">
        <f>$F31-J31</f>
        <v/>
      </c>
      <c r="M31" s="42">
        <f>Q30</f>
        <v/>
      </c>
      <c r="N31" s="42">
        <f>ROUND(M31*N$6/12,2)</f>
        <v/>
      </c>
      <c r="O31" s="42">
        <f>MIN(O$6,M31+N31)</f>
        <v/>
      </c>
      <c r="P31" s="42">
        <f>MAX(0,MIN(M31+N31-O31,L31))</f>
        <v/>
      </c>
      <c r="Q31" s="42">
        <f>ROUND(M31+N31-O31-P31,2)</f>
        <v/>
      </c>
      <c r="R31">
        <f>L31-P31</f>
        <v/>
      </c>
      <c r="S31" s="42">
        <f>W30</f>
        <v/>
      </c>
      <c r="T31" s="42">
        <f>ROUND(S31*T$6/12,2)</f>
        <v/>
      </c>
      <c r="U31" s="42">
        <f>MIN(U$6,S31+T31)</f>
        <v/>
      </c>
      <c r="V31" s="42">
        <f>MAX(0,MIN(S31+T31-U31,R31))</f>
        <v/>
      </c>
      <c r="W31" s="42">
        <f>ROUND(S31+T31-U31-V31,2)</f>
        <v/>
      </c>
      <c r="X31">
        <f>R31-V31</f>
        <v/>
      </c>
      <c r="Y31" s="42">
        <f>AC30</f>
        <v/>
      </c>
      <c r="Z31" s="42">
        <f>ROUND(Y31*Z$6/12,2)</f>
        <v/>
      </c>
      <c r="AA31" s="42">
        <f>MIN(AA$6,Y31+Z31)</f>
        <v/>
      </c>
      <c r="AB31" s="42">
        <f>MAX(0,MIN(Y31+Z31-AA31,X31))</f>
        <v/>
      </c>
      <c r="AC31" s="42">
        <f>ROUND(Y31+Z31-AA31-AB31,2)</f>
        <v/>
      </c>
      <c r="AD31">
        <f>X31-AB31</f>
        <v/>
      </c>
      <c r="AE31" s="42">
        <f>AI30</f>
        <v/>
      </c>
      <c r="AF31" s="42">
        <f>ROUND(AE31*AF$6/12,2)</f>
        <v/>
      </c>
      <c r="AG31" s="42">
        <f>MIN(AG$6,AE31+AF31)</f>
        <v/>
      </c>
      <c r="AH31" s="42">
        <f>MAX(0,MIN(AE31+AF31-AG31,AD31))</f>
        <v/>
      </c>
      <c r="AI31" s="42">
        <f>ROUND(AE31+AF31-AG31-AH31,2)</f>
        <v/>
      </c>
      <c r="AJ31">
        <f>AD31-AH31</f>
        <v/>
      </c>
      <c r="AK31" s="42">
        <f>AO30</f>
        <v/>
      </c>
      <c r="AL31" s="42">
        <f>ROUND(AK31*AL$6/12,2)</f>
        <v/>
      </c>
      <c r="AM31" s="42">
        <f>MIN(AM$6,AK31+AL31)</f>
        <v/>
      </c>
      <c r="AN31" s="42">
        <f>MAX(0,MIN(AK31+AL31-AM31,AJ31))</f>
        <v/>
      </c>
      <c r="AO31" s="42">
        <f>ROUND(AK31+AL31-AM31-AN31,2)</f>
        <v/>
      </c>
      <c r="AP31">
        <f>AJ31-AN31</f>
        <v/>
      </c>
      <c r="AQ31" s="42">
        <f>AU30</f>
        <v/>
      </c>
      <c r="AR31" s="42">
        <f>ROUND(AQ31*AR$6/12,2)</f>
        <v/>
      </c>
      <c r="AS31" s="42">
        <f>MIN(AS$6,AQ31+AR31)</f>
        <v/>
      </c>
      <c r="AT31" s="42">
        <f>MAX(0,MIN(AQ31+AR31-AS31,AP31))</f>
        <v/>
      </c>
      <c r="AU31" s="42">
        <f>ROUND(AQ31+AR31-AS31-AT31,2)</f>
        <v/>
      </c>
      <c r="AV31">
        <f>AP31-AT31</f>
        <v/>
      </c>
      <c r="AW31" s="42">
        <f>BA30</f>
        <v/>
      </c>
      <c r="AX31" s="42">
        <f>ROUND(AW31*AX$6/12,2)</f>
        <v/>
      </c>
      <c r="AY31" s="42">
        <f>MIN(AY$6,AW31+AX31)</f>
        <v/>
      </c>
      <c r="AZ31" s="42">
        <f>MAX(0,MIN(AW31+AX31-AY31,AV31))</f>
        <v/>
      </c>
      <c r="BA31" s="42">
        <f>ROUND(AW31+AX31-AY31-AZ31,2)</f>
        <v/>
      </c>
      <c r="BB31">
        <f>AV31-AZ31</f>
        <v/>
      </c>
      <c r="BC31" s="42">
        <f>BG30</f>
        <v/>
      </c>
      <c r="BD31" s="42">
        <f>ROUND(BC31*BD$6/12,2)</f>
        <v/>
      </c>
      <c r="BE31" s="42">
        <f>MIN(BE$6,BC31+BD31)</f>
        <v/>
      </c>
      <c r="BF31" s="42">
        <f>MAX(0,MIN(BC31+BD31-BE31,BB31))</f>
        <v/>
      </c>
      <c r="BG31" s="42">
        <f>ROUND(BC31+BD31-BE31-BF31,2)</f>
        <v/>
      </c>
      <c r="BH31">
        <f>BB31-BF31</f>
        <v/>
      </c>
      <c r="BI31" s="42">
        <f>BM30</f>
        <v/>
      </c>
      <c r="BJ31" s="42">
        <f>ROUND(BI31*BJ$6/12,2)</f>
        <v/>
      </c>
      <c r="BK31" s="42">
        <f>MIN(BK$6,BI31+BJ31)</f>
        <v/>
      </c>
      <c r="BL31" s="42">
        <f>MAX(0,MIN(BI31+BJ31-BK31,BH31))</f>
        <v/>
      </c>
      <c r="BM31" s="42">
        <f>ROUND(BI31+BJ31-BK31-BL31,2)</f>
        <v/>
      </c>
      <c r="BN31">
        <f>BH31-BL31</f>
        <v/>
      </c>
    </row>
    <row r="32">
      <c r="A32" s="39" t="n">
        <v>25</v>
      </c>
      <c r="B32" s="40">
        <f>EDATE('My Debts'!$C$6,A32-1)</f>
        <v/>
      </c>
      <c r="C32" s="41">
        <f>K32+Q32+W32+AC32+AI32+AO32+AU32+BA32+BG32+BM32</f>
        <v/>
      </c>
      <c r="D32" s="42">
        <f>I32+O32+U32+AA32+AG32+AM32+AS32+AY32+BE32+BK32+J32+P32+V32+AB32+AH32+AN32+AT32+AZ32+BF32+BL32</f>
        <v/>
      </c>
      <c r="E32" s="42">
        <f>H32+N32+T32+Z32+AF32+AL32+AR32+AX32+BD32+BJ32</f>
        <v/>
      </c>
      <c r="F32">
        <f>MAX(0,'My Debts'!$E$21-(I32+O32+U32+AA32+AG32+AM32+AS32+AY32+BE32+BK32))</f>
        <v/>
      </c>
      <c r="G32" s="42">
        <f>K31</f>
        <v/>
      </c>
      <c r="H32" s="42">
        <f>ROUND(G32*H$6/12,2)</f>
        <v/>
      </c>
      <c r="I32" s="42">
        <f>MIN(I$6,G32+H32)</f>
        <v/>
      </c>
      <c r="J32" s="42">
        <f>MAX(0,MIN(G32+H32-I32,$F32))</f>
        <v/>
      </c>
      <c r="K32" s="42">
        <f>ROUND(G32+H32-I32-J32,2)</f>
        <v/>
      </c>
      <c r="L32">
        <f>$F32-J32</f>
        <v/>
      </c>
      <c r="M32" s="42">
        <f>Q31</f>
        <v/>
      </c>
      <c r="N32" s="42">
        <f>ROUND(M32*N$6/12,2)</f>
        <v/>
      </c>
      <c r="O32" s="42">
        <f>MIN(O$6,M32+N32)</f>
        <v/>
      </c>
      <c r="P32" s="42">
        <f>MAX(0,MIN(M32+N32-O32,L32))</f>
        <v/>
      </c>
      <c r="Q32" s="42">
        <f>ROUND(M32+N32-O32-P32,2)</f>
        <v/>
      </c>
      <c r="R32">
        <f>L32-P32</f>
        <v/>
      </c>
      <c r="S32" s="42">
        <f>W31</f>
        <v/>
      </c>
      <c r="T32" s="42">
        <f>ROUND(S32*T$6/12,2)</f>
        <v/>
      </c>
      <c r="U32" s="42">
        <f>MIN(U$6,S32+T32)</f>
        <v/>
      </c>
      <c r="V32" s="42">
        <f>MAX(0,MIN(S32+T32-U32,R32))</f>
        <v/>
      </c>
      <c r="W32" s="42">
        <f>ROUND(S32+T32-U32-V32,2)</f>
        <v/>
      </c>
      <c r="X32">
        <f>R32-V32</f>
        <v/>
      </c>
      <c r="Y32" s="42">
        <f>AC31</f>
        <v/>
      </c>
      <c r="Z32" s="42">
        <f>ROUND(Y32*Z$6/12,2)</f>
        <v/>
      </c>
      <c r="AA32" s="42">
        <f>MIN(AA$6,Y32+Z32)</f>
        <v/>
      </c>
      <c r="AB32" s="42">
        <f>MAX(0,MIN(Y32+Z32-AA32,X32))</f>
        <v/>
      </c>
      <c r="AC32" s="42">
        <f>ROUND(Y32+Z32-AA32-AB32,2)</f>
        <v/>
      </c>
      <c r="AD32">
        <f>X32-AB32</f>
        <v/>
      </c>
      <c r="AE32" s="42">
        <f>AI31</f>
        <v/>
      </c>
      <c r="AF32" s="42">
        <f>ROUND(AE32*AF$6/12,2)</f>
        <v/>
      </c>
      <c r="AG32" s="42">
        <f>MIN(AG$6,AE32+AF32)</f>
        <v/>
      </c>
      <c r="AH32" s="42">
        <f>MAX(0,MIN(AE32+AF32-AG32,AD32))</f>
        <v/>
      </c>
      <c r="AI32" s="42">
        <f>ROUND(AE32+AF32-AG32-AH32,2)</f>
        <v/>
      </c>
      <c r="AJ32">
        <f>AD32-AH32</f>
        <v/>
      </c>
      <c r="AK32" s="42">
        <f>AO31</f>
        <v/>
      </c>
      <c r="AL32" s="42">
        <f>ROUND(AK32*AL$6/12,2)</f>
        <v/>
      </c>
      <c r="AM32" s="42">
        <f>MIN(AM$6,AK32+AL32)</f>
        <v/>
      </c>
      <c r="AN32" s="42">
        <f>MAX(0,MIN(AK32+AL32-AM32,AJ32))</f>
        <v/>
      </c>
      <c r="AO32" s="42">
        <f>ROUND(AK32+AL32-AM32-AN32,2)</f>
        <v/>
      </c>
      <c r="AP32">
        <f>AJ32-AN32</f>
        <v/>
      </c>
      <c r="AQ32" s="42">
        <f>AU31</f>
        <v/>
      </c>
      <c r="AR32" s="42">
        <f>ROUND(AQ32*AR$6/12,2)</f>
        <v/>
      </c>
      <c r="AS32" s="42">
        <f>MIN(AS$6,AQ32+AR32)</f>
        <v/>
      </c>
      <c r="AT32" s="42">
        <f>MAX(0,MIN(AQ32+AR32-AS32,AP32))</f>
        <v/>
      </c>
      <c r="AU32" s="42">
        <f>ROUND(AQ32+AR32-AS32-AT32,2)</f>
        <v/>
      </c>
      <c r="AV32">
        <f>AP32-AT32</f>
        <v/>
      </c>
      <c r="AW32" s="42">
        <f>BA31</f>
        <v/>
      </c>
      <c r="AX32" s="42">
        <f>ROUND(AW32*AX$6/12,2)</f>
        <v/>
      </c>
      <c r="AY32" s="42">
        <f>MIN(AY$6,AW32+AX32)</f>
        <v/>
      </c>
      <c r="AZ32" s="42">
        <f>MAX(0,MIN(AW32+AX32-AY32,AV32))</f>
        <v/>
      </c>
      <c r="BA32" s="42">
        <f>ROUND(AW32+AX32-AY32-AZ32,2)</f>
        <v/>
      </c>
      <c r="BB32">
        <f>AV32-AZ32</f>
        <v/>
      </c>
      <c r="BC32" s="42">
        <f>BG31</f>
        <v/>
      </c>
      <c r="BD32" s="42">
        <f>ROUND(BC32*BD$6/12,2)</f>
        <v/>
      </c>
      <c r="BE32" s="42">
        <f>MIN(BE$6,BC32+BD32)</f>
        <v/>
      </c>
      <c r="BF32" s="42">
        <f>MAX(0,MIN(BC32+BD32-BE32,BB32))</f>
        <v/>
      </c>
      <c r="BG32" s="42">
        <f>ROUND(BC32+BD32-BE32-BF32,2)</f>
        <v/>
      </c>
      <c r="BH32">
        <f>BB32-BF32</f>
        <v/>
      </c>
      <c r="BI32" s="42">
        <f>BM31</f>
        <v/>
      </c>
      <c r="BJ32" s="42">
        <f>ROUND(BI32*BJ$6/12,2)</f>
        <v/>
      </c>
      <c r="BK32" s="42">
        <f>MIN(BK$6,BI32+BJ32)</f>
        <v/>
      </c>
      <c r="BL32" s="42">
        <f>MAX(0,MIN(BI32+BJ32-BK32,BH32))</f>
        <v/>
      </c>
      <c r="BM32" s="42">
        <f>ROUND(BI32+BJ32-BK32-BL32,2)</f>
        <v/>
      </c>
      <c r="BN32">
        <f>BH32-BL32</f>
        <v/>
      </c>
    </row>
    <row r="33">
      <c r="A33" s="43" t="n">
        <v>26</v>
      </c>
      <c r="B33" s="44">
        <f>EDATE('My Debts'!$C$6,A33-1)</f>
        <v/>
      </c>
      <c r="C33" s="45">
        <f>K33+Q33+W33+AC33+AI33+AO33+AU33+BA33+BG33+BM33</f>
        <v/>
      </c>
      <c r="D33" s="46">
        <f>I33+O33+U33+AA33+AG33+AM33+AS33+AY33+BE33+BK33+J33+P33+V33+AB33+AH33+AN33+AT33+AZ33+BF33+BL33</f>
        <v/>
      </c>
      <c r="E33" s="46">
        <f>H33+N33+T33+Z33+AF33+AL33+AR33+AX33+BD33+BJ33</f>
        <v/>
      </c>
      <c r="F33">
        <f>MAX(0,'My Debts'!$E$21-(I33+O33+U33+AA33+AG33+AM33+AS33+AY33+BE33+BK33))</f>
        <v/>
      </c>
      <c r="G33" s="42">
        <f>K32</f>
        <v/>
      </c>
      <c r="H33" s="42">
        <f>ROUND(G33*H$6/12,2)</f>
        <v/>
      </c>
      <c r="I33" s="42">
        <f>MIN(I$6,G33+H33)</f>
        <v/>
      </c>
      <c r="J33" s="42">
        <f>MAX(0,MIN(G33+H33-I33,$F33))</f>
        <v/>
      </c>
      <c r="K33" s="42">
        <f>ROUND(G33+H33-I33-J33,2)</f>
        <v/>
      </c>
      <c r="L33">
        <f>$F33-J33</f>
        <v/>
      </c>
      <c r="M33" s="42">
        <f>Q32</f>
        <v/>
      </c>
      <c r="N33" s="42">
        <f>ROUND(M33*N$6/12,2)</f>
        <v/>
      </c>
      <c r="O33" s="42">
        <f>MIN(O$6,M33+N33)</f>
        <v/>
      </c>
      <c r="P33" s="42">
        <f>MAX(0,MIN(M33+N33-O33,L33))</f>
        <v/>
      </c>
      <c r="Q33" s="42">
        <f>ROUND(M33+N33-O33-P33,2)</f>
        <v/>
      </c>
      <c r="R33">
        <f>L33-P33</f>
        <v/>
      </c>
      <c r="S33" s="42">
        <f>W32</f>
        <v/>
      </c>
      <c r="T33" s="42">
        <f>ROUND(S33*T$6/12,2)</f>
        <v/>
      </c>
      <c r="U33" s="42">
        <f>MIN(U$6,S33+T33)</f>
        <v/>
      </c>
      <c r="V33" s="42">
        <f>MAX(0,MIN(S33+T33-U33,R33))</f>
        <v/>
      </c>
      <c r="W33" s="42">
        <f>ROUND(S33+T33-U33-V33,2)</f>
        <v/>
      </c>
      <c r="X33">
        <f>R33-V33</f>
        <v/>
      </c>
      <c r="Y33" s="42">
        <f>AC32</f>
        <v/>
      </c>
      <c r="Z33" s="42">
        <f>ROUND(Y33*Z$6/12,2)</f>
        <v/>
      </c>
      <c r="AA33" s="42">
        <f>MIN(AA$6,Y33+Z33)</f>
        <v/>
      </c>
      <c r="AB33" s="42">
        <f>MAX(0,MIN(Y33+Z33-AA33,X33))</f>
        <v/>
      </c>
      <c r="AC33" s="42">
        <f>ROUND(Y33+Z33-AA33-AB33,2)</f>
        <v/>
      </c>
      <c r="AD33">
        <f>X33-AB33</f>
        <v/>
      </c>
      <c r="AE33" s="42">
        <f>AI32</f>
        <v/>
      </c>
      <c r="AF33" s="42">
        <f>ROUND(AE33*AF$6/12,2)</f>
        <v/>
      </c>
      <c r="AG33" s="42">
        <f>MIN(AG$6,AE33+AF33)</f>
        <v/>
      </c>
      <c r="AH33" s="42">
        <f>MAX(0,MIN(AE33+AF33-AG33,AD33))</f>
        <v/>
      </c>
      <c r="AI33" s="42">
        <f>ROUND(AE33+AF33-AG33-AH33,2)</f>
        <v/>
      </c>
      <c r="AJ33">
        <f>AD33-AH33</f>
        <v/>
      </c>
      <c r="AK33" s="42">
        <f>AO32</f>
        <v/>
      </c>
      <c r="AL33" s="42">
        <f>ROUND(AK33*AL$6/12,2)</f>
        <v/>
      </c>
      <c r="AM33" s="42">
        <f>MIN(AM$6,AK33+AL33)</f>
        <v/>
      </c>
      <c r="AN33" s="42">
        <f>MAX(0,MIN(AK33+AL33-AM33,AJ33))</f>
        <v/>
      </c>
      <c r="AO33" s="42">
        <f>ROUND(AK33+AL33-AM33-AN33,2)</f>
        <v/>
      </c>
      <c r="AP33">
        <f>AJ33-AN33</f>
        <v/>
      </c>
      <c r="AQ33" s="42">
        <f>AU32</f>
        <v/>
      </c>
      <c r="AR33" s="42">
        <f>ROUND(AQ33*AR$6/12,2)</f>
        <v/>
      </c>
      <c r="AS33" s="42">
        <f>MIN(AS$6,AQ33+AR33)</f>
        <v/>
      </c>
      <c r="AT33" s="42">
        <f>MAX(0,MIN(AQ33+AR33-AS33,AP33))</f>
        <v/>
      </c>
      <c r="AU33" s="42">
        <f>ROUND(AQ33+AR33-AS33-AT33,2)</f>
        <v/>
      </c>
      <c r="AV33">
        <f>AP33-AT33</f>
        <v/>
      </c>
      <c r="AW33" s="42">
        <f>BA32</f>
        <v/>
      </c>
      <c r="AX33" s="42">
        <f>ROUND(AW33*AX$6/12,2)</f>
        <v/>
      </c>
      <c r="AY33" s="42">
        <f>MIN(AY$6,AW33+AX33)</f>
        <v/>
      </c>
      <c r="AZ33" s="42">
        <f>MAX(0,MIN(AW33+AX33-AY33,AV33))</f>
        <v/>
      </c>
      <c r="BA33" s="42">
        <f>ROUND(AW33+AX33-AY33-AZ33,2)</f>
        <v/>
      </c>
      <c r="BB33">
        <f>AV33-AZ33</f>
        <v/>
      </c>
      <c r="BC33" s="42">
        <f>BG32</f>
        <v/>
      </c>
      <c r="BD33" s="42">
        <f>ROUND(BC33*BD$6/12,2)</f>
        <v/>
      </c>
      <c r="BE33" s="42">
        <f>MIN(BE$6,BC33+BD33)</f>
        <v/>
      </c>
      <c r="BF33" s="42">
        <f>MAX(0,MIN(BC33+BD33-BE33,BB33))</f>
        <v/>
      </c>
      <c r="BG33" s="42">
        <f>ROUND(BC33+BD33-BE33-BF33,2)</f>
        <v/>
      </c>
      <c r="BH33">
        <f>BB33-BF33</f>
        <v/>
      </c>
      <c r="BI33" s="42">
        <f>BM32</f>
        <v/>
      </c>
      <c r="BJ33" s="42">
        <f>ROUND(BI33*BJ$6/12,2)</f>
        <v/>
      </c>
      <c r="BK33" s="42">
        <f>MIN(BK$6,BI33+BJ33)</f>
        <v/>
      </c>
      <c r="BL33" s="42">
        <f>MAX(0,MIN(BI33+BJ33-BK33,BH33))</f>
        <v/>
      </c>
      <c r="BM33" s="42">
        <f>ROUND(BI33+BJ33-BK33-BL33,2)</f>
        <v/>
      </c>
      <c r="BN33">
        <f>BH33-BL33</f>
        <v/>
      </c>
    </row>
    <row r="34">
      <c r="A34" s="39" t="n">
        <v>27</v>
      </c>
      <c r="B34" s="40">
        <f>EDATE('My Debts'!$C$6,A34-1)</f>
        <v/>
      </c>
      <c r="C34" s="41">
        <f>K34+Q34+W34+AC34+AI34+AO34+AU34+BA34+BG34+BM34</f>
        <v/>
      </c>
      <c r="D34" s="42">
        <f>I34+O34+U34+AA34+AG34+AM34+AS34+AY34+BE34+BK34+J34+P34+V34+AB34+AH34+AN34+AT34+AZ34+BF34+BL34</f>
        <v/>
      </c>
      <c r="E34" s="42">
        <f>H34+N34+T34+Z34+AF34+AL34+AR34+AX34+BD34+BJ34</f>
        <v/>
      </c>
      <c r="F34">
        <f>MAX(0,'My Debts'!$E$21-(I34+O34+U34+AA34+AG34+AM34+AS34+AY34+BE34+BK34))</f>
        <v/>
      </c>
      <c r="G34" s="42">
        <f>K33</f>
        <v/>
      </c>
      <c r="H34" s="42">
        <f>ROUND(G34*H$6/12,2)</f>
        <v/>
      </c>
      <c r="I34" s="42">
        <f>MIN(I$6,G34+H34)</f>
        <v/>
      </c>
      <c r="J34" s="42">
        <f>MAX(0,MIN(G34+H34-I34,$F34))</f>
        <v/>
      </c>
      <c r="K34" s="42">
        <f>ROUND(G34+H34-I34-J34,2)</f>
        <v/>
      </c>
      <c r="L34">
        <f>$F34-J34</f>
        <v/>
      </c>
      <c r="M34" s="42">
        <f>Q33</f>
        <v/>
      </c>
      <c r="N34" s="42">
        <f>ROUND(M34*N$6/12,2)</f>
        <v/>
      </c>
      <c r="O34" s="42">
        <f>MIN(O$6,M34+N34)</f>
        <v/>
      </c>
      <c r="P34" s="42">
        <f>MAX(0,MIN(M34+N34-O34,L34))</f>
        <v/>
      </c>
      <c r="Q34" s="42">
        <f>ROUND(M34+N34-O34-P34,2)</f>
        <v/>
      </c>
      <c r="R34">
        <f>L34-P34</f>
        <v/>
      </c>
      <c r="S34" s="42">
        <f>W33</f>
        <v/>
      </c>
      <c r="T34" s="42">
        <f>ROUND(S34*T$6/12,2)</f>
        <v/>
      </c>
      <c r="U34" s="42">
        <f>MIN(U$6,S34+T34)</f>
        <v/>
      </c>
      <c r="V34" s="42">
        <f>MAX(0,MIN(S34+T34-U34,R34))</f>
        <v/>
      </c>
      <c r="W34" s="42">
        <f>ROUND(S34+T34-U34-V34,2)</f>
        <v/>
      </c>
      <c r="X34">
        <f>R34-V34</f>
        <v/>
      </c>
      <c r="Y34" s="42">
        <f>AC33</f>
        <v/>
      </c>
      <c r="Z34" s="42">
        <f>ROUND(Y34*Z$6/12,2)</f>
        <v/>
      </c>
      <c r="AA34" s="42">
        <f>MIN(AA$6,Y34+Z34)</f>
        <v/>
      </c>
      <c r="AB34" s="42">
        <f>MAX(0,MIN(Y34+Z34-AA34,X34))</f>
        <v/>
      </c>
      <c r="AC34" s="42">
        <f>ROUND(Y34+Z34-AA34-AB34,2)</f>
        <v/>
      </c>
      <c r="AD34">
        <f>X34-AB34</f>
        <v/>
      </c>
      <c r="AE34" s="42">
        <f>AI33</f>
        <v/>
      </c>
      <c r="AF34" s="42">
        <f>ROUND(AE34*AF$6/12,2)</f>
        <v/>
      </c>
      <c r="AG34" s="42">
        <f>MIN(AG$6,AE34+AF34)</f>
        <v/>
      </c>
      <c r="AH34" s="42">
        <f>MAX(0,MIN(AE34+AF34-AG34,AD34))</f>
        <v/>
      </c>
      <c r="AI34" s="42">
        <f>ROUND(AE34+AF34-AG34-AH34,2)</f>
        <v/>
      </c>
      <c r="AJ34">
        <f>AD34-AH34</f>
        <v/>
      </c>
      <c r="AK34" s="42">
        <f>AO33</f>
        <v/>
      </c>
      <c r="AL34" s="42">
        <f>ROUND(AK34*AL$6/12,2)</f>
        <v/>
      </c>
      <c r="AM34" s="42">
        <f>MIN(AM$6,AK34+AL34)</f>
        <v/>
      </c>
      <c r="AN34" s="42">
        <f>MAX(0,MIN(AK34+AL34-AM34,AJ34))</f>
        <v/>
      </c>
      <c r="AO34" s="42">
        <f>ROUND(AK34+AL34-AM34-AN34,2)</f>
        <v/>
      </c>
      <c r="AP34">
        <f>AJ34-AN34</f>
        <v/>
      </c>
      <c r="AQ34" s="42">
        <f>AU33</f>
        <v/>
      </c>
      <c r="AR34" s="42">
        <f>ROUND(AQ34*AR$6/12,2)</f>
        <v/>
      </c>
      <c r="AS34" s="42">
        <f>MIN(AS$6,AQ34+AR34)</f>
        <v/>
      </c>
      <c r="AT34" s="42">
        <f>MAX(0,MIN(AQ34+AR34-AS34,AP34))</f>
        <v/>
      </c>
      <c r="AU34" s="42">
        <f>ROUND(AQ34+AR34-AS34-AT34,2)</f>
        <v/>
      </c>
      <c r="AV34">
        <f>AP34-AT34</f>
        <v/>
      </c>
      <c r="AW34" s="42">
        <f>BA33</f>
        <v/>
      </c>
      <c r="AX34" s="42">
        <f>ROUND(AW34*AX$6/12,2)</f>
        <v/>
      </c>
      <c r="AY34" s="42">
        <f>MIN(AY$6,AW34+AX34)</f>
        <v/>
      </c>
      <c r="AZ34" s="42">
        <f>MAX(0,MIN(AW34+AX34-AY34,AV34))</f>
        <v/>
      </c>
      <c r="BA34" s="42">
        <f>ROUND(AW34+AX34-AY34-AZ34,2)</f>
        <v/>
      </c>
      <c r="BB34">
        <f>AV34-AZ34</f>
        <v/>
      </c>
      <c r="BC34" s="42">
        <f>BG33</f>
        <v/>
      </c>
      <c r="BD34" s="42">
        <f>ROUND(BC34*BD$6/12,2)</f>
        <v/>
      </c>
      <c r="BE34" s="42">
        <f>MIN(BE$6,BC34+BD34)</f>
        <v/>
      </c>
      <c r="BF34" s="42">
        <f>MAX(0,MIN(BC34+BD34-BE34,BB34))</f>
        <v/>
      </c>
      <c r="BG34" s="42">
        <f>ROUND(BC34+BD34-BE34-BF34,2)</f>
        <v/>
      </c>
      <c r="BH34">
        <f>BB34-BF34</f>
        <v/>
      </c>
      <c r="BI34" s="42">
        <f>BM33</f>
        <v/>
      </c>
      <c r="BJ34" s="42">
        <f>ROUND(BI34*BJ$6/12,2)</f>
        <v/>
      </c>
      <c r="BK34" s="42">
        <f>MIN(BK$6,BI34+BJ34)</f>
        <v/>
      </c>
      <c r="BL34" s="42">
        <f>MAX(0,MIN(BI34+BJ34-BK34,BH34))</f>
        <v/>
      </c>
      <c r="BM34" s="42">
        <f>ROUND(BI34+BJ34-BK34-BL34,2)</f>
        <v/>
      </c>
      <c r="BN34">
        <f>BH34-BL34</f>
        <v/>
      </c>
    </row>
    <row r="35">
      <c r="A35" s="43" t="n">
        <v>28</v>
      </c>
      <c r="B35" s="44">
        <f>EDATE('My Debts'!$C$6,A35-1)</f>
        <v/>
      </c>
      <c r="C35" s="45">
        <f>K35+Q35+W35+AC35+AI35+AO35+AU35+BA35+BG35+BM35</f>
        <v/>
      </c>
      <c r="D35" s="46">
        <f>I35+O35+U35+AA35+AG35+AM35+AS35+AY35+BE35+BK35+J35+P35+V35+AB35+AH35+AN35+AT35+AZ35+BF35+BL35</f>
        <v/>
      </c>
      <c r="E35" s="46">
        <f>H35+N35+T35+Z35+AF35+AL35+AR35+AX35+BD35+BJ35</f>
        <v/>
      </c>
      <c r="F35">
        <f>MAX(0,'My Debts'!$E$21-(I35+O35+U35+AA35+AG35+AM35+AS35+AY35+BE35+BK35))</f>
        <v/>
      </c>
      <c r="G35" s="42">
        <f>K34</f>
        <v/>
      </c>
      <c r="H35" s="42">
        <f>ROUND(G35*H$6/12,2)</f>
        <v/>
      </c>
      <c r="I35" s="42">
        <f>MIN(I$6,G35+H35)</f>
        <v/>
      </c>
      <c r="J35" s="42">
        <f>MAX(0,MIN(G35+H35-I35,$F35))</f>
        <v/>
      </c>
      <c r="K35" s="42">
        <f>ROUND(G35+H35-I35-J35,2)</f>
        <v/>
      </c>
      <c r="L35">
        <f>$F35-J35</f>
        <v/>
      </c>
      <c r="M35" s="42">
        <f>Q34</f>
        <v/>
      </c>
      <c r="N35" s="42">
        <f>ROUND(M35*N$6/12,2)</f>
        <v/>
      </c>
      <c r="O35" s="42">
        <f>MIN(O$6,M35+N35)</f>
        <v/>
      </c>
      <c r="P35" s="42">
        <f>MAX(0,MIN(M35+N35-O35,L35))</f>
        <v/>
      </c>
      <c r="Q35" s="42">
        <f>ROUND(M35+N35-O35-P35,2)</f>
        <v/>
      </c>
      <c r="R35">
        <f>L35-P35</f>
        <v/>
      </c>
      <c r="S35" s="42">
        <f>W34</f>
        <v/>
      </c>
      <c r="T35" s="42">
        <f>ROUND(S35*T$6/12,2)</f>
        <v/>
      </c>
      <c r="U35" s="42">
        <f>MIN(U$6,S35+T35)</f>
        <v/>
      </c>
      <c r="V35" s="42">
        <f>MAX(0,MIN(S35+T35-U35,R35))</f>
        <v/>
      </c>
      <c r="W35" s="42">
        <f>ROUND(S35+T35-U35-V35,2)</f>
        <v/>
      </c>
      <c r="X35">
        <f>R35-V35</f>
        <v/>
      </c>
      <c r="Y35" s="42">
        <f>AC34</f>
        <v/>
      </c>
      <c r="Z35" s="42">
        <f>ROUND(Y35*Z$6/12,2)</f>
        <v/>
      </c>
      <c r="AA35" s="42">
        <f>MIN(AA$6,Y35+Z35)</f>
        <v/>
      </c>
      <c r="AB35" s="42">
        <f>MAX(0,MIN(Y35+Z35-AA35,X35))</f>
        <v/>
      </c>
      <c r="AC35" s="42">
        <f>ROUND(Y35+Z35-AA35-AB35,2)</f>
        <v/>
      </c>
      <c r="AD35">
        <f>X35-AB35</f>
        <v/>
      </c>
      <c r="AE35" s="42">
        <f>AI34</f>
        <v/>
      </c>
      <c r="AF35" s="42">
        <f>ROUND(AE35*AF$6/12,2)</f>
        <v/>
      </c>
      <c r="AG35" s="42">
        <f>MIN(AG$6,AE35+AF35)</f>
        <v/>
      </c>
      <c r="AH35" s="42">
        <f>MAX(0,MIN(AE35+AF35-AG35,AD35))</f>
        <v/>
      </c>
      <c r="AI35" s="42">
        <f>ROUND(AE35+AF35-AG35-AH35,2)</f>
        <v/>
      </c>
      <c r="AJ35">
        <f>AD35-AH35</f>
        <v/>
      </c>
      <c r="AK35" s="42">
        <f>AO34</f>
        <v/>
      </c>
      <c r="AL35" s="42">
        <f>ROUND(AK35*AL$6/12,2)</f>
        <v/>
      </c>
      <c r="AM35" s="42">
        <f>MIN(AM$6,AK35+AL35)</f>
        <v/>
      </c>
      <c r="AN35" s="42">
        <f>MAX(0,MIN(AK35+AL35-AM35,AJ35))</f>
        <v/>
      </c>
      <c r="AO35" s="42">
        <f>ROUND(AK35+AL35-AM35-AN35,2)</f>
        <v/>
      </c>
      <c r="AP35">
        <f>AJ35-AN35</f>
        <v/>
      </c>
      <c r="AQ35" s="42">
        <f>AU34</f>
        <v/>
      </c>
      <c r="AR35" s="42">
        <f>ROUND(AQ35*AR$6/12,2)</f>
        <v/>
      </c>
      <c r="AS35" s="42">
        <f>MIN(AS$6,AQ35+AR35)</f>
        <v/>
      </c>
      <c r="AT35" s="42">
        <f>MAX(0,MIN(AQ35+AR35-AS35,AP35))</f>
        <v/>
      </c>
      <c r="AU35" s="42">
        <f>ROUND(AQ35+AR35-AS35-AT35,2)</f>
        <v/>
      </c>
      <c r="AV35">
        <f>AP35-AT35</f>
        <v/>
      </c>
      <c r="AW35" s="42">
        <f>BA34</f>
        <v/>
      </c>
      <c r="AX35" s="42">
        <f>ROUND(AW35*AX$6/12,2)</f>
        <v/>
      </c>
      <c r="AY35" s="42">
        <f>MIN(AY$6,AW35+AX35)</f>
        <v/>
      </c>
      <c r="AZ35" s="42">
        <f>MAX(0,MIN(AW35+AX35-AY35,AV35))</f>
        <v/>
      </c>
      <c r="BA35" s="42">
        <f>ROUND(AW35+AX35-AY35-AZ35,2)</f>
        <v/>
      </c>
      <c r="BB35">
        <f>AV35-AZ35</f>
        <v/>
      </c>
      <c r="BC35" s="42">
        <f>BG34</f>
        <v/>
      </c>
      <c r="BD35" s="42">
        <f>ROUND(BC35*BD$6/12,2)</f>
        <v/>
      </c>
      <c r="BE35" s="42">
        <f>MIN(BE$6,BC35+BD35)</f>
        <v/>
      </c>
      <c r="BF35" s="42">
        <f>MAX(0,MIN(BC35+BD35-BE35,BB35))</f>
        <v/>
      </c>
      <c r="BG35" s="42">
        <f>ROUND(BC35+BD35-BE35-BF35,2)</f>
        <v/>
      </c>
      <c r="BH35">
        <f>BB35-BF35</f>
        <v/>
      </c>
      <c r="BI35" s="42">
        <f>BM34</f>
        <v/>
      </c>
      <c r="BJ35" s="42">
        <f>ROUND(BI35*BJ$6/12,2)</f>
        <v/>
      </c>
      <c r="BK35" s="42">
        <f>MIN(BK$6,BI35+BJ35)</f>
        <v/>
      </c>
      <c r="BL35" s="42">
        <f>MAX(0,MIN(BI35+BJ35-BK35,BH35))</f>
        <v/>
      </c>
      <c r="BM35" s="42">
        <f>ROUND(BI35+BJ35-BK35-BL35,2)</f>
        <v/>
      </c>
      <c r="BN35">
        <f>BH35-BL35</f>
        <v/>
      </c>
    </row>
    <row r="36">
      <c r="A36" s="39" t="n">
        <v>29</v>
      </c>
      <c r="B36" s="40">
        <f>EDATE('My Debts'!$C$6,A36-1)</f>
        <v/>
      </c>
      <c r="C36" s="41">
        <f>K36+Q36+W36+AC36+AI36+AO36+AU36+BA36+BG36+BM36</f>
        <v/>
      </c>
      <c r="D36" s="42">
        <f>I36+O36+U36+AA36+AG36+AM36+AS36+AY36+BE36+BK36+J36+P36+V36+AB36+AH36+AN36+AT36+AZ36+BF36+BL36</f>
        <v/>
      </c>
      <c r="E36" s="42">
        <f>H36+N36+T36+Z36+AF36+AL36+AR36+AX36+BD36+BJ36</f>
        <v/>
      </c>
      <c r="F36">
        <f>MAX(0,'My Debts'!$E$21-(I36+O36+U36+AA36+AG36+AM36+AS36+AY36+BE36+BK36))</f>
        <v/>
      </c>
      <c r="G36" s="42">
        <f>K35</f>
        <v/>
      </c>
      <c r="H36" s="42">
        <f>ROUND(G36*H$6/12,2)</f>
        <v/>
      </c>
      <c r="I36" s="42">
        <f>MIN(I$6,G36+H36)</f>
        <v/>
      </c>
      <c r="J36" s="42">
        <f>MAX(0,MIN(G36+H36-I36,$F36))</f>
        <v/>
      </c>
      <c r="K36" s="42">
        <f>ROUND(G36+H36-I36-J36,2)</f>
        <v/>
      </c>
      <c r="L36">
        <f>$F36-J36</f>
        <v/>
      </c>
      <c r="M36" s="42">
        <f>Q35</f>
        <v/>
      </c>
      <c r="N36" s="42">
        <f>ROUND(M36*N$6/12,2)</f>
        <v/>
      </c>
      <c r="O36" s="42">
        <f>MIN(O$6,M36+N36)</f>
        <v/>
      </c>
      <c r="P36" s="42">
        <f>MAX(0,MIN(M36+N36-O36,L36))</f>
        <v/>
      </c>
      <c r="Q36" s="42">
        <f>ROUND(M36+N36-O36-P36,2)</f>
        <v/>
      </c>
      <c r="R36">
        <f>L36-P36</f>
        <v/>
      </c>
      <c r="S36" s="42">
        <f>W35</f>
        <v/>
      </c>
      <c r="T36" s="42">
        <f>ROUND(S36*T$6/12,2)</f>
        <v/>
      </c>
      <c r="U36" s="42">
        <f>MIN(U$6,S36+T36)</f>
        <v/>
      </c>
      <c r="V36" s="42">
        <f>MAX(0,MIN(S36+T36-U36,R36))</f>
        <v/>
      </c>
      <c r="W36" s="42">
        <f>ROUND(S36+T36-U36-V36,2)</f>
        <v/>
      </c>
      <c r="X36">
        <f>R36-V36</f>
        <v/>
      </c>
      <c r="Y36" s="42">
        <f>AC35</f>
        <v/>
      </c>
      <c r="Z36" s="42">
        <f>ROUND(Y36*Z$6/12,2)</f>
        <v/>
      </c>
      <c r="AA36" s="42">
        <f>MIN(AA$6,Y36+Z36)</f>
        <v/>
      </c>
      <c r="AB36" s="42">
        <f>MAX(0,MIN(Y36+Z36-AA36,X36))</f>
        <v/>
      </c>
      <c r="AC36" s="42">
        <f>ROUND(Y36+Z36-AA36-AB36,2)</f>
        <v/>
      </c>
      <c r="AD36">
        <f>X36-AB36</f>
        <v/>
      </c>
      <c r="AE36" s="42">
        <f>AI35</f>
        <v/>
      </c>
      <c r="AF36" s="42">
        <f>ROUND(AE36*AF$6/12,2)</f>
        <v/>
      </c>
      <c r="AG36" s="42">
        <f>MIN(AG$6,AE36+AF36)</f>
        <v/>
      </c>
      <c r="AH36" s="42">
        <f>MAX(0,MIN(AE36+AF36-AG36,AD36))</f>
        <v/>
      </c>
      <c r="AI36" s="42">
        <f>ROUND(AE36+AF36-AG36-AH36,2)</f>
        <v/>
      </c>
      <c r="AJ36">
        <f>AD36-AH36</f>
        <v/>
      </c>
      <c r="AK36" s="42">
        <f>AO35</f>
        <v/>
      </c>
      <c r="AL36" s="42">
        <f>ROUND(AK36*AL$6/12,2)</f>
        <v/>
      </c>
      <c r="AM36" s="42">
        <f>MIN(AM$6,AK36+AL36)</f>
        <v/>
      </c>
      <c r="AN36" s="42">
        <f>MAX(0,MIN(AK36+AL36-AM36,AJ36))</f>
        <v/>
      </c>
      <c r="AO36" s="42">
        <f>ROUND(AK36+AL36-AM36-AN36,2)</f>
        <v/>
      </c>
      <c r="AP36">
        <f>AJ36-AN36</f>
        <v/>
      </c>
      <c r="AQ36" s="42">
        <f>AU35</f>
        <v/>
      </c>
      <c r="AR36" s="42">
        <f>ROUND(AQ36*AR$6/12,2)</f>
        <v/>
      </c>
      <c r="AS36" s="42">
        <f>MIN(AS$6,AQ36+AR36)</f>
        <v/>
      </c>
      <c r="AT36" s="42">
        <f>MAX(0,MIN(AQ36+AR36-AS36,AP36))</f>
        <v/>
      </c>
      <c r="AU36" s="42">
        <f>ROUND(AQ36+AR36-AS36-AT36,2)</f>
        <v/>
      </c>
      <c r="AV36">
        <f>AP36-AT36</f>
        <v/>
      </c>
      <c r="AW36" s="42">
        <f>BA35</f>
        <v/>
      </c>
      <c r="AX36" s="42">
        <f>ROUND(AW36*AX$6/12,2)</f>
        <v/>
      </c>
      <c r="AY36" s="42">
        <f>MIN(AY$6,AW36+AX36)</f>
        <v/>
      </c>
      <c r="AZ36" s="42">
        <f>MAX(0,MIN(AW36+AX36-AY36,AV36))</f>
        <v/>
      </c>
      <c r="BA36" s="42">
        <f>ROUND(AW36+AX36-AY36-AZ36,2)</f>
        <v/>
      </c>
      <c r="BB36">
        <f>AV36-AZ36</f>
        <v/>
      </c>
      <c r="BC36" s="42">
        <f>BG35</f>
        <v/>
      </c>
      <c r="BD36" s="42">
        <f>ROUND(BC36*BD$6/12,2)</f>
        <v/>
      </c>
      <c r="BE36" s="42">
        <f>MIN(BE$6,BC36+BD36)</f>
        <v/>
      </c>
      <c r="BF36" s="42">
        <f>MAX(0,MIN(BC36+BD36-BE36,BB36))</f>
        <v/>
      </c>
      <c r="BG36" s="42">
        <f>ROUND(BC36+BD36-BE36-BF36,2)</f>
        <v/>
      </c>
      <c r="BH36">
        <f>BB36-BF36</f>
        <v/>
      </c>
      <c r="BI36" s="42">
        <f>BM35</f>
        <v/>
      </c>
      <c r="BJ36" s="42">
        <f>ROUND(BI36*BJ$6/12,2)</f>
        <v/>
      </c>
      <c r="BK36" s="42">
        <f>MIN(BK$6,BI36+BJ36)</f>
        <v/>
      </c>
      <c r="BL36" s="42">
        <f>MAX(0,MIN(BI36+BJ36-BK36,BH36))</f>
        <v/>
      </c>
      <c r="BM36" s="42">
        <f>ROUND(BI36+BJ36-BK36-BL36,2)</f>
        <v/>
      </c>
      <c r="BN36">
        <f>BH36-BL36</f>
        <v/>
      </c>
    </row>
    <row r="37">
      <c r="A37" s="43" t="n">
        <v>30</v>
      </c>
      <c r="B37" s="44">
        <f>EDATE('My Debts'!$C$6,A37-1)</f>
        <v/>
      </c>
      <c r="C37" s="45">
        <f>K37+Q37+W37+AC37+AI37+AO37+AU37+BA37+BG37+BM37</f>
        <v/>
      </c>
      <c r="D37" s="46">
        <f>I37+O37+U37+AA37+AG37+AM37+AS37+AY37+BE37+BK37+J37+P37+V37+AB37+AH37+AN37+AT37+AZ37+BF37+BL37</f>
        <v/>
      </c>
      <c r="E37" s="46">
        <f>H37+N37+T37+Z37+AF37+AL37+AR37+AX37+BD37+BJ37</f>
        <v/>
      </c>
      <c r="F37">
        <f>MAX(0,'My Debts'!$E$21-(I37+O37+U37+AA37+AG37+AM37+AS37+AY37+BE37+BK37))</f>
        <v/>
      </c>
      <c r="G37" s="42">
        <f>K36</f>
        <v/>
      </c>
      <c r="H37" s="42">
        <f>ROUND(G37*H$6/12,2)</f>
        <v/>
      </c>
      <c r="I37" s="42">
        <f>MIN(I$6,G37+H37)</f>
        <v/>
      </c>
      <c r="J37" s="42">
        <f>MAX(0,MIN(G37+H37-I37,$F37))</f>
        <v/>
      </c>
      <c r="K37" s="42">
        <f>ROUND(G37+H37-I37-J37,2)</f>
        <v/>
      </c>
      <c r="L37">
        <f>$F37-J37</f>
        <v/>
      </c>
      <c r="M37" s="42">
        <f>Q36</f>
        <v/>
      </c>
      <c r="N37" s="42">
        <f>ROUND(M37*N$6/12,2)</f>
        <v/>
      </c>
      <c r="O37" s="42">
        <f>MIN(O$6,M37+N37)</f>
        <v/>
      </c>
      <c r="P37" s="42">
        <f>MAX(0,MIN(M37+N37-O37,L37))</f>
        <v/>
      </c>
      <c r="Q37" s="42">
        <f>ROUND(M37+N37-O37-P37,2)</f>
        <v/>
      </c>
      <c r="R37">
        <f>L37-P37</f>
        <v/>
      </c>
      <c r="S37" s="42">
        <f>W36</f>
        <v/>
      </c>
      <c r="T37" s="42">
        <f>ROUND(S37*T$6/12,2)</f>
        <v/>
      </c>
      <c r="U37" s="42">
        <f>MIN(U$6,S37+T37)</f>
        <v/>
      </c>
      <c r="V37" s="42">
        <f>MAX(0,MIN(S37+T37-U37,R37))</f>
        <v/>
      </c>
      <c r="W37" s="42">
        <f>ROUND(S37+T37-U37-V37,2)</f>
        <v/>
      </c>
      <c r="X37">
        <f>R37-V37</f>
        <v/>
      </c>
      <c r="Y37" s="42">
        <f>AC36</f>
        <v/>
      </c>
      <c r="Z37" s="42">
        <f>ROUND(Y37*Z$6/12,2)</f>
        <v/>
      </c>
      <c r="AA37" s="42">
        <f>MIN(AA$6,Y37+Z37)</f>
        <v/>
      </c>
      <c r="AB37" s="42">
        <f>MAX(0,MIN(Y37+Z37-AA37,X37))</f>
        <v/>
      </c>
      <c r="AC37" s="42">
        <f>ROUND(Y37+Z37-AA37-AB37,2)</f>
        <v/>
      </c>
      <c r="AD37">
        <f>X37-AB37</f>
        <v/>
      </c>
      <c r="AE37" s="42">
        <f>AI36</f>
        <v/>
      </c>
      <c r="AF37" s="42">
        <f>ROUND(AE37*AF$6/12,2)</f>
        <v/>
      </c>
      <c r="AG37" s="42">
        <f>MIN(AG$6,AE37+AF37)</f>
        <v/>
      </c>
      <c r="AH37" s="42">
        <f>MAX(0,MIN(AE37+AF37-AG37,AD37))</f>
        <v/>
      </c>
      <c r="AI37" s="42">
        <f>ROUND(AE37+AF37-AG37-AH37,2)</f>
        <v/>
      </c>
      <c r="AJ37">
        <f>AD37-AH37</f>
        <v/>
      </c>
      <c r="AK37" s="42">
        <f>AO36</f>
        <v/>
      </c>
      <c r="AL37" s="42">
        <f>ROUND(AK37*AL$6/12,2)</f>
        <v/>
      </c>
      <c r="AM37" s="42">
        <f>MIN(AM$6,AK37+AL37)</f>
        <v/>
      </c>
      <c r="AN37" s="42">
        <f>MAX(0,MIN(AK37+AL37-AM37,AJ37))</f>
        <v/>
      </c>
      <c r="AO37" s="42">
        <f>ROUND(AK37+AL37-AM37-AN37,2)</f>
        <v/>
      </c>
      <c r="AP37">
        <f>AJ37-AN37</f>
        <v/>
      </c>
      <c r="AQ37" s="42">
        <f>AU36</f>
        <v/>
      </c>
      <c r="AR37" s="42">
        <f>ROUND(AQ37*AR$6/12,2)</f>
        <v/>
      </c>
      <c r="AS37" s="42">
        <f>MIN(AS$6,AQ37+AR37)</f>
        <v/>
      </c>
      <c r="AT37" s="42">
        <f>MAX(0,MIN(AQ37+AR37-AS37,AP37))</f>
        <v/>
      </c>
      <c r="AU37" s="42">
        <f>ROUND(AQ37+AR37-AS37-AT37,2)</f>
        <v/>
      </c>
      <c r="AV37">
        <f>AP37-AT37</f>
        <v/>
      </c>
      <c r="AW37" s="42">
        <f>BA36</f>
        <v/>
      </c>
      <c r="AX37" s="42">
        <f>ROUND(AW37*AX$6/12,2)</f>
        <v/>
      </c>
      <c r="AY37" s="42">
        <f>MIN(AY$6,AW37+AX37)</f>
        <v/>
      </c>
      <c r="AZ37" s="42">
        <f>MAX(0,MIN(AW37+AX37-AY37,AV37))</f>
        <v/>
      </c>
      <c r="BA37" s="42">
        <f>ROUND(AW37+AX37-AY37-AZ37,2)</f>
        <v/>
      </c>
      <c r="BB37">
        <f>AV37-AZ37</f>
        <v/>
      </c>
      <c r="BC37" s="42">
        <f>BG36</f>
        <v/>
      </c>
      <c r="BD37" s="42">
        <f>ROUND(BC37*BD$6/12,2)</f>
        <v/>
      </c>
      <c r="BE37" s="42">
        <f>MIN(BE$6,BC37+BD37)</f>
        <v/>
      </c>
      <c r="BF37" s="42">
        <f>MAX(0,MIN(BC37+BD37-BE37,BB37))</f>
        <v/>
      </c>
      <c r="BG37" s="42">
        <f>ROUND(BC37+BD37-BE37-BF37,2)</f>
        <v/>
      </c>
      <c r="BH37">
        <f>BB37-BF37</f>
        <v/>
      </c>
      <c r="BI37" s="42">
        <f>BM36</f>
        <v/>
      </c>
      <c r="BJ37" s="42">
        <f>ROUND(BI37*BJ$6/12,2)</f>
        <v/>
      </c>
      <c r="BK37" s="42">
        <f>MIN(BK$6,BI37+BJ37)</f>
        <v/>
      </c>
      <c r="BL37" s="42">
        <f>MAX(0,MIN(BI37+BJ37-BK37,BH37))</f>
        <v/>
      </c>
      <c r="BM37" s="42">
        <f>ROUND(BI37+BJ37-BK37-BL37,2)</f>
        <v/>
      </c>
      <c r="BN37">
        <f>BH37-BL37</f>
        <v/>
      </c>
    </row>
    <row r="38">
      <c r="A38" s="39" t="n">
        <v>31</v>
      </c>
      <c r="B38" s="40">
        <f>EDATE('My Debts'!$C$6,A38-1)</f>
        <v/>
      </c>
      <c r="C38" s="41">
        <f>K38+Q38+W38+AC38+AI38+AO38+AU38+BA38+BG38+BM38</f>
        <v/>
      </c>
      <c r="D38" s="42">
        <f>I38+O38+U38+AA38+AG38+AM38+AS38+AY38+BE38+BK38+J38+P38+V38+AB38+AH38+AN38+AT38+AZ38+BF38+BL38</f>
        <v/>
      </c>
      <c r="E38" s="42">
        <f>H38+N38+T38+Z38+AF38+AL38+AR38+AX38+BD38+BJ38</f>
        <v/>
      </c>
      <c r="F38">
        <f>MAX(0,'My Debts'!$E$21-(I38+O38+U38+AA38+AG38+AM38+AS38+AY38+BE38+BK38))</f>
        <v/>
      </c>
      <c r="G38" s="42">
        <f>K37</f>
        <v/>
      </c>
      <c r="H38" s="42">
        <f>ROUND(G38*H$6/12,2)</f>
        <v/>
      </c>
      <c r="I38" s="42">
        <f>MIN(I$6,G38+H38)</f>
        <v/>
      </c>
      <c r="J38" s="42">
        <f>MAX(0,MIN(G38+H38-I38,$F38))</f>
        <v/>
      </c>
      <c r="K38" s="42">
        <f>ROUND(G38+H38-I38-J38,2)</f>
        <v/>
      </c>
      <c r="L38">
        <f>$F38-J38</f>
        <v/>
      </c>
      <c r="M38" s="42">
        <f>Q37</f>
        <v/>
      </c>
      <c r="N38" s="42">
        <f>ROUND(M38*N$6/12,2)</f>
        <v/>
      </c>
      <c r="O38" s="42">
        <f>MIN(O$6,M38+N38)</f>
        <v/>
      </c>
      <c r="P38" s="42">
        <f>MAX(0,MIN(M38+N38-O38,L38))</f>
        <v/>
      </c>
      <c r="Q38" s="42">
        <f>ROUND(M38+N38-O38-P38,2)</f>
        <v/>
      </c>
      <c r="R38">
        <f>L38-P38</f>
        <v/>
      </c>
      <c r="S38" s="42">
        <f>W37</f>
        <v/>
      </c>
      <c r="T38" s="42">
        <f>ROUND(S38*T$6/12,2)</f>
        <v/>
      </c>
      <c r="U38" s="42">
        <f>MIN(U$6,S38+T38)</f>
        <v/>
      </c>
      <c r="V38" s="42">
        <f>MAX(0,MIN(S38+T38-U38,R38))</f>
        <v/>
      </c>
      <c r="W38" s="42">
        <f>ROUND(S38+T38-U38-V38,2)</f>
        <v/>
      </c>
      <c r="X38">
        <f>R38-V38</f>
        <v/>
      </c>
      <c r="Y38" s="42">
        <f>AC37</f>
        <v/>
      </c>
      <c r="Z38" s="42">
        <f>ROUND(Y38*Z$6/12,2)</f>
        <v/>
      </c>
      <c r="AA38" s="42">
        <f>MIN(AA$6,Y38+Z38)</f>
        <v/>
      </c>
      <c r="AB38" s="42">
        <f>MAX(0,MIN(Y38+Z38-AA38,X38))</f>
        <v/>
      </c>
      <c r="AC38" s="42">
        <f>ROUND(Y38+Z38-AA38-AB38,2)</f>
        <v/>
      </c>
      <c r="AD38">
        <f>X38-AB38</f>
        <v/>
      </c>
      <c r="AE38" s="42">
        <f>AI37</f>
        <v/>
      </c>
      <c r="AF38" s="42">
        <f>ROUND(AE38*AF$6/12,2)</f>
        <v/>
      </c>
      <c r="AG38" s="42">
        <f>MIN(AG$6,AE38+AF38)</f>
        <v/>
      </c>
      <c r="AH38" s="42">
        <f>MAX(0,MIN(AE38+AF38-AG38,AD38))</f>
        <v/>
      </c>
      <c r="AI38" s="42">
        <f>ROUND(AE38+AF38-AG38-AH38,2)</f>
        <v/>
      </c>
      <c r="AJ38">
        <f>AD38-AH38</f>
        <v/>
      </c>
      <c r="AK38" s="42">
        <f>AO37</f>
        <v/>
      </c>
      <c r="AL38" s="42">
        <f>ROUND(AK38*AL$6/12,2)</f>
        <v/>
      </c>
      <c r="AM38" s="42">
        <f>MIN(AM$6,AK38+AL38)</f>
        <v/>
      </c>
      <c r="AN38" s="42">
        <f>MAX(0,MIN(AK38+AL38-AM38,AJ38))</f>
        <v/>
      </c>
      <c r="AO38" s="42">
        <f>ROUND(AK38+AL38-AM38-AN38,2)</f>
        <v/>
      </c>
      <c r="AP38">
        <f>AJ38-AN38</f>
        <v/>
      </c>
      <c r="AQ38" s="42">
        <f>AU37</f>
        <v/>
      </c>
      <c r="AR38" s="42">
        <f>ROUND(AQ38*AR$6/12,2)</f>
        <v/>
      </c>
      <c r="AS38" s="42">
        <f>MIN(AS$6,AQ38+AR38)</f>
        <v/>
      </c>
      <c r="AT38" s="42">
        <f>MAX(0,MIN(AQ38+AR38-AS38,AP38))</f>
        <v/>
      </c>
      <c r="AU38" s="42">
        <f>ROUND(AQ38+AR38-AS38-AT38,2)</f>
        <v/>
      </c>
      <c r="AV38">
        <f>AP38-AT38</f>
        <v/>
      </c>
      <c r="AW38" s="42">
        <f>BA37</f>
        <v/>
      </c>
      <c r="AX38" s="42">
        <f>ROUND(AW38*AX$6/12,2)</f>
        <v/>
      </c>
      <c r="AY38" s="42">
        <f>MIN(AY$6,AW38+AX38)</f>
        <v/>
      </c>
      <c r="AZ38" s="42">
        <f>MAX(0,MIN(AW38+AX38-AY38,AV38))</f>
        <v/>
      </c>
      <c r="BA38" s="42">
        <f>ROUND(AW38+AX38-AY38-AZ38,2)</f>
        <v/>
      </c>
      <c r="BB38">
        <f>AV38-AZ38</f>
        <v/>
      </c>
      <c r="BC38" s="42">
        <f>BG37</f>
        <v/>
      </c>
      <c r="BD38" s="42">
        <f>ROUND(BC38*BD$6/12,2)</f>
        <v/>
      </c>
      <c r="BE38" s="42">
        <f>MIN(BE$6,BC38+BD38)</f>
        <v/>
      </c>
      <c r="BF38" s="42">
        <f>MAX(0,MIN(BC38+BD38-BE38,BB38))</f>
        <v/>
      </c>
      <c r="BG38" s="42">
        <f>ROUND(BC38+BD38-BE38-BF38,2)</f>
        <v/>
      </c>
      <c r="BH38">
        <f>BB38-BF38</f>
        <v/>
      </c>
      <c r="BI38" s="42">
        <f>BM37</f>
        <v/>
      </c>
      <c r="BJ38" s="42">
        <f>ROUND(BI38*BJ$6/12,2)</f>
        <v/>
      </c>
      <c r="BK38" s="42">
        <f>MIN(BK$6,BI38+BJ38)</f>
        <v/>
      </c>
      <c r="BL38" s="42">
        <f>MAX(0,MIN(BI38+BJ38-BK38,BH38))</f>
        <v/>
      </c>
      <c r="BM38" s="42">
        <f>ROUND(BI38+BJ38-BK38-BL38,2)</f>
        <v/>
      </c>
      <c r="BN38">
        <f>BH38-BL38</f>
        <v/>
      </c>
    </row>
    <row r="39">
      <c r="A39" s="43" t="n">
        <v>32</v>
      </c>
      <c r="B39" s="44">
        <f>EDATE('My Debts'!$C$6,A39-1)</f>
        <v/>
      </c>
      <c r="C39" s="45">
        <f>K39+Q39+W39+AC39+AI39+AO39+AU39+BA39+BG39+BM39</f>
        <v/>
      </c>
      <c r="D39" s="46">
        <f>I39+O39+U39+AA39+AG39+AM39+AS39+AY39+BE39+BK39+J39+P39+V39+AB39+AH39+AN39+AT39+AZ39+BF39+BL39</f>
        <v/>
      </c>
      <c r="E39" s="46">
        <f>H39+N39+T39+Z39+AF39+AL39+AR39+AX39+BD39+BJ39</f>
        <v/>
      </c>
      <c r="F39">
        <f>MAX(0,'My Debts'!$E$21-(I39+O39+U39+AA39+AG39+AM39+AS39+AY39+BE39+BK39))</f>
        <v/>
      </c>
      <c r="G39" s="42">
        <f>K38</f>
        <v/>
      </c>
      <c r="H39" s="42">
        <f>ROUND(G39*H$6/12,2)</f>
        <v/>
      </c>
      <c r="I39" s="42">
        <f>MIN(I$6,G39+H39)</f>
        <v/>
      </c>
      <c r="J39" s="42">
        <f>MAX(0,MIN(G39+H39-I39,$F39))</f>
        <v/>
      </c>
      <c r="K39" s="42">
        <f>ROUND(G39+H39-I39-J39,2)</f>
        <v/>
      </c>
      <c r="L39">
        <f>$F39-J39</f>
        <v/>
      </c>
      <c r="M39" s="42">
        <f>Q38</f>
        <v/>
      </c>
      <c r="N39" s="42">
        <f>ROUND(M39*N$6/12,2)</f>
        <v/>
      </c>
      <c r="O39" s="42">
        <f>MIN(O$6,M39+N39)</f>
        <v/>
      </c>
      <c r="P39" s="42">
        <f>MAX(0,MIN(M39+N39-O39,L39))</f>
        <v/>
      </c>
      <c r="Q39" s="42">
        <f>ROUND(M39+N39-O39-P39,2)</f>
        <v/>
      </c>
      <c r="R39">
        <f>L39-P39</f>
        <v/>
      </c>
      <c r="S39" s="42">
        <f>W38</f>
        <v/>
      </c>
      <c r="T39" s="42">
        <f>ROUND(S39*T$6/12,2)</f>
        <v/>
      </c>
      <c r="U39" s="42">
        <f>MIN(U$6,S39+T39)</f>
        <v/>
      </c>
      <c r="V39" s="42">
        <f>MAX(0,MIN(S39+T39-U39,R39))</f>
        <v/>
      </c>
      <c r="W39" s="42">
        <f>ROUND(S39+T39-U39-V39,2)</f>
        <v/>
      </c>
      <c r="X39">
        <f>R39-V39</f>
        <v/>
      </c>
      <c r="Y39" s="42">
        <f>AC38</f>
        <v/>
      </c>
      <c r="Z39" s="42">
        <f>ROUND(Y39*Z$6/12,2)</f>
        <v/>
      </c>
      <c r="AA39" s="42">
        <f>MIN(AA$6,Y39+Z39)</f>
        <v/>
      </c>
      <c r="AB39" s="42">
        <f>MAX(0,MIN(Y39+Z39-AA39,X39))</f>
        <v/>
      </c>
      <c r="AC39" s="42">
        <f>ROUND(Y39+Z39-AA39-AB39,2)</f>
        <v/>
      </c>
      <c r="AD39">
        <f>X39-AB39</f>
        <v/>
      </c>
      <c r="AE39" s="42">
        <f>AI38</f>
        <v/>
      </c>
      <c r="AF39" s="42">
        <f>ROUND(AE39*AF$6/12,2)</f>
        <v/>
      </c>
      <c r="AG39" s="42">
        <f>MIN(AG$6,AE39+AF39)</f>
        <v/>
      </c>
      <c r="AH39" s="42">
        <f>MAX(0,MIN(AE39+AF39-AG39,AD39))</f>
        <v/>
      </c>
      <c r="AI39" s="42">
        <f>ROUND(AE39+AF39-AG39-AH39,2)</f>
        <v/>
      </c>
      <c r="AJ39">
        <f>AD39-AH39</f>
        <v/>
      </c>
      <c r="AK39" s="42">
        <f>AO38</f>
        <v/>
      </c>
      <c r="AL39" s="42">
        <f>ROUND(AK39*AL$6/12,2)</f>
        <v/>
      </c>
      <c r="AM39" s="42">
        <f>MIN(AM$6,AK39+AL39)</f>
        <v/>
      </c>
      <c r="AN39" s="42">
        <f>MAX(0,MIN(AK39+AL39-AM39,AJ39))</f>
        <v/>
      </c>
      <c r="AO39" s="42">
        <f>ROUND(AK39+AL39-AM39-AN39,2)</f>
        <v/>
      </c>
      <c r="AP39">
        <f>AJ39-AN39</f>
        <v/>
      </c>
      <c r="AQ39" s="42">
        <f>AU38</f>
        <v/>
      </c>
      <c r="AR39" s="42">
        <f>ROUND(AQ39*AR$6/12,2)</f>
        <v/>
      </c>
      <c r="AS39" s="42">
        <f>MIN(AS$6,AQ39+AR39)</f>
        <v/>
      </c>
      <c r="AT39" s="42">
        <f>MAX(0,MIN(AQ39+AR39-AS39,AP39))</f>
        <v/>
      </c>
      <c r="AU39" s="42">
        <f>ROUND(AQ39+AR39-AS39-AT39,2)</f>
        <v/>
      </c>
      <c r="AV39">
        <f>AP39-AT39</f>
        <v/>
      </c>
      <c r="AW39" s="42">
        <f>BA38</f>
        <v/>
      </c>
      <c r="AX39" s="42">
        <f>ROUND(AW39*AX$6/12,2)</f>
        <v/>
      </c>
      <c r="AY39" s="42">
        <f>MIN(AY$6,AW39+AX39)</f>
        <v/>
      </c>
      <c r="AZ39" s="42">
        <f>MAX(0,MIN(AW39+AX39-AY39,AV39))</f>
        <v/>
      </c>
      <c r="BA39" s="42">
        <f>ROUND(AW39+AX39-AY39-AZ39,2)</f>
        <v/>
      </c>
      <c r="BB39">
        <f>AV39-AZ39</f>
        <v/>
      </c>
      <c r="BC39" s="42">
        <f>BG38</f>
        <v/>
      </c>
      <c r="BD39" s="42">
        <f>ROUND(BC39*BD$6/12,2)</f>
        <v/>
      </c>
      <c r="BE39" s="42">
        <f>MIN(BE$6,BC39+BD39)</f>
        <v/>
      </c>
      <c r="BF39" s="42">
        <f>MAX(0,MIN(BC39+BD39-BE39,BB39))</f>
        <v/>
      </c>
      <c r="BG39" s="42">
        <f>ROUND(BC39+BD39-BE39-BF39,2)</f>
        <v/>
      </c>
      <c r="BH39">
        <f>BB39-BF39</f>
        <v/>
      </c>
      <c r="BI39" s="42">
        <f>BM38</f>
        <v/>
      </c>
      <c r="BJ39" s="42">
        <f>ROUND(BI39*BJ$6/12,2)</f>
        <v/>
      </c>
      <c r="BK39" s="42">
        <f>MIN(BK$6,BI39+BJ39)</f>
        <v/>
      </c>
      <c r="BL39" s="42">
        <f>MAX(0,MIN(BI39+BJ39-BK39,BH39))</f>
        <v/>
      </c>
      <c r="BM39" s="42">
        <f>ROUND(BI39+BJ39-BK39-BL39,2)</f>
        <v/>
      </c>
      <c r="BN39">
        <f>BH39-BL39</f>
        <v/>
      </c>
    </row>
    <row r="40">
      <c r="A40" s="39" t="n">
        <v>33</v>
      </c>
      <c r="B40" s="40">
        <f>EDATE('My Debts'!$C$6,A40-1)</f>
        <v/>
      </c>
      <c r="C40" s="41">
        <f>K40+Q40+W40+AC40+AI40+AO40+AU40+BA40+BG40+BM40</f>
        <v/>
      </c>
      <c r="D40" s="42">
        <f>I40+O40+U40+AA40+AG40+AM40+AS40+AY40+BE40+BK40+J40+P40+V40+AB40+AH40+AN40+AT40+AZ40+BF40+BL40</f>
        <v/>
      </c>
      <c r="E40" s="42">
        <f>H40+N40+T40+Z40+AF40+AL40+AR40+AX40+BD40+BJ40</f>
        <v/>
      </c>
      <c r="F40">
        <f>MAX(0,'My Debts'!$E$21-(I40+O40+U40+AA40+AG40+AM40+AS40+AY40+BE40+BK40))</f>
        <v/>
      </c>
      <c r="G40" s="42">
        <f>K39</f>
        <v/>
      </c>
      <c r="H40" s="42">
        <f>ROUND(G40*H$6/12,2)</f>
        <v/>
      </c>
      <c r="I40" s="42">
        <f>MIN(I$6,G40+H40)</f>
        <v/>
      </c>
      <c r="J40" s="42">
        <f>MAX(0,MIN(G40+H40-I40,$F40))</f>
        <v/>
      </c>
      <c r="K40" s="42">
        <f>ROUND(G40+H40-I40-J40,2)</f>
        <v/>
      </c>
      <c r="L40">
        <f>$F40-J40</f>
        <v/>
      </c>
      <c r="M40" s="42">
        <f>Q39</f>
        <v/>
      </c>
      <c r="N40" s="42">
        <f>ROUND(M40*N$6/12,2)</f>
        <v/>
      </c>
      <c r="O40" s="42">
        <f>MIN(O$6,M40+N40)</f>
        <v/>
      </c>
      <c r="P40" s="42">
        <f>MAX(0,MIN(M40+N40-O40,L40))</f>
        <v/>
      </c>
      <c r="Q40" s="42">
        <f>ROUND(M40+N40-O40-P40,2)</f>
        <v/>
      </c>
      <c r="R40">
        <f>L40-P40</f>
        <v/>
      </c>
      <c r="S40" s="42">
        <f>W39</f>
        <v/>
      </c>
      <c r="T40" s="42">
        <f>ROUND(S40*T$6/12,2)</f>
        <v/>
      </c>
      <c r="U40" s="42">
        <f>MIN(U$6,S40+T40)</f>
        <v/>
      </c>
      <c r="V40" s="42">
        <f>MAX(0,MIN(S40+T40-U40,R40))</f>
        <v/>
      </c>
      <c r="W40" s="42">
        <f>ROUND(S40+T40-U40-V40,2)</f>
        <v/>
      </c>
      <c r="X40">
        <f>R40-V40</f>
        <v/>
      </c>
      <c r="Y40" s="42">
        <f>AC39</f>
        <v/>
      </c>
      <c r="Z40" s="42">
        <f>ROUND(Y40*Z$6/12,2)</f>
        <v/>
      </c>
      <c r="AA40" s="42">
        <f>MIN(AA$6,Y40+Z40)</f>
        <v/>
      </c>
      <c r="AB40" s="42">
        <f>MAX(0,MIN(Y40+Z40-AA40,X40))</f>
        <v/>
      </c>
      <c r="AC40" s="42">
        <f>ROUND(Y40+Z40-AA40-AB40,2)</f>
        <v/>
      </c>
      <c r="AD40">
        <f>X40-AB40</f>
        <v/>
      </c>
      <c r="AE40" s="42">
        <f>AI39</f>
        <v/>
      </c>
      <c r="AF40" s="42">
        <f>ROUND(AE40*AF$6/12,2)</f>
        <v/>
      </c>
      <c r="AG40" s="42">
        <f>MIN(AG$6,AE40+AF40)</f>
        <v/>
      </c>
      <c r="AH40" s="42">
        <f>MAX(0,MIN(AE40+AF40-AG40,AD40))</f>
        <v/>
      </c>
      <c r="AI40" s="42">
        <f>ROUND(AE40+AF40-AG40-AH40,2)</f>
        <v/>
      </c>
      <c r="AJ40">
        <f>AD40-AH40</f>
        <v/>
      </c>
      <c r="AK40" s="42">
        <f>AO39</f>
        <v/>
      </c>
      <c r="AL40" s="42">
        <f>ROUND(AK40*AL$6/12,2)</f>
        <v/>
      </c>
      <c r="AM40" s="42">
        <f>MIN(AM$6,AK40+AL40)</f>
        <v/>
      </c>
      <c r="AN40" s="42">
        <f>MAX(0,MIN(AK40+AL40-AM40,AJ40))</f>
        <v/>
      </c>
      <c r="AO40" s="42">
        <f>ROUND(AK40+AL40-AM40-AN40,2)</f>
        <v/>
      </c>
      <c r="AP40">
        <f>AJ40-AN40</f>
        <v/>
      </c>
      <c r="AQ40" s="42">
        <f>AU39</f>
        <v/>
      </c>
      <c r="AR40" s="42">
        <f>ROUND(AQ40*AR$6/12,2)</f>
        <v/>
      </c>
      <c r="AS40" s="42">
        <f>MIN(AS$6,AQ40+AR40)</f>
        <v/>
      </c>
      <c r="AT40" s="42">
        <f>MAX(0,MIN(AQ40+AR40-AS40,AP40))</f>
        <v/>
      </c>
      <c r="AU40" s="42">
        <f>ROUND(AQ40+AR40-AS40-AT40,2)</f>
        <v/>
      </c>
      <c r="AV40">
        <f>AP40-AT40</f>
        <v/>
      </c>
      <c r="AW40" s="42">
        <f>BA39</f>
        <v/>
      </c>
      <c r="AX40" s="42">
        <f>ROUND(AW40*AX$6/12,2)</f>
        <v/>
      </c>
      <c r="AY40" s="42">
        <f>MIN(AY$6,AW40+AX40)</f>
        <v/>
      </c>
      <c r="AZ40" s="42">
        <f>MAX(0,MIN(AW40+AX40-AY40,AV40))</f>
        <v/>
      </c>
      <c r="BA40" s="42">
        <f>ROUND(AW40+AX40-AY40-AZ40,2)</f>
        <v/>
      </c>
      <c r="BB40">
        <f>AV40-AZ40</f>
        <v/>
      </c>
      <c r="BC40" s="42">
        <f>BG39</f>
        <v/>
      </c>
      <c r="BD40" s="42">
        <f>ROUND(BC40*BD$6/12,2)</f>
        <v/>
      </c>
      <c r="BE40" s="42">
        <f>MIN(BE$6,BC40+BD40)</f>
        <v/>
      </c>
      <c r="BF40" s="42">
        <f>MAX(0,MIN(BC40+BD40-BE40,BB40))</f>
        <v/>
      </c>
      <c r="BG40" s="42">
        <f>ROUND(BC40+BD40-BE40-BF40,2)</f>
        <v/>
      </c>
      <c r="BH40">
        <f>BB40-BF40</f>
        <v/>
      </c>
      <c r="BI40" s="42">
        <f>BM39</f>
        <v/>
      </c>
      <c r="BJ40" s="42">
        <f>ROUND(BI40*BJ$6/12,2)</f>
        <v/>
      </c>
      <c r="BK40" s="42">
        <f>MIN(BK$6,BI40+BJ40)</f>
        <v/>
      </c>
      <c r="BL40" s="42">
        <f>MAX(0,MIN(BI40+BJ40-BK40,BH40))</f>
        <v/>
      </c>
      <c r="BM40" s="42">
        <f>ROUND(BI40+BJ40-BK40-BL40,2)</f>
        <v/>
      </c>
      <c r="BN40">
        <f>BH40-BL40</f>
        <v/>
      </c>
    </row>
    <row r="41">
      <c r="A41" s="43" t="n">
        <v>34</v>
      </c>
      <c r="B41" s="44">
        <f>EDATE('My Debts'!$C$6,A41-1)</f>
        <v/>
      </c>
      <c r="C41" s="45">
        <f>K41+Q41+W41+AC41+AI41+AO41+AU41+BA41+BG41+BM41</f>
        <v/>
      </c>
      <c r="D41" s="46">
        <f>I41+O41+U41+AA41+AG41+AM41+AS41+AY41+BE41+BK41+J41+P41+V41+AB41+AH41+AN41+AT41+AZ41+BF41+BL41</f>
        <v/>
      </c>
      <c r="E41" s="46">
        <f>H41+N41+T41+Z41+AF41+AL41+AR41+AX41+BD41+BJ41</f>
        <v/>
      </c>
      <c r="F41">
        <f>MAX(0,'My Debts'!$E$21-(I41+O41+U41+AA41+AG41+AM41+AS41+AY41+BE41+BK41))</f>
        <v/>
      </c>
      <c r="G41" s="42">
        <f>K40</f>
        <v/>
      </c>
      <c r="H41" s="42">
        <f>ROUND(G41*H$6/12,2)</f>
        <v/>
      </c>
      <c r="I41" s="42">
        <f>MIN(I$6,G41+H41)</f>
        <v/>
      </c>
      <c r="J41" s="42">
        <f>MAX(0,MIN(G41+H41-I41,$F41))</f>
        <v/>
      </c>
      <c r="K41" s="42">
        <f>ROUND(G41+H41-I41-J41,2)</f>
        <v/>
      </c>
      <c r="L41">
        <f>$F41-J41</f>
        <v/>
      </c>
      <c r="M41" s="42">
        <f>Q40</f>
        <v/>
      </c>
      <c r="N41" s="42">
        <f>ROUND(M41*N$6/12,2)</f>
        <v/>
      </c>
      <c r="O41" s="42">
        <f>MIN(O$6,M41+N41)</f>
        <v/>
      </c>
      <c r="P41" s="42">
        <f>MAX(0,MIN(M41+N41-O41,L41))</f>
        <v/>
      </c>
      <c r="Q41" s="42">
        <f>ROUND(M41+N41-O41-P41,2)</f>
        <v/>
      </c>
      <c r="R41">
        <f>L41-P41</f>
        <v/>
      </c>
      <c r="S41" s="42">
        <f>W40</f>
        <v/>
      </c>
      <c r="T41" s="42">
        <f>ROUND(S41*T$6/12,2)</f>
        <v/>
      </c>
      <c r="U41" s="42">
        <f>MIN(U$6,S41+T41)</f>
        <v/>
      </c>
      <c r="V41" s="42">
        <f>MAX(0,MIN(S41+T41-U41,R41))</f>
        <v/>
      </c>
      <c r="W41" s="42">
        <f>ROUND(S41+T41-U41-V41,2)</f>
        <v/>
      </c>
      <c r="X41">
        <f>R41-V41</f>
        <v/>
      </c>
      <c r="Y41" s="42">
        <f>AC40</f>
        <v/>
      </c>
      <c r="Z41" s="42">
        <f>ROUND(Y41*Z$6/12,2)</f>
        <v/>
      </c>
      <c r="AA41" s="42">
        <f>MIN(AA$6,Y41+Z41)</f>
        <v/>
      </c>
      <c r="AB41" s="42">
        <f>MAX(0,MIN(Y41+Z41-AA41,X41))</f>
        <v/>
      </c>
      <c r="AC41" s="42">
        <f>ROUND(Y41+Z41-AA41-AB41,2)</f>
        <v/>
      </c>
      <c r="AD41">
        <f>X41-AB41</f>
        <v/>
      </c>
      <c r="AE41" s="42">
        <f>AI40</f>
        <v/>
      </c>
      <c r="AF41" s="42">
        <f>ROUND(AE41*AF$6/12,2)</f>
        <v/>
      </c>
      <c r="AG41" s="42">
        <f>MIN(AG$6,AE41+AF41)</f>
        <v/>
      </c>
      <c r="AH41" s="42">
        <f>MAX(0,MIN(AE41+AF41-AG41,AD41))</f>
        <v/>
      </c>
      <c r="AI41" s="42">
        <f>ROUND(AE41+AF41-AG41-AH41,2)</f>
        <v/>
      </c>
      <c r="AJ41">
        <f>AD41-AH41</f>
        <v/>
      </c>
      <c r="AK41" s="42">
        <f>AO40</f>
        <v/>
      </c>
      <c r="AL41" s="42">
        <f>ROUND(AK41*AL$6/12,2)</f>
        <v/>
      </c>
      <c r="AM41" s="42">
        <f>MIN(AM$6,AK41+AL41)</f>
        <v/>
      </c>
      <c r="AN41" s="42">
        <f>MAX(0,MIN(AK41+AL41-AM41,AJ41))</f>
        <v/>
      </c>
      <c r="AO41" s="42">
        <f>ROUND(AK41+AL41-AM41-AN41,2)</f>
        <v/>
      </c>
      <c r="AP41">
        <f>AJ41-AN41</f>
        <v/>
      </c>
      <c r="AQ41" s="42">
        <f>AU40</f>
        <v/>
      </c>
      <c r="AR41" s="42">
        <f>ROUND(AQ41*AR$6/12,2)</f>
        <v/>
      </c>
      <c r="AS41" s="42">
        <f>MIN(AS$6,AQ41+AR41)</f>
        <v/>
      </c>
      <c r="AT41" s="42">
        <f>MAX(0,MIN(AQ41+AR41-AS41,AP41))</f>
        <v/>
      </c>
      <c r="AU41" s="42">
        <f>ROUND(AQ41+AR41-AS41-AT41,2)</f>
        <v/>
      </c>
      <c r="AV41">
        <f>AP41-AT41</f>
        <v/>
      </c>
      <c r="AW41" s="42">
        <f>BA40</f>
        <v/>
      </c>
      <c r="AX41" s="42">
        <f>ROUND(AW41*AX$6/12,2)</f>
        <v/>
      </c>
      <c r="AY41" s="42">
        <f>MIN(AY$6,AW41+AX41)</f>
        <v/>
      </c>
      <c r="AZ41" s="42">
        <f>MAX(0,MIN(AW41+AX41-AY41,AV41))</f>
        <v/>
      </c>
      <c r="BA41" s="42">
        <f>ROUND(AW41+AX41-AY41-AZ41,2)</f>
        <v/>
      </c>
      <c r="BB41">
        <f>AV41-AZ41</f>
        <v/>
      </c>
      <c r="BC41" s="42">
        <f>BG40</f>
        <v/>
      </c>
      <c r="BD41" s="42">
        <f>ROUND(BC41*BD$6/12,2)</f>
        <v/>
      </c>
      <c r="BE41" s="42">
        <f>MIN(BE$6,BC41+BD41)</f>
        <v/>
      </c>
      <c r="BF41" s="42">
        <f>MAX(0,MIN(BC41+BD41-BE41,BB41))</f>
        <v/>
      </c>
      <c r="BG41" s="42">
        <f>ROUND(BC41+BD41-BE41-BF41,2)</f>
        <v/>
      </c>
      <c r="BH41">
        <f>BB41-BF41</f>
        <v/>
      </c>
      <c r="BI41" s="42">
        <f>BM40</f>
        <v/>
      </c>
      <c r="BJ41" s="42">
        <f>ROUND(BI41*BJ$6/12,2)</f>
        <v/>
      </c>
      <c r="BK41" s="42">
        <f>MIN(BK$6,BI41+BJ41)</f>
        <v/>
      </c>
      <c r="BL41" s="42">
        <f>MAX(0,MIN(BI41+BJ41-BK41,BH41))</f>
        <v/>
      </c>
      <c r="BM41" s="42">
        <f>ROUND(BI41+BJ41-BK41-BL41,2)</f>
        <v/>
      </c>
      <c r="BN41">
        <f>BH41-BL41</f>
        <v/>
      </c>
    </row>
    <row r="42">
      <c r="A42" s="39" t="n">
        <v>35</v>
      </c>
      <c r="B42" s="40">
        <f>EDATE('My Debts'!$C$6,A42-1)</f>
        <v/>
      </c>
      <c r="C42" s="41">
        <f>K42+Q42+W42+AC42+AI42+AO42+AU42+BA42+BG42+BM42</f>
        <v/>
      </c>
      <c r="D42" s="42">
        <f>I42+O42+U42+AA42+AG42+AM42+AS42+AY42+BE42+BK42+J42+P42+V42+AB42+AH42+AN42+AT42+AZ42+BF42+BL42</f>
        <v/>
      </c>
      <c r="E42" s="42">
        <f>H42+N42+T42+Z42+AF42+AL42+AR42+AX42+BD42+BJ42</f>
        <v/>
      </c>
      <c r="F42">
        <f>MAX(0,'My Debts'!$E$21-(I42+O42+U42+AA42+AG42+AM42+AS42+AY42+BE42+BK42))</f>
        <v/>
      </c>
      <c r="G42" s="42">
        <f>K41</f>
        <v/>
      </c>
      <c r="H42" s="42">
        <f>ROUND(G42*H$6/12,2)</f>
        <v/>
      </c>
      <c r="I42" s="42">
        <f>MIN(I$6,G42+H42)</f>
        <v/>
      </c>
      <c r="J42" s="42">
        <f>MAX(0,MIN(G42+H42-I42,$F42))</f>
        <v/>
      </c>
      <c r="K42" s="42">
        <f>ROUND(G42+H42-I42-J42,2)</f>
        <v/>
      </c>
      <c r="L42">
        <f>$F42-J42</f>
        <v/>
      </c>
      <c r="M42" s="42">
        <f>Q41</f>
        <v/>
      </c>
      <c r="N42" s="42">
        <f>ROUND(M42*N$6/12,2)</f>
        <v/>
      </c>
      <c r="O42" s="42">
        <f>MIN(O$6,M42+N42)</f>
        <v/>
      </c>
      <c r="P42" s="42">
        <f>MAX(0,MIN(M42+N42-O42,L42))</f>
        <v/>
      </c>
      <c r="Q42" s="42">
        <f>ROUND(M42+N42-O42-P42,2)</f>
        <v/>
      </c>
      <c r="R42">
        <f>L42-P42</f>
        <v/>
      </c>
      <c r="S42" s="42">
        <f>W41</f>
        <v/>
      </c>
      <c r="T42" s="42">
        <f>ROUND(S42*T$6/12,2)</f>
        <v/>
      </c>
      <c r="U42" s="42">
        <f>MIN(U$6,S42+T42)</f>
        <v/>
      </c>
      <c r="V42" s="42">
        <f>MAX(0,MIN(S42+T42-U42,R42))</f>
        <v/>
      </c>
      <c r="W42" s="42">
        <f>ROUND(S42+T42-U42-V42,2)</f>
        <v/>
      </c>
      <c r="X42">
        <f>R42-V42</f>
        <v/>
      </c>
      <c r="Y42" s="42">
        <f>AC41</f>
        <v/>
      </c>
      <c r="Z42" s="42">
        <f>ROUND(Y42*Z$6/12,2)</f>
        <v/>
      </c>
      <c r="AA42" s="42">
        <f>MIN(AA$6,Y42+Z42)</f>
        <v/>
      </c>
      <c r="AB42" s="42">
        <f>MAX(0,MIN(Y42+Z42-AA42,X42))</f>
        <v/>
      </c>
      <c r="AC42" s="42">
        <f>ROUND(Y42+Z42-AA42-AB42,2)</f>
        <v/>
      </c>
      <c r="AD42">
        <f>X42-AB42</f>
        <v/>
      </c>
      <c r="AE42" s="42">
        <f>AI41</f>
        <v/>
      </c>
      <c r="AF42" s="42">
        <f>ROUND(AE42*AF$6/12,2)</f>
        <v/>
      </c>
      <c r="AG42" s="42">
        <f>MIN(AG$6,AE42+AF42)</f>
        <v/>
      </c>
      <c r="AH42" s="42">
        <f>MAX(0,MIN(AE42+AF42-AG42,AD42))</f>
        <v/>
      </c>
      <c r="AI42" s="42">
        <f>ROUND(AE42+AF42-AG42-AH42,2)</f>
        <v/>
      </c>
      <c r="AJ42">
        <f>AD42-AH42</f>
        <v/>
      </c>
      <c r="AK42" s="42">
        <f>AO41</f>
        <v/>
      </c>
      <c r="AL42" s="42">
        <f>ROUND(AK42*AL$6/12,2)</f>
        <v/>
      </c>
      <c r="AM42" s="42">
        <f>MIN(AM$6,AK42+AL42)</f>
        <v/>
      </c>
      <c r="AN42" s="42">
        <f>MAX(0,MIN(AK42+AL42-AM42,AJ42))</f>
        <v/>
      </c>
      <c r="AO42" s="42">
        <f>ROUND(AK42+AL42-AM42-AN42,2)</f>
        <v/>
      </c>
      <c r="AP42">
        <f>AJ42-AN42</f>
        <v/>
      </c>
      <c r="AQ42" s="42">
        <f>AU41</f>
        <v/>
      </c>
      <c r="AR42" s="42">
        <f>ROUND(AQ42*AR$6/12,2)</f>
        <v/>
      </c>
      <c r="AS42" s="42">
        <f>MIN(AS$6,AQ42+AR42)</f>
        <v/>
      </c>
      <c r="AT42" s="42">
        <f>MAX(0,MIN(AQ42+AR42-AS42,AP42))</f>
        <v/>
      </c>
      <c r="AU42" s="42">
        <f>ROUND(AQ42+AR42-AS42-AT42,2)</f>
        <v/>
      </c>
      <c r="AV42">
        <f>AP42-AT42</f>
        <v/>
      </c>
      <c r="AW42" s="42">
        <f>BA41</f>
        <v/>
      </c>
      <c r="AX42" s="42">
        <f>ROUND(AW42*AX$6/12,2)</f>
        <v/>
      </c>
      <c r="AY42" s="42">
        <f>MIN(AY$6,AW42+AX42)</f>
        <v/>
      </c>
      <c r="AZ42" s="42">
        <f>MAX(0,MIN(AW42+AX42-AY42,AV42))</f>
        <v/>
      </c>
      <c r="BA42" s="42">
        <f>ROUND(AW42+AX42-AY42-AZ42,2)</f>
        <v/>
      </c>
      <c r="BB42">
        <f>AV42-AZ42</f>
        <v/>
      </c>
      <c r="BC42" s="42">
        <f>BG41</f>
        <v/>
      </c>
      <c r="BD42" s="42">
        <f>ROUND(BC42*BD$6/12,2)</f>
        <v/>
      </c>
      <c r="BE42" s="42">
        <f>MIN(BE$6,BC42+BD42)</f>
        <v/>
      </c>
      <c r="BF42" s="42">
        <f>MAX(0,MIN(BC42+BD42-BE42,BB42))</f>
        <v/>
      </c>
      <c r="BG42" s="42">
        <f>ROUND(BC42+BD42-BE42-BF42,2)</f>
        <v/>
      </c>
      <c r="BH42">
        <f>BB42-BF42</f>
        <v/>
      </c>
      <c r="BI42" s="42">
        <f>BM41</f>
        <v/>
      </c>
      <c r="BJ42" s="42">
        <f>ROUND(BI42*BJ$6/12,2)</f>
        <v/>
      </c>
      <c r="BK42" s="42">
        <f>MIN(BK$6,BI42+BJ42)</f>
        <v/>
      </c>
      <c r="BL42" s="42">
        <f>MAX(0,MIN(BI42+BJ42-BK42,BH42))</f>
        <v/>
      </c>
      <c r="BM42" s="42">
        <f>ROUND(BI42+BJ42-BK42-BL42,2)</f>
        <v/>
      </c>
      <c r="BN42">
        <f>BH42-BL42</f>
        <v/>
      </c>
    </row>
    <row r="43">
      <c r="A43" s="43" t="n">
        <v>36</v>
      </c>
      <c r="B43" s="44">
        <f>EDATE('My Debts'!$C$6,A43-1)</f>
        <v/>
      </c>
      <c r="C43" s="45">
        <f>K43+Q43+W43+AC43+AI43+AO43+AU43+BA43+BG43+BM43</f>
        <v/>
      </c>
      <c r="D43" s="46">
        <f>I43+O43+U43+AA43+AG43+AM43+AS43+AY43+BE43+BK43+J43+P43+V43+AB43+AH43+AN43+AT43+AZ43+BF43+BL43</f>
        <v/>
      </c>
      <c r="E43" s="46">
        <f>H43+N43+T43+Z43+AF43+AL43+AR43+AX43+BD43+BJ43</f>
        <v/>
      </c>
      <c r="F43">
        <f>MAX(0,'My Debts'!$E$21-(I43+O43+U43+AA43+AG43+AM43+AS43+AY43+BE43+BK43))</f>
        <v/>
      </c>
      <c r="G43" s="42">
        <f>K42</f>
        <v/>
      </c>
      <c r="H43" s="42">
        <f>ROUND(G43*H$6/12,2)</f>
        <v/>
      </c>
      <c r="I43" s="42">
        <f>MIN(I$6,G43+H43)</f>
        <v/>
      </c>
      <c r="J43" s="42">
        <f>MAX(0,MIN(G43+H43-I43,$F43))</f>
        <v/>
      </c>
      <c r="K43" s="42">
        <f>ROUND(G43+H43-I43-J43,2)</f>
        <v/>
      </c>
      <c r="L43">
        <f>$F43-J43</f>
        <v/>
      </c>
      <c r="M43" s="42">
        <f>Q42</f>
        <v/>
      </c>
      <c r="N43" s="42">
        <f>ROUND(M43*N$6/12,2)</f>
        <v/>
      </c>
      <c r="O43" s="42">
        <f>MIN(O$6,M43+N43)</f>
        <v/>
      </c>
      <c r="P43" s="42">
        <f>MAX(0,MIN(M43+N43-O43,L43))</f>
        <v/>
      </c>
      <c r="Q43" s="42">
        <f>ROUND(M43+N43-O43-P43,2)</f>
        <v/>
      </c>
      <c r="R43">
        <f>L43-P43</f>
        <v/>
      </c>
      <c r="S43" s="42">
        <f>W42</f>
        <v/>
      </c>
      <c r="T43" s="42">
        <f>ROUND(S43*T$6/12,2)</f>
        <v/>
      </c>
      <c r="U43" s="42">
        <f>MIN(U$6,S43+T43)</f>
        <v/>
      </c>
      <c r="V43" s="42">
        <f>MAX(0,MIN(S43+T43-U43,R43))</f>
        <v/>
      </c>
      <c r="W43" s="42">
        <f>ROUND(S43+T43-U43-V43,2)</f>
        <v/>
      </c>
      <c r="X43">
        <f>R43-V43</f>
        <v/>
      </c>
      <c r="Y43" s="42">
        <f>AC42</f>
        <v/>
      </c>
      <c r="Z43" s="42">
        <f>ROUND(Y43*Z$6/12,2)</f>
        <v/>
      </c>
      <c r="AA43" s="42">
        <f>MIN(AA$6,Y43+Z43)</f>
        <v/>
      </c>
      <c r="AB43" s="42">
        <f>MAX(0,MIN(Y43+Z43-AA43,X43))</f>
        <v/>
      </c>
      <c r="AC43" s="42">
        <f>ROUND(Y43+Z43-AA43-AB43,2)</f>
        <v/>
      </c>
      <c r="AD43">
        <f>X43-AB43</f>
        <v/>
      </c>
      <c r="AE43" s="42">
        <f>AI42</f>
        <v/>
      </c>
      <c r="AF43" s="42">
        <f>ROUND(AE43*AF$6/12,2)</f>
        <v/>
      </c>
      <c r="AG43" s="42">
        <f>MIN(AG$6,AE43+AF43)</f>
        <v/>
      </c>
      <c r="AH43" s="42">
        <f>MAX(0,MIN(AE43+AF43-AG43,AD43))</f>
        <v/>
      </c>
      <c r="AI43" s="42">
        <f>ROUND(AE43+AF43-AG43-AH43,2)</f>
        <v/>
      </c>
      <c r="AJ43">
        <f>AD43-AH43</f>
        <v/>
      </c>
      <c r="AK43" s="42">
        <f>AO42</f>
        <v/>
      </c>
      <c r="AL43" s="42">
        <f>ROUND(AK43*AL$6/12,2)</f>
        <v/>
      </c>
      <c r="AM43" s="42">
        <f>MIN(AM$6,AK43+AL43)</f>
        <v/>
      </c>
      <c r="AN43" s="42">
        <f>MAX(0,MIN(AK43+AL43-AM43,AJ43))</f>
        <v/>
      </c>
      <c r="AO43" s="42">
        <f>ROUND(AK43+AL43-AM43-AN43,2)</f>
        <v/>
      </c>
      <c r="AP43">
        <f>AJ43-AN43</f>
        <v/>
      </c>
      <c r="AQ43" s="42">
        <f>AU42</f>
        <v/>
      </c>
      <c r="AR43" s="42">
        <f>ROUND(AQ43*AR$6/12,2)</f>
        <v/>
      </c>
      <c r="AS43" s="42">
        <f>MIN(AS$6,AQ43+AR43)</f>
        <v/>
      </c>
      <c r="AT43" s="42">
        <f>MAX(0,MIN(AQ43+AR43-AS43,AP43))</f>
        <v/>
      </c>
      <c r="AU43" s="42">
        <f>ROUND(AQ43+AR43-AS43-AT43,2)</f>
        <v/>
      </c>
      <c r="AV43">
        <f>AP43-AT43</f>
        <v/>
      </c>
      <c r="AW43" s="42">
        <f>BA42</f>
        <v/>
      </c>
      <c r="AX43" s="42">
        <f>ROUND(AW43*AX$6/12,2)</f>
        <v/>
      </c>
      <c r="AY43" s="42">
        <f>MIN(AY$6,AW43+AX43)</f>
        <v/>
      </c>
      <c r="AZ43" s="42">
        <f>MAX(0,MIN(AW43+AX43-AY43,AV43))</f>
        <v/>
      </c>
      <c r="BA43" s="42">
        <f>ROUND(AW43+AX43-AY43-AZ43,2)</f>
        <v/>
      </c>
      <c r="BB43">
        <f>AV43-AZ43</f>
        <v/>
      </c>
      <c r="BC43" s="42">
        <f>BG42</f>
        <v/>
      </c>
      <c r="BD43" s="42">
        <f>ROUND(BC43*BD$6/12,2)</f>
        <v/>
      </c>
      <c r="BE43" s="42">
        <f>MIN(BE$6,BC43+BD43)</f>
        <v/>
      </c>
      <c r="BF43" s="42">
        <f>MAX(0,MIN(BC43+BD43-BE43,BB43))</f>
        <v/>
      </c>
      <c r="BG43" s="42">
        <f>ROUND(BC43+BD43-BE43-BF43,2)</f>
        <v/>
      </c>
      <c r="BH43">
        <f>BB43-BF43</f>
        <v/>
      </c>
      <c r="BI43" s="42">
        <f>BM42</f>
        <v/>
      </c>
      <c r="BJ43" s="42">
        <f>ROUND(BI43*BJ$6/12,2)</f>
        <v/>
      </c>
      <c r="BK43" s="42">
        <f>MIN(BK$6,BI43+BJ43)</f>
        <v/>
      </c>
      <c r="BL43" s="42">
        <f>MAX(0,MIN(BI43+BJ43-BK43,BH43))</f>
        <v/>
      </c>
      <c r="BM43" s="42">
        <f>ROUND(BI43+BJ43-BK43-BL43,2)</f>
        <v/>
      </c>
      <c r="BN43">
        <f>BH43-BL43</f>
        <v/>
      </c>
    </row>
    <row r="44">
      <c r="A44" s="39" t="n">
        <v>37</v>
      </c>
      <c r="B44" s="40">
        <f>EDATE('My Debts'!$C$6,A44-1)</f>
        <v/>
      </c>
      <c r="C44" s="41">
        <f>K44+Q44+W44+AC44+AI44+AO44+AU44+BA44+BG44+BM44</f>
        <v/>
      </c>
      <c r="D44" s="42">
        <f>I44+O44+U44+AA44+AG44+AM44+AS44+AY44+BE44+BK44+J44+P44+V44+AB44+AH44+AN44+AT44+AZ44+BF44+BL44</f>
        <v/>
      </c>
      <c r="E44" s="42">
        <f>H44+N44+T44+Z44+AF44+AL44+AR44+AX44+BD44+BJ44</f>
        <v/>
      </c>
      <c r="F44">
        <f>MAX(0,'My Debts'!$E$21-(I44+O44+U44+AA44+AG44+AM44+AS44+AY44+BE44+BK44))</f>
        <v/>
      </c>
      <c r="G44" s="42">
        <f>K43</f>
        <v/>
      </c>
      <c r="H44" s="42">
        <f>ROUND(G44*H$6/12,2)</f>
        <v/>
      </c>
      <c r="I44" s="42">
        <f>MIN(I$6,G44+H44)</f>
        <v/>
      </c>
      <c r="J44" s="42">
        <f>MAX(0,MIN(G44+H44-I44,$F44))</f>
        <v/>
      </c>
      <c r="K44" s="42">
        <f>ROUND(G44+H44-I44-J44,2)</f>
        <v/>
      </c>
      <c r="L44">
        <f>$F44-J44</f>
        <v/>
      </c>
      <c r="M44" s="42">
        <f>Q43</f>
        <v/>
      </c>
      <c r="N44" s="42">
        <f>ROUND(M44*N$6/12,2)</f>
        <v/>
      </c>
      <c r="O44" s="42">
        <f>MIN(O$6,M44+N44)</f>
        <v/>
      </c>
      <c r="P44" s="42">
        <f>MAX(0,MIN(M44+N44-O44,L44))</f>
        <v/>
      </c>
      <c r="Q44" s="42">
        <f>ROUND(M44+N44-O44-P44,2)</f>
        <v/>
      </c>
      <c r="R44">
        <f>L44-P44</f>
        <v/>
      </c>
      <c r="S44" s="42">
        <f>W43</f>
        <v/>
      </c>
      <c r="T44" s="42">
        <f>ROUND(S44*T$6/12,2)</f>
        <v/>
      </c>
      <c r="U44" s="42">
        <f>MIN(U$6,S44+T44)</f>
        <v/>
      </c>
      <c r="V44" s="42">
        <f>MAX(0,MIN(S44+T44-U44,R44))</f>
        <v/>
      </c>
      <c r="W44" s="42">
        <f>ROUND(S44+T44-U44-V44,2)</f>
        <v/>
      </c>
      <c r="X44">
        <f>R44-V44</f>
        <v/>
      </c>
      <c r="Y44" s="42">
        <f>AC43</f>
        <v/>
      </c>
      <c r="Z44" s="42">
        <f>ROUND(Y44*Z$6/12,2)</f>
        <v/>
      </c>
      <c r="AA44" s="42">
        <f>MIN(AA$6,Y44+Z44)</f>
        <v/>
      </c>
      <c r="AB44" s="42">
        <f>MAX(0,MIN(Y44+Z44-AA44,X44))</f>
        <v/>
      </c>
      <c r="AC44" s="42">
        <f>ROUND(Y44+Z44-AA44-AB44,2)</f>
        <v/>
      </c>
      <c r="AD44">
        <f>X44-AB44</f>
        <v/>
      </c>
      <c r="AE44" s="42">
        <f>AI43</f>
        <v/>
      </c>
      <c r="AF44" s="42">
        <f>ROUND(AE44*AF$6/12,2)</f>
        <v/>
      </c>
      <c r="AG44" s="42">
        <f>MIN(AG$6,AE44+AF44)</f>
        <v/>
      </c>
      <c r="AH44" s="42">
        <f>MAX(0,MIN(AE44+AF44-AG44,AD44))</f>
        <v/>
      </c>
      <c r="AI44" s="42">
        <f>ROUND(AE44+AF44-AG44-AH44,2)</f>
        <v/>
      </c>
      <c r="AJ44">
        <f>AD44-AH44</f>
        <v/>
      </c>
      <c r="AK44" s="42">
        <f>AO43</f>
        <v/>
      </c>
      <c r="AL44" s="42">
        <f>ROUND(AK44*AL$6/12,2)</f>
        <v/>
      </c>
      <c r="AM44" s="42">
        <f>MIN(AM$6,AK44+AL44)</f>
        <v/>
      </c>
      <c r="AN44" s="42">
        <f>MAX(0,MIN(AK44+AL44-AM44,AJ44))</f>
        <v/>
      </c>
      <c r="AO44" s="42">
        <f>ROUND(AK44+AL44-AM44-AN44,2)</f>
        <v/>
      </c>
      <c r="AP44">
        <f>AJ44-AN44</f>
        <v/>
      </c>
      <c r="AQ44" s="42">
        <f>AU43</f>
        <v/>
      </c>
      <c r="AR44" s="42">
        <f>ROUND(AQ44*AR$6/12,2)</f>
        <v/>
      </c>
      <c r="AS44" s="42">
        <f>MIN(AS$6,AQ44+AR44)</f>
        <v/>
      </c>
      <c r="AT44" s="42">
        <f>MAX(0,MIN(AQ44+AR44-AS44,AP44))</f>
        <v/>
      </c>
      <c r="AU44" s="42">
        <f>ROUND(AQ44+AR44-AS44-AT44,2)</f>
        <v/>
      </c>
      <c r="AV44">
        <f>AP44-AT44</f>
        <v/>
      </c>
      <c r="AW44" s="42">
        <f>BA43</f>
        <v/>
      </c>
      <c r="AX44" s="42">
        <f>ROUND(AW44*AX$6/12,2)</f>
        <v/>
      </c>
      <c r="AY44" s="42">
        <f>MIN(AY$6,AW44+AX44)</f>
        <v/>
      </c>
      <c r="AZ44" s="42">
        <f>MAX(0,MIN(AW44+AX44-AY44,AV44))</f>
        <v/>
      </c>
      <c r="BA44" s="42">
        <f>ROUND(AW44+AX44-AY44-AZ44,2)</f>
        <v/>
      </c>
      <c r="BB44">
        <f>AV44-AZ44</f>
        <v/>
      </c>
      <c r="BC44" s="42">
        <f>BG43</f>
        <v/>
      </c>
      <c r="BD44" s="42">
        <f>ROUND(BC44*BD$6/12,2)</f>
        <v/>
      </c>
      <c r="BE44" s="42">
        <f>MIN(BE$6,BC44+BD44)</f>
        <v/>
      </c>
      <c r="BF44" s="42">
        <f>MAX(0,MIN(BC44+BD44-BE44,BB44))</f>
        <v/>
      </c>
      <c r="BG44" s="42">
        <f>ROUND(BC44+BD44-BE44-BF44,2)</f>
        <v/>
      </c>
      <c r="BH44">
        <f>BB44-BF44</f>
        <v/>
      </c>
      <c r="BI44" s="42">
        <f>BM43</f>
        <v/>
      </c>
      <c r="BJ44" s="42">
        <f>ROUND(BI44*BJ$6/12,2)</f>
        <v/>
      </c>
      <c r="BK44" s="42">
        <f>MIN(BK$6,BI44+BJ44)</f>
        <v/>
      </c>
      <c r="BL44" s="42">
        <f>MAX(0,MIN(BI44+BJ44-BK44,BH44))</f>
        <v/>
      </c>
      <c r="BM44" s="42">
        <f>ROUND(BI44+BJ44-BK44-BL44,2)</f>
        <v/>
      </c>
      <c r="BN44">
        <f>BH44-BL44</f>
        <v/>
      </c>
    </row>
    <row r="45">
      <c r="A45" s="43" t="n">
        <v>38</v>
      </c>
      <c r="B45" s="44">
        <f>EDATE('My Debts'!$C$6,A45-1)</f>
        <v/>
      </c>
      <c r="C45" s="45">
        <f>K45+Q45+W45+AC45+AI45+AO45+AU45+BA45+BG45+BM45</f>
        <v/>
      </c>
      <c r="D45" s="46">
        <f>I45+O45+U45+AA45+AG45+AM45+AS45+AY45+BE45+BK45+J45+P45+V45+AB45+AH45+AN45+AT45+AZ45+BF45+BL45</f>
        <v/>
      </c>
      <c r="E45" s="46">
        <f>H45+N45+T45+Z45+AF45+AL45+AR45+AX45+BD45+BJ45</f>
        <v/>
      </c>
      <c r="F45">
        <f>MAX(0,'My Debts'!$E$21-(I45+O45+U45+AA45+AG45+AM45+AS45+AY45+BE45+BK45))</f>
        <v/>
      </c>
      <c r="G45" s="42">
        <f>K44</f>
        <v/>
      </c>
      <c r="H45" s="42">
        <f>ROUND(G45*H$6/12,2)</f>
        <v/>
      </c>
      <c r="I45" s="42">
        <f>MIN(I$6,G45+H45)</f>
        <v/>
      </c>
      <c r="J45" s="42">
        <f>MAX(0,MIN(G45+H45-I45,$F45))</f>
        <v/>
      </c>
      <c r="K45" s="42">
        <f>ROUND(G45+H45-I45-J45,2)</f>
        <v/>
      </c>
      <c r="L45">
        <f>$F45-J45</f>
        <v/>
      </c>
      <c r="M45" s="42">
        <f>Q44</f>
        <v/>
      </c>
      <c r="N45" s="42">
        <f>ROUND(M45*N$6/12,2)</f>
        <v/>
      </c>
      <c r="O45" s="42">
        <f>MIN(O$6,M45+N45)</f>
        <v/>
      </c>
      <c r="P45" s="42">
        <f>MAX(0,MIN(M45+N45-O45,L45))</f>
        <v/>
      </c>
      <c r="Q45" s="42">
        <f>ROUND(M45+N45-O45-P45,2)</f>
        <v/>
      </c>
      <c r="R45">
        <f>L45-P45</f>
        <v/>
      </c>
      <c r="S45" s="42">
        <f>W44</f>
        <v/>
      </c>
      <c r="T45" s="42">
        <f>ROUND(S45*T$6/12,2)</f>
        <v/>
      </c>
      <c r="U45" s="42">
        <f>MIN(U$6,S45+T45)</f>
        <v/>
      </c>
      <c r="V45" s="42">
        <f>MAX(0,MIN(S45+T45-U45,R45))</f>
        <v/>
      </c>
      <c r="W45" s="42">
        <f>ROUND(S45+T45-U45-V45,2)</f>
        <v/>
      </c>
      <c r="X45">
        <f>R45-V45</f>
        <v/>
      </c>
      <c r="Y45" s="42">
        <f>AC44</f>
        <v/>
      </c>
      <c r="Z45" s="42">
        <f>ROUND(Y45*Z$6/12,2)</f>
        <v/>
      </c>
      <c r="AA45" s="42">
        <f>MIN(AA$6,Y45+Z45)</f>
        <v/>
      </c>
      <c r="AB45" s="42">
        <f>MAX(0,MIN(Y45+Z45-AA45,X45))</f>
        <v/>
      </c>
      <c r="AC45" s="42">
        <f>ROUND(Y45+Z45-AA45-AB45,2)</f>
        <v/>
      </c>
      <c r="AD45">
        <f>X45-AB45</f>
        <v/>
      </c>
      <c r="AE45" s="42">
        <f>AI44</f>
        <v/>
      </c>
      <c r="AF45" s="42">
        <f>ROUND(AE45*AF$6/12,2)</f>
        <v/>
      </c>
      <c r="AG45" s="42">
        <f>MIN(AG$6,AE45+AF45)</f>
        <v/>
      </c>
      <c r="AH45" s="42">
        <f>MAX(0,MIN(AE45+AF45-AG45,AD45))</f>
        <v/>
      </c>
      <c r="AI45" s="42">
        <f>ROUND(AE45+AF45-AG45-AH45,2)</f>
        <v/>
      </c>
      <c r="AJ45">
        <f>AD45-AH45</f>
        <v/>
      </c>
      <c r="AK45" s="42">
        <f>AO44</f>
        <v/>
      </c>
      <c r="AL45" s="42">
        <f>ROUND(AK45*AL$6/12,2)</f>
        <v/>
      </c>
      <c r="AM45" s="42">
        <f>MIN(AM$6,AK45+AL45)</f>
        <v/>
      </c>
      <c r="AN45" s="42">
        <f>MAX(0,MIN(AK45+AL45-AM45,AJ45))</f>
        <v/>
      </c>
      <c r="AO45" s="42">
        <f>ROUND(AK45+AL45-AM45-AN45,2)</f>
        <v/>
      </c>
      <c r="AP45">
        <f>AJ45-AN45</f>
        <v/>
      </c>
      <c r="AQ45" s="42">
        <f>AU44</f>
        <v/>
      </c>
      <c r="AR45" s="42">
        <f>ROUND(AQ45*AR$6/12,2)</f>
        <v/>
      </c>
      <c r="AS45" s="42">
        <f>MIN(AS$6,AQ45+AR45)</f>
        <v/>
      </c>
      <c r="AT45" s="42">
        <f>MAX(0,MIN(AQ45+AR45-AS45,AP45))</f>
        <v/>
      </c>
      <c r="AU45" s="42">
        <f>ROUND(AQ45+AR45-AS45-AT45,2)</f>
        <v/>
      </c>
      <c r="AV45">
        <f>AP45-AT45</f>
        <v/>
      </c>
      <c r="AW45" s="42">
        <f>BA44</f>
        <v/>
      </c>
      <c r="AX45" s="42">
        <f>ROUND(AW45*AX$6/12,2)</f>
        <v/>
      </c>
      <c r="AY45" s="42">
        <f>MIN(AY$6,AW45+AX45)</f>
        <v/>
      </c>
      <c r="AZ45" s="42">
        <f>MAX(0,MIN(AW45+AX45-AY45,AV45))</f>
        <v/>
      </c>
      <c r="BA45" s="42">
        <f>ROUND(AW45+AX45-AY45-AZ45,2)</f>
        <v/>
      </c>
      <c r="BB45">
        <f>AV45-AZ45</f>
        <v/>
      </c>
      <c r="BC45" s="42">
        <f>BG44</f>
        <v/>
      </c>
      <c r="BD45" s="42">
        <f>ROUND(BC45*BD$6/12,2)</f>
        <v/>
      </c>
      <c r="BE45" s="42">
        <f>MIN(BE$6,BC45+BD45)</f>
        <v/>
      </c>
      <c r="BF45" s="42">
        <f>MAX(0,MIN(BC45+BD45-BE45,BB45))</f>
        <v/>
      </c>
      <c r="BG45" s="42">
        <f>ROUND(BC45+BD45-BE45-BF45,2)</f>
        <v/>
      </c>
      <c r="BH45">
        <f>BB45-BF45</f>
        <v/>
      </c>
      <c r="BI45" s="42">
        <f>BM44</f>
        <v/>
      </c>
      <c r="BJ45" s="42">
        <f>ROUND(BI45*BJ$6/12,2)</f>
        <v/>
      </c>
      <c r="BK45" s="42">
        <f>MIN(BK$6,BI45+BJ45)</f>
        <v/>
      </c>
      <c r="BL45" s="42">
        <f>MAX(0,MIN(BI45+BJ45-BK45,BH45))</f>
        <v/>
      </c>
      <c r="BM45" s="42">
        <f>ROUND(BI45+BJ45-BK45-BL45,2)</f>
        <v/>
      </c>
      <c r="BN45">
        <f>BH45-BL45</f>
        <v/>
      </c>
    </row>
    <row r="46">
      <c r="A46" s="39" t="n">
        <v>39</v>
      </c>
      <c r="B46" s="40">
        <f>EDATE('My Debts'!$C$6,A46-1)</f>
        <v/>
      </c>
      <c r="C46" s="41">
        <f>K46+Q46+W46+AC46+AI46+AO46+AU46+BA46+BG46+BM46</f>
        <v/>
      </c>
      <c r="D46" s="42">
        <f>I46+O46+U46+AA46+AG46+AM46+AS46+AY46+BE46+BK46+J46+P46+V46+AB46+AH46+AN46+AT46+AZ46+BF46+BL46</f>
        <v/>
      </c>
      <c r="E46" s="42">
        <f>H46+N46+T46+Z46+AF46+AL46+AR46+AX46+BD46+BJ46</f>
        <v/>
      </c>
      <c r="F46">
        <f>MAX(0,'My Debts'!$E$21-(I46+O46+U46+AA46+AG46+AM46+AS46+AY46+BE46+BK46))</f>
        <v/>
      </c>
      <c r="G46" s="42">
        <f>K45</f>
        <v/>
      </c>
      <c r="H46" s="42">
        <f>ROUND(G46*H$6/12,2)</f>
        <v/>
      </c>
      <c r="I46" s="42">
        <f>MIN(I$6,G46+H46)</f>
        <v/>
      </c>
      <c r="J46" s="42">
        <f>MAX(0,MIN(G46+H46-I46,$F46))</f>
        <v/>
      </c>
      <c r="K46" s="42">
        <f>ROUND(G46+H46-I46-J46,2)</f>
        <v/>
      </c>
      <c r="L46">
        <f>$F46-J46</f>
        <v/>
      </c>
      <c r="M46" s="42">
        <f>Q45</f>
        <v/>
      </c>
      <c r="N46" s="42">
        <f>ROUND(M46*N$6/12,2)</f>
        <v/>
      </c>
      <c r="O46" s="42">
        <f>MIN(O$6,M46+N46)</f>
        <v/>
      </c>
      <c r="P46" s="42">
        <f>MAX(0,MIN(M46+N46-O46,L46))</f>
        <v/>
      </c>
      <c r="Q46" s="42">
        <f>ROUND(M46+N46-O46-P46,2)</f>
        <v/>
      </c>
      <c r="R46">
        <f>L46-P46</f>
        <v/>
      </c>
      <c r="S46" s="42">
        <f>W45</f>
        <v/>
      </c>
      <c r="T46" s="42">
        <f>ROUND(S46*T$6/12,2)</f>
        <v/>
      </c>
      <c r="U46" s="42">
        <f>MIN(U$6,S46+T46)</f>
        <v/>
      </c>
      <c r="V46" s="42">
        <f>MAX(0,MIN(S46+T46-U46,R46))</f>
        <v/>
      </c>
      <c r="W46" s="42">
        <f>ROUND(S46+T46-U46-V46,2)</f>
        <v/>
      </c>
      <c r="X46">
        <f>R46-V46</f>
        <v/>
      </c>
      <c r="Y46" s="42">
        <f>AC45</f>
        <v/>
      </c>
      <c r="Z46" s="42">
        <f>ROUND(Y46*Z$6/12,2)</f>
        <v/>
      </c>
      <c r="AA46" s="42">
        <f>MIN(AA$6,Y46+Z46)</f>
        <v/>
      </c>
      <c r="AB46" s="42">
        <f>MAX(0,MIN(Y46+Z46-AA46,X46))</f>
        <v/>
      </c>
      <c r="AC46" s="42">
        <f>ROUND(Y46+Z46-AA46-AB46,2)</f>
        <v/>
      </c>
      <c r="AD46">
        <f>X46-AB46</f>
        <v/>
      </c>
      <c r="AE46" s="42">
        <f>AI45</f>
        <v/>
      </c>
      <c r="AF46" s="42">
        <f>ROUND(AE46*AF$6/12,2)</f>
        <v/>
      </c>
      <c r="AG46" s="42">
        <f>MIN(AG$6,AE46+AF46)</f>
        <v/>
      </c>
      <c r="AH46" s="42">
        <f>MAX(0,MIN(AE46+AF46-AG46,AD46))</f>
        <v/>
      </c>
      <c r="AI46" s="42">
        <f>ROUND(AE46+AF46-AG46-AH46,2)</f>
        <v/>
      </c>
      <c r="AJ46">
        <f>AD46-AH46</f>
        <v/>
      </c>
      <c r="AK46" s="42">
        <f>AO45</f>
        <v/>
      </c>
      <c r="AL46" s="42">
        <f>ROUND(AK46*AL$6/12,2)</f>
        <v/>
      </c>
      <c r="AM46" s="42">
        <f>MIN(AM$6,AK46+AL46)</f>
        <v/>
      </c>
      <c r="AN46" s="42">
        <f>MAX(0,MIN(AK46+AL46-AM46,AJ46))</f>
        <v/>
      </c>
      <c r="AO46" s="42">
        <f>ROUND(AK46+AL46-AM46-AN46,2)</f>
        <v/>
      </c>
      <c r="AP46">
        <f>AJ46-AN46</f>
        <v/>
      </c>
      <c r="AQ46" s="42">
        <f>AU45</f>
        <v/>
      </c>
      <c r="AR46" s="42">
        <f>ROUND(AQ46*AR$6/12,2)</f>
        <v/>
      </c>
      <c r="AS46" s="42">
        <f>MIN(AS$6,AQ46+AR46)</f>
        <v/>
      </c>
      <c r="AT46" s="42">
        <f>MAX(0,MIN(AQ46+AR46-AS46,AP46))</f>
        <v/>
      </c>
      <c r="AU46" s="42">
        <f>ROUND(AQ46+AR46-AS46-AT46,2)</f>
        <v/>
      </c>
      <c r="AV46">
        <f>AP46-AT46</f>
        <v/>
      </c>
      <c r="AW46" s="42">
        <f>BA45</f>
        <v/>
      </c>
      <c r="AX46" s="42">
        <f>ROUND(AW46*AX$6/12,2)</f>
        <v/>
      </c>
      <c r="AY46" s="42">
        <f>MIN(AY$6,AW46+AX46)</f>
        <v/>
      </c>
      <c r="AZ46" s="42">
        <f>MAX(0,MIN(AW46+AX46-AY46,AV46))</f>
        <v/>
      </c>
      <c r="BA46" s="42">
        <f>ROUND(AW46+AX46-AY46-AZ46,2)</f>
        <v/>
      </c>
      <c r="BB46">
        <f>AV46-AZ46</f>
        <v/>
      </c>
      <c r="BC46" s="42">
        <f>BG45</f>
        <v/>
      </c>
      <c r="BD46" s="42">
        <f>ROUND(BC46*BD$6/12,2)</f>
        <v/>
      </c>
      <c r="BE46" s="42">
        <f>MIN(BE$6,BC46+BD46)</f>
        <v/>
      </c>
      <c r="BF46" s="42">
        <f>MAX(0,MIN(BC46+BD46-BE46,BB46))</f>
        <v/>
      </c>
      <c r="BG46" s="42">
        <f>ROUND(BC46+BD46-BE46-BF46,2)</f>
        <v/>
      </c>
      <c r="BH46">
        <f>BB46-BF46</f>
        <v/>
      </c>
      <c r="BI46" s="42">
        <f>BM45</f>
        <v/>
      </c>
      <c r="BJ46" s="42">
        <f>ROUND(BI46*BJ$6/12,2)</f>
        <v/>
      </c>
      <c r="BK46" s="42">
        <f>MIN(BK$6,BI46+BJ46)</f>
        <v/>
      </c>
      <c r="BL46" s="42">
        <f>MAX(0,MIN(BI46+BJ46-BK46,BH46))</f>
        <v/>
      </c>
      <c r="BM46" s="42">
        <f>ROUND(BI46+BJ46-BK46-BL46,2)</f>
        <v/>
      </c>
      <c r="BN46">
        <f>BH46-BL46</f>
        <v/>
      </c>
    </row>
    <row r="47">
      <c r="A47" s="43" t="n">
        <v>40</v>
      </c>
      <c r="B47" s="44">
        <f>EDATE('My Debts'!$C$6,A47-1)</f>
        <v/>
      </c>
      <c r="C47" s="45">
        <f>K47+Q47+W47+AC47+AI47+AO47+AU47+BA47+BG47+BM47</f>
        <v/>
      </c>
      <c r="D47" s="46">
        <f>I47+O47+U47+AA47+AG47+AM47+AS47+AY47+BE47+BK47+J47+P47+V47+AB47+AH47+AN47+AT47+AZ47+BF47+BL47</f>
        <v/>
      </c>
      <c r="E47" s="46">
        <f>H47+N47+T47+Z47+AF47+AL47+AR47+AX47+BD47+BJ47</f>
        <v/>
      </c>
      <c r="F47">
        <f>MAX(0,'My Debts'!$E$21-(I47+O47+U47+AA47+AG47+AM47+AS47+AY47+BE47+BK47))</f>
        <v/>
      </c>
      <c r="G47" s="42">
        <f>K46</f>
        <v/>
      </c>
      <c r="H47" s="42">
        <f>ROUND(G47*H$6/12,2)</f>
        <v/>
      </c>
      <c r="I47" s="42">
        <f>MIN(I$6,G47+H47)</f>
        <v/>
      </c>
      <c r="J47" s="42">
        <f>MAX(0,MIN(G47+H47-I47,$F47))</f>
        <v/>
      </c>
      <c r="K47" s="42">
        <f>ROUND(G47+H47-I47-J47,2)</f>
        <v/>
      </c>
      <c r="L47">
        <f>$F47-J47</f>
        <v/>
      </c>
      <c r="M47" s="42">
        <f>Q46</f>
        <v/>
      </c>
      <c r="N47" s="42">
        <f>ROUND(M47*N$6/12,2)</f>
        <v/>
      </c>
      <c r="O47" s="42">
        <f>MIN(O$6,M47+N47)</f>
        <v/>
      </c>
      <c r="P47" s="42">
        <f>MAX(0,MIN(M47+N47-O47,L47))</f>
        <v/>
      </c>
      <c r="Q47" s="42">
        <f>ROUND(M47+N47-O47-P47,2)</f>
        <v/>
      </c>
      <c r="R47">
        <f>L47-P47</f>
        <v/>
      </c>
      <c r="S47" s="42">
        <f>W46</f>
        <v/>
      </c>
      <c r="T47" s="42">
        <f>ROUND(S47*T$6/12,2)</f>
        <v/>
      </c>
      <c r="U47" s="42">
        <f>MIN(U$6,S47+T47)</f>
        <v/>
      </c>
      <c r="V47" s="42">
        <f>MAX(0,MIN(S47+T47-U47,R47))</f>
        <v/>
      </c>
      <c r="W47" s="42">
        <f>ROUND(S47+T47-U47-V47,2)</f>
        <v/>
      </c>
      <c r="X47">
        <f>R47-V47</f>
        <v/>
      </c>
      <c r="Y47" s="42">
        <f>AC46</f>
        <v/>
      </c>
      <c r="Z47" s="42">
        <f>ROUND(Y47*Z$6/12,2)</f>
        <v/>
      </c>
      <c r="AA47" s="42">
        <f>MIN(AA$6,Y47+Z47)</f>
        <v/>
      </c>
      <c r="AB47" s="42">
        <f>MAX(0,MIN(Y47+Z47-AA47,X47))</f>
        <v/>
      </c>
      <c r="AC47" s="42">
        <f>ROUND(Y47+Z47-AA47-AB47,2)</f>
        <v/>
      </c>
      <c r="AD47">
        <f>X47-AB47</f>
        <v/>
      </c>
      <c r="AE47" s="42">
        <f>AI46</f>
        <v/>
      </c>
      <c r="AF47" s="42">
        <f>ROUND(AE47*AF$6/12,2)</f>
        <v/>
      </c>
      <c r="AG47" s="42">
        <f>MIN(AG$6,AE47+AF47)</f>
        <v/>
      </c>
      <c r="AH47" s="42">
        <f>MAX(0,MIN(AE47+AF47-AG47,AD47))</f>
        <v/>
      </c>
      <c r="AI47" s="42">
        <f>ROUND(AE47+AF47-AG47-AH47,2)</f>
        <v/>
      </c>
      <c r="AJ47">
        <f>AD47-AH47</f>
        <v/>
      </c>
      <c r="AK47" s="42">
        <f>AO46</f>
        <v/>
      </c>
      <c r="AL47" s="42">
        <f>ROUND(AK47*AL$6/12,2)</f>
        <v/>
      </c>
      <c r="AM47" s="42">
        <f>MIN(AM$6,AK47+AL47)</f>
        <v/>
      </c>
      <c r="AN47" s="42">
        <f>MAX(0,MIN(AK47+AL47-AM47,AJ47))</f>
        <v/>
      </c>
      <c r="AO47" s="42">
        <f>ROUND(AK47+AL47-AM47-AN47,2)</f>
        <v/>
      </c>
      <c r="AP47">
        <f>AJ47-AN47</f>
        <v/>
      </c>
      <c r="AQ47" s="42">
        <f>AU46</f>
        <v/>
      </c>
      <c r="AR47" s="42">
        <f>ROUND(AQ47*AR$6/12,2)</f>
        <v/>
      </c>
      <c r="AS47" s="42">
        <f>MIN(AS$6,AQ47+AR47)</f>
        <v/>
      </c>
      <c r="AT47" s="42">
        <f>MAX(0,MIN(AQ47+AR47-AS47,AP47))</f>
        <v/>
      </c>
      <c r="AU47" s="42">
        <f>ROUND(AQ47+AR47-AS47-AT47,2)</f>
        <v/>
      </c>
      <c r="AV47">
        <f>AP47-AT47</f>
        <v/>
      </c>
      <c r="AW47" s="42">
        <f>BA46</f>
        <v/>
      </c>
      <c r="AX47" s="42">
        <f>ROUND(AW47*AX$6/12,2)</f>
        <v/>
      </c>
      <c r="AY47" s="42">
        <f>MIN(AY$6,AW47+AX47)</f>
        <v/>
      </c>
      <c r="AZ47" s="42">
        <f>MAX(0,MIN(AW47+AX47-AY47,AV47))</f>
        <v/>
      </c>
      <c r="BA47" s="42">
        <f>ROUND(AW47+AX47-AY47-AZ47,2)</f>
        <v/>
      </c>
      <c r="BB47">
        <f>AV47-AZ47</f>
        <v/>
      </c>
      <c r="BC47" s="42">
        <f>BG46</f>
        <v/>
      </c>
      <c r="BD47" s="42">
        <f>ROUND(BC47*BD$6/12,2)</f>
        <v/>
      </c>
      <c r="BE47" s="42">
        <f>MIN(BE$6,BC47+BD47)</f>
        <v/>
      </c>
      <c r="BF47" s="42">
        <f>MAX(0,MIN(BC47+BD47-BE47,BB47))</f>
        <v/>
      </c>
      <c r="BG47" s="42">
        <f>ROUND(BC47+BD47-BE47-BF47,2)</f>
        <v/>
      </c>
      <c r="BH47">
        <f>BB47-BF47</f>
        <v/>
      </c>
      <c r="BI47" s="42">
        <f>BM46</f>
        <v/>
      </c>
      <c r="BJ47" s="42">
        <f>ROUND(BI47*BJ$6/12,2)</f>
        <v/>
      </c>
      <c r="BK47" s="42">
        <f>MIN(BK$6,BI47+BJ47)</f>
        <v/>
      </c>
      <c r="BL47" s="42">
        <f>MAX(0,MIN(BI47+BJ47-BK47,BH47))</f>
        <v/>
      </c>
      <c r="BM47" s="42">
        <f>ROUND(BI47+BJ47-BK47-BL47,2)</f>
        <v/>
      </c>
      <c r="BN47">
        <f>BH47-BL47</f>
        <v/>
      </c>
    </row>
    <row r="48">
      <c r="A48" s="39" t="n">
        <v>41</v>
      </c>
      <c r="B48" s="40">
        <f>EDATE('My Debts'!$C$6,A48-1)</f>
        <v/>
      </c>
      <c r="C48" s="41">
        <f>K48+Q48+W48+AC48+AI48+AO48+AU48+BA48+BG48+BM48</f>
        <v/>
      </c>
      <c r="D48" s="42">
        <f>I48+O48+U48+AA48+AG48+AM48+AS48+AY48+BE48+BK48+J48+P48+V48+AB48+AH48+AN48+AT48+AZ48+BF48+BL48</f>
        <v/>
      </c>
      <c r="E48" s="42">
        <f>H48+N48+T48+Z48+AF48+AL48+AR48+AX48+BD48+BJ48</f>
        <v/>
      </c>
      <c r="F48">
        <f>MAX(0,'My Debts'!$E$21-(I48+O48+U48+AA48+AG48+AM48+AS48+AY48+BE48+BK48))</f>
        <v/>
      </c>
      <c r="G48" s="42">
        <f>K47</f>
        <v/>
      </c>
      <c r="H48" s="42">
        <f>ROUND(G48*H$6/12,2)</f>
        <v/>
      </c>
      <c r="I48" s="42">
        <f>MIN(I$6,G48+H48)</f>
        <v/>
      </c>
      <c r="J48" s="42">
        <f>MAX(0,MIN(G48+H48-I48,$F48))</f>
        <v/>
      </c>
      <c r="K48" s="42">
        <f>ROUND(G48+H48-I48-J48,2)</f>
        <v/>
      </c>
      <c r="L48">
        <f>$F48-J48</f>
        <v/>
      </c>
      <c r="M48" s="42">
        <f>Q47</f>
        <v/>
      </c>
      <c r="N48" s="42">
        <f>ROUND(M48*N$6/12,2)</f>
        <v/>
      </c>
      <c r="O48" s="42">
        <f>MIN(O$6,M48+N48)</f>
        <v/>
      </c>
      <c r="P48" s="42">
        <f>MAX(0,MIN(M48+N48-O48,L48))</f>
        <v/>
      </c>
      <c r="Q48" s="42">
        <f>ROUND(M48+N48-O48-P48,2)</f>
        <v/>
      </c>
      <c r="R48">
        <f>L48-P48</f>
        <v/>
      </c>
      <c r="S48" s="42">
        <f>W47</f>
        <v/>
      </c>
      <c r="T48" s="42">
        <f>ROUND(S48*T$6/12,2)</f>
        <v/>
      </c>
      <c r="U48" s="42">
        <f>MIN(U$6,S48+T48)</f>
        <v/>
      </c>
      <c r="V48" s="42">
        <f>MAX(0,MIN(S48+T48-U48,R48))</f>
        <v/>
      </c>
      <c r="W48" s="42">
        <f>ROUND(S48+T48-U48-V48,2)</f>
        <v/>
      </c>
      <c r="X48">
        <f>R48-V48</f>
        <v/>
      </c>
      <c r="Y48" s="42">
        <f>AC47</f>
        <v/>
      </c>
      <c r="Z48" s="42">
        <f>ROUND(Y48*Z$6/12,2)</f>
        <v/>
      </c>
      <c r="AA48" s="42">
        <f>MIN(AA$6,Y48+Z48)</f>
        <v/>
      </c>
      <c r="AB48" s="42">
        <f>MAX(0,MIN(Y48+Z48-AA48,X48))</f>
        <v/>
      </c>
      <c r="AC48" s="42">
        <f>ROUND(Y48+Z48-AA48-AB48,2)</f>
        <v/>
      </c>
      <c r="AD48">
        <f>X48-AB48</f>
        <v/>
      </c>
      <c r="AE48" s="42">
        <f>AI47</f>
        <v/>
      </c>
      <c r="AF48" s="42">
        <f>ROUND(AE48*AF$6/12,2)</f>
        <v/>
      </c>
      <c r="AG48" s="42">
        <f>MIN(AG$6,AE48+AF48)</f>
        <v/>
      </c>
      <c r="AH48" s="42">
        <f>MAX(0,MIN(AE48+AF48-AG48,AD48))</f>
        <v/>
      </c>
      <c r="AI48" s="42">
        <f>ROUND(AE48+AF48-AG48-AH48,2)</f>
        <v/>
      </c>
      <c r="AJ48">
        <f>AD48-AH48</f>
        <v/>
      </c>
      <c r="AK48" s="42">
        <f>AO47</f>
        <v/>
      </c>
      <c r="AL48" s="42">
        <f>ROUND(AK48*AL$6/12,2)</f>
        <v/>
      </c>
      <c r="AM48" s="42">
        <f>MIN(AM$6,AK48+AL48)</f>
        <v/>
      </c>
      <c r="AN48" s="42">
        <f>MAX(0,MIN(AK48+AL48-AM48,AJ48))</f>
        <v/>
      </c>
      <c r="AO48" s="42">
        <f>ROUND(AK48+AL48-AM48-AN48,2)</f>
        <v/>
      </c>
      <c r="AP48">
        <f>AJ48-AN48</f>
        <v/>
      </c>
      <c r="AQ48" s="42">
        <f>AU47</f>
        <v/>
      </c>
      <c r="AR48" s="42">
        <f>ROUND(AQ48*AR$6/12,2)</f>
        <v/>
      </c>
      <c r="AS48" s="42">
        <f>MIN(AS$6,AQ48+AR48)</f>
        <v/>
      </c>
      <c r="AT48" s="42">
        <f>MAX(0,MIN(AQ48+AR48-AS48,AP48))</f>
        <v/>
      </c>
      <c r="AU48" s="42">
        <f>ROUND(AQ48+AR48-AS48-AT48,2)</f>
        <v/>
      </c>
      <c r="AV48">
        <f>AP48-AT48</f>
        <v/>
      </c>
      <c r="AW48" s="42">
        <f>BA47</f>
        <v/>
      </c>
      <c r="AX48" s="42">
        <f>ROUND(AW48*AX$6/12,2)</f>
        <v/>
      </c>
      <c r="AY48" s="42">
        <f>MIN(AY$6,AW48+AX48)</f>
        <v/>
      </c>
      <c r="AZ48" s="42">
        <f>MAX(0,MIN(AW48+AX48-AY48,AV48))</f>
        <v/>
      </c>
      <c r="BA48" s="42">
        <f>ROUND(AW48+AX48-AY48-AZ48,2)</f>
        <v/>
      </c>
      <c r="BB48">
        <f>AV48-AZ48</f>
        <v/>
      </c>
      <c r="BC48" s="42">
        <f>BG47</f>
        <v/>
      </c>
      <c r="BD48" s="42">
        <f>ROUND(BC48*BD$6/12,2)</f>
        <v/>
      </c>
      <c r="BE48" s="42">
        <f>MIN(BE$6,BC48+BD48)</f>
        <v/>
      </c>
      <c r="BF48" s="42">
        <f>MAX(0,MIN(BC48+BD48-BE48,BB48))</f>
        <v/>
      </c>
      <c r="BG48" s="42">
        <f>ROUND(BC48+BD48-BE48-BF48,2)</f>
        <v/>
      </c>
      <c r="BH48">
        <f>BB48-BF48</f>
        <v/>
      </c>
      <c r="BI48" s="42">
        <f>BM47</f>
        <v/>
      </c>
      <c r="BJ48" s="42">
        <f>ROUND(BI48*BJ$6/12,2)</f>
        <v/>
      </c>
      <c r="BK48" s="42">
        <f>MIN(BK$6,BI48+BJ48)</f>
        <v/>
      </c>
      <c r="BL48" s="42">
        <f>MAX(0,MIN(BI48+BJ48-BK48,BH48))</f>
        <v/>
      </c>
      <c r="BM48" s="42">
        <f>ROUND(BI48+BJ48-BK48-BL48,2)</f>
        <v/>
      </c>
      <c r="BN48">
        <f>BH48-BL48</f>
        <v/>
      </c>
    </row>
    <row r="49">
      <c r="A49" s="43" t="n">
        <v>42</v>
      </c>
      <c r="B49" s="44">
        <f>EDATE('My Debts'!$C$6,A49-1)</f>
        <v/>
      </c>
      <c r="C49" s="45">
        <f>K49+Q49+W49+AC49+AI49+AO49+AU49+BA49+BG49+BM49</f>
        <v/>
      </c>
      <c r="D49" s="46">
        <f>I49+O49+U49+AA49+AG49+AM49+AS49+AY49+BE49+BK49+J49+P49+V49+AB49+AH49+AN49+AT49+AZ49+BF49+BL49</f>
        <v/>
      </c>
      <c r="E49" s="46">
        <f>H49+N49+T49+Z49+AF49+AL49+AR49+AX49+BD49+BJ49</f>
        <v/>
      </c>
      <c r="F49">
        <f>MAX(0,'My Debts'!$E$21-(I49+O49+U49+AA49+AG49+AM49+AS49+AY49+BE49+BK49))</f>
        <v/>
      </c>
      <c r="G49" s="42">
        <f>K48</f>
        <v/>
      </c>
      <c r="H49" s="42">
        <f>ROUND(G49*H$6/12,2)</f>
        <v/>
      </c>
      <c r="I49" s="42">
        <f>MIN(I$6,G49+H49)</f>
        <v/>
      </c>
      <c r="J49" s="42">
        <f>MAX(0,MIN(G49+H49-I49,$F49))</f>
        <v/>
      </c>
      <c r="K49" s="42">
        <f>ROUND(G49+H49-I49-J49,2)</f>
        <v/>
      </c>
      <c r="L49">
        <f>$F49-J49</f>
        <v/>
      </c>
      <c r="M49" s="42">
        <f>Q48</f>
        <v/>
      </c>
      <c r="N49" s="42">
        <f>ROUND(M49*N$6/12,2)</f>
        <v/>
      </c>
      <c r="O49" s="42">
        <f>MIN(O$6,M49+N49)</f>
        <v/>
      </c>
      <c r="P49" s="42">
        <f>MAX(0,MIN(M49+N49-O49,L49))</f>
        <v/>
      </c>
      <c r="Q49" s="42">
        <f>ROUND(M49+N49-O49-P49,2)</f>
        <v/>
      </c>
      <c r="R49">
        <f>L49-P49</f>
        <v/>
      </c>
      <c r="S49" s="42">
        <f>W48</f>
        <v/>
      </c>
      <c r="T49" s="42">
        <f>ROUND(S49*T$6/12,2)</f>
        <v/>
      </c>
      <c r="U49" s="42">
        <f>MIN(U$6,S49+T49)</f>
        <v/>
      </c>
      <c r="V49" s="42">
        <f>MAX(0,MIN(S49+T49-U49,R49))</f>
        <v/>
      </c>
      <c r="W49" s="42">
        <f>ROUND(S49+T49-U49-V49,2)</f>
        <v/>
      </c>
      <c r="X49">
        <f>R49-V49</f>
        <v/>
      </c>
      <c r="Y49" s="42">
        <f>AC48</f>
        <v/>
      </c>
      <c r="Z49" s="42">
        <f>ROUND(Y49*Z$6/12,2)</f>
        <v/>
      </c>
      <c r="AA49" s="42">
        <f>MIN(AA$6,Y49+Z49)</f>
        <v/>
      </c>
      <c r="AB49" s="42">
        <f>MAX(0,MIN(Y49+Z49-AA49,X49))</f>
        <v/>
      </c>
      <c r="AC49" s="42">
        <f>ROUND(Y49+Z49-AA49-AB49,2)</f>
        <v/>
      </c>
      <c r="AD49">
        <f>X49-AB49</f>
        <v/>
      </c>
      <c r="AE49" s="42">
        <f>AI48</f>
        <v/>
      </c>
      <c r="AF49" s="42">
        <f>ROUND(AE49*AF$6/12,2)</f>
        <v/>
      </c>
      <c r="AG49" s="42">
        <f>MIN(AG$6,AE49+AF49)</f>
        <v/>
      </c>
      <c r="AH49" s="42">
        <f>MAX(0,MIN(AE49+AF49-AG49,AD49))</f>
        <v/>
      </c>
      <c r="AI49" s="42">
        <f>ROUND(AE49+AF49-AG49-AH49,2)</f>
        <v/>
      </c>
      <c r="AJ49">
        <f>AD49-AH49</f>
        <v/>
      </c>
      <c r="AK49" s="42">
        <f>AO48</f>
        <v/>
      </c>
      <c r="AL49" s="42">
        <f>ROUND(AK49*AL$6/12,2)</f>
        <v/>
      </c>
      <c r="AM49" s="42">
        <f>MIN(AM$6,AK49+AL49)</f>
        <v/>
      </c>
      <c r="AN49" s="42">
        <f>MAX(0,MIN(AK49+AL49-AM49,AJ49))</f>
        <v/>
      </c>
      <c r="AO49" s="42">
        <f>ROUND(AK49+AL49-AM49-AN49,2)</f>
        <v/>
      </c>
      <c r="AP49">
        <f>AJ49-AN49</f>
        <v/>
      </c>
      <c r="AQ49" s="42">
        <f>AU48</f>
        <v/>
      </c>
      <c r="AR49" s="42">
        <f>ROUND(AQ49*AR$6/12,2)</f>
        <v/>
      </c>
      <c r="AS49" s="42">
        <f>MIN(AS$6,AQ49+AR49)</f>
        <v/>
      </c>
      <c r="AT49" s="42">
        <f>MAX(0,MIN(AQ49+AR49-AS49,AP49))</f>
        <v/>
      </c>
      <c r="AU49" s="42">
        <f>ROUND(AQ49+AR49-AS49-AT49,2)</f>
        <v/>
      </c>
      <c r="AV49">
        <f>AP49-AT49</f>
        <v/>
      </c>
      <c r="AW49" s="42">
        <f>BA48</f>
        <v/>
      </c>
      <c r="AX49" s="42">
        <f>ROUND(AW49*AX$6/12,2)</f>
        <v/>
      </c>
      <c r="AY49" s="42">
        <f>MIN(AY$6,AW49+AX49)</f>
        <v/>
      </c>
      <c r="AZ49" s="42">
        <f>MAX(0,MIN(AW49+AX49-AY49,AV49))</f>
        <v/>
      </c>
      <c r="BA49" s="42">
        <f>ROUND(AW49+AX49-AY49-AZ49,2)</f>
        <v/>
      </c>
      <c r="BB49">
        <f>AV49-AZ49</f>
        <v/>
      </c>
      <c r="BC49" s="42">
        <f>BG48</f>
        <v/>
      </c>
      <c r="BD49" s="42">
        <f>ROUND(BC49*BD$6/12,2)</f>
        <v/>
      </c>
      <c r="BE49" s="42">
        <f>MIN(BE$6,BC49+BD49)</f>
        <v/>
      </c>
      <c r="BF49" s="42">
        <f>MAX(0,MIN(BC49+BD49-BE49,BB49))</f>
        <v/>
      </c>
      <c r="BG49" s="42">
        <f>ROUND(BC49+BD49-BE49-BF49,2)</f>
        <v/>
      </c>
      <c r="BH49">
        <f>BB49-BF49</f>
        <v/>
      </c>
      <c r="BI49" s="42">
        <f>BM48</f>
        <v/>
      </c>
      <c r="BJ49" s="42">
        <f>ROUND(BI49*BJ$6/12,2)</f>
        <v/>
      </c>
      <c r="BK49" s="42">
        <f>MIN(BK$6,BI49+BJ49)</f>
        <v/>
      </c>
      <c r="BL49" s="42">
        <f>MAX(0,MIN(BI49+BJ49-BK49,BH49))</f>
        <v/>
      </c>
      <c r="BM49" s="42">
        <f>ROUND(BI49+BJ49-BK49-BL49,2)</f>
        <v/>
      </c>
      <c r="BN49">
        <f>BH49-BL49</f>
        <v/>
      </c>
    </row>
    <row r="50">
      <c r="A50" s="39" t="n">
        <v>43</v>
      </c>
      <c r="B50" s="40">
        <f>EDATE('My Debts'!$C$6,A50-1)</f>
        <v/>
      </c>
      <c r="C50" s="41">
        <f>K50+Q50+W50+AC50+AI50+AO50+AU50+BA50+BG50+BM50</f>
        <v/>
      </c>
      <c r="D50" s="42">
        <f>I50+O50+U50+AA50+AG50+AM50+AS50+AY50+BE50+BK50+J50+P50+V50+AB50+AH50+AN50+AT50+AZ50+BF50+BL50</f>
        <v/>
      </c>
      <c r="E50" s="42">
        <f>H50+N50+T50+Z50+AF50+AL50+AR50+AX50+BD50+BJ50</f>
        <v/>
      </c>
      <c r="F50">
        <f>MAX(0,'My Debts'!$E$21-(I50+O50+U50+AA50+AG50+AM50+AS50+AY50+BE50+BK50))</f>
        <v/>
      </c>
      <c r="G50" s="42">
        <f>K49</f>
        <v/>
      </c>
      <c r="H50" s="42">
        <f>ROUND(G50*H$6/12,2)</f>
        <v/>
      </c>
      <c r="I50" s="42">
        <f>MIN(I$6,G50+H50)</f>
        <v/>
      </c>
      <c r="J50" s="42">
        <f>MAX(0,MIN(G50+H50-I50,$F50))</f>
        <v/>
      </c>
      <c r="K50" s="42">
        <f>ROUND(G50+H50-I50-J50,2)</f>
        <v/>
      </c>
      <c r="L50">
        <f>$F50-J50</f>
        <v/>
      </c>
      <c r="M50" s="42">
        <f>Q49</f>
        <v/>
      </c>
      <c r="N50" s="42">
        <f>ROUND(M50*N$6/12,2)</f>
        <v/>
      </c>
      <c r="O50" s="42">
        <f>MIN(O$6,M50+N50)</f>
        <v/>
      </c>
      <c r="P50" s="42">
        <f>MAX(0,MIN(M50+N50-O50,L50))</f>
        <v/>
      </c>
      <c r="Q50" s="42">
        <f>ROUND(M50+N50-O50-P50,2)</f>
        <v/>
      </c>
      <c r="R50">
        <f>L50-P50</f>
        <v/>
      </c>
      <c r="S50" s="42">
        <f>W49</f>
        <v/>
      </c>
      <c r="T50" s="42">
        <f>ROUND(S50*T$6/12,2)</f>
        <v/>
      </c>
      <c r="U50" s="42">
        <f>MIN(U$6,S50+T50)</f>
        <v/>
      </c>
      <c r="V50" s="42">
        <f>MAX(0,MIN(S50+T50-U50,R50))</f>
        <v/>
      </c>
      <c r="W50" s="42">
        <f>ROUND(S50+T50-U50-V50,2)</f>
        <v/>
      </c>
      <c r="X50">
        <f>R50-V50</f>
        <v/>
      </c>
      <c r="Y50" s="42">
        <f>AC49</f>
        <v/>
      </c>
      <c r="Z50" s="42">
        <f>ROUND(Y50*Z$6/12,2)</f>
        <v/>
      </c>
      <c r="AA50" s="42">
        <f>MIN(AA$6,Y50+Z50)</f>
        <v/>
      </c>
      <c r="AB50" s="42">
        <f>MAX(0,MIN(Y50+Z50-AA50,X50))</f>
        <v/>
      </c>
      <c r="AC50" s="42">
        <f>ROUND(Y50+Z50-AA50-AB50,2)</f>
        <v/>
      </c>
      <c r="AD50">
        <f>X50-AB50</f>
        <v/>
      </c>
      <c r="AE50" s="42">
        <f>AI49</f>
        <v/>
      </c>
      <c r="AF50" s="42">
        <f>ROUND(AE50*AF$6/12,2)</f>
        <v/>
      </c>
      <c r="AG50" s="42">
        <f>MIN(AG$6,AE50+AF50)</f>
        <v/>
      </c>
      <c r="AH50" s="42">
        <f>MAX(0,MIN(AE50+AF50-AG50,AD50))</f>
        <v/>
      </c>
      <c r="AI50" s="42">
        <f>ROUND(AE50+AF50-AG50-AH50,2)</f>
        <v/>
      </c>
      <c r="AJ50">
        <f>AD50-AH50</f>
        <v/>
      </c>
      <c r="AK50" s="42">
        <f>AO49</f>
        <v/>
      </c>
      <c r="AL50" s="42">
        <f>ROUND(AK50*AL$6/12,2)</f>
        <v/>
      </c>
      <c r="AM50" s="42">
        <f>MIN(AM$6,AK50+AL50)</f>
        <v/>
      </c>
      <c r="AN50" s="42">
        <f>MAX(0,MIN(AK50+AL50-AM50,AJ50))</f>
        <v/>
      </c>
      <c r="AO50" s="42">
        <f>ROUND(AK50+AL50-AM50-AN50,2)</f>
        <v/>
      </c>
      <c r="AP50">
        <f>AJ50-AN50</f>
        <v/>
      </c>
      <c r="AQ50" s="42">
        <f>AU49</f>
        <v/>
      </c>
      <c r="AR50" s="42">
        <f>ROUND(AQ50*AR$6/12,2)</f>
        <v/>
      </c>
      <c r="AS50" s="42">
        <f>MIN(AS$6,AQ50+AR50)</f>
        <v/>
      </c>
      <c r="AT50" s="42">
        <f>MAX(0,MIN(AQ50+AR50-AS50,AP50))</f>
        <v/>
      </c>
      <c r="AU50" s="42">
        <f>ROUND(AQ50+AR50-AS50-AT50,2)</f>
        <v/>
      </c>
      <c r="AV50">
        <f>AP50-AT50</f>
        <v/>
      </c>
      <c r="AW50" s="42">
        <f>BA49</f>
        <v/>
      </c>
      <c r="AX50" s="42">
        <f>ROUND(AW50*AX$6/12,2)</f>
        <v/>
      </c>
      <c r="AY50" s="42">
        <f>MIN(AY$6,AW50+AX50)</f>
        <v/>
      </c>
      <c r="AZ50" s="42">
        <f>MAX(0,MIN(AW50+AX50-AY50,AV50))</f>
        <v/>
      </c>
      <c r="BA50" s="42">
        <f>ROUND(AW50+AX50-AY50-AZ50,2)</f>
        <v/>
      </c>
      <c r="BB50">
        <f>AV50-AZ50</f>
        <v/>
      </c>
      <c r="BC50" s="42">
        <f>BG49</f>
        <v/>
      </c>
      <c r="BD50" s="42">
        <f>ROUND(BC50*BD$6/12,2)</f>
        <v/>
      </c>
      <c r="BE50" s="42">
        <f>MIN(BE$6,BC50+BD50)</f>
        <v/>
      </c>
      <c r="BF50" s="42">
        <f>MAX(0,MIN(BC50+BD50-BE50,BB50))</f>
        <v/>
      </c>
      <c r="BG50" s="42">
        <f>ROUND(BC50+BD50-BE50-BF50,2)</f>
        <v/>
      </c>
      <c r="BH50">
        <f>BB50-BF50</f>
        <v/>
      </c>
      <c r="BI50" s="42">
        <f>BM49</f>
        <v/>
      </c>
      <c r="BJ50" s="42">
        <f>ROUND(BI50*BJ$6/12,2)</f>
        <v/>
      </c>
      <c r="BK50" s="42">
        <f>MIN(BK$6,BI50+BJ50)</f>
        <v/>
      </c>
      <c r="BL50" s="42">
        <f>MAX(0,MIN(BI50+BJ50-BK50,BH50))</f>
        <v/>
      </c>
      <c r="BM50" s="42">
        <f>ROUND(BI50+BJ50-BK50-BL50,2)</f>
        <v/>
      </c>
      <c r="BN50">
        <f>BH50-BL50</f>
        <v/>
      </c>
    </row>
    <row r="51">
      <c r="A51" s="43" t="n">
        <v>44</v>
      </c>
      <c r="B51" s="44">
        <f>EDATE('My Debts'!$C$6,A51-1)</f>
        <v/>
      </c>
      <c r="C51" s="45">
        <f>K51+Q51+W51+AC51+AI51+AO51+AU51+BA51+BG51+BM51</f>
        <v/>
      </c>
      <c r="D51" s="46">
        <f>I51+O51+U51+AA51+AG51+AM51+AS51+AY51+BE51+BK51+J51+P51+V51+AB51+AH51+AN51+AT51+AZ51+BF51+BL51</f>
        <v/>
      </c>
      <c r="E51" s="46">
        <f>H51+N51+T51+Z51+AF51+AL51+AR51+AX51+BD51+BJ51</f>
        <v/>
      </c>
      <c r="F51">
        <f>MAX(0,'My Debts'!$E$21-(I51+O51+U51+AA51+AG51+AM51+AS51+AY51+BE51+BK51))</f>
        <v/>
      </c>
      <c r="G51" s="42">
        <f>K50</f>
        <v/>
      </c>
      <c r="H51" s="42">
        <f>ROUND(G51*H$6/12,2)</f>
        <v/>
      </c>
      <c r="I51" s="42">
        <f>MIN(I$6,G51+H51)</f>
        <v/>
      </c>
      <c r="J51" s="42">
        <f>MAX(0,MIN(G51+H51-I51,$F51))</f>
        <v/>
      </c>
      <c r="K51" s="42">
        <f>ROUND(G51+H51-I51-J51,2)</f>
        <v/>
      </c>
      <c r="L51">
        <f>$F51-J51</f>
        <v/>
      </c>
      <c r="M51" s="42">
        <f>Q50</f>
        <v/>
      </c>
      <c r="N51" s="42">
        <f>ROUND(M51*N$6/12,2)</f>
        <v/>
      </c>
      <c r="O51" s="42">
        <f>MIN(O$6,M51+N51)</f>
        <v/>
      </c>
      <c r="P51" s="42">
        <f>MAX(0,MIN(M51+N51-O51,L51))</f>
        <v/>
      </c>
      <c r="Q51" s="42">
        <f>ROUND(M51+N51-O51-P51,2)</f>
        <v/>
      </c>
      <c r="R51">
        <f>L51-P51</f>
        <v/>
      </c>
      <c r="S51" s="42">
        <f>W50</f>
        <v/>
      </c>
      <c r="T51" s="42">
        <f>ROUND(S51*T$6/12,2)</f>
        <v/>
      </c>
      <c r="U51" s="42">
        <f>MIN(U$6,S51+T51)</f>
        <v/>
      </c>
      <c r="V51" s="42">
        <f>MAX(0,MIN(S51+T51-U51,R51))</f>
        <v/>
      </c>
      <c r="W51" s="42">
        <f>ROUND(S51+T51-U51-V51,2)</f>
        <v/>
      </c>
      <c r="X51">
        <f>R51-V51</f>
        <v/>
      </c>
      <c r="Y51" s="42">
        <f>AC50</f>
        <v/>
      </c>
      <c r="Z51" s="42">
        <f>ROUND(Y51*Z$6/12,2)</f>
        <v/>
      </c>
      <c r="AA51" s="42">
        <f>MIN(AA$6,Y51+Z51)</f>
        <v/>
      </c>
      <c r="AB51" s="42">
        <f>MAX(0,MIN(Y51+Z51-AA51,X51))</f>
        <v/>
      </c>
      <c r="AC51" s="42">
        <f>ROUND(Y51+Z51-AA51-AB51,2)</f>
        <v/>
      </c>
      <c r="AD51">
        <f>X51-AB51</f>
        <v/>
      </c>
      <c r="AE51" s="42">
        <f>AI50</f>
        <v/>
      </c>
      <c r="AF51" s="42">
        <f>ROUND(AE51*AF$6/12,2)</f>
        <v/>
      </c>
      <c r="AG51" s="42">
        <f>MIN(AG$6,AE51+AF51)</f>
        <v/>
      </c>
      <c r="AH51" s="42">
        <f>MAX(0,MIN(AE51+AF51-AG51,AD51))</f>
        <v/>
      </c>
      <c r="AI51" s="42">
        <f>ROUND(AE51+AF51-AG51-AH51,2)</f>
        <v/>
      </c>
      <c r="AJ51">
        <f>AD51-AH51</f>
        <v/>
      </c>
      <c r="AK51" s="42">
        <f>AO50</f>
        <v/>
      </c>
      <c r="AL51" s="42">
        <f>ROUND(AK51*AL$6/12,2)</f>
        <v/>
      </c>
      <c r="AM51" s="42">
        <f>MIN(AM$6,AK51+AL51)</f>
        <v/>
      </c>
      <c r="AN51" s="42">
        <f>MAX(0,MIN(AK51+AL51-AM51,AJ51))</f>
        <v/>
      </c>
      <c r="AO51" s="42">
        <f>ROUND(AK51+AL51-AM51-AN51,2)</f>
        <v/>
      </c>
      <c r="AP51">
        <f>AJ51-AN51</f>
        <v/>
      </c>
      <c r="AQ51" s="42">
        <f>AU50</f>
        <v/>
      </c>
      <c r="AR51" s="42">
        <f>ROUND(AQ51*AR$6/12,2)</f>
        <v/>
      </c>
      <c r="AS51" s="42">
        <f>MIN(AS$6,AQ51+AR51)</f>
        <v/>
      </c>
      <c r="AT51" s="42">
        <f>MAX(0,MIN(AQ51+AR51-AS51,AP51))</f>
        <v/>
      </c>
      <c r="AU51" s="42">
        <f>ROUND(AQ51+AR51-AS51-AT51,2)</f>
        <v/>
      </c>
      <c r="AV51">
        <f>AP51-AT51</f>
        <v/>
      </c>
      <c r="AW51" s="42">
        <f>BA50</f>
        <v/>
      </c>
      <c r="AX51" s="42">
        <f>ROUND(AW51*AX$6/12,2)</f>
        <v/>
      </c>
      <c r="AY51" s="42">
        <f>MIN(AY$6,AW51+AX51)</f>
        <v/>
      </c>
      <c r="AZ51" s="42">
        <f>MAX(0,MIN(AW51+AX51-AY51,AV51))</f>
        <v/>
      </c>
      <c r="BA51" s="42">
        <f>ROUND(AW51+AX51-AY51-AZ51,2)</f>
        <v/>
      </c>
      <c r="BB51">
        <f>AV51-AZ51</f>
        <v/>
      </c>
      <c r="BC51" s="42">
        <f>BG50</f>
        <v/>
      </c>
      <c r="BD51" s="42">
        <f>ROUND(BC51*BD$6/12,2)</f>
        <v/>
      </c>
      <c r="BE51" s="42">
        <f>MIN(BE$6,BC51+BD51)</f>
        <v/>
      </c>
      <c r="BF51" s="42">
        <f>MAX(0,MIN(BC51+BD51-BE51,BB51))</f>
        <v/>
      </c>
      <c r="BG51" s="42">
        <f>ROUND(BC51+BD51-BE51-BF51,2)</f>
        <v/>
      </c>
      <c r="BH51">
        <f>BB51-BF51</f>
        <v/>
      </c>
      <c r="BI51" s="42">
        <f>BM50</f>
        <v/>
      </c>
      <c r="BJ51" s="42">
        <f>ROUND(BI51*BJ$6/12,2)</f>
        <v/>
      </c>
      <c r="BK51" s="42">
        <f>MIN(BK$6,BI51+BJ51)</f>
        <v/>
      </c>
      <c r="BL51" s="42">
        <f>MAX(0,MIN(BI51+BJ51-BK51,BH51))</f>
        <v/>
      </c>
      <c r="BM51" s="42">
        <f>ROUND(BI51+BJ51-BK51-BL51,2)</f>
        <v/>
      </c>
      <c r="BN51">
        <f>BH51-BL51</f>
        <v/>
      </c>
    </row>
    <row r="52">
      <c r="A52" s="39" t="n">
        <v>45</v>
      </c>
      <c r="B52" s="40">
        <f>EDATE('My Debts'!$C$6,A52-1)</f>
        <v/>
      </c>
      <c r="C52" s="41">
        <f>K52+Q52+W52+AC52+AI52+AO52+AU52+BA52+BG52+BM52</f>
        <v/>
      </c>
      <c r="D52" s="42">
        <f>I52+O52+U52+AA52+AG52+AM52+AS52+AY52+BE52+BK52+J52+P52+V52+AB52+AH52+AN52+AT52+AZ52+BF52+BL52</f>
        <v/>
      </c>
      <c r="E52" s="42">
        <f>H52+N52+T52+Z52+AF52+AL52+AR52+AX52+BD52+BJ52</f>
        <v/>
      </c>
      <c r="F52">
        <f>MAX(0,'My Debts'!$E$21-(I52+O52+U52+AA52+AG52+AM52+AS52+AY52+BE52+BK52))</f>
        <v/>
      </c>
      <c r="G52" s="42">
        <f>K51</f>
        <v/>
      </c>
      <c r="H52" s="42">
        <f>ROUND(G52*H$6/12,2)</f>
        <v/>
      </c>
      <c r="I52" s="42">
        <f>MIN(I$6,G52+H52)</f>
        <v/>
      </c>
      <c r="J52" s="42">
        <f>MAX(0,MIN(G52+H52-I52,$F52))</f>
        <v/>
      </c>
      <c r="K52" s="42">
        <f>ROUND(G52+H52-I52-J52,2)</f>
        <v/>
      </c>
      <c r="L52">
        <f>$F52-J52</f>
        <v/>
      </c>
      <c r="M52" s="42">
        <f>Q51</f>
        <v/>
      </c>
      <c r="N52" s="42">
        <f>ROUND(M52*N$6/12,2)</f>
        <v/>
      </c>
      <c r="O52" s="42">
        <f>MIN(O$6,M52+N52)</f>
        <v/>
      </c>
      <c r="P52" s="42">
        <f>MAX(0,MIN(M52+N52-O52,L52))</f>
        <v/>
      </c>
      <c r="Q52" s="42">
        <f>ROUND(M52+N52-O52-P52,2)</f>
        <v/>
      </c>
      <c r="R52">
        <f>L52-P52</f>
        <v/>
      </c>
      <c r="S52" s="42">
        <f>W51</f>
        <v/>
      </c>
      <c r="T52" s="42">
        <f>ROUND(S52*T$6/12,2)</f>
        <v/>
      </c>
      <c r="U52" s="42">
        <f>MIN(U$6,S52+T52)</f>
        <v/>
      </c>
      <c r="V52" s="42">
        <f>MAX(0,MIN(S52+T52-U52,R52))</f>
        <v/>
      </c>
      <c r="W52" s="42">
        <f>ROUND(S52+T52-U52-V52,2)</f>
        <v/>
      </c>
      <c r="X52">
        <f>R52-V52</f>
        <v/>
      </c>
      <c r="Y52" s="42">
        <f>AC51</f>
        <v/>
      </c>
      <c r="Z52" s="42">
        <f>ROUND(Y52*Z$6/12,2)</f>
        <v/>
      </c>
      <c r="AA52" s="42">
        <f>MIN(AA$6,Y52+Z52)</f>
        <v/>
      </c>
      <c r="AB52" s="42">
        <f>MAX(0,MIN(Y52+Z52-AA52,X52))</f>
        <v/>
      </c>
      <c r="AC52" s="42">
        <f>ROUND(Y52+Z52-AA52-AB52,2)</f>
        <v/>
      </c>
      <c r="AD52">
        <f>X52-AB52</f>
        <v/>
      </c>
      <c r="AE52" s="42">
        <f>AI51</f>
        <v/>
      </c>
      <c r="AF52" s="42">
        <f>ROUND(AE52*AF$6/12,2)</f>
        <v/>
      </c>
      <c r="AG52" s="42">
        <f>MIN(AG$6,AE52+AF52)</f>
        <v/>
      </c>
      <c r="AH52" s="42">
        <f>MAX(0,MIN(AE52+AF52-AG52,AD52))</f>
        <v/>
      </c>
      <c r="AI52" s="42">
        <f>ROUND(AE52+AF52-AG52-AH52,2)</f>
        <v/>
      </c>
      <c r="AJ52">
        <f>AD52-AH52</f>
        <v/>
      </c>
      <c r="AK52" s="42">
        <f>AO51</f>
        <v/>
      </c>
      <c r="AL52" s="42">
        <f>ROUND(AK52*AL$6/12,2)</f>
        <v/>
      </c>
      <c r="AM52" s="42">
        <f>MIN(AM$6,AK52+AL52)</f>
        <v/>
      </c>
      <c r="AN52" s="42">
        <f>MAX(0,MIN(AK52+AL52-AM52,AJ52))</f>
        <v/>
      </c>
      <c r="AO52" s="42">
        <f>ROUND(AK52+AL52-AM52-AN52,2)</f>
        <v/>
      </c>
      <c r="AP52">
        <f>AJ52-AN52</f>
        <v/>
      </c>
      <c r="AQ52" s="42">
        <f>AU51</f>
        <v/>
      </c>
      <c r="AR52" s="42">
        <f>ROUND(AQ52*AR$6/12,2)</f>
        <v/>
      </c>
      <c r="AS52" s="42">
        <f>MIN(AS$6,AQ52+AR52)</f>
        <v/>
      </c>
      <c r="AT52" s="42">
        <f>MAX(0,MIN(AQ52+AR52-AS52,AP52))</f>
        <v/>
      </c>
      <c r="AU52" s="42">
        <f>ROUND(AQ52+AR52-AS52-AT52,2)</f>
        <v/>
      </c>
      <c r="AV52">
        <f>AP52-AT52</f>
        <v/>
      </c>
      <c r="AW52" s="42">
        <f>BA51</f>
        <v/>
      </c>
      <c r="AX52" s="42">
        <f>ROUND(AW52*AX$6/12,2)</f>
        <v/>
      </c>
      <c r="AY52" s="42">
        <f>MIN(AY$6,AW52+AX52)</f>
        <v/>
      </c>
      <c r="AZ52" s="42">
        <f>MAX(0,MIN(AW52+AX52-AY52,AV52))</f>
        <v/>
      </c>
      <c r="BA52" s="42">
        <f>ROUND(AW52+AX52-AY52-AZ52,2)</f>
        <v/>
      </c>
      <c r="BB52">
        <f>AV52-AZ52</f>
        <v/>
      </c>
      <c r="BC52" s="42">
        <f>BG51</f>
        <v/>
      </c>
      <c r="BD52" s="42">
        <f>ROUND(BC52*BD$6/12,2)</f>
        <v/>
      </c>
      <c r="BE52" s="42">
        <f>MIN(BE$6,BC52+BD52)</f>
        <v/>
      </c>
      <c r="BF52" s="42">
        <f>MAX(0,MIN(BC52+BD52-BE52,BB52))</f>
        <v/>
      </c>
      <c r="BG52" s="42">
        <f>ROUND(BC52+BD52-BE52-BF52,2)</f>
        <v/>
      </c>
      <c r="BH52">
        <f>BB52-BF52</f>
        <v/>
      </c>
      <c r="BI52" s="42">
        <f>BM51</f>
        <v/>
      </c>
      <c r="BJ52" s="42">
        <f>ROUND(BI52*BJ$6/12,2)</f>
        <v/>
      </c>
      <c r="BK52" s="42">
        <f>MIN(BK$6,BI52+BJ52)</f>
        <v/>
      </c>
      <c r="BL52" s="42">
        <f>MAX(0,MIN(BI52+BJ52-BK52,BH52))</f>
        <v/>
      </c>
      <c r="BM52" s="42">
        <f>ROUND(BI52+BJ52-BK52-BL52,2)</f>
        <v/>
      </c>
      <c r="BN52">
        <f>BH52-BL52</f>
        <v/>
      </c>
    </row>
    <row r="53">
      <c r="A53" s="43" t="n">
        <v>46</v>
      </c>
      <c r="B53" s="44">
        <f>EDATE('My Debts'!$C$6,A53-1)</f>
        <v/>
      </c>
      <c r="C53" s="45">
        <f>K53+Q53+W53+AC53+AI53+AO53+AU53+BA53+BG53+BM53</f>
        <v/>
      </c>
      <c r="D53" s="46">
        <f>I53+O53+U53+AA53+AG53+AM53+AS53+AY53+BE53+BK53+J53+P53+V53+AB53+AH53+AN53+AT53+AZ53+BF53+BL53</f>
        <v/>
      </c>
      <c r="E53" s="46">
        <f>H53+N53+T53+Z53+AF53+AL53+AR53+AX53+BD53+BJ53</f>
        <v/>
      </c>
      <c r="F53">
        <f>MAX(0,'My Debts'!$E$21-(I53+O53+U53+AA53+AG53+AM53+AS53+AY53+BE53+BK53))</f>
        <v/>
      </c>
      <c r="G53" s="42">
        <f>K52</f>
        <v/>
      </c>
      <c r="H53" s="42">
        <f>ROUND(G53*H$6/12,2)</f>
        <v/>
      </c>
      <c r="I53" s="42">
        <f>MIN(I$6,G53+H53)</f>
        <v/>
      </c>
      <c r="J53" s="42">
        <f>MAX(0,MIN(G53+H53-I53,$F53))</f>
        <v/>
      </c>
      <c r="K53" s="42">
        <f>ROUND(G53+H53-I53-J53,2)</f>
        <v/>
      </c>
      <c r="L53">
        <f>$F53-J53</f>
        <v/>
      </c>
      <c r="M53" s="42">
        <f>Q52</f>
        <v/>
      </c>
      <c r="N53" s="42">
        <f>ROUND(M53*N$6/12,2)</f>
        <v/>
      </c>
      <c r="O53" s="42">
        <f>MIN(O$6,M53+N53)</f>
        <v/>
      </c>
      <c r="P53" s="42">
        <f>MAX(0,MIN(M53+N53-O53,L53))</f>
        <v/>
      </c>
      <c r="Q53" s="42">
        <f>ROUND(M53+N53-O53-P53,2)</f>
        <v/>
      </c>
      <c r="R53">
        <f>L53-P53</f>
        <v/>
      </c>
      <c r="S53" s="42">
        <f>W52</f>
        <v/>
      </c>
      <c r="T53" s="42">
        <f>ROUND(S53*T$6/12,2)</f>
        <v/>
      </c>
      <c r="U53" s="42">
        <f>MIN(U$6,S53+T53)</f>
        <v/>
      </c>
      <c r="V53" s="42">
        <f>MAX(0,MIN(S53+T53-U53,R53))</f>
        <v/>
      </c>
      <c r="W53" s="42">
        <f>ROUND(S53+T53-U53-V53,2)</f>
        <v/>
      </c>
      <c r="X53">
        <f>R53-V53</f>
        <v/>
      </c>
      <c r="Y53" s="42">
        <f>AC52</f>
        <v/>
      </c>
      <c r="Z53" s="42">
        <f>ROUND(Y53*Z$6/12,2)</f>
        <v/>
      </c>
      <c r="AA53" s="42">
        <f>MIN(AA$6,Y53+Z53)</f>
        <v/>
      </c>
      <c r="AB53" s="42">
        <f>MAX(0,MIN(Y53+Z53-AA53,X53))</f>
        <v/>
      </c>
      <c r="AC53" s="42">
        <f>ROUND(Y53+Z53-AA53-AB53,2)</f>
        <v/>
      </c>
      <c r="AD53">
        <f>X53-AB53</f>
        <v/>
      </c>
      <c r="AE53" s="42">
        <f>AI52</f>
        <v/>
      </c>
      <c r="AF53" s="42">
        <f>ROUND(AE53*AF$6/12,2)</f>
        <v/>
      </c>
      <c r="AG53" s="42">
        <f>MIN(AG$6,AE53+AF53)</f>
        <v/>
      </c>
      <c r="AH53" s="42">
        <f>MAX(0,MIN(AE53+AF53-AG53,AD53))</f>
        <v/>
      </c>
      <c r="AI53" s="42">
        <f>ROUND(AE53+AF53-AG53-AH53,2)</f>
        <v/>
      </c>
      <c r="AJ53">
        <f>AD53-AH53</f>
        <v/>
      </c>
      <c r="AK53" s="42">
        <f>AO52</f>
        <v/>
      </c>
      <c r="AL53" s="42">
        <f>ROUND(AK53*AL$6/12,2)</f>
        <v/>
      </c>
      <c r="AM53" s="42">
        <f>MIN(AM$6,AK53+AL53)</f>
        <v/>
      </c>
      <c r="AN53" s="42">
        <f>MAX(0,MIN(AK53+AL53-AM53,AJ53))</f>
        <v/>
      </c>
      <c r="AO53" s="42">
        <f>ROUND(AK53+AL53-AM53-AN53,2)</f>
        <v/>
      </c>
      <c r="AP53">
        <f>AJ53-AN53</f>
        <v/>
      </c>
      <c r="AQ53" s="42">
        <f>AU52</f>
        <v/>
      </c>
      <c r="AR53" s="42">
        <f>ROUND(AQ53*AR$6/12,2)</f>
        <v/>
      </c>
      <c r="AS53" s="42">
        <f>MIN(AS$6,AQ53+AR53)</f>
        <v/>
      </c>
      <c r="AT53" s="42">
        <f>MAX(0,MIN(AQ53+AR53-AS53,AP53))</f>
        <v/>
      </c>
      <c r="AU53" s="42">
        <f>ROUND(AQ53+AR53-AS53-AT53,2)</f>
        <v/>
      </c>
      <c r="AV53">
        <f>AP53-AT53</f>
        <v/>
      </c>
      <c r="AW53" s="42">
        <f>BA52</f>
        <v/>
      </c>
      <c r="AX53" s="42">
        <f>ROUND(AW53*AX$6/12,2)</f>
        <v/>
      </c>
      <c r="AY53" s="42">
        <f>MIN(AY$6,AW53+AX53)</f>
        <v/>
      </c>
      <c r="AZ53" s="42">
        <f>MAX(0,MIN(AW53+AX53-AY53,AV53))</f>
        <v/>
      </c>
      <c r="BA53" s="42">
        <f>ROUND(AW53+AX53-AY53-AZ53,2)</f>
        <v/>
      </c>
      <c r="BB53">
        <f>AV53-AZ53</f>
        <v/>
      </c>
      <c r="BC53" s="42">
        <f>BG52</f>
        <v/>
      </c>
      <c r="BD53" s="42">
        <f>ROUND(BC53*BD$6/12,2)</f>
        <v/>
      </c>
      <c r="BE53" s="42">
        <f>MIN(BE$6,BC53+BD53)</f>
        <v/>
      </c>
      <c r="BF53" s="42">
        <f>MAX(0,MIN(BC53+BD53-BE53,BB53))</f>
        <v/>
      </c>
      <c r="BG53" s="42">
        <f>ROUND(BC53+BD53-BE53-BF53,2)</f>
        <v/>
      </c>
      <c r="BH53">
        <f>BB53-BF53</f>
        <v/>
      </c>
      <c r="BI53" s="42">
        <f>BM52</f>
        <v/>
      </c>
      <c r="BJ53" s="42">
        <f>ROUND(BI53*BJ$6/12,2)</f>
        <v/>
      </c>
      <c r="BK53" s="42">
        <f>MIN(BK$6,BI53+BJ53)</f>
        <v/>
      </c>
      <c r="BL53" s="42">
        <f>MAX(0,MIN(BI53+BJ53-BK53,BH53))</f>
        <v/>
      </c>
      <c r="BM53" s="42">
        <f>ROUND(BI53+BJ53-BK53-BL53,2)</f>
        <v/>
      </c>
      <c r="BN53">
        <f>BH53-BL53</f>
        <v/>
      </c>
    </row>
    <row r="54">
      <c r="A54" s="39" t="n">
        <v>47</v>
      </c>
      <c r="B54" s="40">
        <f>EDATE('My Debts'!$C$6,A54-1)</f>
        <v/>
      </c>
      <c r="C54" s="41">
        <f>K54+Q54+W54+AC54+AI54+AO54+AU54+BA54+BG54+BM54</f>
        <v/>
      </c>
      <c r="D54" s="42">
        <f>I54+O54+U54+AA54+AG54+AM54+AS54+AY54+BE54+BK54+J54+P54+V54+AB54+AH54+AN54+AT54+AZ54+BF54+BL54</f>
        <v/>
      </c>
      <c r="E54" s="42">
        <f>H54+N54+T54+Z54+AF54+AL54+AR54+AX54+BD54+BJ54</f>
        <v/>
      </c>
      <c r="F54">
        <f>MAX(0,'My Debts'!$E$21-(I54+O54+U54+AA54+AG54+AM54+AS54+AY54+BE54+BK54))</f>
        <v/>
      </c>
      <c r="G54" s="42">
        <f>K53</f>
        <v/>
      </c>
      <c r="H54" s="42">
        <f>ROUND(G54*H$6/12,2)</f>
        <v/>
      </c>
      <c r="I54" s="42">
        <f>MIN(I$6,G54+H54)</f>
        <v/>
      </c>
      <c r="J54" s="42">
        <f>MAX(0,MIN(G54+H54-I54,$F54))</f>
        <v/>
      </c>
      <c r="K54" s="42">
        <f>ROUND(G54+H54-I54-J54,2)</f>
        <v/>
      </c>
      <c r="L54">
        <f>$F54-J54</f>
        <v/>
      </c>
      <c r="M54" s="42">
        <f>Q53</f>
        <v/>
      </c>
      <c r="N54" s="42">
        <f>ROUND(M54*N$6/12,2)</f>
        <v/>
      </c>
      <c r="O54" s="42">
        <f>MIN(O$6,M54+N54)</f>
        <v/>
      </c>
      <c r="P54" s="42">
        <f>MAX(0,MIN(M54+N54-O54,L54))</f>
        <v/>
      </c>
      <c r="Q54" s="42">
        <f>ROUND(M54+N54-O54-P54,2)</f>
        <v/>
      </c>
      <c r="R54">
        <f>L54-P54</f>
        <v/>
      </c>
      <c r="S54" s="42">
        <f>W53</f>
        <v/>
      </c>
      <c r="T54" s="42">
        <f>ROUND(S54*T$6/12,2)</f>
        <v/>
      </c>
      <c r="U54" s="42">
        <f>MIN(U$6,S54+T54)</f>
        <v/>
      </c>
      <c r="V54" s="42">
        <f>MAX(0,MIN(S54+T54-U54,R54))</f>
        <v/>
      </c>
      <c r="W54" s="42">
        <f>ROUND(S54+T54-U54-V54,2)</f>
        <v/>
      </c>
      <c r="X54">
        <f>R54-V54</f>
        <v/>
      </c>
      <c r="Y54" s="42">
        <f>AC53</f>
        <v/>
      </c>
      <c r="Z54" s="42">
        <f>ROUND(Y54*Z$6/12,2)</f>
        <v/>
      </c>
      <c r="AA54" s="42">
        <f>MIN(AA$6,Y54+Z54)</f>
        <v/>
      </c>
      <c r="AB54" s="42">
        <f>MAX(0,MIN(Y54+Z54-AA54,X54))</f>
        <v/>
      </c>
      <c r="AC54" s="42">
        <f>ROUND(Y54+Z54-AA54-AB54,2)</f>
        <v/>
      </c>
      <c r="AD54">
        <f>X54-AB54</f>
        <v/>
      </c>
      <c r="AE54" s="42">
        <f>AI53</f>
        <v/>
      </c>
      <c r="AF54" s="42">
        <f>ROUND(AE54*AF$6/12,2)</f>
        <v/>
      </c>
      <c r="AG54" s="42">
        <f>MIN(AG$6,AE54+AF54)</f>
        <v/>
      </c>
      <c r="AH54" s="42">
        <f>MAX(0,MIN(AE54+AF54-AG54,AD54))</f>
        <v/>
      </c>
      <c r="AI54" s="42">
        <f>ROUND(AE54+AF54-AG54-AH54,2)</f>
        <v/>
      </c>
      <c r="AJ54">
        <f>AD54-AH54</f>
        <v/>
      </c>
      <c r="AK54" s="42">
        <f>AO53</f>
        <v/>
      </c>
      <c r="AL54" s="42">
        <f>ROUND(AK54*AL$6/12,2)</f>
        <v/>
      </c>
      <c r="AM54" s="42">
        <f>MIN(AM$6,AK54+AL54)</f>
        <v/>
      </c>
      <c r="AN54" s="42">
        <f>MAX(0,MIN(AK54+AL54-AM54,AJ54))</f>
        <v/>
      </c>
      <c r="AO54" s="42">
        <f>ROUND(AK54+AL54-AM54-AN54,2)</f>
        <v/>
      </c>
      <c r="AP54">
        <f>AJ54-AN54</f>
        <v/>
      </c>
      <c r="AQ54" s="42">
        <f>AU53</f>
        <v/>
      </c>
      <c r="AR54" s="42">
        <f>ROUND(AQ54*AR$6/12,2)</f>
        <v/>
      </c>
      <c r="AS54" s="42">
        <f>MIN(AS$6,AQ54+AR54)</f>
        <v/>
      </c>
      <c r="AT54" s="42">
        <f>MAX(0,MIN(AQ54+AR54-AS54,AP54))</f>
        <v/>
      </c>
      <c r="AU54" s="42">
        <f>ROUND(AQ54+AR54-AS54-AT54,2)</f>
        <v/>
      </c>
      <c r="AV54">
        <f>AP54-AT54</f>
        <v/>
      </c>
      <c r="AW54" s="42">
        <f>BA53</f>
        <v/>
      </c>
      <c r="AX54" s="42">
        <f>ROUND(AW54*AX$6/12,2)</f>
        <v/>
      </c>
      <c r="AY54" s="42">
        <f>MIN(AY$6,AW54+AX54)</f>
        <v/>
      </c>
      <c r="AZ54" s="42">
        <f>MAX(0,MIN(AW54+AX54-AY54,AV54))</f>
        <v/>
      </c>
      <c r="BA54" s="42">
        <f>ROUND(AW54+AX54-AY54-AZ54,2)</f>
        <v/>
      </c>
      <c r="BB54">
        <f>AV54-AZ54</f>
        <v/>
      </c>
      <c r="BC54" s="42">
        <f>BG53</f>
        <v/>
      </c>
      <c r="BD54" s="42">
        <f>ROUND(BC54*BD$6/12,2)</f>
        <v/>
      </c>
      <c r="BE54" s="42">
        <f>MIN(BE$6,BC54+BD54)</f>
        <v/>
      </c>
      <c r="BF54" s="42">
        <f>MAX(0,MIN(BC54+BD54-BE54,BB54))</f>
        <v/>
      </c>
      <c r="BG54" s="42">
        <f>ROUND(BC54+BD54-BE54-BF54,2)</f>
        <v/>
      </c>
      <c r="BH54">
        <f>BB54-BF54</f>
        <v/>
      </c>
      <c r="BI54" s="42">
        <f>BM53</f>
        <v/>
      </c>
      <c r="BJ54" s="42">
        <f>ROUND(BI54*BJ$6/12,2)</f>
        <v/>
      </c>
      <c r="BK54" s="42">
        <f>MIN(BK$6,BI54+BJ54)</f>
        <v/>
      </c>
      <c r="BL54" s="42">
        <f>MAX(0,MIN(BI54+BJ54-BK54,BH54))</f>
        <v/>
      </c>
      <c r="BM54" s="42">
        <f>ROUND(BI54+BJ54-BK54-BL54,2)</f>
        <v/>
      </c>
      <c r="BN54">
        <f>BH54-BL54</f>
        <v/>
      </c>
    </row>
    <row r="55">
      <c r="A55" s="43" t="n">
        <v>48</v>
      </c>
      <c r="B55" s="44">
        <f>EDATE('My Debts'!$C$6,A55-1)</f>
        <v/>
      </c>
      <c r="C55" s="45">
        <f>K55+Q55+W55+AC55+AI55+AO55+AU55+BA55+BG55+BM55</f>
        <v/>
      </c>
      <c r="D55" s="46">
        <f>I55+O55+U55+AA55+AG55+AM55+AS55+AY55+BE55+BK55+J55+P55+V55+AB55+AH55+AN55+AT55+AZ55+BF55+BL55</f>
        <v/>
      </c>
      <c r="E55" s="46">
        <f>H55+N55+T55+Z55+AF55+AL55+AR55+AX55+BD55+BJ55</f>
        <v/>
      </c>
      <c r="F55">
        <f>MAX(0,'My Debts'!$E$21-(I55+O55+U55+AA55+AG55+AM55+AS55+AY55+BE55+BK55))</f>
        <v/>
      </c>
      <c r="G55" s="42">
        <f>K54</f>
        <v/>
      </c>
      <c r="H55" s="42">
        <f>ROUND(G55*H$6/12,2)</f>
        <v/>
      </c>
      <c r="I55" s="42">
        <f>MIN(I$6,G55+H55)</f>
        <v/>
      </c>
      <c r="J55" s="42">
        <f>MAX(0,MIN(G55+H55-I55,$F55))</f>
        <v/>
      </c>
      <c r="K55" s="42">
        <f>ROUND(G55+H55-I55-J55,2)</f>
        <v/>
      </c>
      <c r="L55">
        <f>$F55-J55</f>
        <v/>
      </c>
      <c r="M55" s="42">
        <f>Q54</f>
        <v/>
      </c>
      <c r="N55" s="42">
        <f>ROUND(M55*N$6/12,2)</f>
        <v/>
      </c>
      <c r="O55" s="42">
        <f>MIN(O$6,M55+N55)</f>
        <v/>
      </c>
      <c r="P55" s="42">
        <f>MAX(0,MIN(M55+N55-O55,L55))</f>
        <v/>
      </c>
      <c r="Q55" s="42">
        <f>ROUND(M55+N55-O55-P55,2)</f>
        <v/>
      </c>
      <c r="R55">
        <f>L55-P55</f>
        <v/>
      </c>
      <c r="S55" s="42">
        <f>W54</f>
        <v/>
      </c>
      <c r="T55" s="42">
        <f>ROUND(S55*T$6/12,2)</f>
        <v/>
      </c>
      <c r="U55" s="42">
        <f>MIN(U$6,S55+T55)</f>
        <v/>
      </c>
      <c r="V55" s="42">
        <f>MAX(0,MIN(S55+T55-U55,R55))</f>
        <v/>
      </c>
      <c r="W55" s="42">
        <f>ROUND(S55+T55-U55-V55,2)</f>
        <v/>
      </c>
      <c r="X55">
        <f>R55-V55</f>
        <v/>
      </c>
      <c r="Y55" s="42">
        <f>AC54</f>
        <v/>
      </c>
      <c r="Z55" s="42">
        <f>ROUND(Y55*Z$6/12,2)</f>
        <v/>
      </c>
      <c r="AA55" s="42">
        <f>MIN(AA$6,Y55+Z55)</f>
        <v/>
      </c>
      <c r="AB55" s="42">
        <f>MAX(0,MIN(Y55+Z55-AA55,X55))</f>
        <v/>
      </c>
      <c r="AC55" s="42">
        <f>ROUND(Y55+Z55-AA55-AB55,2)</f>
        <v/>
      </c>
      <c r="AD55">
        <f>X55-AB55</f>
        <v/>
      </c>
      <c r="AE55" s="42">
        <f>AI54</f>
        <v/>
      </c>
      <c r="AF55" s="42">
        <f>ROUND(AE55*AF$6/12,2)</f>
        <v/>
      </c>
      <c r="AG55" s="42">
        <f>MIN(AG$6,AE55+AF55)</f>
        <v/>
      </c>
      <c r="AH55" s="42">
        <f>MAX(0,MIN(AE55+AF55-AG55,AD55))</f>
        <v/>
      </c>
      <c r="AI55" s="42">
        <f>ROUND(AE55+AF55-AG55-AH55,2)</f>
        <v/>
      </c>
      <c r="AJ55">
        <f>AD55-AH55</f>
        <v/>
      </c>
      <c r="AK55" s="42">
        <f>AO54</f>
        <v/>
      </c>
      <c r="AL55" s="42">
        <f>ROUND(AK55*AL$6/12,2)</f>
        <v/>
      </c>
      <c r="AM55" s="42">
        <f>MIN(AM$6,AK55+AL55)</f>
        <v/>
      </c>
      <c r="AN55" s="42">
        <f>MAX(0,MIN(AK55+AL55-AM55,AJ55))</f>
        <v/>
      </c>
      <c r="AO55" s="42">
        <f>ROUND(AK55+AL55-AM55-AN55,2)</f>
        <v/>
      </c>
      <c r="AP55">
        <f>AJ55-AN55</f>
        <v/>
      </c>
      <c r="AQ55" s="42">
        <f>AU54</f>
        <v/>
      </c>
      <c r="AR55" s="42">
        <f>ROUND(AQ55*AR$6/12,2)</f>
        <v/>
      </c>
      <c r="AS55" s="42">
        <f>MIN(AS$6,AQ55+AR55)</f>
        <v/>
      </c>
      <c r="AT55" s="42">
        <f>MAX(0,MIN(AQ55+AR55-AS55,AP55))</f>
        <v/>
      </c>
      <c r="AU55" s="42">
        <f>ROUND(AQ55+AR55-AS55-AT55,2)</f>
        <v/>
      </c>
      <c r="AV55">
        <f>AP55-AT55</f>
        <v/>
      </c>
      <c r="AW55" s="42">
        <f>BA54</f>
        <v/>
      </c>
      <c r="AX55" s="42">
        <f>ROUND(AW55*AX$6/12,2)</f>
        <v/>
      </c>
      <c r="AY55" s="42">
        <f>MIN(AY$6,AW55+AX55)</f>
        <v/>
      </c>
      <c r="AZ55" s="42">
        <f>MAX(0,MIN(AW55+AX55-AY55,AV55))</f>
        <v/>
      </c>
      <c r="BA55" s="42">
        <f>ROUND(AW55+AX55-AY55-AZ55,2)</f>
        <v/>
      </c>
      <c r="BB55">
        <f>AV55-AZ55</f>
        <v/>
      </c>
      <c r="BC55" s="42">
        <f>BG54</f>
        <v/>
      </c>
      <c r="BD55" s="42">
        <f>ROUND(BC55*BD$6/12,2)</f>
        <v/>
      </c>
      <c r="BE55" s="42">
        <f>MIN(BE$6,BC55+BD55)</f>
        <v/>
      </c>
      <c r="BF55" s="42">
        <f>MAX(0,MIN(BC55+BD55-BE55,BB55))</f>
        <v/>
      </c>
      <c r="BG55" s="42">
        <f>ROUND(BC55+BD55-BE55-BF55,2)</f>
        <v/>
      </c>
      <c r="BH55">
        <f>BB55-BF55</f>
        <v/>
      </c>
      <c r="BI55" s="42">
        <f>BM54</f>
        <v/>
      </c>
      <c r="BJ55" s="42">
        <f>ROUND(BI55*BJ$6/12,2)</f>
        <v/>
      </c>
      <c r="BK55" s="42">
        <f>MIN(BK$6,BI55+BJ55)</f>
        <v/>
      </c>
      <c r="BL55" s="42">
        <f>MAX(0,MIN(BI55+BJ55-BK55,BH55))</f>
        <v/>
      </c>
      <c r="BM55" s="42">
        <f>ROUND(BI55+BJ55-BK55-BL55,2)</f>
        <v/>
      </c>
      <c r="BN55">
        <f>BH55-BL55</f>
        <v/>
      </c>
    </row>
    <row r="56">
      <c r="A56" s="39" t="n">
        <v>49</v>
      </c>
      <c r="B56" s="40">
        <f>EDATE('My Debts'!$C$6,A56-1)</f>
        <v/>
      </c>
      <c r="C56" s="41">
        <f>K56+Q56+W56+AC56+AI56+AO56+AU56+BA56+BG56+BM56</f>
        <v/>
      </c>
      <c r="D56" s="42">
        <f>I56+O56+U56+AA56+AG56+AM56+AS56+AY56+BE56+BK56+J56+P56+V56+AB56+AH56+AN56+AT56+AZ56+BF56+BL56</f>
        <v/>
      </c>
      <c r="E56" s="42">
        <f>H56+N56+T56+Z56+AF56+AL56+AR56+AX56+BD56+BJ56</f>
        <v/>
      </c>
      <c r="F56">
        <f>MAX(0,'My Debts'!$E$21-(I56+O56+U56+AA56+AG56+AM56+AS56+AY56+BE56+BK56))</f>
        <v/>
      </c>
      <c r="G56" s="42">
        <f>K55</f>
        <v/>
      </c>
      <c r="H56" s="42">
        <f>ROUND(G56*H$6/12,2)</f>
        <v/>
      </c>
      <c r="I56" s="42">
        <f>MIN(I$6,G56+H56)</f>
        <v/>
      </c>
      <c r="J56" s="42">
        <f>MAX(0,MIN(G56+H56-I56,$F56))</f>
        <v/>
      </c>
      <c r="K56" s="42">
        <f>ROUND(G56+H56-I56-J56,2)</f>
        <v/>
      </c>
      <c r="L56">
        <f>$F56-J56</f>
        <v/>
      </c>
      <c r="M56" s="42">
        <f>Q55</f>
        <v/>
      </c>
      <c r="N56" s="42">
        <f>ROUND(M56*N$6/12,2)</f>
        <v/>
      </c>
      <c r="O56" s="42">
        <f>MIN(O$6,M56+N56)</f>
        <v/>
      </c>
      <c r="P56" s="42">
        <f>MAX(0,MIN(M56+N56-O56,L56))</f>
        <v/>
      </c>
      <c r="Q56" s="42">
        <f>ROUND(M56+N56-O56-P56,2)</f>
        <v/>
      </c>
      <c r="R56">
        <f>L56-P56</f>
        <v/>
      </c>
      <c r="S56" s="42">
        <f>W55</f>
        <v/>
      </c>
      <c r="T56" s="42">
        <f>ROUND(S56*T$6/12,2)</f>
        <v/>
      </c>
      <c r="U56" s="42">
        <f>MIN(U$6,S56+T56)</f>
        <v/>
      </c>
      <c r="V56" s="42">
        <f>MAX(0,MIN(S56+T56-U56,R56))</f>
        <v/>
      </c>
      <c r="W56" s="42">
        <f>ROUND(S56+T56-U56-V56,2)</f>
        <v/>
      </c>
      <c r="X56">
        <f>R56-V56</f>
        <v/>
      </c>
      <c r="Y56" s="42">
        <f>AC55</f>
        <v/>
      </c>
      <c r="Z56" s="42">
        <f>ROUND(Y56*Z$6/12,2)</f>
        <v/>
      </c>
      <c r="AA56" s="42">
        <f>MIN(AA$6,Y56+Z56)</f>
        <v/>
      </c>
      <c r="AB56" s="42">
        <f>MAX(0,MIN(Y56+Z56-AA56,X56))</f>
        <v/>
      </c>
      <c r="AC56" s="42">
        <f>ROUND(Y56+Z56-AA56-AB56,2)</f>
        <v/>
      </c>
      <c r="AD56">
        <f>X56-AB56</f>
        <v/>
      </c>
      <c r="AE56" s="42">
        <f>AI55</f>
        <v/>
      </c>
      <c r="AF56" s="42">
        <f>ROUND(AE56*AF$6/12,2)</f>
        <v/>
      </c>
      <c r="AG56" s="42">
        <f>MIN(AG$6,AE56+AF56)</f>
        <v/>
      </c>
      <c r="AH56" s="42">
        <f>MAX(0,MIN(AE56+AF56-AG56,AD56))</f>
        <v/>
      </c>
      <c r="AI56" s="42">
        <f>ROUND(AE56+AF56-AG56-AH56,2)</f>
        <v/>
      </c>
      <c r="AJ56">
        <f>AD56-AH56</f>
        <v/>
      </c>
      <c r="AK56" s="42">
        <f>AO55</f>
        <v/>
      </c>
      <c r="AL56" s="42">
        <f>ROUND(AK56*AL$6/12,2)</f>
        <v/>
      </c>
      <c r="AM56" s="42">
        <f>MIN(AM$6,AK56+AL56)</f>
        <v/>
      </c>
      <c r="AN56" s="42">
        <f>MAX(0,MIN(AK56+AL56-AM56,AJ56))</f>
        <v/>
      </c>
      <c r="AO56" s="42">
        <f>ROUND(AK56+AL56-AM56-AN56,2)</f>
        <v/>
      </c>
      <c r="AP56">
        <f>AJ56-AN56</f>
        <v/>
      </c>
      <c r="AQ56" s="42">
        <f>AU55</f>
        <v/>
      </c>
      <c r="AR56" s="42">
        <f>ROUND(AQ56*AR$6/12,2)</f>
        <v/>
      </c>
      <c r="AS56" s="42">
        <f>MIN(AS$6,AQ56+AR56)</f>
        <v/>
      </c>
      <c r="AT56" s="42">
        <f>MAX(0,MIN(AQ56+AR56-AS56,AP56))</f>
        <v/>
      </c>
      <c r="AU56" s="42">
        <f>ROUND(AQ56+AR56-AS56-AT56,2)</f>
        <v/>
      </c>
      <c r="AV56">
        <f>AP56-AT56</f>
        <v/>
      </c>
      <c r="AW56" s="42">
        <f>BA55</f>
        <v/>
      </c>
      <c r="AX56" s="42">
        <f>ROUND(AW56*AX$6/12,2)</f>
        <v/>
      </c>
      <c r="AY56" s="42">
        <f>MIN(AY$6,AW56+AX56)</f>
        <v/>
      </c>
      <c r="AZ56" s="42">
        <f>MAX(0,MIN(AW56+AX56-AY56,AV56))</f>
        <v/>
      </c>
      <c r="BA56" s="42">
        <f>ROUND(AW56+AX56-AY56-AZ56,2)</f>
        <v/>
      </c>
      <c r="BB56">
        <f>AV56-AZ56</f>
        <v/>
      </c>
      <c r="BC56" s="42">
        <f>BG55</f>
        <v/>
      </c>
      <c r="BD56" s="42">
        <f>ROUND(BC56*BD$6/12,2)</f>
        <v/>
      </c>
      <c r="BE56" s="42">
        <f>MIN(BE$6,BC56+BD56)</f>
        <v/>
      </c>
      <c r="BF56" s="42">
        <f>MAX(0,MIN(BC56+BD56-BE56,BB56))</f>
        <v/>
      </c>
      <c r="BG56" s="42">
        <f>ROUND(BC56+BD56-BE56-BF56,2)</f>
        <v/>
      </c>
      <c r="BH56">
        <f>BB56-BF56</f>
        <v/>
      </c>
      <c r="BI56" s="42">
        <f>BM55</f>
        <v/>
      </c>
      <c r="BJ56" s="42">
        <f>ROUND(BI56*BJ$6/12,2)</f>
        <v/>
      </c>
      <c r="BK56" s="42">
        <f>MIN(BK$6,BI56+BJ56)</f>
        <v/>
      </c>
      <c r="BL56" s="42">
        <f>MAX(0,MIN(BI56+BJ56-BK56,BH56))</f>
        <v/>
      </c>
      <c r="BM56" s="42">
        <f>ROUND(BI56+BJ56-BK56-BL56,2)</f>
        <v/>
      </c>
      <c r="BN56">
        <f>BH56-BL56</f>
        <v/>
      </c>
    </row>
    <row r="57">
      <c r="A57" s="43" t="n">
        <v>50</v>
      </c>
      <c r="B57" s="44">
        <f>EDATE('My Debts'!$C$6,A57-1)</f>
        <v/>
      </c>
      <c r="C57" s="45">
        <f>K57+Q57+W57+AC57+AI57+AO57+AU57+BA57+BG57+BM57</f>
        <v/>
      </c>
      <c r="D57" s="46">
        <f>I57+O57+U57+AA57+AG57+AM57+AS57+AY57+BE57+BK57+J57+P57+V57+AB57+AH57+AN57+AT57+AZ57+BF57+BL57</f>
        <v/>
      </c>
      <c r="E57" s="46">
        <f>H57+N57+T57+Z57+AF57+AL57+AR57+AX57+BD57+BJ57</f>
        <v/>
      </c>
      <c r="F57">
        <f>MAX(0,'My Debts'!$E$21-(I57+O57+U57+AA57+AG57+AM57+AS57+AY57+BE57+BK57))</f>
        <v/>
      </c>
      <c r="G57" s="42">
        <f>K56</f>
        <v/>
      </c>
      <c r="H57" s="42">
        <f>ROUND(G57*H$6/12,2)</f>
        <v/>
      </c>
      <c r="I57" s="42">
        <f>MIN(I$6,G57+H57)</f>
        <v/>
      </c>
      <c r="J57" s="42">
        <f>MAX(0,MIN(G57+H57-I57,$F57))</f>
        <v/>
      </c>
      <c r="K57" s="42">
        <f>ROUND(G57+H57-I57-J57,2)</f>
        <v/>
      </c>
      <c r="L57">
        <f>$F57-J57</f>
        <v/>
      </c>
      <c r="M57" s="42">
        <f>Q56</f>
        <v/>
      </c>
      <c r="N57" s="42">
        <f>ROUND(M57*N$6/12,2)</f>
        <v/>
      </c>
      <c r="O57" s="42">
        <f>MIN(O$6,M57+N57)</f>
        <v/>
      </c>
      <c r="P57" s="42">
        <f>MAX(0,MIN(M57+N57-O57,L57))</f>
        <v/>
      </c>
      <c r="Q57" s="42">
        <f>ROUND(M57+N57-O57-P57,2)</f>
        <v/>
      </c>
      <c r="R57">
        <f>L57-P57</f>
        <v/>
      </c>
      <c r="S57" s="42">
        <f>W56</f>
        <v/>
      </c>
      <c r="T57" s="42">
        <f>ROUND(S57*T$6/12,2)</f>
        <v/>
      </c>
      <c r="U57" s="42">
        <f>MIN(U$6,S57+T57)</f>
        <v/>
      </c>
      <c r="V57" s="42">
        <f>MAX(0,MIN(S57+T57-U57,R57))</f>
        <v/>
      </c>
      <c r="W57" s="42">
        <f>ROUND(S57+T57-U57-V57,2)</f>
        <v/>
      </c>
      <c r="X57">
        <f>R57-V57</f>
        <v/>
      </c>
      <c r="Y57" s="42">
        <f>AC56</f>
        <v/>
      </c>
      <c r="Z57" s="42">
        <f>ROUND(Y57*Z$6/12,2)</f>
        <v/>
      </c>
      <c r="AA57" s="42">
        <f>MIN(AA$6,Y57+Z57)</f>
        <v/>
      </c>
      <c r="AB57" s="42">
        <f>MAX(0,MIN(Y57+Z57-AA57,X57))</f>
        <v/>
      </c>
      <c r="AC57" s="42">
        <f>ROUND(Y57+Z57-AA57-AB57,2)</f>
        <v/>
      </c>
      <c r="AD57">
        <f>X57-AB57</f>
        <v/>
      </c>
      <c r="AE57" s="42">
        <f>AI56</f>
        <v/>
      </c>
      <c r="AF57" s="42">
        <f>ROUND(AE57*AF$6/12,2)</f>
        <v/>
      </c>
      <c r="AG57" s="42">
        <f>MIN(AG$6,AE57+AF57)</f>
        <v/>
      </c>
      <c r="AH57" s="42">
        <f>MAX(0,MIN(AE57+AF57-AG57,AD57))</f>
        <v/>
      </c>
      <c r="AI57" s="42">
        <f>ROUND(AE57+AF57-AG57-AH57,2)</f>
        <v/>
      </c>
      <c r="AJ57">
        <f>AD57-AH57</f>
        <v/>
      </c>
      <c r="AK57" s="42">
        <f>AO56</f>
        <v/>
      </c>
      <c r="AL57" s="42">
        <f>ROUND(AK57*AL$6/12,2)</f>
        <v/>
      </c>
      <c r="AM57" s="42">
        <f>MIN(AM$6,AK57+AL57)</f>
        <v/>
      </c>
      <c r="AN57" s="42">
        <f>MAX(0,MIN(AK57+AL57-AM57,AJ57))</f>
        <v/>
      </c>
      <c r="AO57" s="42">
        <f>ROUND(AK57+AL57-AM57-AN57,2)</f>
        <v/>
      </c>
      <c r="AP57">
        <f>AJ57-AN57</f>
        <v/>
      </c>
      <c r="AQ57" s="42">
        <f>AU56</f>
        <v/>
      </c>
      <c r="AR57" s="42">
        <f>ROUND(AQ57*AR$6/12,2)</f>
        <v/>
      </c>
      <c r="AS57" s="42">
        <f>MIN(AS$6,AQ57+AR57)</f>
        <v/>
      </c>
      <c r="AT57" s="42">
        <f>MAX(0,MIN(AQ57+AR57-AS57,AP57))</f>
        <v/>
      </c>
      <c r="AU57" s="42">
        <f>ROUND(AQ57+AR57-AS57-AT57,2)</f>
        <v/>
      </c>
      <c r="AV57">
        <f>AP57-AT57</f>
        <v/>
      </c>
      <c r="AW57" s="42">
        <f>BA56</f>
        <v/>
      </c>
      <c r="AX57" s="42">
        <f>ROUND(AW57*AX$6/12,2)</f>
        <v/>
      </c>
      <c r="AY57" s="42">
        <f>MIN(AY$6,AW57+AX57)</f>
        <v/>
      </c>
      <c r="AZ57" s="42">
        <f>MAX(0,MIN(AW57+AX57-AY57,AV57))</f>
        <v/>
      </c>
      <c r="BA57" s="42">
        <f>ROUND(AW57+AX57-AY57-AZ57,2)</f>
        <v/>
      </c>
      <c r="BB57">
        <f>AV57-AZ57</f>
        <v/>
      </c>
      <c r="BC57" s="42">
        <f>BG56</f>
        <v/>
      </c>
      <c r="BD57" s="42">
        <f>ROUND(BC57*BD$6/12,2)</f>
        <v/>
      </c>
      <c r="BE57" s="42">
        <f>MIN(BE$6,BC57+BD57)</f>
        <v/>
      </c>
      <c r="BF57" s="42">
        <f>MAX(0,MIN(BC57+BD57-BE57,BB57))</f>
        <v/>
      </c>
      <c r="BG57" s="42">
        <f>ROUND(BC57+BD57-BE57-BF57,2)</f>
        <v/>
      </c>
      <c r="BH57">
        <f>BB57-BF57</f>
        <v/>
      </c>
      <c r="BI57" s="42">
        <f>BM56</f>
        <v/>
      </c>
      <c r="BJ57" s="42">
        <f>ROUND(BI57*BJ$6/12,2)</f>
        <v/>
      </c>
      <c r="BK57" s="42">
        <f>MIN(BK$6,BI57+BJ57)</f>
        <v/>
      </c>
      <c r="BL57" s="42">
        <f>MAX(0,MIN(BI57+BJ57-BK57,BH57))</f>
        <v/>
      </c>
      <c r="BM57" s="42">
        <f>ROUND(BI57+BJ57-BK57-BL57,2)</f>
        <v/>
      </c>
      <c r="BN57">
        <f>BH57-BL57</f>
        <v/>
      </c>
    </row>
    <row r="58">
      <c r="A58" s="39" t="n">
        <v>51</v>
      </c>
      <c r="B58" s="40">
        <f>EDATE('My Debts'!$C$6,A58-1)</f>
        <v/>
      </c>
      <c r="C58" s="41">
        <f>K58+Q58+W58+AC58+AI58+AO58+AU58+BA58+BG58+BM58</f>
        <v/>
      </c>
      <c r="D58" s="42">
        <f>I58+O58+U58+AA58+AG58+AM58+AS58+AY58+BE58+BK58+J58+P58+V58+AB58+AH58+AN58+AT58+AZ58+BF58+BL58</f>
        <v/>
      </c>
      <c r="E58" s="42">
        <f>H58+N58+T58+Z58+AF58+AL58+AR58+AX58+BD58+BJ58</f>
        <v/>
      </c>
      <c r="F58">
        <f>MAX(0,'My Debts'!$E$21-(I58+O58+U58+AA58+AG58+AM58+AS58+AY58+BE58+BK58))</f>
        <v/>
      </c>
      <c r="G58" s="42">
        <f>K57</f>
        <v/>
      </c>
      <c r="H58" s="42">
        <f>ROUND(G58*H$6/12,2)</f>
        <v/>
      </c>
      <c r="I58" s="42">
        <f>MIN(I$6,G58+H58)</f>
        <v/>
      </c>
      <c r="J58" s="42">
        <f>MAX(0,MIN(G58+H58-I58,$F58))</f>
        <v/>
      </c>
      <c r="K58" s="42">
        <f>ROUND(G58+H58-I58-J58,2)</f>
        <v/>
      </c>
      <c r="L58">
        <f>$F58-J58</f>
        <v/>
      </c>
      <c r="M58" s="42">
        <f>Q57</f>
        <v/>
      </c>
      <c r="N58" s="42">
        <f>ROUND(M58*N$6/12,2)</f>
        <v/>
      </c>
      <c r="O58" s="42">
        <f>MIN(O$6,M58+N58)</f>
        <v/>
      </c>
      <c r="P58" s="42">
        <f>MAX(0,MIN(M58+N58-O58,L58))</f>
        <v/>
      </c>
      <c r="Q58" s="42">
        <f>ROUND(M58+N58-O58-P58,2)</f>
        <v/>
      </c>
      <c r="R58">
        <f>L58-P58</f>
        <v/>
      </c>
      <c r="S58" s="42">
        <f>W57</f>
        <v/>
      </c>
      <c r="T58" s="42">
        <f>ROUND(S58*T$6/12,2)</f>
        <v/>
      </c>
      <c r="U58" s="42">
        <f>MIN(U$6,S58+T58)</f>
        <v/>
      </c>
      <c r="V58" s="42">
        <f>MAX(0,MIN(S58+T58-U58,R58))</f>
        <v/>
      </c>
      <c r="W58" s="42">
        <f>ROUND(S58+T58-U58-V58,2)</f>
        <v/>
      </c>
      <c r="X58">
        <f>R58-V58</f>
        <v/>
      </c>
      <c r="Y58" s="42">
        <f>AC57</f>
        <v/>
      </c>
      <c r="Z58" s="42">
        <f>ROUND(Y58*Z$6/12,2)</f>
        <v/>
      </c>
      <c r="AA58" s="42">
        <f>MIN(AA$6,Y58+Z58)</f>
        <v/>
      </c>
      <c r="AB58" s="42">
        <f>MAX(0,MIN(Y58+Z58-AA58,X58))</f>
        <v/>
      </c>
      <c r="AC58" s="42">
        <f>ROUND(Y58+Z58-AA58-AB58,2)</f>
        <v/>
      </c>
      <c r="AD58">
        <f>X58-AB58</f>
        <v/>
      </c>
      <c r="AE58" s="42">
        <f>AI57</f>
        <v/>
      </c>
      <c r="AF58" s="42">
        <f>ROUND(AE58*AF$6/12,2)</f>
        <v/>
      </c>
      <c r="AG58" s="42">
        <f>MIN(AG$6,AE58+AF58)</f>
        <v/>
      </c>
      <c r="AH58" s="42">
        <f>MAX(0,MIN(AE58+AF58-AG58,AD58))</f>
        <v/>
      </c>
      <c r="AI58" s="42">
        <f>ROUND(AE58+AF58-AG58-AH58,2)</f>
        <v/>
      </c>
      <c r="AJ58">
        <f>AD58-AH58</f>
        <v/>
      </c>
      <c r="AK58" s="42">
        <f>AO57</f>
        <v/>
      </c>
      <c r="AL58" s="42">
        <f>ROUND(AK58*AL$6/12,2)</f>
        <v/>
      </c>
      <c r="AM58" s="42">
        <f>MIN(AM$6,AK58+AL58)</f>
        <v/>
      </c>
      <c r="AN58" s="42">
        <f>MAX(0,MIN(AK58+AL58-AM58,AJ58))</f>
        <v/>
      </c>
      <c r="AO58" s="42">
        <f>ROUND(AK58+AL58-AM58-AN58,2)</f>
        <v/>
      </c>
      <c r="AP58">
        <f>AJ58-AN58</f>
        <v/>
      </c>
      <c r="AQ58" s="42">
        <f>AU57</f>
        <v/>
      </c>
      <c r="AR58" s="42">
        <f>ROUND(AQ58*AR$6/12,2)</f>
        <v/>
      </c>
      <c r="AS58" s="42">
        <f>MIN(AS$6,AQ58+AR58)</f>
        <v/>
      </c>
      <c r="AT58" s="42">
        <f>MAX(0,MIN(AQ58+AR58-AS58,AP58))</f>
        <v/>
      </c>
      <c r="AU58" s="42">
        <f>ROUND(AQ58+AR58-AS58-AT58,2)</f>
        <v/>
      </c>
      <c r="AV58">
        <f>AP58-AT58</f>
        <v/>
      </c>
      <c r="AW58" s="42">
        <f>BA57</f>
        <v/>
      </c>
      <c r="AX58" s="42">
        <f>ROUND(AW58*AX$6/12,2)</f>
        <v/>
      </c>
      <c r="AY58" s="42">
        <f>MIN(AY$6,AW58+AX58)</f>
        <v/>
      </c>
      <c r="AZ58" s="42">
        <f>MAX(0,MIN(AW58+AX58-AY58,AV58))</f>
        <v/>
      </c>
      <c r="BA58" s="42">
        <f>ROUND(AW58+AX58-AY58-AZ58,2)</f>
        <v/>
      </c>
      <c r="BB58">
        <f>AV58-AZ58</f>
        <v/>
      </c>
      <c r="BC58" s="42">
        <f>BG57</f>
        <v/>
      </c>
      <c r="BD58" s="42">
        <f>ROUND(BC58*BD$6/12,2)</f>
        <v/>
      </c>
      <c r="BE58" s="42">
        <f>MIN(BE$6,BC58+BD58)</f>
        <v/>
      </c>
      <c r="BF58" s="42">
        <f>MAX(0,MIN(BC58+BD58-BE58,BB58))</f>
        <v/>
      </c>
      <c r="BG58" s="42">
        <f>ROUND(BC58+BD58-BE58-BF58,2)</f>
        <v/>
      </c>
      <c r="BH58">
        <f>BB58-BF58</f>
        <v/>
      </c>
      <c r="BI58" s="42">
        <f>BM57</f>
        <v/>
      </c>
      <c r="BJ58" s="42">
        <f>ROUND(BI58*BJ$6/12,2)</f>
        <v/>
      </c>
      <c r="BK58" s="42">
        <f>MIN(BK$6,BI58+BJ58)</f>
        <v/>
      </c>
      <c r="BL58" s="42">
        <f>MAX(0,MIN(BI58+BJ58-BK58,BH58))</f>
        <v/>
      </c>
      <c r="BM58" s="42">
        <f>ROUND(BI58+BJ58-BK58-BL58,2)</f>
        <v/>
      </c>
      <c r="BN58">
        <f>BH58-BL58</f>
        <v/>
      </c>
    </row>
    <row r="59">
      <c r="A59" s="43" t="n">
        <v>52</v>
      </c>
      <c r="B59" s="44">
        <f>EDATE('My Debts'!$C$6,A59-1)</f>
        <v/>
      </c>
      <c r="C59" s="45">
        <f>K59+Q59+W59+AC59+AI59+AO59+AU59+BA59+BG59+BM59</f>
        <v/>
      </c>
      <c r="D59" s="46">
        <f>I59+O59+U59+AA59+AG59+AM59+AS59+AY59+BE59+BK59+J59+P59+V59+AB59+AH59+AN59+AT59+AZ59+BF59+BL59</f>
        <v/>
      </c>
      <c r="E59" s="46">
        <f>H59+N59+T59+Z59+AF59+AL59+AR59+AX59+BD59+BJ59</f>
        <v/>
      </c>
      <c r="F59">
        <f>MAX(0,'My Debts'!$E$21-(I59+O59+U59+AA59+AG59+AM59+AS59+AY59+BE59+BK59))</f>
        <v/>
      </c>
      <c r="G59" s="42">
        <f>K58</f>
        <v/>
      </c>
      <c r="H59" s="42">
        <f>ROUND(G59*H$6/12,2)</f>
        <v/>
      </c>
      <c r="I59" s="42">
        <f>MIN(I$6,G59+H59)</f>
        <v/>
      </c>
      <c r="J59" s="42">
        <f>MAX(0,MIN(G59+H59-I59,$F59))</f>
        <v/>
      </c>
      <c r="K59" s="42">
        <f>ROUND(G59+H59-I59-J59,2)</f>
        <v/>
      </c>
      <c r="L59">
        <f>$F59-J59</f>
        <v/>
      </c>
      <c r="M59" s="42">
        <f>Q58</f>
        <v/>
      </c>
      <c r="N59" s="42">
        <f>ROUND(M59*N$6/12,2)</f>
        <v/>
      </c>
      <c r="O59" s="42">
        <f>MIN(O$6,M59+N59)</f>
        <v/>
      </c>
      <c r="P59" s="42">
        <f>MAX(0,MIN(M59+N59-O59,L59))</f>
        <v/>
      </c>
      <c r="Q59" s="42">
        <f>ROUND(M59+N59-O59-P59,2)</f>
        <v/>
      </c>
      <c r="R59">
        <f>L59-P59</f>
        <v/>
      </c>
      <c r="S59" s="42">
        <f>W58</f>
        <v/>
      </c>
      <c r="T59" s="42">
        <f>ROUND(S59*T$6/12,2)</f>
        <v/>
      </c>
      <c r="U59" s="42">
        <f>MIN(U$6,S59+T59)</f>
        <v/>
      </c>
      <c r="V59" s="42">
        <f>MAX(0,MIN(S59+T59-U59,R59))</f>
        <v/>
      </c>
      <c r="W59" s="42">
        <f>ROUND(S59+T59-U59-V59,2)</f>
        <v/>
      </c>
      <c r="X59">
        <f>R59-V59</f>
        <v/>
      </c>
      <c r="Y59" s="42">
        <f>AC58</f>
        <v/>
      </c>
      <c r="Z59" s="42">
        <f>ROUND(Y59*Z$6/12,2)</f>
        <v/>
      </c>
      <c r="AA59" s="42">
        <f>MIN(AA$6,Y59+Z59)</f>
        <v/>
      </c>
      <c r="AB59" s="42">
        <f>MAX(0,MIN(Y59+Z59-AA59,X59))</f>
        <v/>
      </c>
      <c r="AC59" s="42">
        <f>ROUND(Y59+Z59-AA59-AB59,2)</f>
        <v/>
      </c>
      <c r="AD59">
        <f>X59-AB59</f>
        <v/>
      </c>
      <c r="AE59" s="42">
        <f>AI58</f>
        <v/>
      </c>
      <c r="AF59" s="42">
        <f>ROUND(AE59*AF$6/12,2)</f>
        <v/>
      </c>
      <c r="AG59" s="42">
        <f>MIN(AG$6,AE59+AF59)</f>
        <v/>
      </c>
      <c r="AH59" s="42">
        <f>MAX(0,MIN(AE59+AF59-AG59,AD59))</f>
        <v/>
      </c>
      <c r="AI59" s="42">
        <f>ROUND(AE59+AF59-AG59-AH59,2)</f>
        <v/>
      </c>
      <c r="AJ59">
        <f>AD59-AH59</f>
        <v/>
      </c>
      <c r="AK59" s="42">
        <f>AO58</f>
        <v/>
      </c>
      <c r="AL59" s="42">
        <f>ROUND(AK59*AL$6/12,2)</f>
        <v/>
      </c>
      <c r="AM59" s="42">
        <f>MIN(AM$6,AK59+AL59)</f>
        <v/>
      </c>
      <c r="AN59" s="42">
        <f>MAX(0,MIN(AK59+AL59-AM59,AJ59))</f>
        <v/>
      </c>
      <c r="AO59" s="42">
        <f>ROUND(AK59+AL59-AM59-AN59,2)</f>
        <v/>
      </c>
      <c r="AP59">
        <f>AJ59-AN59</f>
        <v/>
      </c>
      <c r="AQ59" s="42">
        <f>AU58</f>
        <v/>
      </c>
      <c r="AR59" s="42">
        <f>ROUND(AQ59*AR$6/12,2)</f>
        <v/>
      </c>
      <c r="AS59" s="42">
        <f>MIN(AS$6,AQ59+AR59)</f>
        <v/>
      </c>
      <c r="AT59" s="42">
        <f>MAX(0,MIN(AQ59+AR59-AS59,AP59))</f>
        <v/>
      </c>
      <c r="AU59" s="42">
        <f>ROUND(AQ59+AR59-AS59-AT59,2)</f>
        <v/>
      </c>
      <c r="AV59">
        <f>AP59-AT59</f>
        <v/>
      </c>
      <c r="AW59" s="42">
        <f>BA58</f>
        <v/>
      </c>
      <c r="AX59" s="42">
        <f>ROUND(AW59*AX$6/12,2)</f>
        <v/>
      </c>
      <c r="AY59" s="42">
        <f>MIN(AY$6,AW59+AX59)</f>
        <v/>
      </c>
      <c r="AZ59" s="42">
        <f>MAX(0,MIN(AW59+AX59-AY59,AV59))</f>
        <v/>
      </c>
      <c r="BA59" s="42">
        <f>ROUND(AW59+AX59-AY59-AZ59,2)</f>
        <v/>
      </c>
      <c r="BB59">
        <f>AV59-AZ59</f>
        <v/>
      </c>
      <c r="BC59" s="42">
        <f>BG58</f>
        <v/>
      </c>
      <c r="BD59" s="42">
        <f>ROUND(BC59*BD$6/12,2)</f>
        <v/>
      </c>
      <c r="BE59" s="42">
        <f>MIN(BE$6,BC59+BD59)</f>
        <v/>
      </c>
      <c r="BF59" s="42">
        <f>MAX(0,MIN(BC59+BD59-BE59,BB59))</f>
        <v/>
      </c>
      <c r="BG59" s="42">
        <f>ROUND(BC59+BD59-BE59-BF59,2)</f>
        <v/>
      </c>
      <c r="BH59">
        <f>BB59-BF59</f>
        <v/>
      </c>
      <c r="BI59" s="42">
        <f>BM58</f>
        <v/>
      </c>
      <c r="BJ59" s="42">
        <f>ROUND(BI59*BJ$6/12,2)</f>
        <v/>
      </c>
      <c r="BK59" s="42">
        <f>MIN(BK$6,BI59+BJ59)</f>
        <v/>
      </c>
      <c r="BL59" s="42">
        <f>MAX(0,MIN(BI59+BJ59-BK59,BH59))</f>
        <v/>
      </c>
      <c r="BM59" s="42">
        <f>ROUND(BI59+BJ59-BK59-BL59,2)</f>
        <v/>
      </c>
      <c r="BN59">
        <f>BH59-BL59</f>
        <v/>
      </c>
    </row>
    <row r="60">
      <c r="A60" s="39" t="n">
        <v>53</v>
      </c>
      <c r="B60" s="40">
        <f>EDATE('My Debts'!$C$6,A60-1)</f>
        <v/>
      </c>
      <c r="C60" s="41">
        <f>K60+Q60+W60+AC60+AI60+AO60+AU60+BA60+BG60+BM60</f>
        <v/>
      </c>
      <c r="D60" s="42">
        <f>I60+O60+U60+AA60+AG60+AM60+AS60+AY60+BE60+BK60+J60+P60+V60+AB60+AH60+AN60+AT60+AZ60+BF60+BL60</f>
        <v/>
      </c>
      <c r="E60" s="42">
        <f>H60+N60+T60+Z60+AF60+AL60+AR60+AX60+BD60+BJ60</f>
        <v/>
      </c>
      <c r="F60">
        <f>MAX(0,'My Debts'!$E$21-(I60+O60+U60+AA60+AG60+AM60+AS60+AY60+BE60+BK60))</f>
        <v/>
      </c>
      <c r="G60" s="42">
        <f>K59</f>
        <v/>
      </c>
      <c r="H60" s="42">
        <f>ROUND(G60*H$6/12,2)</f>
        <v/>
      </c>
      <c r="I60" s="42">
        <f>MIN(I$6,G60+H60)</f>
        <v/>
      </c>
      <c r="J60" s="42">
        <f>MAX(0,MIN(G60+H60-I60,$F60))</f>
        <v/>
      </c>
      <c r="K60" s="42">
        <f>ROUND(G60+H60-I60-J60,2)</f>
        <v/>
      </c>
      <c r="L60">
        <f>$F60-J60</f>
        <v/>
      </c>
      <c r="M60" s="42">
        <f>Q59</f>
        <v/>
      </c>
      <c r="N60" s="42">
        <f>ROUND(M60*N$6/12,2)</f>
        <v/>
      </c>
      <c r="O60" s="42">
        <f>MIN(O$6,M60+N60)</f>
        <v/>
      </c>
      <c r="P60" s="42">
        <f>MAX(0,MIN(M60+N60-O60,L60))</f>
        <v/>
      </c>
      <c r="Q60" s="42">
        <f>ROUND(M60+N60-O60-P60,2)</f>
        <v/>
      </c>
      <c r="R60">
        <f>L60-P60</f>
        <v/>
      </c>
      <c r="S60" s="42">
        <f>W59</f>
        <v/>
      </c>
      <c r="T60" s="42">
        <f>ROUND(S60*T$6/12,2)</f>
        <v/>
      </c>
      <c r="U60" s="42">
        <f>MIN(U$6,S60+T60)</f>
        <v/>
      </c>
      <c r="V60" s="42">
        <f>MAX(0,MIN(S60+T60-U60,R60))</f>
        <v/>
      </c>
      <c r="W60" s="42">
        <f>ROUND(S60+T60-U60-V60,2)</f>
        <v/>
      </c>
      <c r="X60">
        <f>R60-V60</f>
        <v/>
      </c>
      <c r="Y60" s="42">
        <f>AC59</f>
        <v/>
      </c>
      <c r="Z60" s="42">
        <f>ROUND(Y60*Z$6/12,2)</f>
        <v/>
      </c>
      <c r="AA60" s="42">
        <f>MIN(AA$6,Y60+Z60)</f>
        <v/>
      </c>
      <c r="AB60" s="42">
        <f>MAX(0,MIN(Y60+Z60-AA60,X60))</f>
        <v/>
      </c>
      <c r="AC60" s="42">
        <f>ROUND(Y60+Z60-AA60-AB60,2)</f>
        <v/>
      </c>
      <c r="AD60">
        <f>X60-AB60</f>
        <v/>
      </c>
      <c r="AE60" s="42">
        <f>AI59</f>
        <v/>
      </c>
      <c r="AF60" s="42">
        <f>ROUND(AE60*AF$6/12,2)</f>
        <v/>
      </c>
      <c r="AG60" s="42">
        <f>MIN(AG$6,AE60+AF60)</f>
        <v/>
      </c>
      <c r="AH60" s="42">
        <f>MAX(0,MIN(AE60+AF60-AG60,AD60))</f>
        <v/>
      </c>
      <c r="AI60" s="42">
        <f>ROUND(AE60+AF60-AG60-AH60,2)</f>
        <v/>
      </c>
      <c r="AJ60">
        <f>AD60-AH60</f>
        <v/>
      </c>
      <c r="AK60" s="42">
        <f>AO59</f>
        <v/>
      </c>
      <c r="AL60" s="42">
        <f>ROUND(AK60*AL$6/12,2)</f>
        <v/>
      </c>
      <c r="AM60" s="42">
        <f>MIN(AM$6,AK60+AL60)</f>
        <v/>
      </c>
      <c r="AN60" s="42">
        <f>MAX(0,MIN(AK60+AL60-AM60,AJ60))</f>
        <v/>
      </c>
      <c r="AO60" s="42">
        <f>ROUND(AK60+AL60-AM60-AN60,2)</f>
        <v/>
      </c>
      <c r="AP60">
        <f>AJ60-AN60</f>
        <v/>
      </c>
      <c r="AQ60" s="42">
        <f>AU59</f>
        <v/>
      </c>
      <c r="AR60" s="42">
        <f>ROUND(AQ60*AR$6/12,2)</f>
        <v/>
      </c>
      <c r="AS60" s="42">
        <f>MIN(AS$6,AQ60+AR60)</f>
        <v/>
      </c>
      <c r="AT60" s="42">
        <f>MAX(0,MIN(AQ60+AR60-AS60,AP60))</f>
        <v/>
      </c>
      <c r="AU60" s="42">
        <f>ROUND(AQ60+AR60-AS60-AT60,2)</f>
        <v/>
      </c>
      <c r="AV60">
        <f>AP60-AT60</f>
        <v/>
      </c>
      <c r="AW60" s="42">
        <f>BA59</f>
        <v/>
      </c>
      <c r="AX60" s="42">
        <f>ROUND(AW60*AX$6/12,2)</f>
        <v/>
      </c>
      <c r="AY60" s="42">
        <f>MIN(AY$6,AW60+AX60)</f>
        <v/>
      </c>
      <c r="AZ60" s="42">
        <f>MAX(0,MIN(AW60+AX60-AY60,AV60))</f>
        <v/>
      </c>
      <c r="BA60" s="42">
        <f>ROUND(AW60+AX60-AY60-AZ60,2)</f>
        <v/>
      </c>
      <c r="BB60">
        <f>AV60-AZ60</f>
        <v/>
      </c>
      <c r="BC60" s="42">
        <f>BG59</f>
        <v/>
      </c>
      <c r="BD60" s="42">
        <f>ROUND(BC60*BD$6/12,2)</f>
        <v/>
      </c>
      <c r="BE60" s="42">
        <f>MIN(BE$6,BC60+BD60)</f>
        <v/>
      </c>
      <c r="BF60" s="42">
        <f>MAX(0,MIN(BC60+BD60-BE60,BB60))</f>
        <v/>
      </c>
      <c r="BG60" s="42">
        <f>ROUND(BC60+BD60-BE60-BF60,2)</f>
        <v/>
      </c>
      <c r="BH60">
        <f>BB60-BF60</f>
        <v/>
      </c>
      <c r="BI60" s="42">
        <f>BM59</f>
        <v/>
      </c>
      <c r="BJ60" s="42">
        <f>ROUND(BI60*BJ$6/12,2)</f>
        <v/>
      </c>
      <c r="BK60" s="42">
        <f>MIN(BK$6,BI60+BJ60)</f>
        <v/>
      </c>
      <c r="BL60" s="42">
        <f>MAX(0,MIN(BI60+BJ60-BK60,BH60))</f>
        <v/>
      </c>
      <c r="BM60" s="42">
        <f>ROUND(BI60+BJ60-BK60-BL60,2)</f>
        <v/>
      </c>
      <c r="BN60">
        <f>BH60-BL60</f>
        <v/>
      </c>
    </row>
    <row r="61">
      <c r="A61" s="43" t="n">
        <v>54</v>
      </c>
      <c r="B61" s="44">
        <f>EDATE('My Debts'!$C$6,A61-1)</f>
        <v/>
      </c>
      <c r="C61" s="45">
        <f>K61+Q61+W61+AC61+AI61+AO61+AU61+BA61+BG61+BM61</f>
        <v/>
      </c>
      <c r="D61" s="46">
        <f>I61+O61+U61+AA61+AG61+AM61+AS61+AY61+BE61+BK61+J61+P61+V61+AB61+AH61+AN61+AT61+AZ61+BF61+BL61</f>
        <v/>
      </c>
      <c r="E61" s="46">
        <f>H61+N61+T61+Z61+AF61+AL61+AR61+AX61+BD61+BJ61</f>
        <v/>
      </c>
      <c r="F61">
        <f>MAX(0,'My Debts'!$E$21-(I61+O61+U61+AA61+AG61+AM61+AS61+AY61+BE61+BK61))</f>
        <v/>
      </c>
      <c r="G61" s="42">
        <f>K60</f>
        <v/>
      </c>
      <c r="H61" s="42">
        <f>ROUND(G61*H$6/12,2)</f>
        <v/>
      </c>
      <c r="I61" s="42">
        <f>MIN(I$6,G61+H61)</f>
        <v/>
      </c>
      <c r="J61" s="42">
        <f>MAX(0,MIN(G61+H61-I61,$F61))</f>
        <v/>
      </c>
      <c r="K61" s="42">
        <f>ROUND(G61+H61-I61-J61,2)</f>
        <v/>
      </c>
      <c r="L61">
        <f>$F61-J61</f>
        <v/>
      </c>
      <c r="M61" s="42">
        <f>Q60</f>
        <v/>
      </c>
      <c r="N61" s="42">
        <f>ROUND(M61*N$6/12,2)</f>
        <v/>
      </c>
      <c r="O61" s="42">
        <f>MIN(O$6,M61+N61)</f>
        <v/>
      </c>
      <c r="P61" s="42">
        <f>MAX(0,MIN(M61+N61-O61,L61))</f>
        <v/>
      </c>
      <c r="Q61" s="42">
        <f>ROUND(M61+N61-O61-P61,2)</f>
        <v/>
      </c>
      <c r="R61">
        <f>L61-P61</f>
        <v/>
      </c>
      <c r="S61" s="42">
        <f>W60</f>
        <v/>
      </c>
      <c r="T61" s="42">
        <f>ROUND(S61*T$6/12,2)</f>
        <v/>
      </c>
      <c r="U61" s="42">
        <f>MIN(U$6,S61+T61)</f>
        <v/>
      </c>
      <c r="V61" s="42">
        <f>MAX(0,MIN(S61+T61-U61,R61))</f>
        <v/>
      </c>
      <c r="W61" s="42">
        <f>ROUND(S61+T61-U61-V61,2)</f>
        <v/>
      </c>
      <c r="X61">
        <f>R61-V61</f>
        <v/>
      </c>
      <c r="Y61" s="42">
        <f>AC60</f>
        <v/>
      </c>
      <c r="Z61" s="42">
        <f>ROUND(Y61*Z$6/12,2)</f>
        <v/>
      </c>
      <c r="AA61" s="42">
        <f>MIN(AA$6,Y61+Z61)</f>
        <v/>
      </c>
      <c r="AB61" s="42">
        <f>MAX(0,MIN(Y61+Z61-AA61,X61))</f>
        <v/>
      </c>
      <c r="AC61" s="42">
        <f>ROUND(Y61+Z61-AA61-AB61,2)</f>
        <v/>
      </c>
      <c r="AD61">
        <f>X61-AB61</f>
        <v/>
      </c>
      <c r="AE61" s="42">
        <f>AI60</f>
        <v/>
      </c>
      <c r="AF61" s="42">
        <f>ROUND(AE61*AF$6/12,2)</f>
        <v/>
      </c>
      <c r="AG61" s="42">
        <f>MIN(AG$6,AE61+AF61)</f>
        <v/>
      </c>
      <c r="AH61" s="42">
        <f>MAX(0,MIN(AE61+AF61-AG61,AD61))</f>
        <v/>
      </c>
      <c r="AI61" s="42">
        <f>ROUND(AE61+AF61-AG61-AH61,2)</f>
        <v/>
      </c>
      <c r="AJ61">
        <f>AD61-AH61</f>
        <v/>
      </c>
      <c r="AK61" s="42">
        <f>AO60</f>
        <v/>
      </c>
      <c r="AL61" s="42">
        <f>ROUND(AK61*AL$6/12,2)</f>
        <v/>
      </c>
      <c r="AM61" s="42">
        <f>MIN(AM$6,AK61+AL61)</f>
        <v/>
      </c>
      <c r="AN61" s="42">
        <f>MAX(0,MIN(AK61+AL61-AM61,AJ61))</f>
        <v/>
      </c>
      <c r="AO61" s="42">
        <f>ROUND(AK61+AL61-AM61-AN61,2)</f>
        <v/>
      </c>
      <c r="AP61">
        <f>AJ61-AN61</f>
        <v/>
      </c>
      <c r="AQ61" s="42">
        <f>AU60</f>
        <v/>
      </c>
      <c r="AR61" s="42">
        <f>ROUND(AQ61*AR$6/12,2)</f>
        <v/>
      </c>
      <c r="AS61" s="42">
        <f>MIN(AS$6,AQ61+AR61)</f>
        <v/>
      </c>
      <c r="AT61" s="42">
        <f>MAX(0,MIN(AQ61+AR61-AS61,AP61))</f>
        <v/>
      </c>
      <c r="AU61" s="42">
        <f>ROUND(AQ61+AR61-AS61-AT61,2)</f>
        <v/>
      </c>
      <c r="AV61">
        <f>AP61-AT61</f>
        <v/>
      </c>
      <c r="AW61" s="42">
        <f>BA60</f>
        <v/>
      </c>
      <c r="AX61" s="42">
        <f>ROUND(AW61*AX$6/12,2)</f>
        <v/>
      </c>
      <c r="AY61" s="42">
        <f>MIN(AY$6,AW61+AX61)</f>
        <v/>
      </c>
      <c r="AZ61" s="42">
        <f>MAX(0,MIN(AW61+AX61-AY61,AV61))</f>
        <v/>
      </c>
      <c r="BA61" s="42">
        <f>ROUND(AW61+AX61-AY61-AZ61,2)</f>
        <v/>
      </c>
      <c r="BB61">
        <f>AV61-AZ61</f>
        <v/>
      </c>
      <c r="BC61" s="42">
        <f>BG60</f>
        <v/>
      </c>
      <c r="BD61" s="42">
        <f>ROUND(BC61*BD$6/12,2)</f>
        <v/>
      </c>
      <c r="BE61" s="42">
        <f>MIN(BE$6,BC61+BD61)</f>
        <v/>
      </c>
      <c r="BF61" s="42">
        <f>MAX(0,MIN(BC61+BD61-BE61,BB61))</f>
        <v/>
      </c>
      <c r="BG61" s="42">
        <f>ROUND(BC61+BD61-BE61-BF61,2)</f>
        <v/>
      </c>
      <c r="BH61">
        <f>BB61-BF61</f>
        <v/>
      </c>
      <c r="BI61" s="42">
        <f>BM60</f>
        <v/>
      </c>
      <c r="BJ61" s="42">
        <f>ROUND(BI61*BJ$6/12,2)</f>
        <v/>
      </c>
      <c r="BK61" s="42">
        <f>MIN(BK$6,BI61+BJ61)</f>
        <v/>
      </c>
      <c r="BL61" s="42">
        <f>MAX(0,MIN(BI61+BJ61-BK61,BH61))</f>
        <v/>
      </c>
      <c r="BM61" s="42">
        <f>ROUND(BI61+BJ61-BK61-BL61,2)</f>
        <v/>
      </c>
      <c r="BN61">
        <f>BH61-BL61</f>
        <v/>
      </c>
    </row>
    <row r="62">
      <c r="A62" s="39" t="n">
        <v>55</v>
      </c>
      <c r="B62" s="40">
        <f>EDATE('My Debts'!$C$6,A62-1)</f>
        <v/>
      </c>
      <c r="C62" s="41">
        <f>K62+Q62+W62+AC62+AI62+AO62+AU62+BA62+BG62+BM62</f>
        <v/>
      </c>
      <c r="D62" s="42">
        <f>I62+O62+U62+AA62+AG62+AM62+AS62+AY62+BE62+BK62+J62+P62+V62+AB62+AH62+AN62+AT62+AZ62+BF62+BL62</f>
        <v/>
      </c>
      <c r="E62" s="42">
        <f>H62+N62+T62+Z62+AF62+AL62+AR62+AX62+BD62+BJ62</f>
        <v/>
      </c>
      <c r="F62">
        <f>MAX(0,'My Debts'!$E$21-(I62+O62+U62+AA62+AG62+AM62+AS62+AY62+BE62+BK62))</f>
        <v/>
      </c>
      <c r="G62" s="42">
        <f>K61</f>
        <v/>
      </c>
      <c r="H62" s="42">
        <f>ROUND(G62*H$6/12,2)</f>
        <v/>
      </c>
      <c r="I62" s="42">
        <f>MIN(I$6,G62+H62)</f>
        <v/>
      </c>
      <c r="J62" s="42">
        <f>MAX(0,MIN(G62+H62-I62,$F62))</f>
        <v/>
      </c>
      <c r="K62" s="42">
        <f>ROUND(G62+H62-I62-J62,2)</f>
        <v/>
      </c>
      <c r="L62">
        <f>$F62-J62</f>
        <v/>
      </c>
      <c r="M62" s="42">
        <f>Q61</f>
        <v/>
      </c>
      <c r="N62" s="42">
        <f>ROUND(M62*N$6/12,2)</f>
        <v/>
      </c>
      <c r="O62" s="42">
        <f>MIN(O$6,M62+N62)</f>
        <v/>
      </c>
      <c r="P62" s="42">
        <f>MAX(0,MIN(M62+N62-O62,L62))</f>
        <v/>
      </c>
      <c r="Q62" s="42">
        <f>ROUND(M62+N62-O62-P62,2)</f>
        <v/>
      </c>
      <c r="R62">
        <f>L62-P62</f>
        <v/>
      </c>
      <c r="S62" s="42">
        <f>W61</f>
        <v/>
      </c>
      <c r="T62" s="42">
        <f>ROUND(S62*T$6/12,2)</f>
        <v/>
      </c>
      <c r="U62" s="42">
        <f>MIN(U$6,S62+T62)</f>
        <v/>
      </c>
      <c r="V62" s="42">
        <f>MAX(0,MIN(S62+T62-U62,R62))</f>
        <v/>
      </c>
      <c r="W62" s="42">
        <f>ROUND(S62+T62-U62-V62,2)</f>
        <v/>
      </c>
      <c r="X62">
        <f>R62-V62</f>
        <v/>
      </c>
      <c r="Y62" s="42">
        <f>AC61</f>
        <v/>
      </c>
      <c r="Z62" s="42">
        <f>ROUND(Y62*Z$6/12,2)</f>
        <v/>
      </c>
      <c r="AA62" s="42">
        <f>MIN(AA$6,Y62+Z62)</f>
        <v/>
      </c>
      <c r="AB62" s="42">
        <f>MAX(0,MIN(Y62+Z62-AA62,X62))</f>
        <v/>
      </c>
      <c r="AC62" s="42">
        <f>ROUND(Y62+Z62-AA62-AB62,2)</f>
        <v/>
      </c>
      <c r="AD62">
        <f>X62-AB62</f>
        <v/>
      </c>
      <c r="AE62" s="42">
        <f>AI61</f>
        <v/>
      </c>
      <c r="AF62" s="42">
        <f>ROUND(AE62*AF$6/12,2)</f>
        <v/>
      </c>
      <c r="AG62" s="42">
        <f>MIN(AG$6,AE62+AF62)</f>
        <v/>
      </c>
      <c r="AH62" s="42">
        <f>MAX(0,MIN(AE62+AF62-AG62,AD62))</f>
        <v/>
      </c>
      <c r="AI62" s="42">
        <f>ROUND(AE62+AF62-AG62-AH62,2)</f>
        <v/>
      </c>
      <c r="AJ62">
        <f>AD62-AH62</f>
        <v/>
      </c>
      <c r="AK62" s="42">
        <f>AO61</f>
        <v/>
      </c>
      <c r="AL62" s="42">
        <f>ROUND(AK62*AL$6/12,2)</f>
        <v/>
      </c>
      <c r="AM62" s="42">
        <f>MIN(AM$6,AK62+AL62)</f>
        <v/>
      </c>
      <c r="AN62" s="42">
        <f>MAX(0,MIN(AK62+AL62-AM62,AJ62))</f>
        <v/>
      </c>
      <c r="AO62" s="42">
        <f>ROUND(AK62+AL62-AM62-AN62,2)</f>
        <v/>
      </c>
      <c r="AP62">
        <f>AJ62-AN62</f>
        <v/>
      </c>
      <c r="AQ62" s="42">
        <f>AU61</f>
        <v/>
      </c>
      <c r="AR62" s="42">
        <f>ROUND(AQ62*AR$6/12,2)</f>
        <v/>
      </c>
      <c r="AS62" s="42">
        <f>MIN(AS$6,AQ62+AR62)</f>
        <v/>
      </c>
      <c r="AT62" s="42">
        <f>MAX(0,MIN(AQ62+AR62-AS62,AP62))</f>
        <v/>
      </c>
      <c r="AU62" s="42">
        <f>ROUND(AQ62+AR62-AS62-AT62,2)</f>
        <v/>
      </c>
      <c r="AV62">
        <f>AP62-AT62</f>
        <v/>
      </c>
      <c r="AW62" s="42">
        <f>BA61</f>
        <v/>
      </c>
      <c r="AX62" s="42">
        <f>ROUND(AW62*AX$6/12,2)</f>
        <v/>
      </c>
      <c r="AY62" s="42">
        <f>MIN(AY$6,AW62+AX62)</f>
        <v/>
      </c>
      <c r="AZ62" s="42">
        <f>MAX(0,MIN(AW62+AX62-AY62,AV62))</f>
        <v/>
      </c>
      <c r="BA62" s="42">
        <f>ROUND(AW62+AX62-AY62-AZ62,2)</f>
        <v/>
      </c>
      <c r="BB62">
        <f>AV62-AZ62</f>
        <v/>
      </c>
      <c r="BC62" s="42">
        <f>BG61</f>
        <v/>
      </c>
      <c r="BD62" s="42">
        <f>ROUND(BC62*BD$6/12,2)</f>
        <v/>
      </c>
      <c r="BE62" s="42">
        <f>MIN(BE$6,BC62+BD62)</f>
        <v/>
      </c>
      <c r="BF62" s="42">
        <f>MAX(0,MIN(BC62+BD62-BE62,BB62))</f>
        <v/>
      </c>
      <c r="BG62" s="42">
        <f>ROUND(BC62+BD62-BE62-BF62,2)</f>
        <v/>
      </c>
      <c r="BH62">
        <f>BB62-BF62</f>
        <v/>
      </c>
      <c r="BI62" s="42">
        <f>BM61</f>
        <v/>
      </c>
      <c r="BJ62" s="42">
        <f>ROUND(BI62*BJ$6/12,2)</f>
        <v/>
      </c>
      <c r="BK62" s="42">
        <f>MIN(BK$6,BI62+BJ62)</f>
        <v/>
      </c>
      <c r="BL62" s="42">
        <f>MAX(0,MIN(BI62+BJ62-BK62,BH62))</f>
        <v/>
      </c>
      <c r="BM62" s="42">
        <f>ROUND(BI62+BJ62-BK62-BL62,2)</f>
        <v/>
      </c>
      <c r="BN62">
        <f>BH62-BL62</f>
        <v/>
      </c>
    </row>
    <row r="63">
      <c r="A63" s="43" t="n">
        <v>56</v>
      </c>
      <c r="B63" s="44">
        <f>EDATE('My Debts'!$C$6,A63-1)</f>
        <v/>
      </c>
      <c r="C63" s="45">
        <f>K63+Q63+W63+AC63+AI63+AO63+AU63+BA63+BG63+BM63</f>
        <v/>
      </c>
      <c r="D63" s="46">
        <f>I63+O63+U63+AA63+AG63+AM63+AS63+AY63+BE63+BK63+J63+P63+V63+AB63+AH63+AN63+AT63+AZ63+BF63+BL63</f>
        <v/>
      </c>
      <c r="E63" s="46">
        <f>H63+N63+T63+Z63+AF63+AL63+AR63+AX63+BD63+BJ63</f>
        <v/>
      </c>
      <c r="F63">
        <f>MAX(0,'My Debts'!$E$21-(I63+O63+U63+AA63+AG63+AM63+AS63+AY63+BE63+BK63))</f>
        <v/>
      </c>
      <c r="G63" s="42">
        <f>K62</f>
        <v/>
      </c>
      <c r="H63" s="42">
        <f>ROUND(G63*H$6/12,2)</f>
        <v/>
      </c>
      <c r="I63" s="42">
        <f>MIN(I$6,G63+H63)</f>
        <v/>
      </c>
      <c r="J63" s="42">
        <f>MAX(0,MIN(G63+H63-I63,$F63))</f>
        <v/>
      </c>
      <c r="K63" s="42">
        <f>ROUND(G63+H63-I63-J63,2)</f>
        <v/>
      </c>
      <c r="L63">
        <f>$F63-J63</f>
        <v/>
      </c>
      <c r="M63" s="42">
        <f>Q62</f>
        <v/>
      </c>
      <c r="N63" s="42">
        <f>ROUND(M63*N$6/12,2)</f>
        <v/>
      </c>
      <c r="O63" s="42">
        <f>MIN(O$6,M63+N63)</f>
        <v/>
      </c>
      <c r="P63" s="42">
        <f>MAX(0,MIN(M63+N63-O63,L63))</f>
        <v/>
      </c>
      <c r="Q63" s="42">
        <f>ROUND(M63+N63-O63-P63,2)</f>
        <v/>
      </c>
      <c r="R63">
        <f>L63-P63</f>
        <v/>
      </c>
      <c r="S63" s="42">
        <f>W62</f>
        <v/>
      </c>
      <c r="T63" s="42">
        <f>ROUND(S63*T$6/12,2)</f>
        <v/>
      </c>
      <c r="U63" s="42">
        <f>MIN(U$6,S63+T63)</f>
        <v/>
      </c>
      <c r="V63" s="42">
        <f>MAX(0,MIN(S63+T63-U63,R63))</f>
        <v/>
      </c>
      <c r="W63" s="42">
        <f>ROUND(S63+T63-U63-V63,2)</f>
        <v/>
      </c>
      <c r="X63">
        <f>R63-V63</f>
        <v/>
      </c>
      <c r="Y63" s="42">
        <f>AC62</f>
        <v/>
      </c>
      <c r="Z63" s="42">
        <f>ROUND(Y63*Z$6/12,2)</f>
        <v/>
      </c>
      <c r="AA63" s="42">
        <f>MIN(AA$6,Y63+Z63)</f>
        <v/>
      </c>
      <c r="AB63" s="42">
        <f>MAX(0,MIN(Y63+Z63-AA63,X63))</f>
        <v/>
      </c>
      <c r="AC63" s="42">
        <f>ROUND(Y63+Z63-AA63-AB63,2)</f>
        <v/>
      </c>
      <c r="AD63">
        <f>X63-AB63</f>
        <v/>
      </c>
      <c r="AE63" s="42">
        <f>AI62</f>
        <v/>
      </c>
      <c r="AF63" s="42">
        <f>ROUND(AE63*AF$6/12,2)</f>
        <v/>
      </c>
      <c r="AG63" s="42">
        <f>MIN(AG$6,AE63+AF63)</f>
        <v/>
      </c>
      <c r="AH63" s="42">
        <f>MAX(0,MIN(AE63+AF63-AG63,AD63))</f>
        <v/>
      </c>
      <c r="AI63" s="42">
        <f>ROUND(AE63+AF63-AG63-AH63,2)</f>
        <v/>
      </c>
      <c r="AJ63">
        <f>AD63-AH63</f>
        <v/>
      </c>
      <c r="AK63" s="42">
        <f>AO62</f>
        <v/>
      </c>
      <c r="AL63" s="42">
        <f>ROUND(AK63*AL$6/12,2)</f>
        <v/>
      </c>
      <c r="AM63" s="42">
        <f>MIN(AM$6,AK63+AL63)</f>
        <v/>
      </c>
      <c r="AN63" s="42">
        <f>MAX(0,MIN(AK63+AL63-AM63,AJ63))</f>
        <v/>
      </c>
      <c r="AO63" s="42">
        <f>ROUND(AK63+AL63-AM63-AN63,2)</f>
        <v/>
      </c>
      <c r="AP63">
        <f>AJ63-AN63</f>
        <v/>
      </c>
      <c r="AQ63" s="42">
        <f>AU62</f>
        <v/>
      </c>
      <c r="AR63" s="42">
        <f>ROUND(AQ63*AR$6/12,2)</f>
        <v/>
      </c>
      <c r="AS63" s="42">
        <f>MIN(AS$6,AQ63+AR63)</f>
        <v/>
      </c>
      <c r="AT63" s="42">
        <f>MAX(0,MIN(AQ63+AR63-AS63,AP63))</f>
        <v/>
      </c>
      <c r="AU63" s="42">
        <f>ROUND(AQ63+AR63-AS63-AT63,2)</f>
        <v/>
      </c>
      <c r="AV63">
        <f>AP63-AT63</f>
        <v/>
      </c>
      <c r="AW63" s="42">
        <f>BA62</f>
        <v/>
      </c>
      <c r="AX63" s="42">
        <f>ROUND(AW63*AX$6/12,2)</f>
        <v/>
      </c>
      <c r="AY63" s="42">
        <f>MIN(AY$6,AW63+AX63)</f>
        <v/>
      </c>
      <c r="AZ63" s="42">
        <f>MAX(0,MIN(AW63+AX63-AY63,AV63))</f>
        <v/>
      </c>
      <c r="BA63" s="42">
        <f>ROUND(AW63+AX63-AY63-AZ63,2)</f>
        <v/>
      </c>
      <c r="BB63">
        <f>AV63-AZ63</f>
        <v/>
      </c>
      <c r="BC63" s="42">
        <f>BG62</f>
        <v/>
      </c>
      <c r="BD63" s="42">
        <f>ROUND(BC63*BD$6/12,2)</f>
        <v/>
      </c>
      <c r="BE63" s="42">
        <f>MIN(BE$6,BC63+BD63)</f>
        <v/>
      </c>
      <c r="BF63" s="42">
        <f>MAX(0,MIN(BC63+BD63-BE63,BB63))</f>
        <v/>
      </c>
      <c r="BG63" s="42">
        <f>ROUND(BC63+BD63-BE63-BF63,2)</f>
        <v/>
      </c>
      <c r="BH63">
        <f>BB63-BF63</f>
        <v/>
      </c>
      <c r="BI63" s="42">
        <f>BM62</f>
        <v/>
      </c>
      <c r="BJ63" s="42">
        <f>ROUND(BI63*BJ$6/12,2)</f>
        <v/>
      </c>
      <c r="BK63" s="42">
        <f>MIN(BK$6,BI63+BJ63)</f>
        <v/>
      </c>
      <c r="BL63" s="42">
        <f>MAX(0,MIN(BI63+BJ63-BK63,BH63))</f>
        <v/>
      </c>
      <c r="BM63" s="42">
        <f>ROUND(BI63+BJ63-BK63-BL63,2)</f>
        <v/>
      </c>
      <c r="BN63">
        <f>BH63-BL63</f>
        <v/>
      </c>
    </row>
    <row r="64">
      <c r="A64" s="39" t="n">
        <v>57</v>
      </c>
      <c r="B64" s="40">
        <f>EDATE('My Debts'!$C$6,A64-1)</f>
        <v/>
      </c>
      <c r="C64" s="41">
        <f>K64+Q64+W64+AC64+AI64+AO64+AU64+BA64+BG64+BM64</f>
        <v/>
      </c>
      <c r="D64" s="42">
        <f>I64+O64+U64+AA64+AG64+AM64+AS64+AY64+BE64+BK64+J64+P64+V64+AB64+AH64+AN64+AT64+AZ64+BF64+BL64</f>
        <v/>
      </c>
      <c r="E64" s="42">
        <f>H64+N64+T64+Z64+AF64+AL64+AR64+AX64+BD64+BJ64</f>
        <v/>
      </c>
      <c r="F64">
        <f>MAX(0,'My Debts'!$E$21-(I64+O64+U64+AA64+AG64+AM64+AS64+AY64+BE64+BK64))</f>
        <v/>
      </c>
      <c r="G64" s="42">
        <f>K63</f>
        <v/>
      </c>
      <c r="H64" s="42">
        <f>ROUND(G64*H$6/12,2)</f>
        <v/>
      </c>
      <c r="I64" s="42">
        <f>MIN(I$6,G64+H64)</f>
        <v/>
      </c>
      <c r="J64" s="42">
        <f>MAX(0,MIN(G64+H64-I64,$F64))</f>
        <v/>
      </c>
      <c r="K64" s="42">
        <f>ROUND(G64+H64-I64-J64,2)</f>
        <v/>
      </c>
      <c r="L64">
        <f>$F64-J64</f>
        <v/>
      </c>
      <c r="M64" s="42">
        <f>Q63</f>
        <v/>
      </c>
      <c r="N64" s="42">
        <f>ROUND(M64*N$6/12,2)</f>
        <v/>
      </c>
      <c r="O64" s="42">
        <f>MIN(O$6,M64+N64)</f>
        <v/>
      </c>
      <c r="P64" s="42">
        <f>MAX(0,MIN(M64+N64-O64,L64))</f>
        <v/>
      </c>
      <c r="Q64" s="42">
        <f>ROUND(M64+N64-O64-P64,2)</f>
        <v/>
      </c>
      <c r="R64">
        <f>L64-P64</f>
        <v/>
      </c>
      <c r="S64" s="42">
        <f>W63</f>
        <v/>
      </c>
      <c r="T64" s="42">
        <f>ROUND(S64*T$6/12,2)</f>
        <v/>
      </c>
      <c r="U64" s="42">
        <f>MIN(U$6,S64+T64)</f>
        <v/>
      </c>
      <c r="V64" s="42">
        <f>MAX(0,MIN(S64+T64-U64,R64))</f>
        <v/>
      </c>
      <c r="W64" s="42">
        <f>ROUND(S64+T64-U64-V64,2)</f>
        <v/>
      </c>
      <c r="X64">
        <f>R64-V64</f>
        <v/>
      </c>
      <c r="Y64" s="42">
        <f>AC63</f>
        <v/>
      </c>
      <c r="Z64" s="42">
        <f>ROUND(Y64*Z$6/12,2)</f>
        <v/>
      </c>
      <c r="AA64" s="42">
        <f>MIN(AA$6,Y64+Z64)</f>
        <v/>
      </c>
      <c r="AB64" s="42">
        <f>MAX(0,MIN(Y64+Z64-AA64,X64))</f>
        <v/>
      </c>
      <c r="AC64" s="42">
        <f>ROUND(Y64+Z64-AA64-AB64,2)</f>
        <v/>
      </c>
      <c r="AD64">
        <f>X64-AB64</f>
        <v/>
      </c>
      <c r="AE64" s="42">
        <f>AI63</f>
        <v/>
      </c>
      <c r="AF64" s="42">
        <f>ROUND(AE64*AF$6/12,2)</f>
        <v/>
      </c>
      <c r="AG64" s="42">
        <f>MIN(AG$6,AE64+AF64)</f>
        <v/>
      </c>
      <c r="AH64" s="42">
        <f>MAX(0,MIN(AE64+AF64-AG64,AD64))</f>
        <v/>
      </c>
      <c r="AI64" s="42">
        <f>ROUND(AE64+AF64-AG64-AH64,2)</f>
        <v/>
      </c>
      <c r="AJ64">
        <f>AD64-AH64</f>
        <v/>
      </c>
      <c r="AK64" s="42">
        <f>AO63</f>
        <v/>
      </c>
      <c r="AL64" s="42">
        <f>ROUND(AK64*AL$6/12,2)</f>
        <v/>
      </c>
      <c r="AM64" s="42">
        <f>MIN(AM$6,AK64+AL64)</f>
        <v/>
      </c>
      <c r="AN64" s="42">
        <f>MAX(0,MIN(AK64+AL64-AM64,AJ64))</f>
        <v/>
      </c>
      <c r="AO64" s="42">
        <f>ROUND(AK64+AL64-AM64-AN64,2)</f>
        <v/>
      </c>
      <c r="AP64">
        <f>AJ64-AN64</f>
        <v/>
      </c>
      <c r="AQ64" s="42">
        <f>AU63</f>
        <v/>
      </c>
      <c r="AR64" s="42">
        <f>ROUND(AQ64*AR$6/12,2)</f>
        <v/>
      </c>
      <c r="AS64" s="42">
        <f>MIN(AS$6,AQ64+AR64)</f>
        <v/>
      </c>
      <c r="AT64" s="42">
        <f>MAX(0,MIN(AQ64+AR64-AS64,AP64))</f>
        <v/>
      </c>
      <c r="AU64" s="42">
        <f>ROUND(AQ64+AR64-AS64-AT64,2)</f>
        <v/>
      </c>
      <c r="AV64">
        <f>AP64-AT64</f>
        <v/>
      </c>
      <c r="AW64" s="42">
        <f>BA63</f>
        <v/>
      </c>
      <c r="AX64" s="42">
        <f>ROUND(AW64*AX$6/12,2)</f>
        <v/>
      </c>
      <c r="AY64" s="42">
        <f>MIN(AY$6,AW64+AX64)</f>
        <v/>
      </c>
      <c r="AZ64" s="42">
        <f>MAX(0,MIN(AW64+AX64-AY64,AV64))</f>
        <v/>
      </c>
      <c r="BA64" s="42">
        <f>ROUND(AW64+AX64-AY64-AZ64,2)</f>
        <v/>
      </c>
      <c r="BB64">
        <f>AV64-AZ64</f>
        <v/>
      </c>
      <c r="BC64" s="42">
        <f>BG63</f>
        <v/>
      </c>
      <c r="BD64" s="42">
        <f>ROUND(BC64*BD$6/12,2)</f>
        <v/>
      </c>
      <c r="BE64" s="42">
        <f>MIN(BE$6,BC64+BD64)</f>
        <v/>
      </c>
      <c r="BF64" s="42">
        <f>MAX(0,MIN(BC64+BD64-BE64,BB64))</f>
        <v/>
      </c>
      <c r="BG64" s="42">
        <f>ROUND(BC64+BD64-BE64-BF64,2)</f>
        <v/>
      </c>
      <c r="BH64">
        <f>BB64-BF64</f>
        <v/>
      </c>
      <c r="BI64" s="42">
        <f>BM63</f>
        <v/>
      </c>
      <c r="BJ64" s="42">
        <f>ROUND(BI64*BJ$6/12,2)</f>
        <v/>
      </c>
      <c r="BK64" s="42">
        <f>MIN(BK$6,BI64+BJ64)</f>
        <v/>
      </c>
      <c r="BL64" s="42">
        <f>MAX(0,MIN(BI64+BJ64-BK64,BH64))</f>
        <v/>
      </c>
      <c r="BM64" s="42">
        <f>ROUND(BI64+BJ64-BK64-BL64,2)</f>
        <v/>
      </c>
      <c r="BN64">
        <f>BH64-BL64</f>
        <v/>
      </c>
    </row>
    <row r="65">
      <c r="A65" s="43" t="n">
        <v>58</v>
      </c>
      <c r="B65" s="44">
        <f>EDATE('My Debts'!$C$6,A65-1)</f>
        <v/>
      </c>
      <c r="C65" s="45">
        <f>K65+Q65+W65+AC65+AI65+AO65+AU65+BA65+BG65+BM65</f>
        <v/>
      </c>
      <c r="D65" s="46">
        <f>I65+O65+U65+AA65+AG65+AM65+AS65+AY65+BE65+BK65+J65+P65+V65+AB65+AH65+AN65+AT65+AZ65+BF65+BL65</f>
        <v/>
      </c>
      <c r="E65" s="46">
        <f>H65+N65+T65+Z65+AF65+AL65+AR65+AX65+BD65+BJ65</f>
        <v/>
      </c>
      <c r="F65">
        <f>MAX(0,'My Debts'!$E$21-(I65+O65+U65+AA65+AG65+AM65+AS65+AY65+BE65+BK65))</f>
        <v/>
      </c>
      <c r="G65" s="42">
        <f>K64</f>
        <v/>
      </c>
      <c r="H65" s="42">
        <f>ROUND(G65*H$6/12,2)</f>
        <v/>
      </c>
      <c r="I65" s="42">
        <f>MIN(I$6,G65+H65)</f>
        <v/>
      </c>
      <c r="J65" s="42">
        <f>MAX(0,MIN(G65+H65-I65,$F65))</f>
        <v/>
      </c>
      <c r="K65" s="42">
        <f>ROUND(G65+H65-I65-J65,2)</f>
        <v/>
      </c>
      <c r="L65">
        <f>$F65-J65</f>
        <v/>
      </c>
      <c r="M65" s="42">
        <f>Q64</f>
        <v/>
      </c>
      <c r="N65" s="42">
        <f>ROUND(M65*N$6/12,2)</f>
        <v/>
      </c>
      <c r="O65" s="42">
        <f>MIN(O$6,M65+N65)</f>
        <v/>
      </c>
      <c r="P65" s="42">
        <f>MAX(0,MIN(M65+N65-O65,L65))</f>
        <v/>
      </c>
      <c r="Q65" s="42">
        <f>ROUND(M65+N65-O65-P65,2)</f>
        <v/>
      </c>
      <c r="R65">
        <f>L65-P65</f>
        <v/>
      </c>
      <c r="S65" s="42">
        <f>W64</f>
        <v/>
      </c>
      <c r="T65" s="42">
        <f>ROUND(S65*T$6/12,2)</f>
        <v/>
      </c>
      <c r="U65" s="42">
        <f>MIN(U$6,S65+T65)</f>
        <v/>
      </c>
      <c r="V65" s="42">
        <f>MAX(0,MIN(S65+T65-U65,R65))</f>
        <v/>
      </c>
      <c r="W65" s="42">
        <f>ROUND(S65+T65-U65-V65,2)</f>
        <v/>
      </c>
      <c r="X65">
        <f>R65-V65</f>
        <v/>
      </c>
      <c r="Y65" s="42">
        <f>AC64</f>
        <v/>
      </c>
      <c r="Z65" s="42">
        <f>ROUND(Y65*Z$6/12,2)</f>
        <v/>
      </c>
      <c r="AA65" s="42">
        <f>MIN(AA$6,Y65+Z65)</f>
        <v/>
      </c>
      <c r="AB65" s="42">
        <f>MAX(0,MIN(Y65+Z65-AA65,X65))</f>
        <v/>
      </c>
      <c r="AC65" s="42">
        <f>ROUND(Y65+Z65-AA65-AB65,2)</f>
        <v/>
      </c>
      <c r="AD65">
        <f>X65-AB65</f>
        <v/>
      </c>
      <c r="AE65" s="42">
        <f>AI64</f>
        <v/>
      </c>
      <c r="AF65" s="42">
        <f>ROUND(AE65*AF$6/12,2)</f>
        <v/>
      </c>
      <c r="AG65" s="42">
        <f>MIN(AG$6,AE65+AF65)</f>
        <v/>
      </c>
      <c r="AH65" s="42">
        <f>MAX(0,MIN(AE65+AF65-AG65,AD65))</f>
        <v/>
      </c>
      <c r="AI65" s="42">
        <f>ROUND(AE65+AF65-AG65-AH65,2)</f>
        <v/>
      </c>
      <c r="AJ65">
        <f>AD65-AH65</f>
        <v/>
      </c>
      <c r="AK65" s="42">
        <f>AO64</f>
        <v/>
      </c>
      <c r="AL65" s="42">
        <f>ROUND(AK65*AL$6/12,2)</f>
        <v/>
      </c>
      <c r="AM65" s="42">
        <f>MIN(AM$6,AK65+AL65)</f>
        <v/>
      </c>
      <c r="AN65" s="42">
        <f>MAX(0,MIN(AK65+AL65-AM65,AJ65))</f>
        <v/>
      </c>
      <c r="AO65" s="42">
        <f>ROUND(AK65+AL65-AM65-AN65,2)</f>
        <v/>
      </c>
      <c r="AP65">
        <f>AJ65-AN65</f>
        <v/>
      </c>
      <c r="AQ65" s="42">
        <f>AU64</f>
        <v/>
      </c>
      <c r="AR65" s="42">
        <f>ROUND(AQ65*AR$6/12,2)</f>
        <v/>
      </c>
      <c r="AS65" s="42">
        <f>MIN(AS$6,AQ65+AR65)</f>
        <v/>
      </c>
      <c r="AT65" s="42">
        <f>MAX(0,MIN(AQ65+AR65-AS65,AP65))</f>
        <v/>
      </c>
      <c r="AU65" s="42">
        <f>ROUND(AQ65+AR65-AS65-AT65,2)</f>
        <v/>
      </c>
      <c r="AV65">
        <f>AP65-AT65</f>
        <v/>
      </c>
      <c r="AW65" s="42">
        <f>BA64</f>
        <v/>
      </c>
      <c r="AX65" s="42">
        <f>ROUND(AW65*AX$6/12,2)</f>
        <v/>
      </c>
      <c r="AY65" s="42">
        <f>MIN(AY$6,AW65+AX65)</f>
        <v/>
      </c>
      <c r="AZ65" s="42">
        <f>MAX(0,MIN(AW65+AX65-AY65,AV65))</f>
        <v/>
      </c>
      <c r="BA65" s="42">
        <f>ROUND(AW65+AX65-AY65-AZ65,2)</f>
        <v/>
      </c>
      <c r="BB65">
        <f>AV65-AZ65</f>
        <v/>
      </c>
      <c r="BC65" s="42">
        <f>BG64</f>
        <v/>
      </c>
      <c r="BD65" s="42">
        <f>ROUND(BC65*BD$6/12,2)</f>
        <v/>
      </c>
      <c r="BE65" s="42">
        <f>MIN(BE$6,BC65+BD65)</f>
        <v/>
      </c>
      <c r="BF65" s="42">
        <f>MAX(0,MIN(BC65+BD65-BE65,BB65))</f>
        <v/>
      </c>
      <c r="BG65" s="42">
        <f>ROUND(BC65+BD65-BE65-BF65,2)</f>
        <v/>
      </c>
      <c r="BH65">
        <f>BB65-BF65</f>
        <v/>
      </c>
      <c r="BI65" s="42">
        <f>BM64</f>
        <v/>
      </c>
      <c r="BJ65" s="42">
        <f>ROUND(BI65*BJ$6/12,2)</f>
        <v/>
      </c>
      <c r="BK65" s="42">
        <f>MIN(BK$6,BI65+BJ65)</f>
        <v/>
      </c>
      <c r="BL65" s="42">
        <f>MAX(0,MIN(BI65+BJ65-BK65,BH65))</f>
        <v/>
      </c>
      <c r="BM65" s="42">
        <f>ROUND(BI65+BJ65-BK65-BL65,2)</f>
        <v/>
      </c>
      <c r="BN65">
        <f>BH65-BL65</f>
        <v/>
      </c>
    </row>
    <row r="66">
      <c r="A66" s="39" t="n">
        <v>59</v>
      </c>
      <c r="B66" s="40">
        <f>EDATE('My Debts'!$C$6,A66-1)</f>
        <v/>
      </c>
      <c r="C66" s="41">
        <f>K66+Q66+W66+AC66+AI66+AO66+AU66+BA66+BG66+BM66</f>
        <v/>
      </c>
      <c r="D66" s="42">
        <f>I66+O66+U66+AA66+AG66+AM66+AS66+AY66+BE66+BK66+J66+P66+V66+AB66+AH66+AN66+AT66+AZ66+BF66+BL66</f>
        <v/>
      </c>
      <c r="E66" s="42">
        <f>H66+N66+T66+Z66+AF66+AL66+AR66+AX66+BD66+BJ66</f>
        <v/>
      </c>
      <c r="F66">
        <f>MAX(0,'My Debts'!$E$21-(I66+O66+U66+AA66+AG66+AM66+AS66+AY66+BE66+BK66))</f>
        <v/>
      </c>
      <c r="G66" s="42">
        <f>K65</f>
        <v/>
      </c>
      <c r="H66" s="42">
        <f>ROUND(G66*H$6/12,2)</f>
        <v/>
      </c>
      <c r="I66" s="42">
        <f>MIN(I$6,G66+H66)</f>
        <v/>
      </c>
      <c r="J66" s="42">
        <f>MAX(0,MIN(G66+H66-I66,$F66))</f>
        <v/>
      </c>
      <c r="K66" s="42">
        <f>ROUND(G66+H66-I66-J66,2)</f>
        <v/>
      </c>
      <c r="L66">
        <f>$F66-J66</f>
        <v/>
      </c>
      <c r="M66" s="42">
        <f>Q65</f>
        <v/>
      </c>
      <c r="N66" s="42">
        <f>ROUND(M66*N$6/12,2)</f>
        <v/>
      </c>
      <c r="O66" s="42">
        <f>MIN(O$6,M66+N66)</f>
        <v/>
      </c>
      <c r="P66" s="42">
        <f>MAX(0,MIN(M66+N66-O66,L66))</f>
        <v/>
      </c>
      <c r="Q66" s="42">
        <f>ROUND(M66+N66-O66-P66,2)</f>
        <v/>
      </c>
      <c r="R66">
        <f>L66-P66</f>
        <v/>
      </c>
      <c r="S66" s="42">
        <f>W65</f>
        <v/>
      </c>
      <c r="T66" s="42">
        <f>ROUND(S66*T$6/12,2)</f>
        <v/>
      </c>
      <c r="U66" s="42">
        <f>MIN(U$6,S66+T66)</f>
        <v/>
      </c>
      <c r="V66" s="42">
        <f>MAX(0,MIN(S66+T66-U66,R66))</f>
        <v/>
      </c>
      <c r="W66" s="42">
        <f>ROUND(S66+T66-U66-V66,2)</f>
        <v/>
      </c>
      <c r="X66">
        <f>R66-V66</f>
        <v/>
      </c>
      <c r="Y66" s="42">
        <f>AC65</f>
        <v/>
      </c>
      <c r="Z66" s="42">
        <f>ROUND(Y66*Z$6/12,2)</f>
        <v/>
      </c>
      <c r="AA66" s="42">
        <f>MIN(AA$6,Y66+Z66)</f>
        <v/>
      </c>
      <c r="AB66" s="42">
        <f>MAX(0,MIN(Y66+Z66-AA66,X66))</f>
        <v/>
      </c>
      <c r="AC66" s="42">
        <f>ROUND(Y66+Z66-AA66-AB66,2)</f>
        <v/>
      </c>
      <c r="AD66">
        <f>X66-AB66</f>
        <v/>
      </c>
      <c r="AE66" s="42">
        <f>AI65</f>
        <v/>
      </c>
      <c r="AF66" s="42">
        <f>ROUND(AE66*AF$6/12,2)</f>
        <v/>
      </c>
      <c r="AG66" s="42">
        <f>MIN(AG$6,AE66+AF66)</f>
        <v/>
      </c>
      <c r="AH66" s="42">
        <f>MAX(0,MIN(AE66+AF66-AG66,AD66))</f>
        <v/>
      </c>
      <c r="AI66" s="42">
        <f>ROUND(AE66+AF66-AG66-AH66,2)</f>
        <v/>
      </c>
      <c r="AJ66">
        <f>AD66-AH66</f>
        <v/>
      </c>
      <c r="AK66" s="42">
        <f>AO65</f>
        <v/>
      </c>
      <c r="AL66" s="42">
        <f>ROUND(AK66*AL$6/12,2)</f>
        <v/>
      </c>
      <c r="AM66" s="42">
        <f>MIN(AM$6,AK66+AL66)</f>
        <v/>
      </c>
      <c r="AN66" s="42">
        <f>MAX(0,MIN(AK66+AL66-AM66,AJ66))</f>
        <v/>
      </c>
      <c r="AO66" s="42">
        <f>ROUND(AK66+AL66-AM66-AN66,2)</f>
        <v/>
      </c>
      <c r="AP66">
        <f>AJ66-AN66</f>
        <v/>
      </c>
      <c r="AQ66" s="42">
        <f>AU65</f>
        <v/>
      </c>
      <c r="AR66" s="42">
        <f>ROUND(AQ66*AR$6/12,2)</f>
        <v/>
      </c>
      <c r="AS66" s="42">
        <f>MIN(AS$6,AQ66+AR66)</f>
        <v/>
      </c>
      <c r="AT66" s="42">
        <f>MAX(0,MIN(AQ66+AR66-AS66,AP66))</f>
        <v/>
      </c>
      <c r="AU66" s="42">
        <f>ROUND(AQ66+AR66-AS66-AT66,2)</f>
        <v/>
      </c>
      <c r="AV66">
        <f>AP66-AT66</f>
        <v/>
      </c>
      <c r="AW66" s="42">
        <f>BA65</f>
        <v/>
      </c>
      <c r="AX66" s="42">
        <f>ROUND(AW66*AX$6/12,2)</f>
        <v/>
      </c>
      <c r="AY66" s="42">
        <f>MIN(AY$6,AW66+AX66)</f>
        <v/>
      </c>
      <c r="AZ66" s="42">
        <f>MAX(0,MIN(AW66+AX66-AY66,AV66))</f>
        <v/>
      </c>
      <c r="BA66" s="42">
        <f>ROUND(AW66+AX66-AY66-AZ66,2)</f>
        <v/>
      </c>
      <c r="BB66">
        <f>AV66-AZ66</f>
        <v/>
      </c>
      <c r="BC66" s="42">
        <f>BG65</f>
        <v/>
      </c>
      <c r="BD66" s="42">
        <f>ROUND(BC66*BD$6/12,2)</f>
        <v/>
      </c>
      <c r="BE66" s="42">
        <f>MIN(BE$6,BC66+BD66)</f>
        <v/>
      </c>
      <c r="BF66" s="42">
        <f>MAX(0,MIN(BC66+BD66-BE66,BB66))</f>
        <v/>
      </c>
      <c r="BG66" s="42">
        <f>ROUND(BC66+BD66-BE66-BF66,2)</f>
        <v/>
      </c>
      <c r="BH66">
        <f>BB66-BF66</f>
        <v/>
      </c>
      <c r="BI66" s="42">
        <f>BM65</f>
        <v/>
      </c>
      <c r="BJ66" s="42">
        <f>ROUND(BI66*BJ$6/12,2)</f>
        <v/>
      </c>
      <c r="BK66" s="42">
        <f>MIN(BK$6,BI66+BJ66)</f>
        <v/>
      </c>
      <c r="BL66" s="42">
        <f>MAX(0,MIN(BI66+BJ66-BK66,BH66))</f>
        <v/>
      </c>
      <c r="BM66" s="42">
        <f>ROUND(BI66+BJ66-BK66-BL66,2)</f>
        <v/>
      </c>
      <c r="BN66">
        <f>BH66-BL66</f>
        <v/>
      </c>
    </row>
    <row r="67">
      <c r="A67" s="43" t="n">
        <v>60</v>
      </c>
      <c r="B67" s="44">
        <f>EDATE('My Debts'!$C$6,A67-1)</f>
        <v/>
      </c>
      <c r="C67" s="45">
        <f>K67+Q67+W67+AC67+AI67+AO67+AU67+BA67+BG67+BM67</f>
        <v/>
      </c>
      <c r="D67" s="46">
        <f>I67+O67+U67+AA67+AG67+AM67+AS67+AY67+BE67+BK67+J67+P67+V67+AB67+AH67+AN67+AT67+AZ67+BF67+BL67</f>
        <v/>
      </c>
      <c r="E67" s="46">
        <f>H67+N67+T67+Z67+AF67+AL67+AR67+AX67+BD67+BJ67</f>
        <v/>
      </c>
      <c r="F67">
        <f>MAX(0,'My Debts'!$E$21-(I67+O67+U67+AA67+AG67+AM67+AS67+AY67+BE67+BK67))</f>
        <v/>
      </c>
      <c r="G67" s="42">
        <f>K66</f>
        <v/>
      </c>
      <c r="H67" s="42">
        <f>ROUND(G67*H$6/12,2)</f>
        <v/>
      </c>
      <c r="I67" s="42">
        <f>MIN(I$6,G67+H67)</f>
        <v/>
      </c>
      <c r="J67" s="42">
        <f>MAX(0,MIN(G67+H67-I67,$F67))</f>
        <v/>
      </c>
      <c r="K67" s="42">
        <f>ROUND(G67+H67-I67-J67,2)</f>
        <v/>
      </c>
      <c r="L67">
        <f>$F67-J67</f>
        <v/>
      </c>
      <c r="M67" s="42">
        <f>Q66</f>
        <v/>
      </c>
      <c r="N67" s="42">
        <f>ROUND(M67*N$6/12,2)</f>
        <v/>
      </c>
      <c r="O67" s="42">
        <f>MIN(O$6,M67+N67)</f>
        <v/>
      </c>
      <c r="P67" s="42">
        <f>MAX(0,MIN(M67+N67-O67,L67))</f>
        <v/>
      </c>
      <c r="Q67" s="42">
        <f>ROUND(M67+N67-O67-P67,2)</f>
        <v/>
      </c>
      <c r="R67">
        <f>L67-P67</f>
        <v/>
      </c>
      <c r="S67" s="42">
        <f>W66</f>
        <v/>
      </c>
      <c r="T67" s="42">
        <f>ROUND(S67*T$6/12,2)</f>
        <v/>
      </c>
      <c r="U67" s="42">
        <f>MIN(U$6,S67+T67)</f>
        <v/>
      </c>
      <c r="V67" s="42">
        <f>MAX(0,MIN(S67+T67-U67,R67))</f>
        <v/>
      </c>
      <c r="W67" s="42">
        <f>ROUND(S67+T67-U67-V67,2)</f>
        <v/>
      </c>
      <c r="X67">
        <f>R67-V67</f>
        <v/>
      </c>
      <c r="Y67" s="42">
        <f>AC66</f>
        <v/>
      </c>
      <c r="Z67" s="42">
        <f>ROUND(Y67*Z$6/12,2)</f>
        <v/>
      </c>
      <c r="AA67" s="42">
        <f>MIN(AA$6,Y67+Z67)</f>
        <v/>
      </c>
      <c r="AB67" s="42">
        <f>MAX(0,MIN(Y67+Z67-AA67,X67))</f>
        <v/>
      </c>
      <c r="AC67" s="42">
        <f>ROUND(Y67+Z67-AA67-AB67,2)</f>
        <v/>
      </c>
      <c r="AD67">
        <f>X67-AB67</f>
        <v/>
      </c>
      <c r="AE67" s="42">
        <f>AI66</f>
        <v/>
      </c>
      <c r="AF67" s="42">
        <f>ROUND(AE67*AF$6/12,2)</f>
        <v/>
      </c>
      <c r="AG67" s="42">
        <f>MIN(AG$6,AE67+AF67)</f>
        <v/>
      </c>
      <c r="AH67" s="42">
        <f>MAX(0,MIN(AE67+AF67-AG67,AD67))</f>
        <v/>
      </c>
      <c r="AI67" s="42">
        <f>ROUND(AE67+AF67-AG67-AH67,2)</f>
        <v/>
      </c>
      <c r="AJ67">
        <f>AD67-AH67</f>
        <v/>
      </c>
      <c r="AK67" s="42">
        <f>AO66</f>
        <v/>
      </c>
      <c r="AL67" s="42">
        <f>ROUND(AK67*AL$6/12,2)</f>
        <v/>
      </c>
      <c r="AM67" s="42">
        <f>MIN(AM$6,AK67+AL67)</f>
        <v/>
      </c>
      <c r="AN67" s="42">
        <f>MAX(0,MIN(AK67+AL67-AM67,AJ67))</f>
        <v/>
      </c>
      <c r="AO67" s="42">
        <f>ROUND(AK67+AL67-AM67-AN67,2)</f>
        <v/>
      </c>
      <c r="AP67">
        <f>AJ67-AN67</f>
        <v/>
      </c>
      <c r="AQ67" s="42">
        <f>AU66</f>
        <v/>
      </c>
      <c r="AR67" s="42">
        <f>ROUND(AQ67*AR$6/12,2)</f>
        <v/>
      </c>
      <c r="AS67" s="42">
        <f>MIN(AS$6,AQ67+AR67)</f>
        <v/>
      </c>
      <c r="AT67" s="42">
        <f>MAX(0,MIN(AQ67+AR67-AS67,AP67))</f>
        <v/>
      </c>
      <c r="AU67" s="42">
        <f>ROUND(AQ67+AR67-AS67-AT67,2)</f>
        <v/>
      </c>
      <c r="AV67">
        <f>AP67-AT67</f>
        <v/>
      </c>
      <c r="AW67" s="42">
        <f>BA66</f>
        <v/>
      </c>
      <c r="AX67" s="42">
        <f>ROUND(AW67*AX$6/12,2)</f>
        <v/>
      </c>
      <c r="AY67" s="42">
        <f>MIN(AY$6,AW67+AX67)</f>
        <v/>
      </c>
      <c r="AZ67" s="42">
        <f>MAX(0,MIN(AW67+AX67-AY67,AV67))</f>
        <v/>
      </c>
      <c r="BA67" s="42">
        <f>ROUND(AW67+AX67-AY67-AZ67,2)</f>
        <v/>
      </c>
      <c r="BB67">
        <f>AV67-AZ67</f>
        <v/>
      </c>
      <c r="BC67" s="42">
        <f>BG66</f>
        <v/>
      </c>
      <c r="BD67" s="42">
        <f>ROUND(BC67*BD$6/12,2)</f>
        <v/>
      </c>
      <c r="BE67" s="42">
        <f>MIN(BE$6,BC67+BD67)</f>
        <v/>
      </c>
      <c r="BF67" s="42">
        <f>MAX(0,MIN(BC67+BD67-BE67,BB67))</f>
        <v/>
      </c>
      <c r="BG67" s="42">
        <f>ROUND(BC67+BD67-BE67-BF67,2)</f>
        <v/>
      </c>
      <c r="BH67">
        <f>BB67-BF67</f>
        <v/>
      </c>
      <c r="BI67" s="42">
        <f>BM66</f>
        <v/>
      </c>
      <c r="BJ67" s="42">
        <f>ROUND(BI67*BJ$6/12,2)</f>
        <v/>
      </c>
      <c r="BK67" s="42">
        <f>MIN(BK$6,BI67+BJ67)</f>
        <v/>
      </c>
      <c r="BL67" s="42">
        <f>MAX(0,MIN(BI67+BJ67-BK67,BH67))</f>
        <v/>
      </c>
      <c r="BM67" s="42">
        <f>ROUND(BI67+BJ67-BK67-BL67,2)</f>
        <v/>
      </c>
      <c r="BN67">
        <f>BH67-BL67</f>
        <v/>
      </c>
    </row>
    <row r="68">
      <c r="A68" s="39" t="n">
        <v>61</v>
      </c>
      <c r="B68" s="40">
        <f>EDATE('My Debts'!$C$6,A68-1)</f>
        <v/>
      </c>
      <c r="C68" s="41">
        <f>K68+Q68+W68+AC68+AI68+AO68+AU68+BA68+BG68+BM68</f>
        <v/>
      </c>
      <c r="D68" s="42">
        <f>I68+O68+U68+AA68+AG68+AM68+AS68+AY68+BE68+BK68+J68+P68+V68+AB68+AH68+AN68+AT68+AZ68+BF68+BL68</f>
        <v/>
      </c>
      <c r="E68" s="42">
        <f>H68+N68+T68+Z68+AF68+AL68+AR68+AX68+BD68+BJ68</f>
        <v/>
      </c>
      <c r="F68">
        <f>MAX(0,'My Debts'!$E$21-(I68+O68+U68+AA68+AG68+AM68+AS68+AY68+BE68+BK68))</f>
        <v/>
      </c>
      <c r="G68" s="42">
        <f>K67</f>
        <v/>
      </c>
      <c r="H68" s="42">
        <f>ROUND(G68*H$6/12,2)</f>
        <v/>
      </c>
      <c r="I68" s="42">
        <f>MIN(I$6,G68+H68)</f>
        <v/>
      </c>
      <c r="J68" s="42">
        <f>MAX(0,MIN(G68+H68-I68,$F68))</f>
        <v/>
      </c>
      <c r="K68" s="42">
        <f>ROUND(G68+H68-I68-J68,2)</f>
        <v/>
      </c>
      <c r="L68">
        <f>$F68-J68</f>
        <v/>
      </c>
      <c r="M68" s="42">
        <f>Q67</f>
        <v/>
      </c>
      <c r="N68" s="42">
        <f>ROUND(M68*N$6/12,2)</f>
        <v/>
      </c>
      <c r="O68" s="42">
        <f>MIN(O$6,M68+N68)</f>
        <v/>
      </c>
      <c r="P68" s="42">
        <f>MAX(0,MIN(M68+N68-O68,L68))</f>
        <v/>
      </c>
      <c r="Q68" s="42">
        <f>ROUND(M68+N68-O68-P68,2)</f>
        <v/>
      </c>
      <c r="R68">
        <f>L68-P68</f>
        <v/>
      </c>
      <c r="S68" s="42">
        <f>W67</f>
        <v/>
      </c>
      <c r="T68" s="42">
        <f>ROUND(S68*T$6/12,2)</f>
        <v/>
      </c>
      <c r="U68" s="42">
        <f>MIN(U$6,S68+T68)</f>
        <v/>
      </c>
      <c r="V68" s="42">
        <f>MAX(0,MIN(S68+T68-U68,R68))</f>
        <v/>
      </c>
      <c r="W68" s="42">
        <f>ROUND(S68+T68-U68-V68,2)</f>
        <v/>
      </c>
      <c r="X68">
        <f>R68-V68</f>
        <v/>
      </c>
      <c r="Y68" s="42">
        <f>AC67</f>
        <v/>
      </c>
      <c r="Z68" s="42">
        <f>ROUND(Y68*Z$6/12,2)</f>
        <v/>
      </c>
      <c r="AA68" s="42">
        <f>MIN(AA$6,Y68+Z68)</f>
        <v/>
      </c>
      <c r="AB68" s="42">
        <f>MAX(0,MIN(Y68+Z68-AA68,X68))</f>
        <v/>
      </c>
      <c r="AC68" s="42">
        <f>ROUND(Y68+Z68-AA68-AB68,2)</f>
        <v/>
      </c>
      <c r="AD68">
        <f>X68-AB68</f>
        <v/>
      </c>
      <c r="AE68" s="42">
        <f>AI67</f>
        <v/>
      </c>
      <c r="AF68" s="42">
        <f>ROUND(AE68*AF$6/12,2)</f>
        <v/>
      </c>
      <c r="AG68" s="42">
        <f>MIN(AG$6,AE68+AF68)</f>
        <v/>
      </c>
      <c r="AH68" s="42">
        <f>MAX(0,MIN(AE68+AF68-AG68,AD68))</f>
        <v/>
      </c>
      <c r="AI68" s="42">
        <f>ROUND(AE68+AF68-AG68-AH68,2)</f>
        <v/>
      </c>
      <c r="AJ68">
        <f>AD68-AH68</f>
        <v/>
      </c>
      <c r="AK68" s="42">
        <f>AO67</f>
        <v/>
      </c>
      <c r="AL68" s="42">
        <f>ROUND(AK68*AL$6/12,2)</f>
        <v/>
      </c>
      <c r="AM68" s="42">
        <f>MIN(AM$6,AK68+AL68)</f>
        <v/>
      </c>
      <c r="AN68" s="42">
        <f>MAX(0,MIN(AK68+AL68-AM68,AJ68))</f>
        <v/>
      </c>
      <c r="AO68" s="42">
        <f>ROUND(AK68+AL68-AM68-AN68,2)</f>
        <v/>
      </c>
      <c r="AP68">
        <f>AJ68-AN68</f>
        <v/>
      </c>
      <c r="AQ68" s="42">
        <f>AU67</f>
        <v/>
      </c>
      <c r="AR68" s="42">
        <f>ROUND(AQ68*AR$6/12,2)</f>
        <v/>
      </c>
      <c r="AS68" s="42">
        <f>MIN(AS$6,AQ68+AR68)</f>
        <v/>
      </c>
      <c r="AT68" s="42">
        <f>MAX(0,MIN(AQ68+AR68-AS68,AP68))</f>
        <v/>
      </c>
      <c r="AU68" s="42">
        <f>ROUND(AQ68+AR68-AS68-AT68,2)</f>
        <v/>
      </c>
      <c r="AV68">
        <f>AP68-AT68</f>
        <v/>
      </c>
      <c r="AW68" s="42">
        <f>BA67</f>
        <v/>
      </c>
      <c r="AX68" s="42">
        <f>ROUND(AW68*AX$6/12,2)</f>
        <v/>
      </c>
      <c r="AY68" s="42">
        <f>MIN(AY$6,AW68+AX68)</f>
        <v/>
      </c>
      <c r="AZ68" s="42">
        <f>MAX(0,MIN(AW68+AX68-AY68,AV68))</f>
        <v/>
      </c>
      <c r="BA68" s="42">
        <f>ROUND(AW68+AX68-AY68-AZ68,2)</f>
        <v/>
      </c>
      <c r="BB68">
        <f>AV68-AZ68</f>
        <v/>
      </c>
      <c r="BC68" s="42">
        <f>BG67</f>
        <v/>
      </c>
      <c r="BD68" s="42">
        <f>ROUND(BC68*BD$6/12,2)</f>
        <v/>
      </c>
      <c r="BE68" s="42">
        <f>MIN(BE$6,BC68+BD68)</f>
        <v/>
      </c>
      <c r="BF68" s="42">
        <f>MAX(0,MIN(BC68+BD68-BE68,BB68))</f>
        <v/>
      </c>
      <c r="BG68" s="42">
        <f>ROUND(BC68+BD68-BE68-BF68,2)</f>
        <v/>
      </c>
      <c r="BH68">
        <f>BB68-BF68</f>
        <v/>
      </c>
      <c r="BI68" s="42">
        <f>BM67</f>
        <v/>
      </c>
      <c r="BJ68" s="42">
        <f>ROUND(BI68*BJ$6/12,2)</f>
        <v/>
      </c>
      <c r="BK68" s="42">
        <f>MIN(BK$6,BI68+BJ68)</f>
        <v/>
      </c>
      <c r="BL68" s="42">
        <f>MAX(0,MIN(BI68+BJ68-BK68,BH68))</f>
        <v/>
      </c>
      <c r="BM68" s="42">
        <f>ROUND(BI68+BJ68-BK68-BL68,2)</f>
        <v/>
      </c>
      <c r="BN68">
        <f>BH68-BL68</f>
        <v/>
      </c>
    </row>
    <row r="69">
      <c r="A69" s="43" t="n">
        <v>62</v>
      </c>
      <c r="B69" s="44">
        <f>EDATE('My Debts'!$C$6,A69-1)</f>
        <v/>
      </c>
      <c r="C69" s="45">
        <f>K69+Q69+W69+AC69+AI69+AO69+AU69+BA69+BG69+BM69</f>
        <v/>
      </c>
      <c r="D69" s="46">
        <f>I69+O69+U69+AA69+AG69+AM69+AS69+AY69+BE69+BK69+J69+P69+V69+AB69+AH69+AN69+AT69+AZ69+BF69+BL69</f>
        <v/>
      </c>
      <c r="E69" s="46">
        <f>H69+N69+T69+Z69+AF69+AL69+AR69+AX69+BD69+BJ69</f>
        <v/>
      </c>
      <c r="F69">
        <f>MAX(0,'My Debts'!$E$21-(I69+O69+U69+AA69+AG69+AM69+AS69+AY69+BE69+BK69))</f>
        <v/>
      </c>
      <c r="G69" s="42">
        <f>K68</f>
        <v/>
      </c>
      <c r="H69" s="42">
        <f>ROUND(G69*H$6/12,2)</f>
        <v/>
      </c>
      <c r="I69" s="42">
        <f>MIN(I$6,G69+H69)</f>
        <v/>
      </c>
      <c r="J69" s="42">
        <f>MAX(0,MIN(G69+H69-I69,$F69))</f>
        <v/>
      </c>
      <c r="K69" s="42">
        <f>ROUND(G69+H69-I69-J69,2)</f>
        <v/>
      </c>
      <c r="L69">
        <f>$F69-J69</f>
        <v/>
      </c>
      <c r="M69" s="42">
        <f>Q68</f>
        <v/>
      </c>
      <c r="N69" s="42">
        <f>ROUND(M69*N$6/12,2)</f>
        <v/>
      </c>
      <c r="O69" s="42">
        <f>MIN(O$6,M69+N69)</f>
        <v/>
      </c>
      <c r="P69" s="42">
        <f>MAX(0,MIN(M69+N69-O69,L69))</f>
        <v/>
      </c>
      <c r="Q69" s="42">
        <f>ROUND(M69+N69-O69-P69,2)</f>
        <v/>
      </c>
      <c r="R69">
        <f>L69-P69</f>
        <v/>
      </c>
      <c r="S69" s="42">
        <f>W68</f>
        <v/>
      </c>
      <c r="T69" s="42">
        <f>ROUND(S69*T$6/12,2)</f>
        <v/>
      </c>
      <c r="U69" s="42">
        <f>MIN(U$6,S69+T69)</f>
        <v/>
      </c>
      <c r="V69" s="42">
        <f>MAX(0,MIN(S69+T69-U69,R69))</f>
        <v/>
      </c>
      <c r="W69" s="42">
        <f>ROUND(S69+T69-U69-V69,2)</f>
        <v/>
      </c>
      <c r="X69">
        <f>R69-V69</f>
        <v/>
      </c>
      <c r="Y69" s="42">
        <f>AC68</f>
        <v/>
      </c>
      <c r="Z69" s="42">
        <f>ROUND(Y69*Z$6/12,2)</f>
        <v/>
      </c>
      <c r="AA69" s="42">
        <f>MIN(AA$6,Y69+Z69)</f>
        <v/>
      </c>
      <c r="AB69" s="42">
        <f>MAX(0,MIN(Y69+Z69-AA69,X69))</f>
        <v/>
      </c>
      <c r="AC69" s="42">
        <f>ROUND(Y69+Z69-AA69-AB69,2)</f>
        <v/>
      </c>
      <c r="AD69">
        <f>X69-AB69</f>
        <v/>
      </c>
      <c r="AE69" s="42">
        <f>AI68</f>
        <v/>
      </c>
      <c r="AF69" s="42">
        <f>ROUND(AE69*AF$6/12,2)</f>
        <v/>
      </c>
      <c r="AG69" s="42">
        <f>MIN(AG$6,AE69+AF69)</f>
        <v/>
      </c>
      <c r="AH69" s="42">
        <f>MAX(0,MIN(AE69+AF69-AG69,AD69))</f>
        <v/>
      </c>
      <c r="AI69" s="42">
        <f>ROUND(AE69+AF69-AG69-AH69,2)</f>
        <v/>
      </c>
      <c r="AJ69">
        <f>AD69-AH69</f>
        <v/>
      </c>
      <c r="AK69" s="42">
        <f>AO68</f>
        <v/>
      </c>
      <c r="AL69" s="42">
        <f>ROUND(AK69*AL$6/12,2)</f>
        <v/>
      </c>
      <c r="AM69" s="42">
        <f>MIN(AM$6,AK69+AL69)</f>
        <v/>
      </c>
      <c r="AN69" s="42">
        <f>MAX(0,MIN(AK69+AL69-AM69,AJ69))</f>
        <v/>
      </c>
      <c r="AO69" s="42">
        <f>ROUND(AK69+AL69-AM69-AN69,2)</f>
        <v/>
      </c>
      <c r="AP69">
        <f>AJ69-AN69</f>
        <v/>
      </c>
      <c r="AQ69" s="42">
        <f>AU68</f>
        <v/>
      </c>
      <c r="AR69" s="42">
        <f>ROUND(AQ69*AR$6/12,2)</f>
        <v/>
      </c>
      <c r="AS69" s="42">
        <f>MIN(AS$6,AQ69+AR69)</f>
        <v/>
      </c>
      <c r="AT69" s="42">
        <f>MAX(0,MIN(AQ69+AR69-AS69,AP69))</f>
        <v/>
      </c>
      <c r="AU69" s="42">
        <f>ROUND(AQ69+AR69-AS69-AT69,2)</f>
        <v/>
      </c>
      <c r="AV69">
        <f>AP69-AT69</f>
        <v/>
      </c>
      <c r="AW69" s="42">
        <f>BA68</f>
        <v/>
      </c>
      <c r="AX69" s="42">
        <f>ROUND(AW69*AX$6/12,2)</f>
        <v/>
      </c>
      <c r="AY69" s="42">
        <f>MIN(AY$6,AW69+AX69)</f>
        <v/>
      </c>
      <c r="AZ69" s="42">
        <f>MAX(0,MIN(AW69+AX69-AY69,AV69))</f>
        <v/>
      </c>
      <c r="BA69" s="42">
        <f>ROUND(AW69+AX69-AY69-AZ69,2)</f>
        <v/>
      </c>
      <c r="BB69">
        <f>AV69-AZ69</f>
        <v/>
      </c>
      <c r="BC69" s="42">
        <f>BG68</f>
        <v/>
      </c>
      <c r="BD69" s="42">
        <f>ROUND(BC69*BD$6/12,2)</f>
        <v/>
      </c>
      <c r="BE69" s="42">
        <f>MIN(BE$6,BC69+BD69)</f>
        <v/>
      </c>
      <c r="BF69" s="42">
        <f>MAX(0,MIN(BC69+BD69-BE69,BB69))</f>
        <v/>
      </c>
      <c r="BG69" s="42">
        <f>ROUND(BC69+BD69-BE69-BF69,2)</f>
        <v/>
      </c>
      <c r="BH69">
        <f>BB69-BF69</f>
        <v/>
      </c>
      <c r="BI69" s="42">
        <f>BM68</f>
        <v/>
      </c>
      <c r="BJ69" s="42">
        <f>ROUND(BI69*BJ$6/12,2)</f>
        <v/>
      </c>
      <c r="BK69" s="42">
        <f>MIN(BK$6,BI69+BJ69)</f>
        <v/>
      </c>
      <c r="BL69" s="42">
        <f>MAX(0,MIN(BI69+BJ69-BK69,BH69))</f>
        <v/>
      </c>
      <c r="BM69" s="42">
        <f>ROUND(BI69+BJ69-BK69-BL69,2)</f>
        <v/>
      </c>
      <c r="BN69">
        <f>BH69-BL69</f>
        <v/>
      </c>
    </row>
    <row r="70">
      <c r="A70" s="39" t="n">
        <v>63</v>
      </c>
      <c r="B70" s="40">
        <f>EDATE('My Debts'!$C$6,A70-1)</f>
        <v/>
      </c>
      <c r="C70" s="41">
        <f>K70+Q70+W70+AC70+AI70+AO70+AU70+BA70+BG70+BM70</f>
        <v/>
      </c>
      <c r="D70" s="42">
        <f>I70+O70+U70+AA70+AG70+AM70+AS70+AY70+BE70+BK70+J70+P70+V70+AB70+AH70+AN70+AT70+AZ70+BF70+BL70</f>
        <v/>
      </c>
      <c r="E70" s="42">
        <f>H70+N70+T70+Z70+AF70+AL70+AR70+AX70+BD70+BJ70</f>
        <v/>
      </c>
      <c r="F70">
        <f>MAX(0,'My Debts'!$E$21-(I70+O70+U70+AA70+AG70+AM70+AS70+AY70+BE70+BK70))</f>
        <v/>
      </c>
      <c r="G70" s="42">
        <f>K69</f>
        <v/>
      </c>
      <c r="H70" s="42">
        <f>ROUND(G70*H$6/12,2)</f>
        <v/>
      </c>
      <c r="I70" s="42">
        <f>MIN(I$6,G70+H70)</f>
        <v/>
      </c>
      <c r="J70" s="42">
        <f>MAX(0,MIN(G70+H70-I70,$F70))</f>
        <v/>
      </c>
      <c r="K70" s="42">
        <f>ROUND(G70+H70-I70-J70,2)</f>
        <v/>
      </c>
      <c r="L70">
        <f>$F70-J70</f>
        <v/>
      </c>
      <c r="M70" s="42">
        <f>Q69</f>
        <v/>
      </c>
      <c r="N70" s="42">
        <f>ROUND(M70*N$6/12,2)</f>
        <v/>
      </c>
      <c r="O70" s="42">
        <f>MIN(O$6,M70+N70)</f>
        <v/>
      </c>
      <c r="P70" s="42">
        <f>MAX(0,MIN(M70+N70-O70,L70))</f>
        <v/>
      </c>
      <c r="Q70" s="42">
        <f>ROUND(M70+N70-O70-P70,2)</f>
        <v/>
      </c>
      <c r="R70">
        <f>L70-P70</f>
        <v/>
      </c>
      <c r="S70" s="42">
        <f>W69</f>
        <v/>
      </c>
      <c r="T70" s="42">
        <f>ROUND(S70*T$6/12,2)</f>
        <v/>
      </c>
      <c r="U70" s="42">
        <f>MIN(U$6,S70+T70)</f>
        <v/>
      </c>
      <c r="V70" s="42">
        <f>MAX(0,MIN(S70+T70-U70,R70))</f>
        <v/>
      </c>
      <c r="W70" s="42">
        <f>ROUND(S70+T70-U70-V70,2)</f>
        <v/>
      </c>
      <c r="X70">
        <f>R70-V70</f>
        <v/>
      </c>
      <c r="Y70" s="42">
        <f>AC69</f>
        <v/>
      </c>
      <c r="Z70" s="42">
        <f>ROUND(Y70*Z$6/12,2)</f>
        <v/>
      </c>
      <c r="AA70" s="42">
        <f>MIN(AA$6,Y70+Z70)</f>
        <v/>
      </c>
      <c r="AB70" s="42">
        <f>MAX(0,MIN(Y70+Z70-AA70,X70))</f>
        <v/>
      </c>
      <c r="AC70" s="42">
        <f>ROUND(Y70+Z70-AA70-AB70,2)</f>
        <v/>
      </c>
      <c r="AD70">
        <f>X70-AB70</f>
        <v/>
      </c>
      <c r="AE70" s="42">
        <f>AI69</f>
        <v/>
      </c>
      <c r="AF70" s="42">
        <f>ROUND(AE70*AF$6/12,2)</f>
        <v/>
      </c>
      <c r="AG70" s="42">
        <f>MIN(AG$6,AE70+AF70)</f>
        <v/>
      </c>
      <c r="AH70" s="42">
        <f>MAX(0,MIN(AE70+AF70-AG70,AD70))</f>
        <v/>
      </c>
      <c r="AI70" s="42">
        <f>ROUND(AE70+AF70-AG70-AH70,2)</f>
        <v/>
      </c>
      <c r="AJ70">
        <f>AD70-AH70</f>
        <v/>
      </c>
      <c r="AK70" s="42">
        <f>AO69</f>
        <v/>
      </c>
      <c r="AL70" s="42">
        <f>ROUND(AK70*AL$6/12,2)</f>
        <v/>
      </c>
      <c r="AM70" s="42">
        <f>MIN(AM$6,AK70+AL70)</f>
        <v/>
      </c>
      <c r="AN70" s="42">
        <f>MAX(0,MIN(AK70+AL70-AM70,AJ70))</f>
        <v/>
      </c>
      <c r="AO70" s="42">
        <f>ROUND(AK70+AL70-AM70-AN70,2)</f>
        <v/>
      </c>
      <c r="AP70">
        <f>AJ70-AN70</f>
        <v/>
      </c>
      <c r="AQ70" s="42">
        <f>AU69</f>
        <v/>
      </c>
      <c r="AR70" s="42">
        <f>ROUND(AQ70*AR$6/12,2)</f>
        <v/>
      </c>
      <c r="AS70" s="42">
        <f>MIN(AS$6,AQ70+AR70)</f>
        <v/>
      </c>
      <c r="AT70" s="42">
        <f>MAX(0,MIN(AQ70+AR70-AS70,AP70))</f>
        <v/>
      </c>
      <c r="AU70" s="42">
        <f>ROUND(AQ70+AR70-AS70-AT70,2)</f>
        <v/>
      </c>
      <c r="AV70">
        <f>AP70-AT70</f>
        <v/>
      </c>
      <c r="AW70" s="42">
        <f>BA69</f>
        <v/>
      </c>
      <c r="AX70" s="42">
        <f>ROUND(AW70*AX$6/12,2)</f>
        <v/>
      </c>
      <c r="AY70" s="42">
        <f>MIN(AY$6,AW70+AX70)</f>
        <v/>
      </c>
      <c r="AZ70" s="42">
        <f>MAX(0,MIN(AW70+AX70-AY70,AV70))</f>
        <v/>
      </c>
      <c r="BA70" s="42">
        <f>ROUND(AW70+AX70-AY70-AZ70,2)</f>
        <v/>
      </c>
      <c r="BB70">
        <f>AV70-AZ70</f>
        <v/>
      </c>
      <c r="BC70" s="42">
        <f>BG69</f>
        <v/>
      </c>
      <c r="BD70" s="42">
        <f>ROUND(BC70*BD$6/12,2)</f>
        <v/>
      </c>
      <c r="BE70" s="42">
        <f>MIN(BE$6,BC70+BD70)</f>
        <v/>
      </c>
      <c r="BF70" s="42">
        <f>MAX(0,MIN(BC70+BD70-BE70,BB70))</f>
        <v/>
      </c>
      <c r="BG70" s="42">
        <f>ROUND(BC70+BD70-BE70-BF70,2)</f>
        <v/>
      </c>
      <c r="BH70">
        <f>BB70-BF70</f>
        <v/>
      </c>
      <c r="BI70" s="42">
        <f>BM69</f>
        <v/>
      </c>
      <c r="BJ70" s="42">
        <f>ROUND(BI70*BJ$6/12,2)</f>
        <v/>
      </c>
      <c r="BK70" s="42">
        <f>MIN(BK$6,BI70+BJ70)</f>
        <v/>
      </c>
      <c r="BL70" s="42">
        <f>MAX(0,MIN(BI70+BJ70-BK70,BH70))</f>
        <v/>
      </c>
      <c r="BM70" s="42">
        <f>ROUND(BI70+BJ70-BK70-BL70,2)</f>
        <v/>
      </c>
      <c r="BN70">
        <f>BH70-BL70</f>
        <v/>
      </c>
    </row>
    <row r="71">
      <c r="A71" s="43" t="n">
        <v>64</v>
      </c>
      <c r="B71" s="44">
        <f>EDATE('My Debts'!$C$6,A71-1)</f>
        <v/>
      </c>
      <c r="C71" s="45">
        <f>K71+Q71+W71+AC71+AI71+AO71+AU71+BA71+BG71+BM71</f>
        <v/>
      </c>
      <c r="D71" s="46">
        <f>I71+O71+U71+AA71+AG71+AM71+AS71+AY71+BE71+BK71+J71+P71+V71+AB71+AH71+AN71+AT71+AZ71+BF71+BL71</f>
        <v/>
      </c>
      <c r="E71" s="46">
        <f>H71+N71+T71+Z71+AF71+AL71+AR71+AX71+BD71+BJ71</f>
        <v/>
      </c>
      <c r="F71">
        <f>MAX(0,'My Debts'!$E$21-(I71+O71+U71+AA71+AG71+AM71+AS71+AY71+BE71+BK71))</f>
        <v/>
      </c>
      <c r="G71" s="42">
        <f>K70</f>
        <v/>
      </c>
      <c r="H71" s="42">
        <f>ROUND(G71*H$6/12,2)</f>
        <v/>
      </c>
      <c r="I71" s="42">
        <f>MIN(I$6,G71+H71)</f>
        <v/>
      </c>
      <c r="J71" s="42">
        <f>MAX(0,MIN(G71+H71-I71,$F71))</f>
        <v/>
      </c>
      <c r="K71" s="42">
        <f>ROUND(G71+H71-I71-J71,2)</f>
        <v/>
      </c>
      <c r="L71">
        <f>$F71-J71</f>
        <v/>
      </c>
      <c r="M71" s="42">
        <f>Q70</f>
        <v/>
      </c>
      <c r="N71" s="42">
        <f>ROUND(M71*N$6/12,2)</f>
        <v/>
      </c>
      <c r="O71" s="42">
        <f>MIN(O$6,M71+N71)</f>
        <v/>
      </c>
      <c r="P71" s="42">
        <f>MAX(0,MIN(M71+N71-O71,L71))</f>
        <v/>
      </c>
      <c r="Q71" s="42">
        <f>ROUND(M71+N71-O71-P71,2)</f>
        <v/>
      </c>
      <c r="R71">
        <f>L71-P71</f>
        <v/>
      </c>
      <c r="S71" s="42">
        <f>W70</f>
        <v/>
      </c>
      <c r="T71" s="42">
        <f>ROUND(S71*T$6/12,2)</f>
        <v/>
      </c>
      <c r="U71" s="42">
        <f>MIN(U$6,S71+T71)</f>
        <v/>
      </c>
      <c r="V71" s="42">
        <f>MAX(0,MIN(S71+T71-U71,R71))</f>
        <v/>
      </c>
      <c r="W71" s="42">
        <f>ROUND(S71+T71-U71-V71,2)</f>
        <v/>
      </c>
      <c r="X71">
        <f>R71-V71</f>
        <v/>
      </c>
      <c r="Y71" s="42">
        <f>AC70</f>
        <v/>
      </c>
      <c r="Z71" s="42">
        <f>ROUND(Y71*Z$6/12,2)</f>
        <v/>
      </c>
      <c r="AA71" s="42">
        <f>MIN(AA$6,Y71+Z71)</f>
        <v/>
      </c>
      <c r="AB71" s="42">
        <f>MAX(0,MIN(Y71+Z71-AA71,X71))</f>
        <v/>
      </c>
      <c r="AC71" s="42">
        <f>ROUND(Y71+Z71-AA71-AB71,2)</f>
        <v/>
      </c>
      <c r="AD71">
        <f>X71-AB71</f>
        <v/>
      </c>
      <c r="AE71" s="42">
        <f>AI70</f>
        <v/>
      </c>
      <c r="AF71" s="42">
        <f>ROUND(AE71*AF$6/12,2)</f>
        <v/>
      </c>
      <c r="AG71" s="42">
        <f>MIN(AG$6,AE71+AF71)</f>
        <v/>
      </c>
      <c r="AH71" s="42">
        <f>MAX(0,MIN(AE71+AF71-AG71,AD71))</f>
        <v/>
      </c>
      <c r="AI71" s="42">
        <f>ROUND(AE71+AF71-AG71-AH71,2)</f>
        <v/>
      </c>
      <c r="AJ71">
        <f>AD71-AH71</f>
        <v/>
      </c>
      <c r="AK71" s="42">
        <f>AO70</f>
        <v/>
      </c>
      <c r="AL71" s="42">
        <f>ROUND(AK71*AL$6/12,2)</f>
        <v/>
      </c>
      <c r="AM71" s="42">
        <f>MIN(AM$6,AK71+AL71)</f>
        <v/>
      </c>
      <c r="AN71" s="42">
        <f>MAX(0,MIN(AK71+AL71-AM71,AJ71))</f>
        <v/>
      </c>
      <c r="AO71" s="42">
        <f>ROUND(AK71+AL71-AM71-AN71,2)</f>
        <v/>
      </c>
      <c r="AP71">
        <f>AJ71-AN71</f>
        <v/>
      </c>
      <c r="AQ71" s="42">
        <f>AU70</f>
        <v/>
      </c>
      <c r="AR71" s="42">
        <f>ROUND(AQ71*AR$6/12,2)</f>
        <v/>
      </c>
      <c r="AS71" s="42">
        <f>MIN(AS$6,AQ71+AR71)</f>
        <v/>
      </c>
      <c r="AT71" s="42">
        <f>MAX(0,MIN(AQ71+AR71-AS71,AP71))</f>
        <v/>
      </c>
      <c r="AU71" s="42">
        <f>ROUND(AQ71+AR71-AS71-AT71,2)</f>
        <v/>
      </c>
      <c r="AV71">
        <f>AP71-AT71</f>
        <v/>
      </c>
      <c r="AW71" s="42">
        <f>BA70</f>
        <v/>
      </c>
      <c r="AX71" s="42">
        <f>ROUND(AW71*AX$6/12,2)</f>
        <v/>
      </c>
      <c r="AY71" s="42">
        <f>MIN(AY$6,AW71+AX71)</f>
        <v/>
      </c>
      <c r="AZ71" s="42">
        <f>MAX(0,MIN(AW71+AX71-AY71,AV71))</f>
        <v/>
      </c>
      <c r="BA71" s="42">
        <f>ROUND(AW71+AX71-AY71-AZ71,2)</f>
        <v/>
      </c>
      <c r="BB71">
        <f>AV71-AZ71</f>
        <v/>
      </c>
      <c r="BC71" s="42">
        <f>BG70</f>
        <v/>
      </c>
      <c r="BD71" s="42">
        <f>ROUND(BC71*BD$6/12,2)</f>
        <v/>
      </c>
      <c r="BE71" s="42">
        <f>MIN(BE$6,BC71+BD71)</f>
        <v/>
      </c>
      <c r="BF71" s="42">
        <f>MAX(0,MIN(BC71+BD71-BE71,BB71))</f>
        <v/>
      </c>
      <c r="BG71" s="42">
        <f>ROUND(BC71+BD71-BE71-BF71,2)</f>
        <v/>
      </c>
      <c r="BH71">
        <f>BB71-BF71</f>
        <v/>
      </c>
      <c r="BI71" s="42">
        <f>BM70</f>
        <v/>
      </c>
      <c r="BJ71" s="42">
        <f>ROUND(BI71*BJ$6/12,2)</f>
        <v/>
      </c>
      <c r="BK71" s="42">
        <f>MIN(BK$6,BI71+BJ71)</f>
        <v/>
      </c>
      <c r="BL71" s="42">
        <f>MAX(0,MIN(BI71+BJ71-BK71,BH71))</f>
        <v/>
      </c>
      <c r="BM71" s="42">
        <f>ROUND(BI71+BJ71-BK71-BL71,2)</f>
        <v/>
      </c>
      <c r="BN71">
        <f>BH71-BL71</f>
        <v/>
      </c>
    </row>
    <row r="72">
      <c r="A72" s="39" t="n">
        <v>65</v>
      </c>
      <c r="B72" s="40">
        <f>EDATE('My Debts'!$C$6,A72-1)</f>
        <v/>
      </c>
      <c r="C72" s="41">
        <f>K72+Q72+W72+AC72+AI72+AO72+AU72+BA72+BG72+BM72</f>
        <v/>
      </c>
      <c r="D72" s="42">
        <f>I72+O72+U72+AA72+AG72+AM72+AS72+AY72+BE72+BK72+J72+P72+V72+AB72+AH72+AN72+AT72+AZ72+BF72+BL72</f>
        <v/>
      </c>
      <c r="E72" s="42">
        <f>H72+N72+T72+Z72+AF72+AL72+AR72+AX72+BD72+BJ72</f>
        <v/>
      </c>
      <c r="F72">
        <f>MAX(0,'My Debts'!$E$21-(I72+O72+U72+AA72+AG72+AM72+AS72+AY72+BE72+BK72))</f>
        <v/>
      </c>
      <c r="G72" s="42">
        <f>K71</f>
        <v/>
      </c>
      <c r="H72" s="42">
        <f>ROUND(G72*H$6/12,2)</f>
        <v/>
      </c>
      <c r="I72" s="42">
        <f>MIN(I$6,G72+H72)</f>
        <v/>
      </c>
      <c r="J72" s="42">
        <f>MAX(0,MIN(G72+H72-I72,$F72))</f>
        <v/>
      </c>
      <c r="K72" s="42">
        <f>ROUND(G72+H72-I72-J72,2)</f>
        <v/>
      </c>
      <c r="L72">
        <f>$F72-J72</f>
        <v/>
      </c>
      <c r="M72" s="42">
        <f>Q71</f>
        <v/>
      </c>
      <c r="N72" s="42">
        <f>ROUND(M72*N$6/12,2)</f>
        <v/>
      </c>
      <c r="O72" s="42">
        <f>MIN(O$6,M72+N72)</f>
        <v/>
      </c>
      <c r="P72" s="42">
        <f>MAX(0,MIN(M72+N72-O72,L72))</f>
        <v/>
      </c>
      <c r="Q72" s="42">
        <f>ROUND(M72+N72-O72-P72,2)</f>
        <v/>
      </c>
      <c r="R72">
        <f>L72-P72</f>
        <v/>
      </c>
      <c r="S72" s="42">
        <f>W71</f>
        <v/>
      </c>
      <c r="T72" s="42">
        <f>ROUND(S72*T$6/12,2)</f>
        <v/>
      </c>
      <c r="U72" s="42">
        <f>MIN(U$6,S72+T72)</f>
        <v/>
      </c>
      <c r="V72" s="42">
        <f>MAX(0,MIN(S72+T72-U72,R72))</f>
        <v/>
      </c>
      <c r="W72" s="42">
        <f>ROUND(S72+T72-U72-V72,2)</f>
        <v/>
      </c>
      <c r="X72">
        <f>R72-V72</f>
        <v/>
      </c>
      <c r="Y72" s="42">
        <f>AC71</f>
        <v/>
      </c>
      <c r="Z72" s="42">
        <f>ROUND(Y72*Z$6/12,2)</f>
        <v/>
      </c>
      <c r="AA72" s="42">
        <f>MIN(AA$6,Y72+Z72)</f>
        <v/>
      </c>
      <c r="AB72" s="42">
        <f>MAX(0,MIN(Y72+Z72-AA72,X72))</f>
        <v/>
      </c>
      <c r="AC72" s="42">
        <f>ROUND(Y72+Z72-AA72-AB72,2)</f>
        <v/>
      </c>
      <c r="AD72">
        <f>X72-AB72</f>
        <v/>
      </c>
      <c r="AE72" s="42">
        <f>AI71</f>
        <v/>
      </c>
      <c r="AF72" s="42">
        <f>ROUND(AE72*AF$6/12,2)</f>
        <v/>
      </c>
      <c r="AG72" s="42">
        <f>MIN(AG$6,AE72+AF72)</f>
        <v/>
      </c>
      <c r="AH72" s="42">
        <f>MAX(0,MIN(AE72+AF72-AG72,AD72))</f>
        <v/>
      </c>
      <c r="AI72" s="42">
        <f>ROUND(AE72+AF72-AG72-AH72,2)</f>
        <v/>
      </c>
      <c r="AJ72">
        <f>AD72-AH72</f>
        <v/>
      </c>
      <c r="AK72" s="42">
        <f>AO71</f>
        <v/>
      </c>
      <c r="AL72" s="42">
        <f>ROUND(AK72*AL$6/12,2)</f>
        <v/>
      </c>
      <c r="AM72" s="42">
        <f>MIN(AM$6,AK72+AL72)</f>
        <v/>
      </c>
      <c r="AN72" s="42">
        <f>MAX(0,MIN(AK72+AL72-AM72,AJ72))</f>
        <v/>
      </c>
      <c r="AO72" s="42">
        <f>ROUND(AK72+AL72-AM72-AN72,2)</f>
        <v/>
      </c>
      <c r="AP72">
        <f>AJ72-AN72</f>
        <v/>
      </c>
      <c r="AQ72" s="42">
        <f>AU71</f>
        <v/>
      </c>
      <c r="AR72" s="42">
        <f>ROUND(AQ72*AR$6/12,2)</f>
        <v/>
      </c>
      <c r="AS72" s="42">
        <f>MIN(AS$6,AQ72+AR72)</f>
        <v/>
      </c>
      <c r="AT72" s="42">
        <f>MAX(0,MIN(AQ72+AR72-AS72,AP72))</f>
        <v/>
      </c>
      <c r="AU72" s="42">
        <f>ROUND(AQ72+AR72-AS72-AT72,2)</f>
        <v/>
      </c>
      <c r="AV72">
        <f>AP72-AT72</f>
        <v/>
      </c>
      <c r="AW72" s="42">
        <f>BA71</f>
        <v/>
      </c>
      <c r="AX72" s="42">
        <f>ROUND(AW72*AX$6/12,2)</f>
        <v/>
      </c>
      <c r="AY72" s="42">
        <f>MIN(AY$6,AW72+AX72)</f>
        <v/>
      </c>
      <c r="AZ72" s="42">
        <f>MAX(0,MIN(AW72+AX72-AY72,AV72))</f>
        <v/>
      </c>
      <c r="BA72" s="42">
        <f>ROUND(AW72+AX72-AY72-AZ72,2)</f>
        <v/>
      </c>
      <c r="BB72">
        <f>AV72-AZ72</f>
        <v/>
      </c>
      <c r="BC72" s="42">
        <f>BG71</f>
        <v/>
      </c>
      <c r="BD72" s="42">
        <f>ROUND(BC72*BD$6/12,2)</f>
        <v/>
      </c>
      <c r="BE72" s="42">
        <f>MIN(BE$6,BC72+BD72)</f>
        <v/>
      </c>
      <c r="BF72" s="42">
        <f>MAX(0,MIN(BC72+BD72-BE72,BB72))</f>
        <v/>
      </c>
      <c r="BG72" s="42">
        <f>ROUND(BC72+BD72-BE72-BF72,2)</f>
        <v/>
      </c>
      <c r="BH72">
        <f>BB72-BF72</f>
        <v/>
      </c>
      <c r="BI72" s="42">
        <f>BM71</f>
        <v/>
      </c>
      <c r="BJ72" s="42">
        <f>ROUND(BI72*BJ$6/12,2)</f>
        <v/>
      </c>
      <c r="BK72" s="42">
        <f>MIN(BK$6,BI72+BJ72)</f>
        <v/>
      </c>
      <c r="BL72" s="42">
        <f>MAX(0,MIN(BI72+BJ72-BK72,BH72))</f>
        <v/>
      </c>
      <c r="BM72" s="42">
        <f>ROUND(BI72+BJ72-BK72-BL72,2)</f>
        <v/>
      </c>
      <c r="BN72">
        <f>BH72-BL72</f>
        <v/>
      </c>
    </row>
    <row r="73">
      <c r="A73" s="43" t="n">
        <v>66</v>
      </c>
      <c r="B73" s="44">
        <f>EDATE('My Debts'!$C$6,A73-1)</f>
        <v/>
      </c>
      <c r="C73" s="45">
        <f>K73+Q73+W73+AC73+AI73+AO73+AU73+BA73+BG73+BM73</f>
        <v/>
      </c>
      <c r="D73" s="46">
        <f>I73+O73+U73+AA73+AG73+AM73+AS73+AY73+BE73+BK73+J73+P73+V73+AB73+AH73+AN73+AT73+AZ73+BF73+BL73</f>
        <v/>
      </c>
      <c r="E73" s="46">
        <f>H73+N73+T73+Z73+AF73+AL73+AR73+AX73+BD73+BJ73</f>
        <v/>
      </c>
      <c r="F73">
        <f>MAX(0,'My Debts'!$E$21-(I73+O73+U73+AA73+AG73+AM73+AS73+AY73+BE73+BK73))</f>
        <v/>
      </c>
      <c r="G73" s="42">
        <f>K72</f>
        <v/>
      </c>
      <c r="H73" s="42">
        <f>ROUND(G73*H$6/12,2)</f>
        <v/>
      </c>
      <c r="I73" s="42">
        <f>MIN(I$6,G73+H73)</f>
        <v/>
      </c>
      <c r="J73" s="42">
        <f>MAX(0,MIN(G73+H73-I73,$F73))</f>
        <v/>
      </c>
      <c r="K73" s="42">
        <f>ROUND(G73+H73-I73-J73,2)</f>
        <v/>
      </c>
      <c r="L73">
        <f>$F73-J73</f>
        <v/>
      </c>
      <c r="M73" s="42">
        <f>Q72</f>
        <v/>
      </c>
      <c r="N73" s="42">
        <f>ROUND(M73*N$6/12,2)</f>
        <v/>
      </c>
      <c r="O73" s="42">
        <f>MIN(O$6,M73+N73)</f>
        <v/>
      </c>
      <c r="P73" s="42">
        <f>MAX(0,MIN(M73+N73-O73,L73))</f>
        <v/>
      </c>
      <c r="Q73" s="42">
        <f>ROUND(M73+N73-O73-P73,2)</f>
        <v/>
      </c>
      <c r="R73">
        <f>L73-P73</f>
        <v/>
      </c>
      <c r="S73" s="42">
        <f>W72</f>
        <v/>
      </c>
      <c r="T73" s="42">
        <f>ROUND(S73*T$6/12,2)</f>
        <v/>
      </c>
      <c r="U73" s="42">
        <f>MIN(U$6,S73+T73)</f>
        <v/>
      </c>
      <c r="V73" s="42">
        <f>MAX(0,MIN(S73+T73-U73,R73))</f>
        <v/>
      </c>
      <c r="W73" s="42">
        <f>ROUND(S73+T73-U73-V73,2)</f>
        <v/>
      </c>
      <c r="X73">
        <f>R73-V73</f>
        <v/>
      </c>
      <c r="Y73" s="42">
        <f>AC72</f>
        <v/>
      </c>
      <c r="Z73" s="42">
        <f>ROUND(Y73*Z$6/12,2)</f>
        <v/>
      </c>
      <c r="AA73" s="42">
        <f>MIN(AA$6,Y73+Z73)</f>
        <v/>
      </c>
      <c r="AB73" s="42">
        <f>MAX(0,MIN(Y73+Z73-AA73,X73))</f>
        <v/>
      </c>
      <c r="AC73" s="42">
        <f>ROUND(Y73+Z73-AA73-AB73,2)</f>
        <v/>
      </c>
      <c r="AD73">
        <f>X73-AB73</f>
        <v/>
      </c>
      <c r="AE73" s="42">
        <f>AI72</f>
        <v/>
      </c>
      <c r="AF73" s="42">
        <f>ROUND(AE73*AF$6/12,2)</f>
        <v/>
      </c>
      <c r="AG73" s="42">
        <f>MIN(AG$6,AE73+AF73)</f>
        <v/>
      </c>
      <c r="AH73" s="42">
        <f>MAX(0,MIN(AE73+AF73-AG73,AD73))</f>
        <v/>
      </c>
      <c r="AI73" s="42">
        <f>ROUND(AE73+AF73-AG73-AH73,2)</f>
        <v/>
      </c>
      <c r="AJ73">
        <f>AD73-AH73</f>
        <v/>
      </c>
      <c r="AK73" s="42">
        <f>AO72</f>
        <v/>
      </c>
      <c r="AL73" s="42">
        <f>ROUND(AK73*AL$6/12,2)</f>
        <v/>
      </c>
      <c r="AM73" s="42">
        <f>MIN(AM$6,AK73+AL73)</f>
        <v/>
      </c>
      <c r="AN73" s="42">
        <f>MAX(0,MIN(AK73+AL73-AM73,AJ73))</f>
        <v/>
      </c>
      <c r="AO73" s="42">
        <f>ROUND(AK73+AL73-AM73-AN73,2)</f>
        <v/>
      </c>
      <c r="AP73">
        <f>AJ73-AN73</f>
        <v/>
      </c>
      <c r="AQ73" s="42">
        <f>AU72</f>
        <v/>
      </c>
      <c r="AR73" s="42">
        <f>ROUND(AQ73*AR$6/12,2)</f>
        <v/>
      </c>
      <c r="AS73" s="42">
        <f>MIN(AS$6,AQ73+AR73)</f>
        <v/>
      </c>
      <c r="AT73" s="42">
        <f>MAX(0,MIN(AQ73+AR73-AS73,AP73))</f>
        <v/>
      </c>
      <c r="AU73" s="42">
        <f>ROUND(AQ73+AR73-AS73-AT73,2)</f>
        <v/>
      </c>
      <c r="AV73">
        <f>AP73-AT73</f>
        <v/>
      </c>
      <c r="AW73" s="42">
        <f>BA72</f>
        <v/>
      </c>
      <c r="AX73" s="42">
        <f>ROUND(AW73*AX$6/12,2)</f>
        <v/>
      </c>
      <c r="AY73" s="42">
        <f>MIN(AY$6,AW73+AX73)</f>
        <v/>
      </c>
      <c r="AZ73" s="42">
        <f>MAX(0,MIN(AW73+AX73-AY73,AV73))</f>
        <v/>
      </c>
      <c r="BA73" s="42">
        <f>ROUND(AW73+AX73-AY73-AZ73,2)</f>
        <v/>
      </c>
      <c r="BB73">
        <f>AV73-AZ73</f>
        <v/>
      </c>
      <c r="BC73" s="42">
        <f>BG72</f>
        <v/>
      </c>
      <c r="BD73" s="42">
        <f>ROUND(BC73*BD$6/12,2)</f>
        <v/>
      </c>
      <c r="BE73" s="42">
        <f>MIN(BE$6,BC73+BD73)</f>
        <v/>
      </c>
      <c r="BF73" s="42">
        <f>MAX(0,MIN(BC73+BD73-BE73,BB73))</f>
        <v/>
      </c>
      <c r="BG73" s="42">
        <f>ROUND(BC73+BD73-BE73-BF73,2)</f>
        <v/>
      </c>
      <c r="BH73">
        <f>BB73-BF73</f>
        <v/>
      </c>
      <c r="BI73" s="42">
        <f>BM72</f>
        <v/>
      </c>
      <c r="BJ73" s="42">
        <f>ROUND(BI73*BJ$6/12,2)</f>
        <v/>
      </c>
      <c r="BK73" s="42">
        <f>MIN(BK$6,BI73+BJ73)</f>
        <v/>
      </c>
      <c r="BL73" s="42">
        <f>MAX(0,MIN(BI73+BJ73-BK73,BH73))</f>
        <v/>
      </c>
      <c r="BM73" s="42">
        <f>ROUND(BI73+BJ73-BK73-BL73,2)</f>
        <v/>
      </c>
      <c r="BN73">
        <f>BH73-BL73</f>
        <v/>
      </c>
    </row>
    <row r="74">
      <c r="A74" s="39" t="n">
        <v>67</v>
      </c>
      <c r="B74" s="40">
        <f>EDATE('My Debts'!$C$6,A74-1)</f>
        <v/>
      </c>
      <c r="C74" s="41">
        <f>K74+Q74+W74+AC74+AI74+AO74+AU74+BA74+BG74+BM74</f>
        <v/>
      </c>
      <c r="D74" s="42">
        <f>I74+O74+U74+AA74+AG74+AM74+AS74+AY74+BE74+BK74+J74+P74+V74+AB74+AH74+AN74+AT74+AZ74+BF74+BL74</f>
        <v/>
      </c>
      <c r="E74" s="42">
        <f>H74+N74+T74+Z74+AF74+AL74+AR74+AX74+BD74+BJ74</f>
        <v/>
      </c>
      <c r="F74">
        <f>MAX(0,'My Debts'!$E$21-(I74+O74+U74+AA74+AG74+AM74+AS74+AY74+BE74+BK74))</f>
        <v/>
      </c>
      <c r="G74" s="42">
        <f>K73</f>
        <v/>
      </c>
      <c r="H74" s="42">
        <f>ROUND(G74*H$6/12,2)</f>
        <v/>
      </c>
      <c r="I74" s="42">
        <f>MIN(I$6,G74+H74)</f>
        <v/>
      </c>
      <c r="J74" s="42">
        <f>MAX(0,MIN(G74+H74-I74,$F74))</f>
        <v/>
      </c>
      <c r="K74" s="42">
        <f>ROUND(G74+H74-I74-J74,2)</f>
        <v/>
      </c>
      <c r="L74">
        <f>$F74-J74</f>
        <v/>
      </c>
      <c r="M74" s="42">
        <f>Q73</f>
        <v/>
      </c>
      <c r="N74" s="42">
        <f>ROUND(M74*N$6/12,2)</f>
        <v/>
      </c>
      <c r="O74" s="42">
        <f>MIN(O$6,M74+N74)</f>
        <v/>
      </c>
      <c r="P74" s="42">
        <f>MAX(0,MIN(M74+N74-O74,L74))</f>
        <v/>
      </c>
      <c r="Q74" s="42">
        <f>ROUND(M74+N74-O74-P74,2)</f>
        <v/>
      </c>
      <c r="R74">
        <f>L74-P74</f>
        <v/>
      </c>
      <c r="S74" s="42">
        <f>W73</f>
        <v/>
      </c>
      <c r="T74" s="42">
        <f>ROUND(S74*T$6/12,2)</f>
        <v/>
      </c>
      <c r="U74" s="42">
        <f>MIN(U$6,S74+T74)</f>
        <v/>
      </c>
      <c r="V74" s="42">
        <f>MAX(0,MIN(S74+T74-U74,R74))</f>
        <v/>
      </c>
      <c r="W74" s="42">
        <f>ROUND(S74+T74-U74-V74,2)</f>
        <v/>
      </c>
      <c r="X74">
        <f>R74-V74</f>
        <v/>
      </c>
      <c r="Y74" s="42">
        <f>AC73</f>
        <v/>
      </c>
      <c r="Z74" s="42">
        <f>ROUND(Y74*Z$6/12,2)</f>
        <v/>
      </c>
      <c r="AA74" s="42">
        <f>MIN(AA$6,Y74+Z74)</f>
        <v/>
      </c>
      <c r="AB74" s="42">
        <f>MAX(0,MIN(Y74+Z74-AA74,X74))</f>
        <v/>
      </c>
      <c r="AC74" s="42">
        <f>ROUND(Y74+Z74-AA74-AB74,2)</f>
        <v/>
      </c>
      <c r="AD74">
        <f>X74-AB74</f>
        <v/>
      </c>
      <c r="AE74" s="42">
        <f>AI73</f>
        <v/>
      </c>
      <c r="AF74" s="42">
        <f>ROUND(AE74*AF$6/12,2)</f>
        <v/>
      </c>
      <c r="AG74" s="42">
        <f>MIN(AG$6,AE74+AF74)</f>
        <v/>
      </c>
      <c r="AH74" s="42">
        <f>MAX(0,MIN(AE74+AF74-AG74,AD74))</f>
        <v/>
      </c>
      <c r="AI74" s="42">
        <f>ROUND(AE74+AF74-AG74-AH74,2)</f>
        <v/>
      </c>
      <c r="AJ74">
        <f>AD74-AH74</f>
        <v/>
      </c>
      <c r="AK74" s="42">
        <f>AO73</f>
        <v/>
      </c>
      <c r="AL74" s="42">
        <f>ROUND(AK74*AL$6/12,2)</f>
        <v/>
      </c>
      <c r="AM74" s="42">
        <f>MIN(AM$6,AK74+AL74)</f>
        <v/>
      </c>
      <c r="AN74" s="42">
        <f>MAX(0,MIN(AK74+AL74-AM74,AJ74))</f>
        <v/>
      </c>
      <c r="AO74" s="42">
        <f>ROUND(AK74+AL74-AM74-AN74,2)</f>
        <v/>
      </c>
      <c r="AP74">
        <f>AJ74-AN74</f>
        <v/>
      </c>
      <c r="AQ74" s="42">
        <f>AU73</f>
        <v/>
      </c>
      <c r="AR74" s="42">
        <f>ROUND(AQ74*AR$6/12,2)</f>
        <v/>
      </c>
      <c r="AS74" s="42">
        <f>MIN(AS$6,AQ74+AR74)</f>
        <v/>
      </c>
      <c r="AT74" s="42">
        <f>MAX(0,MIN(AQ74+AR74-AS74,AP74))</f>
        <v/>
      </c>
      <c r="AU74" s="42">
        <f>ROUND(AQ74+AR74-AS74-AT74,2)</f>
        <v/>
      </c>
      <c r="AV74">
        <f>AP74-AT74</f>
        <v/>
      </c>
      <c r="AW74" s="42">
        <f>BA73</f>
        <v/>
      </c>
      <c r="AX74" s="42">
        <f>ROUND(AW74*AX$6/12,2)</f>
        <v/>
      </c>
      <c r="AY74" s="42">
        <f>MIN(AY$6,AW74+AX74)</f>
        <v/>
      </c>
      <c r="AZ74" s="42">
        <f>MAX(0,MIN(AW74+AX74-AY74,AV74))</f>
        <v/>
      </c>
      <c r="BA74" s="42">
        <f>ROUND(AW74+AX74-AY74-AZ74,2)</f>
        <v/>
      </c>
      <c r="BB74">
        <f>AV74-AZ74</f>
        <v/>
      </c>
      <c r="BC74" s="42">
        <f>BG73</f>
        <v/>
      </c>
      <c r="BD74" s="42">
        <f>ROUND(BC74*BD$6/12,2)</f>
        <v/>
      </c>
      <c r="BE74" s="42">
        <f>MIN(BE$6,BC74+BD74)</f>
        <v/>
      </c>
      <c r="BF74" s="42">
        <f>MAX(0,MIN(BC74+BD74-BE74,BB74))</f>
        <v/>
      </c>
      <c r="BG74" s="42">
        <f>ROUND(BC74+BD74-BE74-BF74,2)</f>
        <v/>
      </c>
      <c r="BH74">
        <f>BB74-BF74</f>
        <v/>
      </c>
      <c r="BI74" s="42">
        <f>BM73</f>
        <v/>
      </c>
      <c r="BJ74" s="42">
        <f>ROUND(BI74*BJ$6/12,2)</f>
        <v/>
      </c>
      <c r="BK74" s="42">
        <f>MIN(BK$6,BI74+BJ74)</f>
        <v/>
      </c>
      <c r="BL74" s="42">
        <f>MAX(0,MIN(BI74+BJ74-BK74,BH74))</f>
        <v/>
      </c>
      <c r="BM74" s="42">
        <f>ROUND(BI74+BJ74-BK74-BL74,2)</f>
        <v/>
      </c>
      <c r="BN74">
        <f>BH74-BL74</f>
        <v/>
      </c>
    </row>
    <row r="75">
      <c r="A75" s="43" t="n">
        <v>68</v>
      </c>
      <c r="B75" s="44">
        <f>EDATE('My Debts'!$C$6,A75-1)</f>
        <v/>
      </c>
      <c r="C75" s="45">
        <f>K75+Q75+W75+AC75+AI75+AO75+AU75+BA75+BG75+BM75</f>
        <v/>
      </c>
      <c r="D75" s="46">
        <f>I75+O75+U75+AA75+AG75+AM75+AS75+AY75+BE75+BK75+J75+P75+V75+AB75+AH75+AN75+AT75+AZ75+BF75+BL75</f>
        <v/>
      </c>
      <c r="E75" s="46">
        <f>H75+N75+T75+Z75+AF75+AL75+AR75+AX75+BD75+BJ75</f>
        <v/>
      </c>
      <c r="F75">
        <f>MAX(0,'My Debts'!$E$21-(I75+O75+U75+AA75+AG75+AM75+AS75+AY75+BE75+BK75))</f>
        <v/>
      </c>
      <c r="G75" s="42">
        <f>K74</f>
        <v/>
      </c>
      <c r="H75" s="42">
        <f>ROUND(G75*H$6/12,2)</f>
        <v/>
      </c>
      <c r="I75" s="42">
        <f>MIN(I$6,G75+H75)</f>
        <v/>
      </c>
      <c r="J75" s="42">
        <f>MAX(0,MIN(G75+H75-I75,$F75))</f>
        <v/>
      </c>
      <c r="K75" s="42">
        <f>ROUND(G75+H75-I75-J75,2)</f>
        <v/>
      </c>
      <c r="L75">
        <f>$F75-J75</f>
        <v/>
      </c>
      <c r="M75" s="42">
        <f>Q74</f>
        <v/>
      </c>
      <c r="N75" s="42">
        <f>ROUND(M75*N$6/12,2)</f>
        <v/>
      </c>
      <c r="O75" s="42">
        <f>MIN(O$6,M75+N75)</f>
        <v/>
      </c>
      <c r="P75" s="42">
        <f>MAX(0,MIN(M75+N75-O75,L75))</f>
        <v/>
      </c>
      <c r="Q75" s="42">
        <f>ROUND(M75+N75-O75-P75,2)</f>
        <v/>
      </c>
      <c r="R75">
        <f>L75-P75</f>
        <v/>
      </c>
      <c r="S75" s="42">
        <f>W74</f>
        <v/>
      </c>
      <c r="T75" s="42">
        <f>ROUND(S75*T$6/12,2)</f>
        <v/>
      </c>
      <c r="U75" s="42">
        <f>MIN(U$6,S75+T75)</f>
        <v/>
      </c>
      <c r="V75" s="42">
        <f>MAX(0,MIN(S75+T75-U75,R75))</f>
        <v/>
      </c>
      <c r="W75" s="42">
        <f>ROUND(S75+T75-U75-V75,2)</f>
        <v/>
      </c>
      <c r="X75">
        <f>R75-V75</f>
        <v/>
      </c>
      <c r="Y75" s="42">
        <f>AC74</f>
        <v/>
      </c>
      <c r="Z75" s="42">
        <f>ROUND(Y75*Z$6/12,2)</f>
        <v/>
      </c>
      <c r="AA75" s="42">
        <f>MIN(AA$6,Y75+Z75)</f>
        <v/>
      </c>
      <c r="AB75" s="42">
        <f>MAX(0,MIN(Y75+Z75-AA75,X75))</f>
        <v/>
      </c>
      <c r="AC75" s="42">
        <f>ROUND(Y75+Z75-AA75-AB75,2)</f>
        <v/>
      </c>
      <c r="AD75">
        <f>X75-AB75</f>
        <v/>
      </c>
      <c r="AE75" s="42">
        <f>AI74</f>
        <v/>
      </c>
      <c r="AF75" s="42">
        <f>ROUND(AE75*AF$6/12,2)</f>
        <v/>
      </c>
      <c r="AG75" s="42">
        <f>MIN(AG$6,AE75+AF75)</f>
        <v/>
      </c>
      <c r="AH75" s="42">
        <f>MAX(0,MIN(AE75+AF75-AG75,AD75))</f>
        <v/>
      </c>
      <c r="AI75" s="42">
        <f>ROUND(AE75+AF75-AG75-AH75,2)</f>
        <v/>
      </c>
      <c r="AJ75">
        <f>AD75-AH75</f>
        <v/>
      </c>
      <c r="AK75" s="42">
        <f>AO74</f>
        <v/>
      </c>
      <c r="AL75" s="42">
        <f>ROUND(AK75*AL$6/12,2)</f>
        <v/>
      </c>
      <c r="AM75" s="42">
        <f>MIN(AM$6,AK75+AL75)</f>
        <v/>
      </c>
      <c r="AN75" s="42">
        <f>MAX(0,MIN(AK75+AL75-AM75,AJ75))</f>
        <v/>
      </c>
      <c r="AO75" s="42">
        <f>ROUND(AK75+AL75-AM75-AN75,2)</f>
        <v/>
      </c>
      <c r="AP75">
        <f>AJ75-AN75</f>
        <v/>
      </c>
      <c r="AQ75" s="42">
        <f>AU74</f>
        <v/>
      </c>
      <c r="AR75" s="42">
        <f>ROUND(AQ75*AR$6/12,2)</f>
        <v/>
      </c>
      <c r="AS75" s="42">
        <f>MIN(AS$6,AQ75+AR75)</f>
        <v/>
      </c>
      <c r="AT75" s="42">
        <f>MAX(0,MIN(AQ75+AR75-AS75,AP75))</f>
        <v/>
      </c>
      <c r="AU75" s="42">
        <f>ROUND(AQ75+AR75-AS75-AT75,2)</f>
        <v/>
      </c>
      <c r="AV75">
        <f>AP75-AT75</f>
        <v/>
      </c>
      <c r="AW75" s="42">
        <f>BA74</f>
        <v/>
      </c>
      <c r="AX75" s="42">
        <f>ROUND(AW75*AX$6/12,2)</f>
        <v/>
      </c>
      <c r="AY75" s="42">
        <f>MIN(AY$6,AW75+AX75)</f>
        <v/>
      </c>
      <c r="AZ75" s="42">
        <f>MAX(0,MIN(AW75+AX75-AY75,AV75))</f>
        <v/>
      </c>
      <c r="BA75" s="42">
        <f>ROUND(AW75+AX75-AY75-AZ75,2)</f>
        <v/>
      </c>
      <c r="BB75">
        <f>AV75-AZ75</f>
        <v/>
      </c>
      <c r="BC75" s="42">
        <f>BG74</f>
        <v/>
      </c>
      <c r="BD75" s="42">
        <f>ROUND(BC75*BD$6/12,2)</f>
        <v/>
      </c>
      <c r="BE75" s="42">
        <f>MIN(BE$6,BC75+BD75)</f>
        <v/>
      </c>
      <c r="BF75" s="42">
        <f>MAX(0,MIN(BC75+BD75-BE75,BB75))</f>
        <v/>
      </c>
      <c r="BG75" s="42">
        <f>ROUND(BC75+BD75-BE75-BF75,2)</f>
        <v/>
      </c>
      <c r="BH75">
        <f>BB75-BF75</f>
        <v/>
      </c>
      <c r="BI75" s="42">
        <f>BM74</f>
        <v/>
      </c>
      <c r="BJ75" s="42">
        <f>ROUND(BI75*BJ$6/12,2)</f>
        <v/>
      </c>
      <c r="BK75" s="42">
        <f>MIN(BK$6,BI75+BJ75)</f>
        <v/>
      </c>
      <c r="BL75" s="42">
        <f>MAX(0,MIN(BI75+BJ75-BK75,BH75))</f>
        <v/>
      </c>
      <c r="BM75" s="42">
        <f>ROUND(BI75+BJ75-BK75-BL75,2)</f>
        <v/>
      </c>
      <c r="BN75">
        <f>BH75-BL75</f>
        <v/>
      </c>
    </row>
    <row r="76">
      <c r="A76" s="39" t="n">
        <v>69</v>
      </c>
      <c r="B76" s="40">
        <f>EDATE('My Debts'!$C$6,A76-1)</f>
        <v/>
      </c>
      <c r="C76" s="41">
        <f>K76+Q76+W76+AC76+AI76+AO76+AU76+BA76+BG76+BM76</f>
        <v/>
      </c>
      <c r="D76" s="42">
        <f>I76+O76+U76+AA76+AG76+AM76+AS76+AY76+BE76+BK76+J76+P76+V76+AB76+AH76+AN76+AT76+AZ76+BF76+BL76</f>
        <v/>
      </c>
      <c r="E76" s="42">
        <f>H76+N76+T76+Z76+AF76+AL76+AR76+AX76+BD76+BJ76</f>
        <v/>
      </c>
      <c r="F76">
        <f>MAX(0,'My Debts'!$E$21-(I76+O76+U76+AA76+AG76+AM76+AS76+AY76+BE76+BK76))</f>
        <v/>
      </c>
      <c r="G76" s="42">
        <f>K75</f>
        <v/>
      </c>
      <c r="H76" s="42">
        <f>ROUND(G76*H$6/12,2)</f>
        <v/>
      </c>
      <c r="I76" s="42">
        <f>MIN(I$6,G76+H76)</f>
        <v/>
      </c>
      <c r="J76" s="42">
        <f>MAX(0,MIN(G76+H76-I76,$F76))</f>
        <v/>
      </c>
      <c r="K76" s="42">
        <f>ROUND(G76+H76-I76-J76,2)</f>
        <v/>
      </c>
      <c r="L76">
        <f>$F76-J76</f>
        <v/>
      </c>
      <c r="M76" s="42">
        <f>Q75</f>
        <v/>
      </c>
      <c r="N76" s="42">
        <f>ROUND(M76*N$6/12,2)</f>
        <v/>
      </c>
      <c r="O76" s="42">
        <f>MIN(O$6,M76+N76)</f>
        <v/>
      </c>
      <c r="P76" s="42">
        <f>MAX(0,MIN(M76+N76-O76,L76))</f>
        <v/>
      </c>
      <c r="Q76" s="42">
        <f>ROUND(M76+N76-O76-P76,2)</f>
        <v/>
      </c>
      <c r="R76">
        <f>L76-P76</f>
        <v/>
      </c>
      <c r="S76" s="42">
        <f>W75</f>
        <v/>
      </c>
      <c r="T76" s="42">
        <f>ROUND(S76*T$6/12,2)</f>
        <v/>
      </c>
      <c r="U76" s="42">
        <f>MIN(U$6,S76+T76)</f>
        <v/>
      </c>
      <c r="V76" s="42">
        <f>MAX(0,MIN(S76+T76-U76,R76))</f>
        <v/>
      </c>
      <c r="W76" s="42">
        <f>ROUND(S76+T76-U76-V76,2)</f>
        <v/>
      </c>
      <c r="X76">
        <f>R76-V76</f>
        <v/>
      </c>
      <c r="Y76" s="42">
        <f>AC75</f>
        <v/>
      </c>
      <c r="Z76" s="42">
        <f>ROUND(Y76*Z$6/12,2)</f>
        <v/>
      </c>
      <c r="AA76" s="42">
        <f>MIN(AA$6,Y76+Z76)</f>
        <v/>
      </c>
      <c r="AB76" s="42">
        <f>MAX(0,MIN(Y76+Z76-AA76,X76))</f>
        <v/>
      </c>
      <c r="AC76" s="42">
        <f>ROUND(Y76+Z76-AA76-AB76,2)</f>
        <v/>
      </c>
      <c r="AD76">
        <f>X76-AB76</f>
        <v/>
      </c>
      <c r="AE76" s="42">
        <f>AI75</f>
        <v/>
      </c>
      <c r="AF76" s="42">
        <f>ROUND(AE76*AF$6/12,2)</f>
        <v/>
      </c>
      <c r="AG76" s="42">
        <f>MIN(AG$6,AE76+AF76)</f>
        <v/>
      </c>
      <c r="AH76" s="42">
        <f>MAX(0,MIN(AE76+AF76-AG76,AD76))</f>
        <v/>
      </c>
      <c r="AI76" s="42">
        <f>ROUND(AE76+AF76-AG76-AH76,2)</f>
        <v/>
      </c>
      <c r="AJ76">
        <f>AD76-AH76</f>
        <v/>
      </c>
      <c r="AK76" s="42">
        <f>AO75</f>
        <v/>
      </c>
      <c r="AL76" s="42">
        <f>ROUND(AK76*AL$6/12,2)</f>
        <v/>
      </c>
      <c r="AM76" s="42">
        <f>MIN(AM$6,AK76+AL76)</f>
        <v/>
      </c>
      <c r="AN76" s="42">
        <f>MAX(0,MIN(AK76+AL76-AM76,AJ76))</f>
        <v/>
      </c>
      <c r="AO76" s="42">
        <f>ROUND(AK76+AL76-AM76-AN76,2)</f>
        <v/>
      </c>
      <c r="AP76">
        <f>AJ76-AN76</f>
        <v/>
      </c>
      <c r="AQ76" s="42">
        <f>AU75</f>
        <v/>
      </c>
      <c r="AR76" s="42">
        <f>ROUND(AQ76*AR$6/12,2)</f>
        <v/>
      </c>
      <c r="AS76" s="42">
        <f>MIN(AS$6,AQ76+AR76)</f>
        <v/>
      </c>
      <c r="AT76" s="42">
        <f>MAX(0,MIN(AQ76+AR76-AS76,AP76))</f>
        <v/>
      </c>
      <c r="AU76" s="42">
        <f>ROUND(AQ76+AR76-AS76-AT76,2)</f>
        <v/>
      </c>
      <c r="AV76">
        <f>AP76-AT76</f>
        <v/>
      </c>
      <c r="AW76" s="42">
        <f>BA75</f>
        <v/>
      </c>
      <c r="AX76" s="42">
        <f>ROUND(AW76*AX$6/12,2)</f>
        <v/>
      </c>
      <c r="AY76" s="42">
        <f>MIN(AY$6,AW76+AX76)</f>
        <v/>
      </c>
      <c r="AZ76" s="42">
        <f>MAX(0,MIN(AW76+AX76-AY76,AV76))</f>
        <v/>
      </c>
      <c r="BA76" s="42">
        <f>ROUND(AW76+AX76-AY76-AZ76,2)</f>
        <v/>
      </c>
      <c r="BB76">
        <f>AV76-AZ76</f>
        <v/>
      </c>
      <c r="BC76" s="42">
        <f>BG75</f>
        <v/>
      </c>
      <c r="BD76" s="42">
        <f>ROUND(BC76*BD$6/12,2)</f>
        <v/>
      </c>
      <c r="BE76" s="42">
        <f>MIN(BE$6,BC76+BD76)</f>
        <v/>
      </c>
      <c r="BF76" s="42">
        <f>MAX(0,MIN(BC76+BD76-BE76,BB76))</f>
        <v/>
      </c>
      <c r="BG76" s="42">
        <f>ROUND(BC76+BD76-BE76-BF76,2)</f>
        <v/>
      </c>
      <c r="BH76">
        <f>BB76-BF76</f>
        <v/>
      </c>
      <c r="BI76" s="42">
        <f>BM75</f>
        <v/>
      </c>
      <c r="BJ76" s="42">
        <f>ROUND(BI76*BJ$6/12,2)</f>
        <v/>
      </c>
      <c r="BK76" s="42">
        <f>MIN(BK$6,BI76+BJ76)</f>
        <v/>
      </c>
      <c r="BL76" s="42">
        <f>MAX(0,MIN(BI76+BJ76-BK76,BH76))</f>
        <v/>
      </c>
      <c r="BM76" s="42">
        <f>ROUND(BI76+BJ76-BK76-BL76,2)</f>
        <v/>
      </c>
      <c r="BN76">
        <f>BH76-BL76</f>
        <v/>
      </c>
    </row>
    <row r="77">
      <c r="A77" s="43" t="n">
        <v>70</v>
      </c>
      <c r="B77" s="44">
        <f>EDATE('My Debts'!$C$6,A77-1)</f>
        <v/>
      </c>
      <c r="C77" s="45">
        <f>K77+Q77+W77+AC77+AI77+AO77+AU77+BA77+BG77+BM77</f>
        <v/>
      </c>
      <c r="D77" s="46">
        <f>I77+O77+U77+AA77+AG77+AM77+AS77+AY77+BE77+BK77+J77+P77+V77+AB77+AH77+AN77+AT77+AZ77+BF77+BL77</f>
        <v/>
      </c>
      <c r="E77" s="46">
        <f>H77+N77+T77+Z77+AF77+AL77+AR77+AX77+BD77+BJ77</f>
        <v/>
      </c>
      <c r="F77">
        <f>MAX(0,'My Debts'!$E$21-(I77+O77+U77+AA77+AG77+AM77+AS77+AY77+BE77+BK77))</f>
        <v/>
      </c>
      <c r="G77" s="42">
        <f>K76</f>
        <v/>
      </c>
      <c r="H77" s="42">
        <f>ROUND(G77*H$6/12,2)</f>
        <v/>
      </c>
      <c r="I77" s="42">
        <f>MIN(I$6,G77+H77)</f>
        <v/>
      </c>
      <c r="J77" s="42">
        <f>MAX(0,MIN(G77+H77-I77,$F77))</f>
        <v/>
      </c>
      <c r="K77" s="42">
        <f>ROUND(G77+H77-I77-J77,2)</f>
        <v/>
      </c>
      <c r="L77">
        <f>$F77-J77</f>
        <v/>
      </c>
      <c r="M77" s="42">
        <f>Q76</f>
        <v/>
      </c>
      <c r="N77" s="42">
        <f>ROUND(M77*N$6/12,2)</f>
        <v/>
      </c>
      <c r="O77" s="42">
        <f>MIN(O$6,M77+N77)</f>
        <v/>
      </c>
      <c r="P77" s="42">
        <f>MAX(0,MIN(M77+N77-O77,L77))</f>
        <v/>
      </c>
      <c r="Q77" s="42">
        <f>ROUND(M77+N77-O77-P77,2)</f>
        <v/>
      </c>
      <c r="R77">
        <f>L77-P77</f>
        <v/>
      </c>
      <c r="S77" s="42">
        <f>W76</f>
        <v/>
      </c>
      <c r="T77" s="42">
        <f>ROUND(S77*T$6/12,2)</f>
        <v/>
      </c>
      <c r="U77" s="42">
        <f>MIN(U$6,S77+T77)</f>
        <v/>
      </c>
      <c r="V77" s="42">
        <f>MAX(0,MIN(S77+T77-U77,R77))</f>
        <v/>
      </c>
      <c r="W77" s="42">
        <f>ROUND(S77+T77-U77-V77,2)</f>
        <v/>
      </c>
      <c r="X77">
        <f>R77-V77</f>
        <v/>
      </c>
      <c r="Y77" s="42">
        <f>AC76</f>
        <v/>
      </c>
      <c r="Z77" s="42">
        <f>ROUND(Y77*Z$6/12,2)</f>
        <v/>
      </c>
      <c r="AA77" s="42">
        <f>MIN(AA$6,Y77+Z77)</f>
        <v/>
      </c>
      <c r="AB77" s="42">
        <f>MAX(0,MIN(Y77+Z77-AA77,X77))</f>
        <v/>
      </c>
      <c r="AC77" s="42">
        <f>ROUND(Y77+Z77-AA77-AB77,2)</f>
        <v/>
      </c>
      <c r="AD77">
        <f>X77-AB77</f>
        <v/>
      </c>
      <c r="AE77" s="42">
        <f>AI76</f>
        <v/>
      </c>
      <c r="AF77" s="42">
        <f>ROUND(AE77*AF$6/12,2)</f>
        <v/>
      </c>
      <c r="AG77" s="42">
        <f>MIN(AG$6,AE77+AF77)</f>
        <v/>
      </c>
      <c r="AH77" s="42">
        <f>MAX(0,MIN(AE77+AF77-AG77,AD77))</f>
        <v/>
      </c>
      <c r="AI77" s="42">
        <f>ROUND(AE77+AF77-AG77-AH77,2)</f>
        <v/>
      </c>
      <c r="AJ77">
        <f>AD77-AH77</f>
        <v/>
      </c>
      <c r="AK77" s="42">
        <f>AO76</f>
        <v/>
      </c>
      <c r="AL77" s="42">
        <f>ROUND(AK77*AL$6/12,2)</f>
        <v/>
      </c>
      <c r="AM77" s="42">
        <f>MIN(AM$6,AK77+AL77)</f>
        <v/>
      </c>
      <c r="AN77" s="42">
        <f>MAX(0,MIN(AK77+AL77-AM77,AJ77))</f>
        <v/>
      </c>
      <c r="AO77" s="42">
        <f>ROUND(AK77+AL77-AM77-AN77,2)</f>
        <v/>
      </c>
      <c r="AP77">
        <f>AJ77-AN77</f>
        <v/>
      </c>
      <c r="AQ77" s="42">
        <f>AU76</f>
        <v/>
      </c>
      <c r="AR77" s="42">
        <f>ROUND(AQ77*AR$6/12,2)</f>
        <v/>
      </c>
      <c r="AS77" s="42">
        <f>MIN(AS$6,AQ77+AR77)</f>
        <v/>
      </c>
      <c r="AT77" s="42">
        <f>MAX(0,MIN(AQ77+AR77-AS77,AP77))</f>
        <v/>
      </c>
      <c r="AU77" s="42">
        <f>ROUND(AQ77+AR77-AS77-AT77,2)</f>
        <v/>
      </c>
      <c r="AV77">
        <f>AP77-AT77</f>
        <v/>
      </c>
      <c r="AW77" s="42">
        <f>BA76</f>
        <v/>
      </c>
      <c r="AX77" s="42">
        <f>ROUND(AW77*AX$6/12,2)</f>
        <v/>
      </c>
      <c r="AY77" s="42">
        <f>MIN(AY$6,AW77+AX77)</f>
        <v/>
      </c>
      <c r="AZ77" s="42">
        <f>MAX(0,MIN(AW77+AX77-AY77,AV77))</f>
        <v/>
      </c>
      <c r="BA77" s="42">
        <f>ROUND(AW77+AX77-AY77-AZ77,2)</f>
        <v/>
      </c>
      <c r="BB77">
        <f>AV77-AZ77</f>
        <v/>
      </c>
      <c r="BC77" s="42">
        <f>BG76</f>
        <v/>
      </c>
      <c r="BD77" s="42">
        <f>ROUND(BC77*BD$6/12,2)</f>
        <v/>
      </c>
      <c r="BE77" s="42">
        <f>MIN(BE$6,BC77+BD77)</f>
        <v/>
      </c>
      <c r="BF77" s="42">
        <f>MAX(0,MIN(BC77+BD77-BE77,BB77))</f>
        <v/>
      </c>
      <c r="BG77" s="42">
        <f>ROUND(BC77+BD77-BE77-BF77,2)</f>
        <v/>
      </c>
      <c r="BH77">
        <f>BB77-BF77</f>
        <v/>
      </c>
      <c r="BI77" s="42">
        <f>BM76</f>
        <v/>
      </c>
      <c r="BJ77" s="42">
        <f>ROUND(BI77*BJ$6/12,2)</f>
        <v/>
      </c>
      <c r="BK77" s="42">
        <f>MIN(BK$6,BI77+BJ77)</f>
        <v/>
      </c>
      <c r="BL77" s="42">
        <f>MAX(0,MIN(BI77+BJ77-BK77,BH77))</f>
        <v/>
      </c>
      <c r="BM77" s="42">
        <f>ROUND(BI77+BJ77-BK77-BL77,2)</f>
        <v/>
      </c>
      <c r="BN77">
        <f>BH77-BL77</f>
        <v/>
      </c>
    </row>
    <row r="78">
      <c r="A78" s="39" t="n">
        <v>71</v>
      </c>
      <c r="B78" s="40">
        <f>EDATE('My Debts'!$C$6,A78-1)</f>
        <v/>
      </c>
      <c r="C78" s="41">
        <f>K78+Q78+W78+AC78+AI78+AO78+AU78+BA78+BG78+BM78</f>
        <v/>
      </c>
      <c r="D78" s="42">
        <f>I78+O78+U78+AA78+AG78+AM78+AS78+AY78+BE78+BK78+J78+P78+V78+AB78+AH78+AN78+AT78+AZ78+BF78+BL78</f>
        <v/>
      </c>
      <c r="E78" s="42">
        <f>H78+N78+T78+Z78+AF78+AL78+AR78+AX78+BD78+BJ78</f>
        <v/>
      </c>
      <c r="F78">
        <f>MAX(0,'My Debts'!$E$21-(I78+O78+U78+AA78+AG78+AM78+AS78+AY78+BE78+BK78))</f>
        <v/>
      </c>
      <c r="G78" s="42">
        <f>K77</f>
        <v/>
      </c>
      <c r="H78" s="42">
        <f>ROUND(G78*H$6/12,2)</f>
        <v/>
      </c>
      <c r="I78" s="42">
        <f>MIN(I$6,G78+H78)</f>
        <v/>
      </c>
      <c r="J78" s="42">
        <f>MAX(0,MIN(G78+H78-I78,$F78))</f>
        <v/>
      </c>
      <c r="K78" s="42">
        <f>ROUND(G78+H78-I78-J78,2)</f>
        <v/>
      </c>
      <c r="L78">
        <f>$F78-J78</f>
        <v/>
      </c>
      <c r="M78" s="42">
        <f>Q77</f>
        <v/>
      </c>
      <c r="N78" s="42">
        <f>ROUND(M78*N$6/12,2)</f>
        <v/>
      </c>
      <c r="O78" s="42">
        <f>MIN(O$6,M78+N78)</f>
        <v/>
      </c>
      <c r="P78" s="42">
        <f>MAX(0,MIN(M78+N78-O78,L78))</f>
        <v/>
      </c>
      <c r="Q78" s="42">
        <f>ROUND(M78+N78-O78-P78,2)</f>
        <v/>
      </c>
      <c r="R78">
        <f>L78-P78</f>
        <v/>
      </c>
      <c r="S78" s="42">
        <f>W77</f>
        <v/>
      </c>
      <c r="T78" s="42">
        <f>ROUND(S78*T$6/12,2)</f>
        <v/>
      </c>
      <c r="U78" s="42">
        <f>MIN(U$6,S78+T78)</f>
        <v/>
      </c>
      <c r="V78" s="42">
        <f>MAX(0,MIN(S78+T78-U78,R78))</f>
        <v/>
      </c>
      <c r="W78" s="42">
        <f>ROUND(S78+T78-U78-V78,2)</f>
        <v/>
      </c>
      <c r="X78">
        <f>R78-V78</f>
        <v/>
      </c>
      <c r="Y78" s="42">
        <f>AC77</f>
        <v/>
      </c>
      <c r="Z78" s="42">
        <f>ROUND(Y78*Z$6/12,2)</f>
        <v/>
      </c>
      <c r="AA78" s="42">
        <f>MIN(AA$6,Y78+Z78)</f>
        <v/>
      </c>
      <c r="AB78" s="42">
        <f>MAX(0,MIN(Y78+Z78-AA78,X78))</f>
        <v/>
      </c>
      <c r="AC78" s="42">
        <f>ROUND(Y78+Z78-AA78-AB78,2)</f>
        <v/>
      </c>
      <c r="AD78">
        <f>X78-AB78</f>
        <v/>
      </c>
      <c r="AE78" s="42">
        <f>AI77</f>
        <v/>
      </c>
      <c r="AF78" s="42">
        <f>ROUND(AE78*AF$6/12,2)</f>
        <v/>
      </c>
      <c r="AG78" s="42">
        <f>MIN(AG$6,AE78+AF78)</f>
        <v/>
      </c>
      <c r="AH78" s="42">
        <f>MAX(0,MIN(AE78+AF78-AG78,AD78))</f>
        <v/>
      </c>
      <c r="AI78" s="42">
        <f>ROUND(AE78+AF78-AG78-AH78,2)</f>
        <v/>
      </c>
      <c r="AJ78">
        <f>AD78-AH78</f>
        <v/>
      </c>
      <c r="AK78" s="42">
        <f>AO77</f>
        <v/>
      </c>
      <c r="AL78" s="42">
        <f>ROUND(AK78*AL$6/12,2)</f>
        <v/>
      </c>
      <c r="AM78" s="42">
        <f>MIN(AM$6,AK78+AL78)</f>
        <v/>
      </c>
      <c r="AN78" s="42">
        <f>MAX(0,MIN(AK78+AL78-AM78,AJ78))</f>
        <v/>
      </c>
      <c r="AO78" s="42">
        <f>ROUND(AK78+AL78-AM78-AN78,2)</f>
        <v/>
      </c>
      <c r="AP78">
        <f>AJ78-AN78</f>
        <v/>
      </c>
      <c r="AQ78" s="42">
        <f>AU77</f>
        <v/>
      </c>
      <c r="AR78" s="42">
        <f>ROUND(AQ78*AR$6/12,2)</f>
        <v/>
      </c>
      <c r="AS78" s="42">
        <f>MIN(AS$6,AQ78+AR78)</f>
        <v/>
      </c>
      <c r="AT78" s="42">
        <f>MAX(0,MIN(AQ78+AR78-AS78,AP78))</f>
        <v/>
      </c>
      <c r="AU78" s="42">
        <f>ROUND(AQ78+AR78-AS78-AT78,2)</f>
        <v/>
      </c>
      <c r="AV78">
        <f>AP78-AT78</f>
        <v/>
      </c>
      <c r="AW78" s="42">
        <f>BA77</f>
        <v/>
      </c>
      <c r="AX78" s="42">
        <f>ROUND(AW78*AX$6/12,2)</f>
        <v/>
      </c>
      <c r="AY78" s="42">
        <f>MIN(AY$6,AW78+AX78)</f>
        <v/>
      </c>
      <c r="AZ78" s="42">
        <f>MAX(0,MIN(AW78+AX78-AY78,AV78))</f>
        <v/>
      </c>
      <c r="BA78" s="42">
        <f>ROUND(AW78+AX78-AY78-AZ78,2)</f>
        <v/>
      </c>
      <c r="BB78">
        <f>AV78-AZ78</f>
        <v/>
      </c>
      <c r="BC78" s="42">
        <f>BG77</f>
        <v/>
      </c>
      <c r="BD78" s="42">
        <f>ROUND(BC78*BD$6/12,2)</f>
        <v/>
      </c>
      <c r="BE78" s="42">
        <f>MIN(BE$6,BC78+BD78)</f>
        <v/>
      </c>
      <c r="BF78" s="42">
        <f>MAX(0,MIN(BC78+BD78-BE78,BB78))</f>
        <v/>
      </c>
      <c r="BG78" s="42">
        <f>ROUND(BC78+BD78-BE78-BF78,2)</f>
        <v/>
      </c>
      <c r="BH78">
        <f>BB78-BF78</f>
        <v/>
      </c>
      <c r="BI78" s="42">
        <f>BM77</f>
        <v/>
      </c>
      <c r="BJ78" s="42">
        <f>ROUND(BI78*BJ$6/12,2)</f>
        <v/>
      </c>
      <c r="BK78" s="42">
        <f>MIN(BK$6,BI78+BJ78)</f>
        <v/>
      </c>
      <c r="BL78" s="42">
        <f>MAX(0,MIN(BI78+BJ78-BK78,BH78))</f>
        <v/>
      </c>
      <c r="BM78" s="42">
        <f>ROUND(BI78+BJ78-BK78-BL78,2)</f>
        <v/>
      </c>
      <c r="BN78">
        <f>BH78-BL78</f>
        <v/>
      </c>
    </row>
    <row r="79">
      <c r="A79" s="43" t="n">
        <v>72</v>
      </c>
      <c r="B79" s="44">
        <f>EDATE('My Debts'!$C$6,A79-1)</f>
        <v/>
      </c>
      <c r="C79" s="45">
        <f>K79+Q79+W79+AC79+AI79+AO79+AU79+BA79+BG79+BM79</f>
        <v/>
      </c>
      <c r="D79" s="46">
        <f>I79+O79+U79+AA79+AG79+AM79+AS79+AY79+BE79+BK79+J79+P79+V79+AB79+AH79+AN79+AT79+AZ79+BF79+BL79</f>
        <v/>
      </c>
      <c r="E79" s="46">
        <f>H79+N79+T79+Z79+AF79+AL79+AR79+AX79+BD79+BJ79</f>
        <v/>
      </c>
      <c r="F79">
        <f>MAX(0,'My Debts'!$E$21-(I79+O79+U79+AA79+AG79+AM79+AS79+AY79+BE79+BK79))</f>
        <v/>
      </c>
      <c r="G79" s="42">
        <f>K78</f>
        <v/>
      </c>
      <c r="H79" s="42">
        <f>ROUND(G79*H$6/12,2)</f>
        <v/>
      </c>
      <c r="I79" s="42">
        <f>MIN(I$6,G79+H79)</f>
        <v/>
      </c>
      <c r="J79" s="42">
        <f>MAX(0,MIN(G79+H79-I79,$F79))</f>
        <v/>
      </c>
      <c r="K79" s="42">
        <f>ROUND(G79+H79-I79-J79,2)</f>
        <v/>
      </c>
      <c r="L79">
        <f>$F79-J79</f>
        <v/>
      </c>
      <c r="M79" s="42">
        <f>Q78</f>
        <v/>
      </c>
      <c r="N79" s="42">
        <f>ROUND(M79*N$6/12,2)</f>
        <v/>
      </c>
      <c r="O79" s="42">
        <f>MIN(O$6,M79+N79)</f>
        <v/>
      </c>
      <c r="P79" s="42">
        <f>MAX(0,MIN(M79+N79-O79,L79))</f>
        <v/>
      </c>
      <c r="Q79" s="42">
        <f>ROUND(M79+N79-O79-P79,2)</f>
        <v/>
      </c>
      <c r="R79">
        <f>L79-P79</f>
        <v/>
      </c>
      <c r="S79" s="42">
        <f>W78</f>
        <v/>
      </c>
      <c r="T79" s="42">
        <f>ROUND(S79*T$6/12,2)</f>
        <v/>
      </c>
      <c r="U79" s="42">
        <f>MIN(U$6,S79+T79)</f>
        <v/>
      </c>
      <c r="V79" s="42">
        <f>MAX(0,MIN(S79+T79-U79,R79))</f>
        <v/>
      </c>
      <c r="W79" s="42">
        <f>ROUND(S79+T79-U79-V79,2)</f>
        <v/>
      </c>
      <c r="X79">
        <f>R79-V79</f>
        <v/>
      </c>
      <c r="Y79" s="42">
        <f>AC78</f>
        <v/>
      </c>
      <c r="Z79" s="42">
        <f>ROUND(Y79*Z$6/12,2)</f>
        <v/>
      </c>
      <c r="AA79" s="42">
        <f>MIN(AA$6,Y79+Z79)</f>
        <v/>
      </c>
      <c r="AB79" s="42">
        <f>MAX(0,MIN(Y79+Z79-AA79,X79))</f>
        <v/>
      </c>
      <c r="AC79" s="42">
        <f>ROUND(Y79+Z79-AA79-AB79,2)</f>
        <v/>
      </c>
      <c r="AD79">
        <f>X79-AB79</f>
        <v/>
      </c>
      <c r="AE79" s="42">
        <f>AI78</f>
        <v/>
      </c>
      <c r="AF79" s="42">
        <f>ROUND(AE79*AF$6/12,2)</f>
        <v/>
      </c>
      <c r="AG79" s="42">
        <f>MIN(AG$6,AE79+AF79)</f>
        <v/>
      </c>
      <c r="AH79" s="42">
        <f>MAX(0,MIN(AE79+AF79-AG79,AD79))</f>
        <v/>
      </c>
      <c r="AI79" s="42">
        <f>ROUND(AE79+AF79-AG79-AH79,2)</f>
        <v/>
      </c>
      <c r="AJ79">
        <f>AD79-AH79</f>
        <v/>
      </c>
      <c r="AK79" s="42">
        <f>AO78</f>
        <v/>
      </c>
      <c r="AL79" s="42">
        <f>ROUND(AK79*AL$6/12,2)</f>
        <v/>
      </c>
      <c r="AM79" s="42">
        <f>MIN(AM$6,AK79+AL79)</f>
        <v/>
      </c>
      <c r="AN79" s="42">
        <f>MAX(0,MIN(AK79+AL79-AM79,AJ79))</f>
        <v/>
      </c>
      <c r="AO79" s="42">
        <f>ROUND(AK79+AL79-AM79-AN79,2)</f>
        <v/>
      </c>
      <c r="AP79">
        <f>AJ79-AN79</f>
        <v/>
      </c>
      <c r="AQ79" s="42">
        <f>AU78</f>
        <v/>
      </c>
      <c r="AR79" s="42">
        <f>ROUND(AQ79*AR$6/12,2)</f>
        <v/>
      </c>
      <c r="AS79" s="42">
        <f>MIN(AS$6,AQ79+AR79)</f>
        <v/>
      </c>
      <c r="AT79" s="42">
        <f>MAX(0,MIN(AQ79+AR79-AS79,AP79))</f>
        <v/>
      </c>
      <c r="AU79" s="42">
        <f>ROUND(AQ79+AR79-AS79-AT79,2)</f>
        <v/>
      </c>
      <c r="AV79">
        <f>AP79-AT79</f>
        <v/>
      </c>
      <c r="AW79" s="42">
        <f>BA78</f>
        <v/>
      </c>
      <c r="AX79" s="42">
        <f>ROUND(AW79*AX$6/12,2)</f>
        <v/>
      </c>
      <c r="AY79" s="42">
        <f>MIN(AY$6,AW79+AX79)</f>
        <v/>
      </c>
      <c r="AZ79" s="42">
        <f>MAX(0,MIN(AW79+AX79-AY79,AV79))</f>
        <v/>
      </c>
      <c r="BA79" s="42">
        <f>ROUND(AW79+AX79-AY79-AZ79,2)</f>
        <v/>
      </c>
      <c r="BB79">
        <f>AV79-AZ79</f>
        <v/>
      </c>
      <c r="BC79" s="42">
        <f>BG78</f>
        <v/>
      </c>
      <c r="BD79" s="42">
        <f>ROUND(BC79*BD$6/12,2)</f>
        <v/>
      </c>
      <c r="BE79" s="42">
        <f>MIN(BE$6,BC79+BD79)</f>
        <v/>
      </c>
      <c r="BF79" s="42">
        <f>MAX(0,MIN(BC79+BD79-BE79,BB79))</f>
        <v/>
      </c>
      <c r="BG79" s="42">
        <f>ROUND(BC79+BD79-BE79-BF79,2)</f>
        <v/>
      </c>
      <c r="BH79">
        <f>BB79-BF79</f>
        <v/>
      </c>
      <c r="BI79" s="42">
        <f>BM78</f>
        <v/>
      </c>
      <c r="BJ79" s="42">
        <f>ROUND(BI79*BJ$6/12,2)</f>
        <v/>
      </c>
      <c r="BK79" s="42">
        <f>MIN(BK$6,BI79+BJ79)</f>
        <v/>
      </c>
      <c r="BL79" s="42">
        <f>MAX(0,MIN(BI79+BJ79-BK79,BH79))</f>
        <v/>
      </c>
      <c r="BM79" s="42">
        <f>ROUND(BI79+BJ79-BK79-BL79,2)</f>
        <v/>
      </c>
      <c r="BN79">
        <f>BH79-BL79</f>
        <v/>
      </c>
    </row>
    <row r="80">
      <c r="A80" s="39" t="n">
        <v>73</v>
      </c>
      <c r="B80" s="40">
        <f>EDATE('My Debts'!$C$6,A80-1)</f>
        <v/>
      </c>
      <c r="C80" s="41">
        <f>K80+Q80+W80+AC80+AI80+AO80+AU80+BA80+BG80+BM80</f>
        <v/>
      </c>
      <c r="D80" s="42">
        <f>I80+O80+U80+AA80+AG80+AM80+AS80+AY80+BE80+BK80+J80+P80+V80+AB80+AH80+AN80+AT80+AZ80+BF80+BL80</f>
        <v/>
      </c>
      <c r="E80" s="42">
        <f>H80+N80+T80+Z80+AF80+AL80+AR80+AX80+BD80+BJ80</f>
        <v/>
      </c>
      <c r="F80">
        <f>MAX(0,'My Debts'!$E$21-(I80+O80+U80+AA80+AG80+AM80+AS80+AY80+BE80+BK80))</f>
        <v/>
      </c>
      <c r="G80" s="42">
        <f>K79</f>
        <v/>
      </c>
      <c r="H80" s="42">
        <f>ROUND(G80*H$6/12,2)</f>
        <v/>
      </c>
      <c r="I80" s="42">
        <f>MIN(I$6,G80+H80)</f>
        <v/>
      </c>
      <c r="J80" s="42">
        <f>MAX(0,MIN(G80+H80-I80,$F80))</f>
        <v/>
      </c>
      <c r="K80" s="42">
        <f>ROUND(G80+H80-I80-J80,2)</f>
        <v/>
      </c>
      <c r="L80">
        <f>$F80-J80</f>
        <v/>
      </c>
      <c r="M80" s="42">
        <f>Q79</f>
        <v/>
      </c>
      <c r="N80" s="42">
        <f>ROUND(M80*N$6/12,2)</f>
        <v/>
      </c>
      <c r="O80" s="42">
        <f>MIN(O$6,M80+N80)</f>
        <v/>
      </c>
      <c r="P80" s="42">
        <f>MAX(0,MIN(M80+N80-O80,L80))</f>
        <v/>
      </c>
      <c r="Q80" s="42">
        <f>ROUND(M80+N80-O80-P80,2)</f>
        <v/>
      </c>
      <c r="R80">
        <f>L80-P80</f>
        <v/>
      </c>
      <c r="S80" s="42">
        <f>W79</f>
        <v/>
      </c>
      <c r="T80" s="42">
        <f>ROUND(S80*T$6/12,2)</f>
        <v/>
      </c>
      <c r="U80" s="42">
        <f>MIN(U$6,S80+T80)</f>
        <v/>
      </c>
      <c r="V80" s="42">
        <f>MAX(0,MIN(S80+T80-U80,R80))</f>
        <v/>
      </c>
      <c r="W80" s="42">
        <f>ROUND(S80+T80-U80-V80,2)</f>
        <v/>
      </c>
      <c r="X80">
        <f>R80-V80</f>
        <v/>
      </c>
      <c r="Y80" s="42">
        <f>AC79</f>
        <v/>
      </c>
      <c r="Z80" s="42">
        <f>ROUND(Y80*Z$6/12,2)</f>
        <v/>
      </c>
      <c r="AA80" s="42">
        <f>MIN(AA$6,Y80+Z80)</f>
        <v/>
      </c>
      <c r="AB80" s="42">
        <f>MAX(0,MIN(Y80+Z80-AA80,X80))</f>
        <v/>
      </c>
      <c r="AC80" s="42">
        <f>ROUND(Y80+Z80-AA80-AB80,2)</f>
        <v/>
      </c>
      <c r="AD80">
        <f>X80-AB80</f>
        <v/>
      </c>
      <c r="AE80" s="42">
        <f>AI79</f>
        <v/>
      </c>
      <c r="AF80" s="42">
        <f>ROUND(AE80*AF$6/12,2)</f>
        <v/>
      </c>
      <c r="AG80" s="42">
        <f>MIN(AG$6,AE80+AF80)</f>
        <v/>
      </c>
      <c r="AH80" s="42">
        <f>MAX(0,MIN(AE80+AF80-AG80,AD80))</f>
        <v/>
      </c>
      <c r="AI80" s="42">
        <f>ROUND(AE80+AF80-AG80-AH80,2)</f>
        <v/>
      </c>
      <c r="AJ80">
        <f>AD80-AH80</f>
        <v/>
      </c>
      <c r="AK80" s="42">
        <f>AO79</f>
        <v/>
      </c>
      <c r="AL80" s="42">
        <f>ROUND(AK80*AL$6/12,2)</f>
        <v/>
      </c>
      <c r="AM80" s="42">
        <f>MIN(AM$6,AK80+AL80)</f>
        <v/>
      </c>
      <c r="AN80" s="42">
        <f>MAX(0,MIN(AK80+AL80-AM80,AJ80))</f>
        <v/>
      </c>
      <c r="AO80" s="42">
        <f>ROUND(AK80+AL80-AM80-AN80,2)</f>
        <v/>
      </c>
      <c r="AP80">
        <f>AJ80-AN80</f>
        <v/>
      </c>
      <c r="AQ80" s="42">
        <f>AU79</f>
        <v/>
      </c>
      <c r="AR80" s="42">
        <f>ROUND(AQ80*AR$6/12,2)</f>
        <v/>
      </c>
      <c r="AS80" s="42">
        <f>MIN(AS$6,AQ80+AR80)</f>
        <v/>
      </c>
      <c r="AT80" s="42">
        <f>MAX(0,MIN(AQ80+AR80-AS80,AP80))</f>
        <v/>
      </c>
      <c r="AU80" s="42">
        <f>ROUND(AQ80+AR80-AS80-AT80,2)</f>
        <v/>
      </c>
      <c r="AV80">
        <f>AP80-AT80</f>
        <v/>
      </c>
      <c r="AW80" s="42">
        <f>BA79</f>
        <v/>
      </c>
      <c r="AX80" s="42">
        <f>ROUND(AW80*AX$6/12,2)</f>
        <v/>
      </c>
      <c r="AY80" s="42">
        <f>MIN(AY$6,AW80+AX80)</f>
        <v/>
      </c>
      <c r="AZ80" s="42">
        <f>MAX(0,MIN(AW80+AX80-AY80,AV80))</f>
        <v/>
      </c>
      <c r="BA80" s="42">
        <f>ROUND(AW80+AX80-AY80-AZ80,2)</f>
        <v/>
      </c>
      <c r="BB80">
        <f>AV80-AZ80</f>
        <v/>
      </c>
      <c r="BC80" s="42">
        <f>BG79</f>
        <v/>
      </c>
      <c r="BD80" s="42">
        <f>ROUND(BC80*BD$6/12,2)</f>
        <v/>
      </c>
      <c r="BE80" s="42">
        <f>MIN(BE$6,BC80+BD80)</f>
        <v/>
      </c>
      <c r="BF80" s="42">
        <f>MAX(0,MIN(BC80+BD80-BE80,BB80))</f>
        <v/>
      </c>
      <c r="BG80" s="42">
        <f>ROUND(BC80+BD80-BE80-BF80,2)</f>
        <v/>
      </c>
      <c r="BH80">
        <f>BB80-BF80</f>
        <v/>
      </c>
      <c r="BI80" s="42">
        <f>BM79</f>
        <v/>
      </c>
      <c r="BJ80" s="42">
        <f>ROUND(BI80*BJ$6/12,2)</f>
        <v/>
      </c>
      <c r="BK80" s="42">
        <f>MIN(BK$6,BI80+BJ80)</f>
        <v/>
      </c>
      <c r="BL80" s="42">
        <f>MAX(0,MIN(BI80+BJ80-BK80,BH80))</f>
        <v/>
      </c>
      <c r="BM80" s="42">
        <f>ROUND(BI80+BJ80-BK80-BL80,2)</f>
        <v/>
      </c>
      <c r="BN80">
        <f>BH80-BL80</f>
        <v/>
      </c>
    </row>
    <row r="81">
      <c r="A81" s="43" t="n">
        <v>74</v>
      </c>
      <c r="B81" s="44">
        <f>EDATE('My Debts'!$C$6,A81-1)</f>
        <v/>
      </c>
      <c r="C81" s="45">
        <f>K81+Q81+W81+AC81+AI81+AO81+AU81+BA81+BG81+BM81</f>
        <v/>
      </c>
      <c r="D81" s="46">
        <f>I81+O81+U81+AA81+AG81+AM81+AS81+AY81+BE81+BK81+J81+P81+V81+AB81+AH81+AN81+AT81+AZ81+BF81+BL81</f>
        <v/>
      </c>
      <c r="E81" s="46">
        <f>H81+N81+T81+Z81+AF81+AL81+AR81+AX81+BD81+BJ81</f>
        <v/>
      </c>
      <c r="F81">
        <f>MAX(0,'My Debts'!$E$21-(I81+O81+U81+AA81+AG81+AM81+AS81+AY81+BE81+BK81))</f>
        <v/>
      </c>
      <c r="G81" s="42">
        <f>K80</f>
        <v/>
      </c>
      <c r="H81" s="42">
        <f>ROUND(G81*H$6/12,2)</f>
        <v/>
      </c>
      <c r="I81" s="42">
        <f>MIN(I$6,G81+H81)</f>
        <v/>
      </c>
      <c r="J81" s="42">
        <f>MAX(0,MIN(G81+H81-I81,$F81))</f>
        <v/>
      </c>
      <c r="K81" s="42">
        <f>ROUND(G81+H81-I81-J81,2)</f>
        <v/>
      </c>
      <c r="L81">
        <f>$F81-J81</f>
        <v/>
      </c>
      <c r="M81" s="42">
        <f>Q80</f>
        <v/>
      </c>
      <c r="N81" s="42">
        <f>ROUND(M81*N$6/12,2)</f>
        <v/>
      </c>
      <c r="O81" s="42">
        <f>MIN(O$6,M81+N81)</f>
        <v/>
      </c>
      <c r="P81" s="42">
        <f>MAX(0,MIN(M81+N81-O81,L81))</f>
        <v/>
      </c>
      <c r="Q81" s="42">
        <f>ROUND(M81+N81-O81-P81,2)</f>
        <v/>
      </c>
      <c r="R81">
        <f>L81-P81</f>
        <v/>
      </c>
      <c r="S81" s="42">
        <f>W80</f>
        <v/>
      </c>
      <c r="T81" s="42">
        <f>ROUND(S81*T$6/12,2)</f>
        <v/>
      </c>
      <c r="U81" s="42">
        <f>MIN(U$6,S81+T81)</f>
        <v/>
      </c>
      <c r="V81" s="42">
        <f>MAX(0,MIN(S81+T81-U81,R81))</f>
        <v/>
      </c>
      <c r="W81" s="42">
        <f>ROUND(S81+T81-U81-V81,2)</f>
        <v/>
      </c>
      <c r="X81">
        <f>R81-V81</f>
        <v/>
      </c>
      <c r="Y81" s="42">
        <f>AC80</f>
        <v/>
      </c>
      <c r="Z81" s="42">
        <f>ROUND(Y81*Z$6/12,2)</f>
        <v/>
      </c>
      <c r="AA81" s="42">
        <f>MIN(AA$6,Y81+Z81)</f>
        <v/>
      </c>
      <c r="AB81" s="42">
        <f>MAX(0,MIN(Y81+Z81-AA81,X81))</f>
        <v/>
      </c>
      <c r="AC81" s="42">
        <f>ROUND(Y81+Z81-AA81-AB81,2)</f>
        <v/>
      </c>
      <c r="AD81">
        <f>X81-AB81</f>
        <v/>
      </c>
      <c r="AE81" s="42">
        <f>AI80</f>
        <v/>
      </c>
      <c r="AF81" s="42">
        <f>ROUND(AE81*AF$6/12,2)</f>
        <v/>
      </c>
      <c r="AG81" s="42">
        <f>MIN(AG$6,AE81+AF81)</f>
        <v/>
      </c>
      <c r="AH81" s="42">
        <f>MAX(0,MIN(AE81+AF81-AG81,AD81))</f>
        <v/>
      </c>
      <c r="AI81" s="42">
        <f>ROUND(AE81+AF81-AG81-AH81,2)</f>
        <v/>
      </c>
      <c r="AJ81">
        <f>AD81-AH81</f>
        <v/>
      </c>
      <c r="AK81" s="42">
        <f>AO80</f>
        <v/>
      </c>
      <c r="AL81" s="42">
        <f>ROUND(AK81*AL$6/12,2)</f>
        <v/>
      </c>
      <c r="AM81" s="42">
        <f>MIN(AM$6,AK81+AL81)</f>
        <v/>
      </c>
      <c r="AN81" s="42">
        <f>MAX(0,MIN(AK81+AL81-AM81,AJ81))</f>
        <v/>
      </c>
      <c r="AO81" s="42">
        <f>ROUND(AK81+AL81-AM81-AN81,2)</f>
        <v/>
      </c>
      <c r="AP81">
        <f>AJ81-AN81</f>
        <v/>
      </c>
      <c r="AQ81" s="42">
        <f>AU80</f>
        <v/>
      </c>
      <c r="AR81" s="42">
        <f>ROUND(AQ81*AR$6/12,2)</f>
        <v/>
      </c>
      <c r="AS81" s="42">
        <f>MIN(AS$6,AQ81+AR81)</f>
        <v/>
      </c>
      <c r="AT81" s="42">
        <f>MAX(0,MIN(AQ81+AR81-AS81,AP81))</f>
        <v/>
      </c>
      <c r="AU81" s="42">
        <f>ROUND(AQ81+AR81-AS81-AT81,2)</f>
        <v/>
      </c>
      <c r="AV81">
        <f>AP81-AT81</f>
        <v/>
      </c>
      <c r="AW81" s="42">
        <f>BA80</f>
        <v/>
      </c>
      <c r="AX81" s="42">
        <f>ROUND(AW81*AX$6/12,2)</f>
        <v/>
      </c>
      <c r="AY81" s="42">
        <f>MIN(AY$6,AW81+AX81)</f>
        <v/>
      </c>
      <c r="AZ81" s="42">
        <f>MAX(0,MIN(AW81+AX81-AY81,AV81))</f>
        <v/>
      </c>
      <c r="BA81" s="42">
        <f>ROUND(AW81+AX81-AY81-AZ81,2)</f>
        <v/>
      </c>
      <c r="BB81">
        <f>AV81-AZ81</f>
        <v/>
      </c>
      <c r="BC81" s="42">
        <f>BG80</f>
        <v/>
      </c>
      <c r="BD81" s="42">
        <f>ROUND(BC81*BD$6/12,2)</f>
        <v/>
      </c>
      <c r="BE81" s="42">
        <f>MIN(BE$6,BC81+BD81)</f>
        <v/>
      </c>
      <c r="BF81" s="42">
        <f>MAX(0,MIN(BC81+BD81-BE81,BB81))</f>
        <v/>
      </c>
      <c r="BG81" s="42">
        <f>ROUND(BC81+BD81-BE81-BF81,2)</f>
        <v/>
      </c>
      <c r="BH81">
        <f>BB81-BF81</f>
        <v/>
      </c>
      <c r="BI81" s="42">
        <f>BM80</f>
        <v/>
      </c>
      <c r="BJ81" s="42">
        <f>ROUND(BI81*BJ$6/12,2)</f>
        <v/>
      </c>
      <c r="BK81" s="42">
        <f>MIN(BK$6,BI81+BJ81)</f>
        <v/>
      </c>
      <c r="BL81" s="42">
        <f>MAX(0,MIN(BI81+BJ81-BK81,BH81))</f>
        <v/>
      </c>
      <c r="BM81" s="42">
        <f>ROUND(BI81+BJ81-BK81-BL81,2)</f>
        <v/>
      </c>
      <c r="BN81">
        <f>BH81-BL81</f>
        <v/>
      </c>
    </row>
    <row r="82">
      <c r="A82" s="39" t="n">
        <v>75</v>
      </c>
      <c r="B82" s="40">
        <f>EDATE('My Debts'!$C$6,A82-1)</f>
        <v/>
      </c>
      <c r="C82" s="41">
        <f>K82+Q82+W82+AC82+AI82+AO82+AU82+BA82+BG82+BM82</f>
        <v/>
      </c>
      <c r="D82" s="42">
        <f>I82+O82+U82+AA82+AG82+AM82+AS82+AY82+BE82+BK82+J82+P82+V82+AB82+AH82+AN82+AT82+AZ82+BF82+BL82</f>
        <v/>
      </c>
      <c r="E82" s="42">
        <f>H82+N82+T82+Z82+AF82+AL82+AR82+AX82+BD82+BJ82</f>
        <v/>
      </c>
      <c r="F82">
        <f>MAX(0,'My Debts'!$E$21-(I82+O82+U82+AA82+AG82+AM82+AS82+AY82+BE82+BK82))</f>
        <v/>
      </c>
      <c r="G82" s="42">
        <f>K81</f>
        <v/>
      </c>
      <c r="H82" s="42">
        <f>ROUND(G82*H$6/12,2)</f>
        <v/>
      </c>
      <c r="I82" s="42">
        <f>MIN(I$6,G82+H82)</f>
        <v/>
      </c>
      <c r="J82" s="42">
        <f>MAX(0,MIN(G82+H82-I82,$F82))</f>
        <v/>
      </c>
      <c r="K82" s="42">
        <f>ROUND(G82+H82-I82-J82,2)</f>
        <v/>
      </c>
      <c r="L82">
        <f>$F82-J82</f>
        <v/>
      </c>
      <c r="M82" s="42">
        <f>Q81</f>
        <v/>
      </c>
      <c r="N82" s="42">
        <f>ROUND(M82*N$6/12,2)</f>
        <v/>
      </c>
      <c r="O82" s="42">
        <f>MIN(O$6,M82+N82)</f>
        <v/>
      </c>
      <c r="P82" s="42">
        <f>MAX(0,MIN(M82+N82-O82,L82))</f>
        <v/>
      </c>
      <c r="Q82" s="42">
        <f>ROUND(M82+N82-O82-P82,2)</f>
        <v/>
      </c>
      <c r="R82">
        <f>L82-P82</f>
        <v/>
      </c>
      <c r="S82" s="42">
        <f>W81</f>
        <v/>
      </c>
      <c r="T82" s="42">
        <f>ROUND(S82*T$6/12,2)</f>
        <v/>
      </c>
      <c r="U82" s="42">
        <f>MIN(U$6,S82+T82)</f>
        <v/>
      </c>
      <c r="V82" s="42">
        <f>MAX(0,MIN(S82+T82-U82,R82))</f>
        <v/>
      </c>
      <c r="W82" s="42">
        <f>ROUND(S82+T82-U82-V82,2)</f>
        <v/>
      </c>
      <c r="X82">
        <f>R82-V82</f>
        <v/>
      </c>
      <c r="Y82" s="42">
        <f>AC81</f>
        <v/>
      </c>
      <c r="Z82" s="42">
        <f>ROUND(Y82*Z$6/12,2)</f>
        <v/>
      </c>
      <c r="AA82" s="42">
        <f>MIN(AA$6,Y82+Z82)</f>
        <v/>
      </c>
      <c r="AB82" s="42">
        <f>MAX(0,MIN(Y82+Z82-AA82,X82))</f>
        <v/>
      </c>
      <c r="AC82" s="42">
        <f>ROUND(Y82+Z82-AA82-AB82,2)</f>
        <v/>
      </c>
      <c r="AD82">
        <f>X82-AB82</f>
        <v/>
      </c>
      <c r="AE82" s="42">
        <f>AI81</f>
        <v/>
      </c>
      <c r="AF82" s="42">
        <f>ROUND(AE82*AF$6/12,2)</f>
        <v/>
      </c>
      <c r="AG82" s="42">
        <f>MIN(AG$6,AE82+AF82)</f>
        <v/>
      </c>
      <c r="AH82" s="42">
        <f>MAX(0,MIN(AE82+AF82-AG82,AD82))</f>
        <v/>
      </c>
      <c r="AI82" s="42">
        <f>ROUND(AE82+AF82-AG82-AH82,2)</f>
        <v/>
      </c>
      <c r="AJ82">
        <f>AD82-AH82</f>
        <v/>
      </c>
      <c r="AK82" s="42">
        <f>AO81</f>
        <v/>
      </c>
      <c r="AL82" s="42">
        <f>ROUND(AK82*AL$6/12,2)</f>
        <v/>
      </c>
      <c r="AM82" s="42">
        <f>MIN(AM$6,AK82+AL82)</f>
        <v/>
      </c>
      <c r="AN82" s="42">
        <f>MAX(0,MIN(AK82+AL82-AM82,AJ82))</f>
        <v/>
      </c>
      <c r="AO82" s="42">
        <f>ROUND(AK82+AL82-AM82-AN82,2)</f>
        <v/>
      </c>
      <c r="AP82">
        <f>AJ82-AN82</f>
        <v/>
      </c>
      <c r="AQ82" s="42">
        <f>AU81</f>
        <v/>
      </c>
      <c r="AR82" s="42">
        <f>ROUND(AQ82*AR$6/12,2)</f>
        <v/>
      </c>
      <c r="AS82" s="42">
        <f>MIN(AS$6,AQ82+AR82)</f>
        <v/>
      </c>
      <c r="AT82" s="42">
        <f>MAX(0,MIN(AQ82+AR82-AS82,AP82))</f>
        <v/>
      </c>
      <c r="AU82" s="42">
        <f>ROUND(AQ82+AR82-AS82-AT82,2)</f>
        <v/>
      </c>
      <c r="AV82">
        <f>AP82-AT82</f>
        <v/>
      </c>
      <c r="AW82" s="42">
        <f>BA81</f>
        <v/>
      </c>
      <c r="AX82" s="42">
        <f>ROUND(AW82*AX$6/12,2)</f>
        <v/>
      </c>
      <c r="AY82" s="42">
        <f>MIN(AY$6,AW82+AX82)</f>
        <v/>
      </c>
      <c r="AZ82" s="42">
        <f>MAX(0,MIN(AW82+AX82-AY82,AV82))</f>
        <v/>
      </c>
      <c r="BA82" s="42">
        <f>ROUND(AW82+AX82-AY82-AZ82,2)</f>
        <v/>
      </c>
      <c r="BB82">
        <f>AV82-AZ82</f>
        <v/>
      </c>
      <c r="BC82" s="42">
        <f>BG81</f>
        <v/>
      </c>
      <c r="BD82" s="42">
        <f>ROUND(BC82*BD$6/12,2)</f>
        <v/>
      </c>
      <c r="BE82" s="42">
        <f>MIN(BE$6,BC82+BD82)</f>
        <v/>
      </c>
      <c r="BF82" s="42">
        <f>MAX(0,MIN(BC82+BD82-BE82,BB82))</f>
        <v/>
      </c>
      <c r="BG82" s="42">
        <f>ROUND(BC82+BD82-BE82-BF82,2)</f>
        <v/>
      </c>
      <c r="BH82">
        <f>BB82-BF82</f>
        <v/>
      </c>
      <c r="BI82" s="42">
        <f>BM81</f>
        <v/>
      </c>
      <c r="BJ82" s="42">
        <f>ROUND(BI82*BJ$6/12,2)</f>
        <v/>
      </c>
      <c r="BK82" s="42">
        <f>MIN(BK$6,BI82+BJ82)</f>
        <v/>
      </c>
      <c r="BL82" s="42">
        <f>MAX(0,MIN(BI82+BJ82-BK82,BH82))</f>
        <v/>
      </c>
      <c r="BM82" s="42">
        <f>ROUND(BI82+BJ82-BK82-BL82,2)</f>
        <v/>
      </c>
      <c r="BN82">
        <f>BH82-BL82</f>
        <v/>
      </c>
    </row>
    <row r="83">
      <c r="A83" s="43" t="n">
        <v>76</v>
      </c>
      <c r="B83" s="44">
        <f>EDATE('My Debts'!$C$6,A83-1)</f>
        <v/>
      </c>
      <c r="C83" s="45">
        <f>K83+Q83+W83+AC83+AI83+AO83+AU83+BA83+BG83+BM83</f>
        <v/>
      </c>
      <c r="D83" s="46">
        <f>I83+O83+U83+AA83+AG83+AM83+AS83+AY83+BE83+BK83+J83+P83+V83+AB83+AH83+AN83+AT83+AZ83+BF83+BL83</f>
        <v/>
      </c>
      <c r="E83" s="46">
        <f>H83+N83+T83+Z83+AF83+AL83+AR83+AX83+BD83+BJ83</f>
        <v/>
      </c>
      <c r="F83">
        <f>MAX(0,'My Debts'!$E$21-(I83+O83+U83+AA83+AG83+AM83+AS83+AY83+BE83+BK83))</f>
        <v/>
      </c>
      <c r="G83" s="42">
        <f>K82</f>
        <v/>
      </c>
      <c r="H83" s="42">
        <f>ROUND(G83*H$6/12,2)</f>
        <v/>
      </c>
      <c r="I83" s="42">
        <f>MIN(I$6,G83+H83)</f>
        <v/>
      </c>
      <c r="J83" s="42">
        <f>MAX(0,MIN(G83+H83-I83,$F83))</f>
        <v/>
      </c>
      <c r="K83" s="42">
        <f>ROUND(G83+H83-I83-J83,2)</f>
        <v/>
      </c>
      <c r="L83">
        <f>$F83-J83</f>
        <v/>
      </c>
      <c r="M83" s="42">
        <f>Q82</f>
        <v/>
      </c>
      <c r="N83" s="42">
        <f>ROUND(M83*N$6/12,2)</f>
        <v/>
      </c>
      <c r="O83" s="42">
        <f>MIN(O$6,M83+N83)</f>
        <v/>
      </c>
      <c r="P83" s="42">
        <f>MAX(0,MIN(M83+N83-O83,L83))</f>
        <v/>
      </c>
      <c r="Q83" s="42">
        <f>ROUND(M83+N83-O83-P83,2)</f>
        <v/>
      </c>
      <c r="R83">
        <f>L83-P83</f>
        <v/>
      </c>
      <c r="S83" s="42">
        <f>W82</f>
        <v/>
      </c>
      <c r="T83" s="42">
        <f>ROUND(S83*T$6/12,2)</f>
        <v/>
      </c>
      <c r="U83" s="42">
        <f>MIN(U$6,S83+T83)</f>
        <v/>
      </c>
      <c r="V83" s="42">
        <f>MAX(0,MIN(S83+T83-U83,R83))</f>
        <v/>
      </c>
      <c r="W83" s="42">
        <f>ROUND(S83+T83-U83-V83,2)</f>
        <v/>
      </c>
      <c r="X83">
        <f>R83-V83</f>
        <v/>
      </c>
      <c r="Y83" s="42">
        <f>AC82</f>
        <v/>
      </c>
      <c r="Z83" s="42">
        <f>ROUND(Y83*Z$6/12,2)</f>
        <v/>
      </c>
      <c r="AA83" s="42">
        <f>MIN(AA$6,Y83+Z83)</f>
        <v/>
      </c>
      <c r="AB83" s="42">
        <f>MAX(0,MIN(Y83+Z83-AA83,X83))</f>
        <v/>
      </c>
      <c r="AC83" s="42">
        <f>ROUND(Y83+Z83-AA83-AB83,2)</f>
        <v/>
      </c>
      <c r="AD83">
        <f>X83-AB83</f>
        <v/>
      </c>
      <c r="AE83" s="42">
        <f>AI82</f>
        <v/>
      </c>
      <c r="AF83" s="42">
        <f>ROUND(AE83*AF$6/12,2)</f>
        <v/>
      </c>
      <c r="AG83" s="42">
        <f>MIN(AG$6,AE83+AF83)</f>
        <v/>
      </c>
      <c r="AH83" s="42">
        <f>MAX(0,MIN(AE83+AF83-AG83,AD83))</f>
        <v/>
      </c>
      <c r="AI83" s="42">
        <f>ROUND(AE83+AF83-AG83-AH83,2)</f>
        <v/>
      </c>
      <c r="AJ83">
        <f>AD83-AH83</f>
        <v/>
      </c>
      <c r="AK83" s="42">
        <f>AO82</f>
        <v/>
      </c>
      <c r="AL83" s="42">
        <f>ROUND(AK83*AL$6/12,2)</f>
        <v/>
      </c>
      <c r="AM83" s="42">
        <f>MIN(AM$6,AK83+AL83)</f>
        <v/>
      </c>
      <c r="AN83" s="42">
        <f>MAX(0,MIN(AK83+AL83-AM83,AJ83))</f>
        <v/>
      </c>
      <c r="AO83" s="42">
        <f>ROUND(AK83+AL83-AM83-AN83,2)</f>
        <v/>
      </c>
      <c r="AP83">
        <f>AJ83-AN83</f>
        <v/>
      </c>
      <c r="AQ83" s="42">
        <f>AU82</f>
        <v/>
      </c>
      <c r="AR83" s="42">
        <f>ROUND(AQ83*AR$6/12,2)</f>
        <v/>
      </c>
      <c r="AS83" s="42">
        <f>MIN(AS$6,AQ83+AR83)</f>
        <v/>
      </c>
      <c r="AT83" s="42">
        <f>MAX(0,MIN(AQ83+AR83-AS83,AP83))</f>
        <v/>
      </c>
      <c r="AU83" s="42">
        <f>ROUND(AQ83+AR83-AS83-AT83,2)</f>
        <v/>
      </c>
      <c r="AV83">
        <f>AP83-AT83</f>
        <v/>
      </c>
      <c r="AW83" s="42">
        <f>BA82</f>
        <v/>
      </c>
      <c r="AX83" s="42">
        <f>ROUND(AW83*AX$6/12,2)</f>
        <v/>
      </c>
      <c r="AY83" s="42">
        <f>MIN(AY$6,AW83+AX83)</f>
        <v/>
      </c>
      <c r="AZ83" s="42">
        <f>MAX(0,MIN(AW83+AX83-AY83,AV83))</f>
        <v/>
      </c>
      <c r="BA83" s="42">
        <f>ROUND(AW83+AX83-AY83-AZ83,2)</f>
        <v/>
      </c>
      <c r="BB83">
        <f>AV83-AZ83</f>
        <v/>
      </c>
      <c r="BC83" s="42">
        <f>BG82</f>
        <v/>
      </c>
      <c r="BD83" s="42">
        <f>ROUND(BC83*BD$6/12,2)</f>
        <v/>
      </c>
      <c r="BE83" s="42">
        <f>MIN(BE$6,BC83+BD83)</f>
        <v/>
      </c>
      <c r="BF83" s="42">
        <f>MAX(0,MIN(BC83+BD83-BE83,BB83))</f>
        <v/>
      </c>
      <c r="BG83" s="42">
        <f>ROUND(BC83+BD83-BE83-BF83,2)</f>
        <v/>
      </c>
      <c r="BH83">
        <f>BB83-BF83</f>
        <v/>
      </c>
      <c r="BI83" s="42">
        <f>BM82</f>
        <v/>
      </c>
      <c r="BJ83" s="42">
        <f>ROUND(BI83*BJ$6/12,2)</f>
        <v/>
      </c>
      <c r="BK83" s="42">
        <f>MIN(BK$6,BI83+BJ83)</f>
        <v/>
      </c>
      <c r="BL83" s="42">
        <f>MAX(0,MIN(BI83+BJ83-BK83,BH83))</f>
        <v/>
      </c>
      <c r="BM83" s="42">
        <f>ROUND(BI83+BJ83-BK83-BL83,2)</f>
        <v/>
      </c>
      <c r="BN83">
        <f>BH83-BL83</f>
        <v/>
      </c>
    </row>
    <row r="84">
      <c r="A84" s="39" t="n">
        <v>77</v>
      </c>
      <c r="B84" s="40">
        <f>EDATE('My Debts'!$C$6,A84-1)</f>
        <v/>
      </c>
      <c r="C84" s="41">
        <f>K84+Q84+W84+AC84+AI84+AO84+AU84+BA84+BG84+BM84</f>
        <v/>
      </c>
      <c r="D84" s="42">
        <f>I84+O84+U84+AA84+AG84+AM84+AS84+AY84+BE84+BK84+J84+P84+V84+AB84+AH84+AN84+AT84+AZ84+BF84+BL84</f>
        <v/>
      </c>
      <c r="E84" s="42">
        <f>H84+N84+T84+Z84+AF84+AL84+AR84+AX84+BD84+BJ84</f>
        <v/>
      </c>
      <c r="F84">
        <f>MAX(0,'My Debts'!$E$21-(I84+O84+U84+AA84+AG84+AM84+AS84+AY84+BE84+BK84))</f>
        <v/>
      </c>
      <c r="G84" s="42">
        <f>K83</f>
        <v/>
      </c>
      <c r="H84" s="42">
        <f>ROUND(G84*H$6/12,2)</f>
        <v/>
      </c>
      <c r="I84" s="42">
        <f>MIN(I$6,G84+H84)</f>
        <v/>
      </c>
      <c r="J84" s="42">
        <f>MAX(0,MIN(G84+H84-I84,$F84))</f>
        <v/>
      </c>
      <c r="K84" s="42">
        <f>ROUND(G84+H84-I84-J84,2)</f>
        <v/>
      </c>
      <c r="L84">
        <f>$F84-J84</f>
        <v/>
      </c>
      <c r="M84" s="42">
        <f>Q83</f>
        <v/>
      </c>
      <c r="N84" s="42">
        <f>ROUND(M84*N$6/12,2)</f>
        <v/>
      </c>
      <c r="O84" s="42">
        <f>MIN(O$6,M84+N84)</f>
        <v/>
      </c>
      <c r="P84" s="42">
        <f>MAX(0,MIN(M84+N84-O84,L84))</f>
        <v/>
      </c>
      <c r="Q84" s="42">
        <f>ROUND(M84+N84-O84-P84,2)</f>
        <v/>
      </c>
      <c r="R84">
        <f>L84-P84</f>
        <v/>
      </c>
      <c r="S84" s="42">
        <f>W83</f>
        <v/>
      </c>
      <c r="T84" s="42">
        <f>ROUND(S84*T$6/12,2)</f>
        <v/>
      </c>
      <c r="U84" s="42">
        <f>MIN(U$6,S84+T84)</f>
        <v/>
      </c>
      <c r="V84" s="42">
        <f>MAX(0,MIN(S84+T84-U84,R84))</f>
        <v/>
      </c>
      <c r="W84" s="42">
        <f>ROUND(S84+T84-U84-V84,2)</f>
        <v/>
      </c>
      <c r="X84">
        <f>R84-V84</f>
        <v/>
      </c>
      <c r="Y84" s="42">
        <f>AC83</f>
        <v/>
      </c>
      <c r="Z84" s="42">
        <f>ROUND(Y84*Z$6/12,2)</f>
        <v/>
      </c>
      <c r="AA84" s="42">
        <f>MIN(AA$6,Y84+Z84)</f>
        <v/>
      </c>
      <c r="AB84" s="42">
        <f>MAX(0,MIN(Y84+Z84-AA84,X84))</f>
        <v/>
      </c>
      <c r="AC84" s="42">
        <f>ROUND(Y84+Z84-AA84-AB84,2)</f>
        <v/>
      </c>
      <c r="AD84">
        <f>X84-AB84</f>
        <v/>
      </c>
      <c r="AE84" s="42">
        <f>AI83</f>
        <v/>
      </c>
      <c r="AF84" s="42">
        <f>ROUND(AE84*AF$6/12,2)</f>
        <v/>
      </c>
      <c r="AG84" s="42">
        <f>MIN(AG$6,AE84+AF84)</f>
        <v/>
      </c>
      <c r="AH84" s="42">
        <f>MAX(0,MIN(AE84+AF84-AG84,AD84))</f>
        <v/>
      </c>
      <c r="AI84" s="42">
        <f>ROUND(AE84+AF84-AG84-AH84,2)</f>
        <v/>
      </c>
      <c r="AJ84">
        <f>AD84-AH84</f>
        <v/>
      </c>
      <c r="AK84" s="42">
        <f>AO83</f>
        <v/>
      </c>
      <c r="AL84" s="42">
        <f>ROUND(AK84*AL$6/12,2)</f>
        <v/>
      </c>
      <c r="AM84" s="42">
        <f>MIN(AM$6,AK84+AL84)</f>
        <v/>
      </c>
      <c r="AN84" s="42">
        <f>MAX(0,MIN(AK84+AL84-AM84,AJ84))</f>
        <v/>
      </c>
      <c r="AO84" s="42">
        <f>ROUND(AK84+AL84-AM84-AN84,2)</f>
        <v/>
      </c>
      <c r="AP84">
        <f>AJ84-AN84</f>
        <v/>
      </c>
      <c r="AQ84" s="42">
        <f>AU83</f>
        <v/>
      </c>
      <c r="AR84" s="42">
        <f>ROUND(AQ84*AR$6/12,2)</f>
        <v/>
      </c>
      <c r="AS84" s="42">
        <f>MIN(AS$6,AQ84+AR84)</f>
        <v/>
      </c>
      <c r="AT84" s="42">
        <f>MAX(0,MIN(AQ84+AR84-AS84,AP84))</f>
        <v/>
      </c>
      <c r="AU84" s="42">
        <f>ROUND(AQ84+AR84-AS84-AT84,2)</f>
        <v/>
      </c>
      <c r="AV84">
        <f>AP84-AT84</f>
        <v/>
      </c>
      <c r="AW84" s="42">
        <f>BA83</f>
        <v/>
      </c>
      <c r="AX84" s="42">
        <f>ROUND(AW84*AX$6/12,2)</f>
        <v/>
      </c>
      <c r="AY84" s="42">
        <f>MIN(AY$6,AW84+AX84)</f>
        <v/>
      </c>
      <c r="AZ84" s="42">
        <f>MAX(0,MIN(AW84+AX84-AY84,AV84))</f>
        <v/>
      </c>
      <c r="BA84" s="42">
        <f>ROUND(AW84+AX84-AY84-AZ84,2)</f>
        <v/>
      </c>
      <c r="BB84">
        <f>AV84-AZ84</f>
        <v/>
      </c>
      <c r="BC84" s="42">
        <f>BG83</f>
        <v/>
      </c>
      <c r="BD84" s="42">
        <f>ROUND(BC84*BD$6/12,2)</f>
        <v/>
      </c>
      <c r="BE84" s="42">
        <f>MIN(BE$6,BC84+BD84)</f>
        <v/>
      </c>
      <c r="BF84" s="42">
        <f>MAX(0,MIN(BC84+BD84-BE84,BB84))</f>
        <v/>
      </c>
      <c r="BG84" s="42">
        <f>ROUND(BC84+BD84-BE84-BF84,2)</f>
        <v/>
      </c>
      <c r="BH84">
        <f>BB84-BF84</f>
        <v/>
      </c>
      <c r="BI84" s="42">
        <f>BM83</f>
        <v/>
      </c>
      <c r="BJ84" s="42">
        <f>ROUND(BI84*BJ$6/12,2)</f>
        <v/>
      </c>
      <c r="BK84" s="42">
        <f>MIN(BK$6,BI84+BJ84)</f>
        <v/>
      </c>
      <c r="BL84" s="42">
        <f>MAX(0,MIN(BI84+BJ84-BK84,BH84))</f>
        <v/>
      </c>
      <c r="BM84" s="42">
        <f>ROUND(BI84+BJ84-BK84-BL84,2)</f>
        <v/>
      </c>
      <c r="BN84">
        <f>BH84-BL84</f>
        <v/>
      </c>
    </row>
    <row r="85">
      <c r="A85" s="43" t="n">
        <v>78</v>
      </c>
      <c r="B85" s="44">
        <f>EDATE('My Debts'!$C$6,A85-1)</f>
        <v/>
      </c>
      <c r="C85" s="45">
        <f>K85+Q85+W85+AC85+AI85+AO85+AU85+BA85+BG85+BM85</f>
        <v/>
      </c>
      <c r="D85" s="46">
        <f>I85+O85+U85+AA85+AG85+AM85+AS85+AY85+BE85+BK85+J85+P85+V85+AB85+AH85+AN85+AT85+AZ85+BF85+BL85</f>
        <v/>
      </c>
      <c r="E85" s="46">
        <f>H85+N85+T85+Z85+AF85+AL85+AR85+AX85+BD85+BJ85</f>
        <v/>
      </c>
      <c r="F85">
        <f>MAX(0,'My Debts'!$E$21-(I85+O85+U85+AA85+AG85+AM85+AS85+AY85+BE85+BK85))</f>
        <v/>
      </c>
      <c r="G85" s="42">
        <f>K84</f>
        <v/>
      </c>
      <c r="H85" s="42">
        <f>ROUND(G85*H$6/12,2)</f>
        <v/>
      </c>
      <c r="I85" s="42">
        <f>MIN(I$6,G85+H85)</f>
        <v/>
      </c>
      <c r="J85" s="42">
        <f>MAX(0,MIN(G85+H85-I85,$F85))</f>
        <v/>
      </c>
      <c r="K85" s="42">
        <f>ROUND(G85+H85-I85-J85,2)</f>
        <v/>
      </c>
      <c r="L85">
        <f>$F85-J85</f>
        <v/>
      </c>
      <c r="M85" s="42">
        <f>Q84</f>
        <v/>
      </c>
      <c r="N85" s="42">
        <f>ROUND(M85*N$6/12,2)</f>
        <v/>
      </c>
      <c r="O85" s="42">
        <f>MIN(O$6,M85+N85)</f>
        <v/>
      </c>
      <c r="P85" s="42">
        <f>MAX(0,MIN(M85+N85-O85,L85))</f>
        <v/>
      </c>
      <c r="Q85" s="42">
        <f>ROUND(M85+N85-O85-P85,2)</f>
        <v/>
      </c>
      <c r="R85">
        <f>L85-P85</f>
        <v/>
      </c>
      <c r="S85" s="42">
        <f>W84</f>
        <v/>
      </c>
      <c r="T85" s="42">
        <f>ROUND(S85*T$6/12,2)</f>
        <v/>
      </c>
      <c r="U85" s="42">
        <f>MIN(U$6,S85+T85)</f>
        <v/>
      </c>
      <c r="V85" s="42">
        <f>MAX(0,MIN(S85+T85-U85,R85))</f>
        <v/>
      </c>
      <c r="W85" s="42">
        <f>ROUND(S85+T85-U85-V85,2)</f>
        <v/>
      </c>
      <c r="X85">
        <f>R85-V85</f>
        <v/>
      </c>
      <c r="Y85" s="42">
        <f>AC84</f>
        <v/>
      </c>
      <c r="Z85" s="42">
        <f>ROUND(Y85*Z$6/12,2)</f>
        <v/>
      </c>
      <c r="AA85" s="42">
        <f>MIN(AA$6,Y85+Z85)</f>
        <v/>
      </c>
      <c r="AB85" s="42">
        <f>MAX(0,MIN(Y85+Z85-AA85,X85))</f>
        <v/>
      </c>
      <c r="AC85" s="42">
        <f>ROUND(Y85+Z85-AA85-AB85,2)</f>
        <v/>
      </c>
      <c r="AD85">
        <f>X85-AB85</f>
        <v/>
      </c>
      <c r="AE85" s="42">
        <f>AI84</f>
        <v/>
      </c>
      <c r="AF85" s="42">
        <f>ROUND(AE85*AF$6/12,2)</f>
        <v/>
      </c>
      <c r="AG85" s="42">
        <f>MIN(AG$6,AE85+AF85)</f>
        <v/>
      </c>
      <c r="AH85" s="42">
        <f>MAX(0,MIN(AE85+AF85-AG85,AD85))</f>
        <v/>
      </c>
      <c r="AI85" s="42">
        <f>ROUND(AE85+AF85-AG85-AH85,2)</f>
        <v/>
      </c>
      <c r="AJ85">
        <f>AD85-AH85</f>
        <v/>
      </c>
      <c r="AK85" s="42">
        <f>AO84</f>
        <v/>
      </c>
      <c r="AL85" s="42">
        <f>ROUND(AK85*AL$6/12,2)</f>
        <v/>
      </c>
      <c r="AM85" s="42">
        <f>MIN(AM$6,AK85+AL85)</f>
        <v/>
      </c>
      <c r="AN85" s="42">
        <f>MAX(0,MIN(AK85+AL85-AM85,AJ85))</f>
        <v/>
      </c>
      <c r="AO85" s="42">
        <f>ROUND(AK85+AL85-AM85-AN85,2)</f>
        <v/>
      </c>
      <c r="AP85">
        <f>AJ85-AN85</f>
        <v/>
      </c>
      <c r="AQ85" s="42">
        <f>AU84</f>
        <v/>
      </c>
      <c r="AR85" s="42">
        <f>ROUND(AQ85*AR$6/12,2)</f>
        <v/>
      </c>
      <c r="AS85" s="42">
        <f>MIN(AS$6,AQ85+AR85)</f>
        <v/>
      </c>
      <c r="AT85" s="42">
        <f>MAX(0,MIN(AQ85+AR85-AS85,AP85))</f>
        <v/>
      </c>
      <c r="AU85" s="42">
        <f>ROUND(AQ85+AR85-AS85-AT85,2)</f>
        <v/>
      </c>
      <c r="AV85">
        <f>AP85-AT85</f>
        <v/>
      </c>
      <c r="AW85" s="42">
        <f>BA84</f>
        <v/>
      </c>
      <c r="AX85" s="42">
        <f>ROUND(AW85*AX$6/12,2)</f>
        <v/>
      </c>
      <c r="AY85" s="42">
        <f>MIN(AY$6,AW85+AX85)</f>
        <v/>
      </c>
      <c r="AZ85" s="42">
        <f>MAX(0,MIN(AW85+AX85-AY85,AV85))</f>
        <v/>
      </c>
      <c r="BA85" s="42">
        <f>ROUND(AW85+AX85-AY85-AZ85,2)</f>
        <v/>
      </c>
      <c r="BB85">
        <f>AV85-AZ85</f>
        <v/>
      </c>
      <c r="BC85" s="42">
        <f>BG84</f>
        <v/>
      </c>
      <c r="BD85" s="42">
        <f>ROUND(BC85*BD$6/12,2)</f>
        <v/>
      </c>
      <c r="BE85" s="42">
        <f>MIN(BE$6,BC85+BD85)</f>
        <v/>
      </c>
      <c r="BF85" s="42">
        <f>MAX(0,MIN(BC85+BD85-BE85,BB85))</f>
        <v/>
      </c>
      <c r="BG85" s="42">
        <f>ROUND(BC85+BD85-BE85-BF85,2)</f>
        <v/>
      </c>
      <c r="BH85">
        <f>BB85-BF85</f>
        <v/>
      </c>
      <c r="BI85" s="42">
        <f>BM84</f>
        <v/>
      </c>
      <c r="BJ85" s="42">
        <f>ROUND(BI85*BJ$6/12,2)</f>
        <v/>
      </c>
      <c r="BK85" s="42">
        <f>MIN(BK$6,BI85+BJ85)</f>
        <v/>
      </c>
      <c r="BL85" s="42">
        <f>MAX(0,MIN(BI85+BJ85-BK85,BH85))</f>
        <v/>
      </c>
      <c r="BM85" s="42">
        <f>ROUND(BI85+BJ85-BK85-BL85,2)</f>
        <v/>
      </c>
      <c r="BN85">
        <f>BH85-BL85</f>
        <v/>
      </c>
    </row>
    <row r="86">
      <c r="A86" s="39" t="n">
        <v>79</v>
      </c>
      <c r="B86" s="40">
        <f>EDATE('My Debts'!$C$6,A86-1)</f>
        <v/>
      </c>
      <c r="C86" s="41">
        <f>K86+Q86+W86+AC86+AI86+AO86+AU86+BA86+BG86+BM86</f>
        <v/>
      </c>
      <c r="D86" s="42">
        <f>I86+O86+U86+AA86+AG86+AM86+AS86+AY86+BE86+BK86+J86+P86+V86+AB86+AH86+AN86+AT86+AZ86+BF86+BL86</f>
        <v/>
      </c>
      <c r="E86" s="42">
        <f>H86+N86+T86+Z86+AF86+AL86+AR86+AX86+BD86+BJ86</f>
        <v/>
      </c>
      <c r="F86">
        <f>MAX(0,'My Debts'!$E$21-(I86+O86+U86+AA86+AG86+AM86+AS86+AY86+BE86+BK86))</f>
        <v/>
      </c>
      <c r="G86" s="42">
        <f>K85</f>
        <v/>
      </c>
      <c r="H86" s="42">
        <f>ROUND(G86*H$6/12,2)</f>
        <v/>
      </c>
      <c r="I86" s="42">
        <f>MIN(I$6,G86+H86)</f>
        <v/>
      </c>
      <c r="J86" s="42">
        <f>MAX(0,MIN(G86+H86-I86,$F86))</f>
        <v/>
      </c>
      <c r="K86" s="42">
        <f>ROUND(G86+H86-I86-J86,2)</f>
        <v/>
      </c>
      <c r="L86">
        <f>$F86-J86</f>
        <v/>
      </c>
      <c r="M86" s="42">
        <f>Q85</f>
        <v/>
      </c>
      <c r="N86" s="42">
        <f>ROUND(M86*N$6/12,2)</f>
        <v/>
      </c>
      <c r="O86" s="42">
        <f>MIN(O$6,M86+N86)</f>
        <v/>
      </c>
      <c r="P86" s="42">
        <f>MAX(0,MIN(M86+N86-O86,L86))</f>
        <v/>
      </c>
      <c r="Q86" s="42">
        <f>ROUND(M86+N86-O86-P86,2)</f>
        <v/>
      </c>
      <c r="R86">
        <f>L86-P86</f>
        <v/>
      </c>
      <c r="S86" s="42">
        <f>W85</f>
        <v/>
      </c>
      <c r="T86" s="42">
        <f>ROUND(S86*T$6/12,2)</f>
        <v/>
      </c>
      <c r="U86" s="42">
        <f>MIN(U$6,S86+T86)</f>
        <v/>
      </c>
      <c r="V86" s="42">
        <f>MAX(0,MIN(S86+T86-U86,R86))</f>
        <v/>
      </c>
      <c r="W86" s="42">
        <f>ROUND(S86+T86-U86-V86,2)</f>
        <v/>
      </c>
      <c r="X86">
        <f>R86-V86</f>
        <v/>
      </c>
      <c r="Y86" s="42">
        <f>AC85</f>
        <v/>
      </c>
      <c r="Z86" s="42">
        <f>ROUND(Y86*Z$6/12,2)</f>
        <v/>
      </c>
      <c r="AA86" s="42">
        <f>MIN(AA$6,Y86+Z86)</f>
        <v/>
      </c>
      <c r="AB86" s="42">
        <f>MAX(0,MIN(Y86+Z86-AA86,X86))</f>
        <v/>
      </c>
      <c r="AC86" s="42">
        <f>ROUND(Y86+Z86-AA86-AB86,2)</f>
        <v/>
      </c>
      <c r="AD86">
        <f>X86-AB86</f>
        <v/>
      </c>
      <c r="AE86" s="42">
        <f>AI85</f>
        <v/>
      </c>
      <c r="AF86" s="42">
        <f>ROUND(AE86*AF$6/12,2)</f>
        <v/>
      </c>
      <c r="AG86" s="42">
        <f>MIN(AG$6,AE86+AF86)</f>
        <v/>
      </c>
      <c r="AH86" s="42">
        <f>MAX(0,MIN(AE86+AF86-AG86,AD86))</f>
        <v/>
      </c>
      <c r="AI86" s="42">
        <f>ROUND(AE86+AF86-AG86-AH86,2)</f>
        <v/>
      </c>
      <c r="AJ86">
        <f>AD86-AH86</f>
        <v/>
      </c>
      <c r="AK86" s="42">
        <f>AO85</f>
        <v/>
      </c>
      <c r="AL86" s="42">
        <f>ROUND(AK86*AL$6/12,2)</f>
        <v/>
      </c>
      <c r="AM86" s="42">
        <f>MIN(AM$6,AK86+AL86)</f>
        <v/>
      </c>
      <c r="AN86" s="42">
        <f>MAX(0,MIN(AK86+AL86-AM86,AJ86))</f>
        <v/>
      </c>
      <c r="AO86" s="42">
        <f>ROUND(AK86+AL86-AM86-AN86,2)</f>
        <v/>
      </c>
      <c r="AP86">
        <f>AJ86-AN86</f>
        <v/>
      </c>
      <c r="AQ86" s="42">
        <f>AU85</f>
        <v/>
      </c>
      <c r="AR86" s="42">
        <f>ROUND(AQ86*AR$6/12,2)</f>
        <v/>
      </c>
      <c r="AS86" s="42">
        <f>MIN(AS$6,AQ86+AR86)</f>
        <v/>
      </c>
      <c r="AT86" s="42">
        <f>MAX(0,MIN(AQ86+AR86-AS86,AP86))</f>
        <v/>
      </c>
      <c r="AU86" s="42">
        <f>ROUND(AQ86+AR86-AS86-AT86,2)</f>
        <v/>
      </c>
      <c r="AV86">
        <f>AP86-AT86</f>
        <v/>
      </c>
      <c r="AW86" s="42">
        <f>BA85</f>
        <v/>
      </c>
      <c r="AX86" s="42">
        <f>ROUND(AW86*AX$6/12,2)</f>
        <v/>
      </c>
      <c r="AY86" s="42">
        <f>MIN(AY$6,AW86+AX86)</f>
        <v/>
      </c>
      <c r="AZ86" s="42">
        <f>MAX(0,MIN(AW86+AX86-AY86,AV86))</f>
        <v/>
      </c>
      <c r="BA86" s="42">
        <f>ROUND(AW86+AX86-AY86-AZ86,2)</f>
        <v/>
      </c>
      <c r="BB86">
        <f>AV86-AZ86</f>
        <v/>
      </c>
      <c r="BC86" s="42">
        <f>BG85</f>
        <v/>
      </c>
      <c r="BD86" s="42">
        <f>ROUND(BC86*BD$6/12,2)</f>
        <v/>
      </c>
      <c r="BE86" s="42">
        <f>MIN(BE$6,BC86+BD86)</f>
        <v/>
      </c>
      <c r="BF86" s="42">
        <f>MAX(0,MIN(BC86+BD86-BE86,BB86))</f>
        <v/>
      </c>
      <c r="BG86" s="42">
        <f>ROUND(BC86+BD86-BE86-BF86,2)</f>
        <v/>
      </c>
      <c r="BH86">
        <f>BB86-BF86</f>
        <v/>
      </c>
      <c r="BI86" s="42">
        <f>BM85</f>
        <v/>
      </c>
      <c r="BJ86" s="42">
        <f>ROUND(BI86*BJ$6/12,2)</f>
        <v/>
      </c>
      <c r="BK86" s="42">
        <f>MIN(BK$6,BI86+BJ86)</f>
        <v/>
      </c>
      <c r="BL86" s="42">
        <f>MAX(0,MIN(BI86+BJ86-BK86,BH86))</f>
        <v/>
      </c>
      <c r="BM86" s="42">
        <f>ROUND(BI86+BJ86-BK86-BL86,2)</f>
        <v/>
      </c>
      <c r="BN86">
        <f>BH86-BL86</f>
        <v/>
      </c>
    </row>
    <row r="87">
      <c r="A87" s="43" t="n">
        <v>80</v>
      </c>
      <c r="B87" s="44">
        <f>EDATE('My Debts'!$C$6,A87-1)</f>
        <v/>
      </c>
      <c r="C87" s="45">
        <f>K87+Q87+W87+AC87+AI87+AO87+AU87+BA87+BG87+BM87</f>
        <v/>
      </c>
      <c r="D87" s="46">
        <f>I87+O87+U87+AA87+AG87+AM87+AS87+AY87+BE87+BK87+J87+P87+V87+AB87+AH87+AN87+AT87+AZ87+BF87+BL87</f>
        <v/>
      </c>
      <c r="E87" s="46">
        <f>H87+N87+T87+Z87+AF87+AL87+AR87+AX87+BD87+BJ87</f>
        <v/>
      </c>
      <c r="F87">
        <f>MAX(0,'My Debts'!$E$21-(I87+O87+U87+AA87+AG87+AM87+AS87+AY87+BE87+BK87))</f>
        <v/>
      </c>
      <c r="G87" s="42">
        <f>K86</f>
        <v/>
      </c>
      <c r="H87" s="42">
        <f>ROUND(G87*H$6/12,2)</f>
        <v/>
      </c>
      <c r="I87" s="42">
        <f>MIN(I$6,G87+H87)</f>
        <v/>
      </c>
      <c r="J87" s="42">
        <f>MAX(0,MIN(G87+H87-I87,$F87))</f>
        <v/>
      </c>
      <c r="K87" s="42">
        <f>ROUND(G87+H87-I87-J87,2)</f>
        <v/>
      </c>
      <c r="L87">
        <f>$F87-J87</f>
        <v/>
      </c>
      <c r="M87" s="42">
        <f>Q86</f>
        <v/>
      </c>
      <c r="N87" s="42">
        <f>ROUND(M87*N$6/12,2)</f>
        <v/>
      </c>
      <c r="O87" s="42">
        <f>MIN(O$6,M87+N87)</f>
        <v/>
      </c>
      <c r="P87" s="42">
        <f>MAX(0,MIN(M87+N87-O87,L87))</f>
        <v/>
      </c>
      <c r="Q87" s="42">
        <f>ROUND(M87+N87-O87-P87,2)</f>
        <v/>
      </c>
      <c r="R87">
        <f>L87-P87</f>
        <v/>
      </c>
      <c r="S87" s="42">
        <f>W86</f>
        <v/>
      </c>
      <c r="T87" s="42">
        <f>ROUND(S87*T$6/12,2)</f>
        <v/>
      </c>
      <c r="U87" s="42">
        <f>MIN(U$6,S87+T87)</f>
        <v/>
      </c>
      <c r="V87" s="42">
        <f>MAX(0,MIN(S87+T87-U87,R87))</f>
        <v/>
      </c>
      <c r="W87" s="42">
        <f>ROUND(S87+T87-U87-V87,2)</f>
        <v/>
      </c>
      <c r="X87">
        <f>R87-V87</f>
        <v/>
      </c>
      <c r="Y87" s="42">
        <f>AC86</f>
        <v/>
      </c>
      <c r="Z87" s="42">
        <f>ROUND(Y87*Z$6/12,2)</f>
        <v/>
      </c>
      <c r="AA87" s="42">
        <f>MIN(AA$6,Y87+Z87)</f>
        <v/>
      </c>
      <c r="AB87" s="42">
        <f>MAX(0,MIN(Y87+Z87-AA87,X87))</f>
        <v/>
      </c>
      <c r="AC87" s="42">
        <f>ROUND(Y87+Z87-AA87-AB87,2)</f>
        <v/>
      </c>
      <c r="AD87">
        <f>X87-AB87</f>
        <v/>
      </c>
      <c r="AE87" s="42">
        <f>AI86</f>
        <v/>
      </c>
      <c r="AF87" s="42">
        <f>ROUND(AE87*AF$6/12,2)</f>
        <v/>
      </c>
      <c r="AG87" s="42">
        <f>MIN(AG$6,AE87+AF87)</f>
        <v/>
      </c>
      <c r="AH87" s="42">
        <f>MAX(0,MIN(AE87+AF87-AG87,AD87))</f>
        <v/>
      </c>
      <c r="AI87" s="42">
        <f>ROUND(AE87+AF87-AG87-AH87,2)</f>
        <v/>
      </c>
      <c r="AJ87">
        <f>AD87-AH87</f>
        <v/>
      </c>
      <c r="AK87" s="42">
        <f>AO86</f>
        <v/>
      </c>
      <c r="AL87" s="42">
        <f>ROUND(AK87*AL$6/12,2)</f>
        <v/>
      </c>
      <c r="AM87" s="42">
        <f>MIN(AM$6,AK87+AL87)</f>
        <v/>
      </c>
      <c r="AN87" s="42">
        <f>MAX(0,MIN(AK87+AL87-AM87,AJ87))</f>
        <v/>
      </c>
      <c r="AO87" s="42">
        <f>ROUND(AK87+AL87-AM87-AN87,2)</f>
        <v/>
      </c>
      <c r="AP87">
        <f>AJ87-AN87</f>
        <v/>
      </c>
      <c r="AQ87" s="42">
        <f>AU86</f>
        <v/>
      </c>
      <c r="AR87" s="42">
        <f>ROUND(AQ87*AR$6/12,2)</f>
        <v/>
      </c>
      <c r="AS87" s="42">
        <f>MIN(AS$6,AQ87+AR87)</f>
        <v/>
      </c>
      <c r="AT87" s="42">
        <f>MAX(0,MIN(AQ87+AR87-AS87,AP87))</f>
        <v/>
      </c>
      <c r="AU87" s="42">
        <f>ROUND(AQ87+AR87-AS87-AT87,2)</f>
        <v/>
      </c>
      <c r="AV87">
        <f>AP87-AT87</f>
        <v/>
      </c>
      <c r="AW87" s="42">
        <f>BA86</f>
        <v/>
      </c>
      <c r="AX87" s="42">
        <f>ROUND(AW87*AX$6/12,2)</f>
        <v/>
      </c>
      <c r="AY87" s="42">
        <f>MIN(AY$6,AW87+AX87)</f>
        <v/>
      </c>
      <c r="AZ87" s="42">
        <f>MAX(0,MIN(AW87+AX87-AY87,AV87))</f>
        <v/>
      </c>
      <c r="BA87" s="42">
        <f>ROUND(AW87+AX87-AY87-AZ87,2)</f>
        <v/>
      </c>
      <c r="BB87">
        <f>AV87-AZ87</f>
        <v/>
      </c>
      <c r="BC87" s="42">
        <f>BG86</f>
        <v/>
      </c>
      <c r="BD87" s="42">
        <f>ROUND(BC87*BD$6/12,2)</f>
        <v/>
      </c>
      <c r="BE87" s="42">
        <f>MIN(BE$6,BC87+BD87)</f>
        <v/>
      </c>
      <c r="BF87" s="42">
        <f>MAX(0,MIN(BC87+BD87-BE87,BB87))</f>
        <v/>
      </c>
      <c r="BG87" s="42">
        <f>ROUND(BC87+BD87-BE87-BF87,2)</f>
        <v/>
      </c>
      <c r="BH87">
        <f>BB87-BF87</f>
        <v/>
      </c>
      <c r="BI87" s="42">
        <f>BM86</f>
        <v/>
      </c>
      <c r="BJ87" s="42">
        <f>ROUND(BI87*BJ$6/12,2)</f>
        <v/>
      </c>
      <c r="BK87" s="42">
        <f>MIN(BK$6,BI87+BJ87)</f>
        <v/>
      </c>
      <c r="BL87" s="42">
        <f>MAX(0,MIN(BI87+BJ87-BK87,BH87))</f>
        <v/>
      </c>
      <c r="BM87" s="42">
        <f>ROUND(BI87+BJ87-BK87-BL87,2)</f>
        <v/>
      </c>
      <c r="BN87">
        <f>BH87-BL87</f>
        <v/>
      </c>
    </row>
    <row r="88">
      <c r="A88" s="39" t="n">
        <v>81</v>
      </c>
      <c r="B88" s="40">
        <f>EDATE('My Debts'!$C$6,A88-1)</f>
        <v/>
      </c>
      <c r="C88" s="41">
        <f>K88+Q88+W88+AC88+AI88+AO88+AU88+BA88+BG88+BM88</f>
        <v/>
      </c>
      <c r="D88" s="42">
        <f>I88+O88+U88+AA88+AG88+AM88+AS88+AY88+BE88+BK88+J88+P88+V88+AB88+AH88+AN88+AT88+AZ88+BF88+BL88</f>
        <v/>
      </c>
      <c r="E88" s="42">
        <f>H88+N88+T88+Z88+AF88+AL88+AR88+AX88+BD88+BJ88</f>
        <v/>
      </c>
      <c r="F88">
        <f>MAX(0,'My Debts'!$E$21-(I88+O88+U88+AA88+AG88+AM88+AS88+AY88+BE88+BK88))</f>
        <v/>
      </c>
      <c r="G88" s="42">
        <f>K87</f>
        <v/>
      </c>
      <c r="H88" s="42">
        <f>ROUND(G88*H$6/12,2)</f>
        <v/>
      </c>
      <c r="I88" s="42">
        <f>MIN(I$6,G88+H88)</f>
        <v/>
      </c>
      <c r="J88" s="42">
        <f>MAX(0,MIN(G88+H88-I88,$F88))</f>
        <v/>
      </c>
      <c r="K88" s="42">
        <f>ROUND(G88+H88-I88-J88,2)</f>
        <v/>
      </c>
      <c r="L88">
        <f>$F88-J88</f>
        <v/>
      </c>
      <c r="M88" s="42">
        <f>Q87</f>
        <v/>
      </c>
      <c r="N88" s="42">
        <f>ROUND(M88*N$6/12,2)</f>
        <v/>
      </c>
      <c r="O88" s="42">
        <f>MIN(O$6,M88+N88)</f>
        <v/>
      </c>
      <c r="P88" s="42">
        <f>MAX(0,MIN(M88+N88-O88,L88))</f>
        <v/>
      </c>
      <c r="Q88" s="42">
        <f>ROUND(M88+N88-O88-P88,2)</f>
        <v/>
      </c>
      <c r="R88">
        <f>L88-P88</f>
        <v/>
      </c>
      <c r="S88" s="42">
        <f>W87</f>
        <v/>
      </c>
      <c r="T88" s="42">
        <f>ROUND(S88*T$6/12,2)</f>
        <v/>
      </c>
      <c r="U88" s="42">
        <f>MIN(U$6,S88+T88)</f>
        <v/>
      </c>
      <c r="V88" s="42">
        <f>MAX(0,MIN(S88+T88-U88,R88))</f>
        <v/>
      </c>
      <c r="W88" s="42">
        <f>ROUND(S88+T88-U88-V88,2)</f>
        <v/>
      </c>
      <c r="X88">
        <f>R88-V88</f>
        <v/>
      </c>
      <c r="Y88" s="42">
        <f>AC87</f>
        <v/>
      </c>
      <c r="Z88" s="42">
        <f>ROUND(Y88*Z$6/12,2)</f>
        <v/>
      </c>
      <c r="AA88" s="42">
        <f>MIN(AA$6,Y88+Z88)</f>
        <v/>
      </c>
      <c r="AB88" s="42">
        <f>MAX(0,MIN(Y88+Z88-AA88,X88))</f>
        <v/>
      </c>
      <c r="AC88" s="42">
        <f>ROUND(Y88+Z88-AA88-AB88,2)</f>
        <v/>
      </c>
      <c r="AD88">
        <f>X88-AB88</f>
        <v/>
      </c>
      <c r="AE88" s="42">
        <f>AI87</f>
        <v/>
      </c>
      <c r="AF88" s="42">
        <f>ROUND(AE88*AF$6/12,2)</f>
        <v/>
      </c>
      <c r="AG88" s="42">
        <f>MIN(AG$6,AE88+AF88)</f>
        <v/>
      </c>
      <c r="AH88" s="42">
        <f>MAX(0,MIN(AE88+AF88-AG88,AD88))</f>
        <v/>
      </c>
      <c r="AI88" s="42">
        <f>ROUND(AE88+AF88-AG88-AH88,2)</f>
        <v/>
      </c>
      <c r="AJ88">
        <f>AD88-AH88</f>
        <v/>
      </c>
      <c r="AK88" s="42">
        <f>AO87</f>
        <v/>
      </c>
      <c r="AL88" s="42">
        <f>ROUND(AK88*AL$6/12,2)</f>
        <v/>
      </c>
      <c r="AM88" s="42">
        <f>MIN(AM$6,AK88+AL88)</f>
        <v/>
      </c>
      <c r="AN88" s="42">
        <f>MAX(0,MIN(AK88+AL88-AM88,AJ88))</f>
        <v/>
      </c>
      <c r="AO88" s="42">
        <f>ROUND(AK88+AL88-AM88-AN88,2)</f>
        <v/>
      </c>
      <c r="AP88">
        <f>AJ88-AN88</f>
        <v/>
      </c>
      <c r="AQ88" s="42">
        <f>AU87</f>
        <v/>
      </c>
      <c r="AR88" s="42">
        <f>ROUND(AQ88*AR$6/12,2)</f>
        <v/>
      </c>
      <c r="AS88" s="42">
        <f>MIN(AS$6,AQ88+AR88)</f>
        <v/>
      </c>
      <c r="AT88" s="42">
        <f>MAX(0,MIN(AQ88+AR88-AS88,AP88))</f>
        <v/>
      </c>
      <c r="AU88" s="42">
        <f>ROUND(AQ88+AR88-AS88-AT88,2)</f>
        <v/>
      </c>
      <c r="AV88">
        <f>AP88-AT88</f>
        <v/>
      </c>
      <c r="AW88" s="42">
        <f>BA87</f>
        <v/>
      </c>
      <c r="AX88" s="42">
        <f>ROUND(AW88*AX$6/12,2)</f>
        <v/>
      </c>
      <c r="AY88" s="42">
        <f>MIN(AY$6,AW88+AX88)</f>
        <v/>
      </c>
      <c r="AZ88" s="42">
        <f>MAX(0,MIN(AW88+AX88-AY88,AV88))</f>
        <v/>
      </c>
      <c r="BA88" s="42">
        <f>ROUND(AW88+AX88-AY88-AZ88,2)</f>
        <v/>
      </c>
      <c r="BB88">
        <f>AV88-AZ88</f>
        <v/>
      </c>
      <c r="BC88" s="42">
        <f>BG87</f>
        <v/>
      </c>
      <c r="BD88" s="42">
        <f>ROUND(BC88*BD$6/12,2)</f>
        <v/>
      </c>
      <c r="BE88" s="42">
        <f>MIN(BE$6,BC88+BD88)</f>
        <v/>
      </c>
      <c r="BF88" s="42">
        <f>MAX(0,MIN(BC88+BD88-BE88,BB88))</f>
        <v/>
      </c>
      <c r="BG88" s="42">
        <f>ROUND(BC88+BD88-BE88-BF88,2)</f>
        <v/>
      </c>
      <c r="BH88">
        <f>BB88-BF88</f>
        <v/>
      </c>
      <c r="BI88" s="42">
        <f>BM87</f>
        <v/>
      </c>
      <c r="BJ88" s="42">
        <f>ROUND(BI88*BJ$6/12,2)</f>
        <v/>
      </c>
      <c r="BK88" s="42">
        <f>MIN(BK$6,BI88+BJ88)</f>
        <v/>
      </c>
      <c r="BL88" s="42">
        <f>MAX(0,MIN(BI88+BJ88-BK88,BH88))</f>
        <v/>
      </c>
      <c r="BM88" s="42">
        <f>ROUND(BI88+BJ88-BK88-BL88,2)</f>
        <v/>
      </c>
      <c r="BN88">
        <f>BH88-BL88</f>
        <v/>
      </c>
    </row>
    <row r="89">
      <c r="A89" s="43" t="n">
        <v>82</v>
      </c>
      <c r="B89" s="44">
        <f>EDATE('My Debts'!$C$6,A89-1)</f>
        <v/>
      </c>
      <c r="C89" s="45">
        <f>K89+Q89+W89+AC89+AI89+AO89+AU89+BA89+BG89+BM89</f>
        <v/>
      </c>
      <c r="D89" s="46">
        <f>I89+O89+U89+AA89+AG89+AM89+AS89+AY89+BE89+BK89+J89+P89+V89+AB89+AH89+AN89+AT89+AZ89+BF89+BL89</f>
        <v/>
      </c>
      <c r="E89" s="46">
        <f>H89+N89+T89+Z89+AF89+AL89+AR89+AX89+BD89+BJ89</f>
        <v/>
      </c>
      <c r="F89">
        <f>MAX(0,'My Debts'!$E$21-(I89+O89+U89+AA89+AG89+AM89+AS89+AY89+BE89+BK89))</f>
        <v/>
      </c>
      <c r="G89" s="42">
        <f>K88</f>
        <v/>
      </c>
      <c r="H89" s="42">
        <f>ROUND(G89*H$6/12,2)</f>
        <v/>
      </c>
      <c r="I89" s="42">
        <f>MIN(I$6,G89+H89)</f>
        <v/>
      </c>
      <c r="J89" s="42">
        <f>MAX(0,MIN(G89+H89-I89,$F89))</f>
        <v/>
      </c>
      <c r="K89" s="42">
        <f>ROUND(G89+H89-I89-J89,2)</f>
        <v/>
      </c>
      <c r="L89">
        <f>$F89-J89</f>
        <v/>
      </c>
      <c r="M89" s="42">
        <f>Q88</f>
        <v/>
      </c>
      <c r="N89" s="42">
        <f>ROUND(M89*N$6/12,2)</f>
        <v/>
      </c>
      <c r="O89" s="42">
        <f>MIN(O$6,M89+N89)</f>
        <v/>
      </c>
      <c r="P89" s="42">
        <f>MAX(0,MIN(M89+N89-O89,L89))</f>
        <v/>
      </c>
      <c r="Q89" s="42">
        <f>ROUND(M89+N89-O89-P89,2)</f>
        <v/>
      </c>
      <c r="R89">
        <f>L89-P89</f>
        <v/>
      </c>
      <c r="S89" s="42">
        <f>W88</f>
        <v/>
      </c>
      <c r="T89" s="42">
        <f>ROUND(S89*T$6/12,2)</f>
        <v/>
      </c>
      <c r="U89" s="42">
        <f>MIN(U$6,S89+T89)</f>
        <v/>
      </c>
      <c r="V89" s="42">
        <f>MAX(0,MIN(S89+T89-U89,R89))</f>
        <v/>
      </c>
      <c r="W89" s="42">
        <f>ROUND(S89+T89-U89-V89,2)</f>
        <v/>
      </c>
      <c r="X89">
        <f>R89-V89</f>
        <v/>
      </c>
      <c r="Y89" s="42">
        <f>AC88</f>
        <v/>
      </c>
      <c r="Z89" s="42">
        <f>ROUND(Y89*Z$6/12,2)</f>
        <v/>
      </c>
      <c r="AA89" s="42">
        <f>MIN(AA$6,Y89+Z89)</f>
        <v/>
      </c>
      <c r="AB89" s="42">
        <f>MAX(0,MIN(Y89+Z89-AA89,X89))</f>
        <v/>
      </c>
      <c r="AC89" s="42">
        <f>ROUND(Y89+Z89-AA89-AB89,2)</f>
        <v/>
      </c>
      <c r="AD89">
        <f>X89-AB89</f>
        <v/>
      </c>
      <c r="AE89" s="42">
        <f>AI88</f>
        <v/>
      </c>
      <c r="AF89" s="42">
        <f>ROUND(AE89*AF$6/12,2)</f>
        <v/>
      </c>
      <c r="AG89" s="42">
        <f>MIN(AG$6,AE89+AF89)</f>
        <v/>
      </c>
      <c r="AH89" s="42">
        <f>MAX(0,MIN(AE89+AF89-AG89,AD89))</f>
        <v/>
      </c>
      <c r="AI89" s="42">
        <f>ROUND(AE89+AF89-AG89-AH89,2)</f>
        <v/>
      </c>
      <c r="AJ89">
        <f>AD89-AH89</f>
        <v/>
      </c>
      <c r="AK89" s="42">
        <f>AO88</f>
        <v/>
      </c>
      <c r="AL89" s="42">
        <f>ROUND(AK89*AL$6/12,2)</f>
        <v/>
      </c>
      <c r="AM89" s="42">
        <f>MIN(AM$6,AK89+AL89)</f>
        <v/>
      </c>
      <c r="AN89" s="42">
        <f>MAX(0,MIN(AK89+AL89-AM89,AJ89))</f>
        <v/>
      </c>
      <c r="AO89" s="42">
        <f>ROUND(AK89+AL89-AM89-AN89,2)</f>
        <v/>
      </c>
      <c r="AP89">
        <f>AJ89-AN89</f>
        <v/>
      </c>
      <c r="AQ89" s="42">
        <f>AU88</f>
        <v/>
      </c>
      <c r="AR89" s="42">
        <f>ROUND(AQ89*AR$6/12,2)</f>
        <v/>
      </c>
      <c r="AS89" s="42">
        <f>MIN(AS$6,AQ89+AR89)</f>
        <v/>
      </c>
      <c r="AT89" s="42">
        <f>MAX(0,MIN(AQ89+AR89-AS89,AP89))</f>
        <v/>
      </c>
      <c r="AU89" s="42">
        <f>ROUND(AQ89+AR89-AS89-AT89,2)</f>
        <v/>
      </c>
      <c r="AV89">
        <f>AP89-AT89</f>
        <v/>
      </c>
      <c r="AW89" s="42">
        <f>BA88</f>
        <v/>
      </c>
      <c r="AX89" s="42">
        <f>ROUND(AW89*AX$6/12,2)</f>
        <v/>
      </c>
      <c r="AY89" s="42">
        <f>MIN(AY$6,AW89+AX89)</f>
        <v/>
      </c>
      <c r="AZ89" s="42">
        <f>MAX(0,MIN(AW89+AX89-AY89,AV89))</f>
        <v/>
      </c>
      <c r="BA89" s="42">
        <f>ROUND(AW89+AX89-AY89-AZ89,2)</f>
        <v/>
      </c>
      <c r="BB89">
        <f>AV89-AZ89</f>
        <v/>
      </c>
      <c r="BC89" s="42">
        <f>BG88</f>
        <v/>
      </c>
      <c r="BD89" s="42">
        <f>ROUND(BC89*BD$6/12,2)</f>
        <v/>
      </c>
      <c r="BE89" s="42">
        <f>MIN(BE$6,BC89+BD89)</f>
        <v/>
      </c>
      <c r="BF89" s="42">
        <f>MAX(0,MIN(BC89+BD89-BE89,BB89))</f>
        <v/>
      </c>
      <c r="BG89" s="42">
        <f>ROUND(BC89+BD89-BE89-BF89,2)</f>
        <v/>
      </c>
      <c r="BH89">
        <f>BB89-BF89</f>
        <v/>
      </c>
      <c r="BI89" s="42">
        <f>BM88</f>
        <v/>
      </c>
      <c r="BJ89" s="42">
        <f>ROUND(BI89*BJ$6/12,2)</f>
        <v/>
      </c>
      <c r="BK89" s="42">
        <f>MIN(BK$6,BI89+BJ89)</f>
        <v/>
      </c>
      <c r="BL89" s="42">
        <f>MAX(0,MIN(BI89+BJ89-BK89,BH89))</f>
        <v/>
      </c>
      <c r="BM89" s="42">
        <f>ROUND(BI89+BJ89-BK89-BL89,2)</f>
        <v/>
      </c>
      <c r="BN89">
        <f>BH89-BL89</f>
        <v/>
      </c>
    </row>
    <row r="90">
      <c r="A90" s="39" t="n">
        <v>83</v>
      </c>
      <c r="B90" s="40">
        <f>EDATE('My Debts'!$C$6,A90-1)</f>
        <v/>
      </c>
      <c r="C90" s="41">
        <f>K90+Q90+W90+AC90+AI90+AO90+AU90+BA90+BG90+BM90</f>
        <v/>
      </c>
      <c r="D90" s="42">
        <f>I90+O90+U90+AA90+AG90+AM90+AS90+AY90+BE90+BK90+J90+P90+V90+AB90+AH90+AN90+AT90+AZ90+BF90+BL90</f>
        <v/>
      </c>
      <c r="E90" s="42">
        <f>H90+N90+T90+Z90+AF90+AL90+AR90+AX90+BD90+BJ90</f>
        <v/>
      </c>
      <c r="F90">
        <f>MAX(0,'My Debts'!$E$21-(I90+O90+U90+AA90+AG90+AM90+AS90+AY90+BE90+BK90))</f>
        <v/>
      </c>
      <c r="G90" s="42">
        <f>K89</f>
        <v/>
      </c>
      <c r="H90" s="42">
        <f>ROUND(G90*H$6/12,2)</f>
        <v/>
      </c>
      <c r="I90" s="42">
        <f>MIN(I$6,G90+H90)</f>
        <v/>
      </c>
      <c r="J90" s="42">
        <f>MAX(0,MIN(G90+H90-I90,$F90))</f>
        <v/>
      </c>
      <c r="K90" s="42">
        <f>ROUND(G90+H90-I90-J90,2)</f>
        <v/>
      </c>
      <c r="L90">
        <f>$F90-J90</f>
        <v/>
      </c>
      <c r="M90" s="42">
        <f>Q89</f>
        <v/>
      </c>
      <c r="N90" s="42">
        <f>ROUND(M90*N$6/12,2)</f>
        <v/>
      </c>
      <c r="O90" s="42">
        <f>MIN(O$6,M90+N90)</f>
        <v/>
      </c>
      <c r="P90" s="42">
        <f>MAX(0,MIN(M90+N90-O90,L90))</f>
        <v/>
      </c>
      <c r="Q90" s="42">
        <f>ROUND(M90+N90-O90-P90,2)</f>
        <v/>
      </c>
      <c r="R90">
        <f>L90-P90</f>
        <v/>
      </c>
      <c r="S90" s="42">
        <f>W89</f>
        <v/>
      </c>
      <c r="T90" s="42">
        <f>ROUND(S90*T$6/12,2)</f>
        <v/>
      </c>
      <c r="U90" s="42">
        <f>MIN(U$6,S90+T90)</f>
        <v/>
      </c>
      <c r="V90" s="42">
        <f>MAX(0,MIN(S90+T90-U90,R90))</f>
        <v/>
      </c>
      <c r="W90" s="42">
        <f>ROUND(S90+T90-U90-V90,2)</f>
        <v/>
      </c>
      <c r="X90">
        <f>R90-V90</f>
        <v/>
      </c>
      <c r="Y90" s="42">
        <f>AC89</f>
        <v/>
      </c>
      <c r="Z90" s="42">
        <f>ROUND(Y90*Z$6/12,2)</f>
        <v/>
      </c>
      <c r="AA90" s="42">
        <f>MIN(AA$6,Y90+Z90)</f>
        <v/>
      </c>
      <c r="AB90" s="42">
        <f>MAX(0,MIN(Y90+Z90-AA90,X90))</f>
        <v/>
      </c>
      <c r="AC90" s="42">
        <f>ROUND(Y90+Z90-AA90-AB90,2)</f>
        <v/>
      </c>
      <c r="AD90">
        <f>X90-AB90</f>
        <v/>
      </c>
      <c r="AE90" s="42">
        <f>AI89</f>
        <v/>
      </c>
      <c r="AF90" s="42">
        <f>ROUND(AE90*AF$6/12,2)</f>
        <v/>
      </c>
      <c r="AG90" s="42">
        <f>MIN(AG$6,AE90+AF90)</f>
        <v/>
      </c>
      <c r="AH90" s="42">
        <f>MAX(0,MIN(AE90+AF90-AG90,AD90))</f>
        <v/>
      </c>
      <c r="AI90" s="42">
        <f>ROUND(AE90+AF90-AG90-AH90,2)</f>
        <v/>
      </c>
      <c r="AJ90">
        <f>AD90-AH90</f>
        <v/>
      </c>
      <c r="AK90" s="42">
        <f>AO89</f>
        <v/>
      </c>
      <c r="AL90" s="42">
        <f>ROUND(AK90*AL$6/12,2)</f>
        <v/>
      </c>
      <c r="AM90" s="42">
        <f>MIN(AM$6,AK90+AL90)</f>
        <v/>
      </c>
      <c r="AN90" s="42">
        <f>MAX(0,MIN(AK90+AL90-AM90,AJ90))</f>
        <v/>
      </c>
      <c r="AO90" s="42">
        <f>ROUND(AK90+AL90-AM90-AN90,2)</f>
        <v/>
      </c>
      <c r="AP90">
        <f>AJ90-AN90</f>
        <v/>
      </c>
      <c r="AQ90" s="42">
        <f>AU89</f>
        <v/>
      </c>
      <c r="AR90" s="42">
        <f>ROUND(AQ90*AR$6/12,2)</f>
        <v/>
      </c>
      <c r="AS90" s="42">
        <f>MIN(AS$6,AQ90+AR90)</f>
        <v/>
      </c>
      <c r="AT90" s="42">
        <f>MAX(0,MIN(AQ90+AR90-AS90,AP90))</f>
        <v/>
      </c>
      <c r="AU90" s="42">
        <f>ROUND(AQ90+AR90-AS90-AT90,2)</f>
        <v/>
      </c>
      <c r="AV90">
        <f>AP90-AT90</f>
        <v/>
      </c>
      <c r="AW90" s="42">
        <f>BA89</f>
        <v/>
      </c>
      <c r="AX90" s="42">
        <f>ROUND(AW90*AX$6/12,2)</f>
        <v/>
      </c>
      <c r="AY90" s="42">
        <f>MIN(AY$6,AW90+AX90)</f>
        <v/>
      </c>
      <c r="AZ90" s="42">
        <f>MAX(0,MIN(AW90+AX90-AY90,AV90))</f>
        <v/>
      </c>
      <c r="BA90" s="42">
        <f>ROUND(AW90+AX90-AY90-AZ90,2)</f>
        <v/>
      </c>
      <c r="BB90">
        <f>AV90-AZ90</f>
        <v/>
      </c>
      <c r="BC90" s="42">
        <f>BG89</f>
        <v/>
      </c>
      <c r="BD90" s="42">
        <f>ROUND(BC90*BD$6/12,2)</f>
        <v/>
      </c>
      <c r="BE90" s="42">
        <f>MIN(BE$6,BC90+BD90)</f>
        <v/>
      </c>
      <c r="BF90" s="42">
        <f>MAX(0,MIN(BC90+BD90-BE90,BB90))</f>
        <v/>
      </c>
      <c r="BG90" s="42">
        <f>ROUND(BC90+BD90-BE90-BF90,2)</f>
        <v/>
      </c>
      <c r="BH90">
        <f>BB90-BF90</f>
        <v/>
      </c>
      <c r="BI90" s="42">
        <f>BM89</f>
        <v/>
      </c>
      <c r="BJ90" s="42">
        <f>ROUND(BI90*BJ$6/12,2)</f>
        <v/>
      </c>
      <c r="BK90" s="42">
        <f>MIN(BK$6,BI90+BJ90)</f>
        <v/>
      </c>
      <c r="BL90" s="42">
        <f>MAX(0,MIN(BI90+BJ90-BK90,BH90))</f>
        <v/>
      </c>
      <c r="BM90" s="42">
        <f>ROUND(BI90+BJ90-BK90-BL90,2)</f>
        <v/>
      </c>
      <c r="BN90">
        <f>BH90-BL90</f>
        <v/>
      </c>
    </row>
    <row r="91">
      <c r="A91" s="43" t="n">
        <v>84</v>
      </c>
      <c r="B91" s="44">
        <f>EDATE('My Debts'!$C$6,A91-1)</f>
        <v/>
      </c>
      <c r="C91" s="45">
        <f>K91+Q91+W91+AC91+AI91+AO91+AU91+BA91+BG91+BM91</f>
        <v/>
      </c>
      <c r="D91" s="46">
        <f>I91+O91+U91+AA91+AG91+AM91+AS91+AY91+BE91+BK91+J91+P91+V91+AB91+AH91+AN91+AT91+AZ91+BF91+BL91</f>
        <v/>
      </c>
      <c r="E91" s="46">
        <f>H91+N91+T91+Z91+AF91+AL91+AR91+AX91+BD91+BJ91</f>
        <v/>
      </c>
      <c r="F91">
        <f>MAX(0,'My Debts'!$E$21-(I91+O91+U91+AA91+AG91+AM91+AS91+AY91+BE91+BK91))</f>
        <v/>
      </c>
      <c r="G91" s="42">
        <f>K90</f>
        <v/>
      </c>
      <c r="H91" s="42">
        <f>ROUND(G91*H$6/12,2)</f>
        <v/>
      </c>
      <c r="I91" s="42">
        <f>MIN(I$6,G91+H91)</f>
        <v/>
      </c>
      <c r="J91" s="42">
        <f>MAX(0,MIN(G91+H91-I91,$F91))</f>
        <v/>
      </c>
      <c r="K91" s="42">
        <f>ROUND(G91+H91-I91-J91,2)</f>
        <v/>
      </c>
      <c r="L91">
        <f>$F91-J91</f>
        <v/>
      </c>
      <c r="M91" s="42">
        <f>Q90</f>
        <v/>
      </c>
      <c r="N91" s="42">
        <f>ROUND(M91*N$6/12,2)</f>
        <v/>
      </c>
      <c r="O91" s="42">
        <f>MIN(O$6,M91+N91)</f>
        <v/>
      </c>
      <c r="P91" s="42">
        <f>MAX(0,MIN(M91+N91-O91,L91))</f>
        <v/>
      </c>
      <c r="Q91" s="42">
        <f>ROUND(M91+N91-O91-P91,2)</f>
        <v/>
      </c>
      <c r="R91">
        <f>L91-P91</f>
        <v/>
      </c>
      <c r="S91" s="42">
        <f>W90</f>
        <v/>
      </c>
      <c r="T91" s="42">
        <f>ROUND(S91*T$6/12,2)</f>
        <v/>
      </c>
      <c r="U91" s="42">
        <f>MIN(U$6,S91+T91)</f>
        <v/>
      </c>
      <c r="V91" s="42">
        <f>MAX(0,MIN(S91+T91-U91,R91))</f>
        <v/>
      </c>
      <c r="W91" s="42">
        <f>ROUND(S91+T91-U91-V91,2)</f>
        <v/>
      </c>
      <c r="X91">
        <f>R91-V91</f>
        <v/>
      </c>
      <c r="Y91" s="42">
        <f>AC90</f>
        <v/>
      </c>
      <c r="Z91" s="42">
        <f>ROUND(Y91*Z$6/12,2)</f>
        <v/>
      </c>
      <c r="AA91" s="42">
        <f>MIN(AA$6,Y91+Z91)</f>
        <v/>
      </c>
      <c r="AB91" s="42">
        <f>MAX(0,MIN(Y91+Z91-AA91,X91))</f>
        <v/>
      </c>
      <c r="AC91" s="42">
        <f>ROUND(Y91+Z91-AA91-AB91,2)</f>
        <v/>
      </c>
      <c r="AD91">
        <f>X91-AB91</f>
        <v/>
      </c>
      <c r="AE91" s="42">
        <f>AI90</f>
        <v/>
      </c>
      <c r="AF91" s="42">
        <f>ROUND(AE91*AF$6/12,2)</f>
        <v/>
      </c>
      <c r="AG91" s="42">
        <f>MIN(AG$6,AE91+AF91)</f>
        <v/>
      </c>
      <c r="AH91" s="42">
        <f>MAX(0,MIN(AE91+AF91-AG91,AD91))</f>
        <v/>
      </c>
      <c r="AI91" s="42">
        <f>ROUND(AE91+AF91-AG91-AH91,2)</f>
        <v/>
      </c>
      <c r="AJ91">
        <f>AD91-AH91</f>
        <v/>
      </c>
      <c r="AK91" s="42">
        <f>AO90</f>
        <v/>
      </c>
      <c r="AL91" s="42">
        <f>ROUND(AK91*AL$6/12,2)</f>
        <v/>
      </c>
      <c r="AM91" s="42">
        <f>MIN(AM$6,AK91+AL91)</f>
        <v/>
      </c>
      <c r="AN91" s="42">
        <f>MAX(0,MIN(AK91+AL91-AM91,AJ91))</f>
        <v/>
      </c>
      <c r="AO91" s="42">
        <f>ROUND(AK91+AL91-AM91-AN91,2)</f>
        <v/>
      </c>
      <c r="AP91">
        <f>AJ91-AN91</f>
        <v/>
      </c>
      <c r="AQ91" s="42">
        <f>AU90</f>
        <v/>
      </c>
      <c r="AR91" s="42">
        <f>ROUND(AQ91*AR$6/12,2)</f>
        <v/>
      </c>
      <c r="AS91" s="42">
        <f>MIN(AS$6,AQ91+AR91)</f>
        <v/>
      </c>
      <c r="AT91" s="42">
        <f>MAX(0,MIN(AQ91+AR91-AS91,AP91))</f>
        <v/>
      </c>
      <c r="AU91" s="42">
        <f>ROUND(AQ91+AR91-AS91-AT91,2)</f>
        <v/>
      </c>
      <c r="AV91">
        <f>AP91-AT91</f>
        <v/>
      </c>
      <c r="AW91" s="42">
        <f>BA90</f>
        <v/>
      </c>
      <c r="AX91" s="42">
        <f>ROUND(AW91*AX$6/12,2)</f>
        <v/>
      </c>
      <c r="AY91" s="42">
        <f>MIN(AY$6,AW91+AX91)</f>
        <v/>
      </c>
      <c r="AZ91" s="42">
        <f>MAX(0,MIN(AW91+AX91-AY91,AV91))</f>
        <v/>
      </c>
      <c r="BA91" s="42">
        <f>ROUND(AW91+AX91-AY91-AZ91,2)</f>
        <v/>
      </c>
      <c r="BB91">
        <f>AV91-AZ91</f>
        <v/>
      </c>
      <c r="BC91" s="42">
        <f>BG90</f>
        <v/>
      </c>
      <c r="BD91" s="42">
        <f>ROUND(BC91*BD$6/12,2)</f>
        <v/>
      </c>
      <c r="BE91" s="42">
        <f>MIN(BE$6,BC91+BD91)</f>
        <v/>
      </c>
      <c r="BF91" s="42">
        <f>MAX(0,MIN(BC91+BD91-BE91,BB91))</f>
        <v/>
      </c>
      <c r="BG91" s="42">
        <f>ROUND(BC91+BD91-BE91-BF91,2)</f>
        <v/>
      </c>
      <c r="BH91">
        <f>BB91-BF91</f>
        <v/>
      </c>
      <c r="BI91" s="42">
        <f>BM90</f>
        <v/>
      </c>
      <c r="BJ91" s="42">
        <f>ROUND(BI91*BJ$6/12,2)</f>
        <v/>
      </c>
      <c r="BK91" s="42">
        <f>MIN(BK$6,BI91+BJ91)</f>
        <v/>
      </c>
      <c r="BL91" s="42">
        <f>MAX(0,MIN(BI91+BJ91-BK91,BH91))</f>
        <v/>
      </c>
      <c r="BM91" s="42">
        <f>ROUND(BI91+BJ91-BK91-BL91,2)</f>
        <v/>
      </c>
      <c r="BN91">
        <f>BH91-BL91</f>
        <v/>
      </c>
    </row>
    <row r="92">
      <c r="A92" s="39" t="n">
        <v>85</v>
      </c>
      <c r="B92" s="40">
        <f>EDATE('My Debts'!$C$6,A92-1)</f>
        <v/>
      </c>
      <c r="C92" s="41">
        <f>K92+Q92+W92+AC92+AI92+AO92+AU92+BA92+BG92+BM92</f>
        <v/>
      </c>
      <c r="D92" s="42">
        <f>I92+O92+U92+AA92+AG92+AM92+AS92+AY92+BE92+BK92+J92+P92+V92+AB92+AH92+AN92+AT92+AZ92+BF92+BL92</f>
        <v/>
      </c>
      <c r="E92" s="42">
        <f>H92+N92+T92+Z92+AF92+AL92+AR92+AX92+BD92+BJ92</f>
        <v/>
      </c>
      <c r="F92">
        <f>MAX(0,'My Debts'!$E$21-(I92+O92+U92+AA92+AG92+AM92+AS92+AY92+BE92+BK92))</f>
        <v/>
      </c>
      <c r="G92" s="42">
        <f>K91</f>
        <v/>
      </c>
      <c r="H92" s="42">
        <f>ROUND(G92*H$6/12,2)</f>
        <v/>
      </c>
      <c r="I92" s="42">
        <f>MIN(I$6,G92+H92)</f>
        <v/>
      </c>
      <c r="J92" s="42">
        <f>MAX(0,MIN(G92+H92-I92,$F92))</f>
        <v/>
      </c>
      <c r="K92" s="42">
        <f>ROUND(G92+H92-I92-J92,2)</f>
        <v/>
      </c>
      <c r="L92">
        <f>$F92-J92</f>
        <v/>
      </c>
      <c r="M92" s="42">
        <f>Q91</f>
        <v/>
      </c>
      <c r="N92" s="42">
        <f>ROUND(M92*N$6/12,2)</f>
        <v/>
      </c>
      <c r="O92" s="42">
        <f>MIN(O$6,M92+N92)</f>
        <v/>
      </c>
      <c r="P92" s="42">
        <f>MAX(0,MIN(M92+N92-O92,L92))</f>
        <v/>
      </c>
      <c r="Q92" s="42">
        <f>ROUND(M92+N92-O92-P92,2)</f>
        <v/>
      </c>
      <c r="R92">
        <f>L92-P92</f>
        <v/>
      </c>
      <c r="S92" s="42">
        <f>W91</f>
        <v/>
      </c>
      <c r="T92" s="42">
        <f>ROUND(S92*T$6/12,2)</f>
        <v/>
      </c>
      <c r="U92" s="42">
        <f>MIN(U$6,S92+T92)</f>
        <v/>
      </c>
      <c r="V92" s="42">
        <f>MAX(0,MIN(S92+T92-U92,R92))</f>
        <v/>
      </c>
      <c r="W92" s="42">
        <f>ROUND(S92+T92-U92-V92,2)</f>
        <v/>
      </c>
      <c r="X92">
        <f>R92-V92</f>
        <v/>
      </c>
      <c r="Y92" s="42">
        <f>AC91</f>
        <v/>
      </c>
      <c r="Z92" s="42">
        <f>ROUND(Y92*Z$6/12,2)</f>
        <v/>
      </c>
      <c r="AA92" s="42">
        <f>MIN(AA$6,Y92+Z92)</f>
        <v/>
      </c>
      <c r="AB92" s="42">
        <f>MAX(0,MIN(Y92+Z92-AA92,X92))</f>
        <v/>
      </c>
      <c r="AC92" s="42">
        <f>ROUND(Y92+Z92-AA92-AB92,2)</f>
        <v/>
      </c>
      <c r="AD92">
        <f>X92-AB92</f>
        <v/>
      </c>
      <c r="AE92" s="42">
        <f>AI91</f>
        <v/>
      </c>
      <c r="AF92" s="42">
        <f>ROUND(AE92*AF$6/12,2)</f>
        <v/>
      </c>
      <c r="AG92" s="42">
        <f>MIN(AG$6,AE92+AF92)</f>
        <v/>
      </c>
      <c r="AH92" s="42">
        <f>MAX(0,MIN(AE92+AF92-AG92,AD92))</f>
        <v/>
      </c>
      <c r="AI92" s="42">
        <f>ROUND(AE92+AF92-AG92-AH92,2)</f>
        <v/>
      </c>
      <c r="AJ92">
        <f>AD92-AH92</f>
        <v/>
      </c>
      <c r="AK92" s="42">
        <f>AO91</f>
        <v/>
      </c>
      <c r="AL92" s="42">
        <f>ROUND(AK92*AL$6/12,2)</f>
        <v/>
      </c>
      <c r="AM92" s="42">
        <f>MIN(AM$6,AK92+AL92)</f>
        <v/>
      </c>
      <c r="AN92" s="42">
        <f>MAX(0,MIN(AK92+AL92-AM92,AJ92))</f>
        <v/>
      </c>
      <c r="AO92" s="42">
        <f>ROUND(AK92+AL92-AM92-AN92,2)</f>
        <v/>
      </c>
      <c r="AP92">
        <f>AJ92-AN92</f>
        <v/>
      </c>
      <c r="AQ92" s="42">
        <f>AU91</f>
        <v/>
      </c>
      <c r="AR92" s="42">
        <f>ROUND(AQ92*AR$6/12,2)</f>
        <v/>
      </c>
      <c r="AS92" s="42">
        <f>MIN(AS$6,AQ92+AR92)</f>
        <v/>
      </c>
      <c r="AT92" s="42">
        <f>MAX(0,MIN(AQ92+AR92-AS92,AP92))</f>
        <v/>
      </c>
      <c r="AU92" s="42">
        <f>ROUND(AQ92+AR92-AS92-AT92,2)</f>
        <v/>
      </c>
      <c r="AV92">
        <f>AP92-AT92</f>
        <v/>
      </c>
      <c r="AW92" s="42">
        <f>BA91</f>
        <v/>
      </c>
      <c r="AX92" s="42">
        <f>ROUND(AW92*AX$6/12,2)</f>
        <v/>
      </c>
      <c r="AY92" s="42">
        <f>MIN(AY$6,AW92+AX92)</f>
        <v/>
      </c>
      <c r="AZ92" s="42">
        <f>MAX(0,MIN(AW92+AX92-AY92,AV92))</f>
        <v/>
      </c>
      <c r="BA92" s="42">
        <f>ROUND(AW92+AX92-AY92-AZ92,2)</f>
        <v/>
      </c>
      <c r="BB92">
        <f>AV92-AZ92</f>
        <v/>
      </c>
      <c r="BC92" s="42">
        <f>BG91</f>
        <v/>
      </c>
      <c r="BD92" s="42">
        <f>ROUND(BC92*BD$6/12,2)</f>
        <v/>
      </c>
      <c r="BE92" s="42">
        <f>MIN(BE$6,BC92+BD92)</f>
        <v/>
      </c>
      <c r="BF92" s="42">
        <f>MAX(0,MIN(BC92+BD92-BE92,BB92))</f>
        <v/>
      </c>
      <c r="BG92" s="42">
        <f>ROUND(BC92+BD92-BE92-BF92,2)</f>
        <v/>
      </c>
      <c r="BH92">
        <f>BB92-BF92</f>
        <v/>
      </c>
      <c r="BI92" s="42">
        <f>BM91</f>
        <v/>
      </c>
      <c r="BJ92" s="42">
        <f>ROUND(BI92*BJ$6/12,2)</f>
        <v/>
      </c>
      <c r="BK92" s="42">
        <f>MIN(BK$6,BI92+BJ92)</f>
        <v/>
      </c>
      <c r="BL92" s="42">
        <f>MAX(0,MIN(BI92+BJ92-BK92,BH92))</f>
        <v/>
      </c>
      <c r="BM92" s="42">
        <f>ROUND(BI92+BJ92-BK92-BL92,2)</f>
        <v/>
      </c>
      <c r="BN92">
        <f>BH92-BL92</f>
        <v/>
      </c>
    </row>
    <row r="93">
      <c r="A93" s="43" t="n">
        <v>86</v>
      </c>
      <c r="B93" s="44">
        <f>EDATE('My Debts'!$C$6,A93-1)</f>
        <v/>
      </c>
      <c r="C93" s="45">
        <f>K93+Q93+W93+AC93+AI93+AO93+AU93+BA93+BG93+BM93</f>
        <v/>
      </c>
      <c r="D93" s="46">
        <f>I93+O93+U93+AA93+AG93+AM93+AS93+AY93+BE93+BK93+J93+P93+V93+AB93+AH93+AN93+AT93+AZ93+BF93+BL93</f>
        <v/>
      </c>
      <c r="E93" s="46">
        <f>H93+N93+T93+Z93+AF93+AL93+AR93+AX93+BD93+BJ93</f>
        <v/>
      </c>
      <c r="F93">
        <f>MAX(0,'My Debts'!$E$21-(I93+O93+U93+AA93+AG93+AM93+AS93+AY93+BE93+BK93))</f>
        <v/>
      </c>
      <c r="G93" s="42">
        <f>K92</f>
        <v/>
      </c>
      <c r="H93" s="42">
        <f>ROUND(G93*H$6/12,2)</f>
        <v/>
      </c>
      <c r="I93" s="42">
        <f>MIN(I$6,G93+H93)</f>
        <v/>
      </c>
      <c r="J93" s="42">
        <f>MAX(0,MIN(G93+H93-I93,$F93))</f>
        <v/>
      </c>
      <c r="K93" s="42">
        <f>ROUND(G93+H93-I93-J93,2)</f>
        <v/>
      </c>
      <c r="L93">
        <f>$F93-J93</f>
        <v/>
      </c>
      <c r="M93" s="42">
        <f>Q92</f>
        <v/>
      </c>
      <c r="N93" s="42">
        <f>ROUND(M93*N$6/12,2)</f>
        <v/>
      </c>
      <c r="O93" s="42">
        <f>MIN(O$6,M93+N93)</f>
        <v/>
      </c>
      <c r="P93" s="42">
        <f>MAX(0,MIN(M93+N93-O93,L93))</f>
        <v/>
      </c>
      <c r="Q93" s="42">
        <f>ROUND(M93+N93-O93-P93,2)</f>
        <v/>
      </c>
      <c r="R93">
        <f>L93-P93</f>
        <v/>
      </c>
      <c r="S93" s="42">
        <f>W92</f>
        <v/>
      </c>
      <c r="T93" s="42">
        <f>ROUND(S93*T$6/12,2)</f>
        <v/>
      </c>
      <c r="U93" s="42">
        <f>MIN(U$6,S93+T93)</f>
        <v/>
      </c>
      <c r="V93" s="42">
        <f>MAX(0,MIN(S93+T93-U93,R93))</f>
        <v/>
      </c>
      <c r="W93" s="42">
        <f>ROUND(S93+T93-U93-V93,2)</f>
        <v/>
      </c>
      <c r="X93">
        <f>R93-V93</f>
        <v/>
      </c>
      <c r="Y93" s="42">
        <f>AC92</f>
        <v/>
      </c>
      <c r="Z93" s="42">
        <f>ROUND(Y93*Z$6/12,2)</f>
        <v/>
      </c>
      <c r="AA93" s="42">
        <f>MIN(AA$6,Y93+Z93)</f>
        <v/>
      </c>
      <c r="AB93" s="42">
        <f>MAX(0,MIN(Y93+Z93-AA93,X93))</f>
        <v/>
      </c>
      <c r="AC93" s="42">
        <f>ROUND(Y93+Z93-AA93-AB93,2)</f>
        <v/>
      </c>
      <c r="AD93">
        <f>X93-AB93</f>
        <v/>
      </c>
      <c r="AE93" s="42">
        <f>AI92</f>
        <v/>
      </c>
      <c r="AF93" s="42">
        <f>ROUND(AE93*AF$6/12,2)</f>
        <v/>
      </c>
      <c r="AG93" s="42">
        <f>MIN(AG$6,AE93+AF93)</f>
        <v/>
      </c>
      <c r="AH93" s="42">
        <f>MAX(0,MIN(AE93+AF93-AG93,AD93))</f>
        <v/>
      </c>
      <c r="AI93" s="42">
        <f>ROUND(AE93+AF93-AG93-AH93,2)</f>
        <v/>
      </c>
      <c r="AJ93">
        <f>AD93-AH93</f>
        <v/>
      </c>
      <c r="AK93" s="42">
        <f>AO92</f>
        <v/>
      </c>
      <c r="AL93" s="42">
        <f>ROUND(AK93*AL$6/12,2)</f>
        <v/>
      </c>
      <c r="AM93" s="42">
        <f>MIN(AM$6,AK93+AL93)</f>
        <v/>
      </c>
      <c r="AN93" s="42">
        <f>MAX(0,MIN(AK93+AL93-AM93,AJ93))</f>
        <v/>
      </c>
      <c r="AO93" s="42">
        <f>ROUND(AK93+AL93-AM93-AN93,2)</f>
        <v/>
      </c>
      <c r="AP93">
        <f>AJ93-AN93</f>
        <v/>
      </c>
      <c r="AQ93" s="42">
        <f>AU92</f>
        <v/>
      </c>
      <c r="AR93" s="42">
        <f>ROUND(AQ93*AR$6/12,2)</f>
        <v/>
      </c>
      <c r="AS93" s="42">
        <f>MIN(AS$6,AQ93+AR93)</f>
        <v/>
      </c>
      <c r="AT93" s="42">
        <f>MAX(0,MIN(AQ93+AR93-AS93,AP93))</f>
        <v/>
      </c>
      <c r="AU93" s="42">
        <f>ROUND(AQ93+AR93-AS93-AT93,2)</f>
        <v/>
      </c>
      <c r="AV93">
        <f>AP93-AT93</f>
        <v/>
      </c>
      <c r="AW93" s="42">
        <f>BA92</f>
        <v/>
      </c>
      <c r="AX93" s="42">
        <f>ROUND(AW93*AX$6/12,2)</f>
        <v/>
      </c>
      <c r="AY93" s="42">
        <f>MIN(AY$6,AW93+AX93)</f>
        <v/>
      </c>
      <c r="AZ93" s="42">
        <f>MAX(0,MIN(AW93+AX93-AY93,AV93))</f>
        <v/>
      </c>
      <c r="BA93" s="42">
        <f>ROUND(AW93+AX93-AY93-AZ93,2)</f>
        <v/>
      </c>
      <c r="BB93">
        <f>AV93-AZ93</f>
        <v/>
      </c>
      <c r="BC93" s="42">
        <f>BG92</f>
        <v/>
      </c>
      <c r="BD93" s="42">
        <f>ROUND(BC93*BD$6/12,2)</f>
        <v/>
      </c>
      <c r="BE93" s="42">
        <f>MIN(BE$6,BC93+BD93)</f>
        <v/>
      </c>
      <c r="BF93" s="42">
        <f>MAX(0,MIN(BC93+BD93-BE93,BB93))</f>
        <v/>
      </c>
      <c r="BG93" s="42">
        <f>ROUND(BC93+BD93-BE93-BF93,2)</f>
        <v/>
      </c>
      <c r="BH93">
        <f>BB93-BF93</f>
        <v/>
      </c>
      <c r="BI93" s="42">
        <f>BM92</f>
        <v/>
      </c>
      <c r="BJ93" s="42">
        <f>ROUND(BI93*BJ$6/12,2)</f>
        <v/>
      </c>
      <c r="BK93" s="42">
        <f>MIN(BK$6,BI93+BJ93)</f>
        <v/>
      </c>
      <c r="BL93" s="42">
        <f>MAX(0,MIN(BI93+BJ93-BK93,BH93))</f>
        <v/>
      </c>
      <c r="BM93" s="42">
        <f>ROUND(BI93+BJ93-BK93-BL93,2)</f>
        <v/>
      </c>
      <c r="BN93">
        <f>BH93-BL93</f>
        <v/>
      </c>
    </row>
    <row r="94">
      <c r="A94" s="39" t="n">
        <v>87</v>
      </c>
      <c r="B94" s="40">
        <f>EDATE('My Debts'!$C$6,A94-1)</f>
        <v/>
      </c>
      <c r="C94" s="41">
        <f>K94+Q94+W94+AC94+AI94+AO94+AU94+BA94+BG94+BM94</f>
        <v/>
      </c>
      <c r="D94" s="42">
        <f>I94+O94+U94+AA94+AG94+AM94+AS94+AY94+BE94+BK94+J94+P94+V94+AB94+AH94+AN94+AT94+AZ94+BF94+BL94</f>
        <v/>
      </c>
      <c r="E94" s="42">
        <f>H94+N94+T94+Z94+AF94+AL94+AR94+AX94+BD94+BJ94</f>
        <v/>
      </c>
      <c r="F94">
        <f>MAX(0,'My Debts'!$E$21-(I94+O94+U94+AA94+AG94+AM94+AS94+AY94+BE94+BK94))</f>
        <v/>
      </c>
      <c r="G94" s="42">
        <f>K93</f>
        <v/>
      </c>
      <c r="H94" s="42">
        <f>ROUND(G94*H$6/12,2)</f>
        <v/>
      </c>
      <c r="I94" s="42">
        <f>MIN(I$6,G94+H94)</f>
        <v/>
      </c>
      <c r="J94" s="42">
        <f>MAX(0,MIN(G94+H94-I94,$F94))</f>
        <v/>
      </c>
      <c r="K94" s="42">
        <f>ROUND(G94+H94-I94-J94,2)</f>
        <v/>
      </c>
      <c r="L94">
        <f>$F94-J94</f>
        <v/>
      </c>
      <c r="M94" s="42">
        <f>Q93</f>
        <v/>
      </c>
      <c r="N94" s="42">
        <f>ROUND(M94*N$6/12,2)</f>
        <v/>
      </c>
      <c r="O94" s="42">
        <f>MIN(O$6,M94+N94)</f>
        <v/>
      </c>
      <c r="P94" s="42">
        <f>MAX(0,MIN(M94+N94-O94,L94))</f>
        <v/>
      </c>
      <c r="Q94" s="42">
        <f>ROUND(M94+N94-O94-P94,2)</f>
        <v/>
      </c>
      <c r="R94">
        <f>L94-P94</f>
        <v/>
      </c>
      <c r="S94" s="42">
        <f>W93</f>
        <v/>
      </c>
      <c r="T94" s="42">
        <f>ROUND(S94*T$6/12,2)</f>
        <v/>
      </c>
      <c r="U94" s="42">
        <f>MIN(U$6,S94+T94)</f>
        <v/>
      </c>
      <c r="V94" s="42">
        <f>MAX(0,MIN(S94+T94-U94,R94))</f>
        <v/>
      </c>
      <c r="W94" s="42">
        <f>ROUND(S94+T94-U94-V94,2)</f>
        <v/>
      </c>
      <c r="X94">
        <f>R94-V94</f>
        <v/>
      </c>
      <c r="Y94" s="42">
        <f>AC93</f>
        <v/>
      </c>
      <c r="Z94" s="42">
        <f>ROUND(Y94*Z$6/12,2)</f>
        <v/>
      </c>
      <c r="AA94" s="42">
        <f>MIN(AA$6,Y94+Z94)</f>
        <v/>
      </c>
      <c r="AB94" s="42">
        <f>MAX(0,MIN(Y94+Z94-AA94,X94))</f>
        <v/>
      </c>
      <c r="AC94" s="42">
        <f>ROUND(Y94+Z94-AA94-AB94,2)</f>
        <v/>
      </c>
      <c r="AD94">
        <f>X94-AB94</f>
        <v/>
      </c>
      <c r="AE94" s="42">
        <f>AI93</f>
        <v/>
      </c>
      <c r="AF94" s="42">
        <f>ROUND(AE94*AF$6/12,2)</f>
        <v/>
      </c>
      <c r="AG94" s="42">
        <f>MIN(AG$6,AE94+AF94)</f>
        <v/>
      </c>
      <c r="AH94" s="42">
        <f>MAX(0,MIN(AE94+AF94-AG94,AD94))</f>
        <v/>
      </c>
      <c r="AI94" s="42">
        <f>ROUND(AE94+AF94-AG94-AH94,2)</f>
        <v/>
      </c>
      <c r="AJ94">
        <f>AD94-AH94</f>
        <v/>
      </c>
      <c r="AK94" s="42">
        <f>AO93</f>
        <v/>
      </c>
      <c r="AL94" s="42">
        <f>ROUND(AK94*AL$6/12,2)</f>
        <v/>
      </c>
      <c r="AM94" s="42">
        <f>MIN(AM$6,AK94+AL94)</f>
        <v/>
      </c>
      <c r="AN94" s="42">
        <f>MAX(0,MIN(AK94+AL94-AM94,AJ94))</f>
        <v/>
      </c>
      <c r="AO94" s="42">
        <f>ROUND(AK94+AL94-AM94-AN94,2)</f>
        <v/>
      </c>
      <c r="AP94">
        <f>AJ94-AN94</f>
        <v/>
      </c>
      <c r="AQ94" s="42">
        <f>AU93</f>
        <v/>
      </c>
      <c r="AR94" s="42">
        <f>ROUND(AQ94*AR$6/12,2)</f>
        <v/>
      </c>
      <c r="AS94" s="42">
        <f>MIN(AS$6,AQ94+AR94)</f>
        <v/>
      </c>
      <c r="AT94" s="42">
        <f>MAX(0,MIN(AQ94+AR94-AS94,AP94))</f>
        <v/>
      </c>
      <c r="AU94" s="42">
        <f>ROUND(AQ94+AR94-AS94-AT94,2)</f>
        <v/>
      </c>
      <c r="AV94">
        <f>AP94-AT94</f>
        <v/>
      </c>
      <c r="AW94" s="42">
        <f>BA93</f>
        <v/>
      </c>
      <c r="AX94" s="42">
        <f>ROUND(AW94*AX$6/12,2)</f>
        <v/>
      </c>
      <c r="AY94" s="42">
        <f>MIN(AY$6,AW94+AX94)</f>
        <v/>
      </c>
      <c r="AZ94" s="42">
        <f>MAX(0,MIN(AW94+AX94-AY94,AV94))</f>
        <v/>
      </c>
      <c r="BA94" s="42">
        <f>ROUND(AW94+AX94-AY94-AZ94,2)</f>
        <v/>
      </c>
      <c r="BB94">
        <f>AV94-AZ94</f>
        <v/>
      </c>
      <c r="BC94" s="42">
        <f>BG93</f>
        <v/>
      </c>
      <c r="BD94" s="42">
        <f>ROUND(BC94*BD$6/12,2)</f>
        <v/>
      </c>
      <c r="BE94" s="42">
        <f>MIN(BE$6,BC94+BD94)</f>
        <v/>
      </c>
      <c r="BF94" s="42">
        <f>MAX(0,MIN(BC94+BD94-BE94,BB94))</f>
        <v/>
      </c>
      <c r="BG94" s="42">
        <f>ROUND(BC94+BD94-BE94-BF94,2)</f>
        <v/>
      </c>
      <c r="BH94">
        <f>BB94-BF94</f>
        <v/>
      </c>
      <c r="BI94" s="42">
        <f>BM93</f>
        <v/>
      </c>
      <c r="BJ94" s="42">
        <f>ROUND(BI94*BJ$6/12,2)</f>
        <v/>
      </c>
      <c r="BK94" s="42">
        <f>MIN(BK$6,BI94+BJ94)</f>
        <v/>
      </c>
      <c r="BL94" s="42">
        <f>MAX(0,MIN(BI94+BJ94-BK94,BH94))</f>
        <v/>
      </c>
      <c r="BM94" s="42">
        <f>ROUND(BI94+BJ94-BK94-BL94,2)</f>
        <v/>
      </c>
      <c r="BN94">
        <f>BH94-BL94</f>
        <v/>
      </c>
    </row>
    <row r="95">
      <c r="A95" s="43" t="n">
        <v>88</v>
      </c>
      <c r="B95" s="44">
        <f>EDATE('My Debts'!$C$6,A95-1)</f>
        <v/>
      </c>
      <c r="C95" s="45">
        <f>K95+Q95+W95+AC95+AI95+AO95+AU95+BA95+BG95+BM95</f>
        <v/>
      </c>
      <c r="D95" s="46">
        <f>I95+O95+U95+AA95+AG95+AM95+AS95+AY95+BE95+BK95+J95+P95+V95+AB95+AH95+AN95+AT95+AZ95+BF95+BL95</f>
        <v/>
      </c>
      <c r="E95" s="46">
        <f>H95+N95+T95+Z95+AF95+AL95+AR95+AX95+BD95+BJ95</f>
        <v/>
      </c>
      <c r="F95">
        <f>MAX(0,'My Debts'!$E$21-(I95+O95+U95+AA95+AG95+AM95+AS95+AY95+BE95+BK95))</f>
        <v/>
      </c>
      <c r="G95" s="42">
        <f>K94</f>
        <v/>
      </c>
      <c r="H95" s="42">
        <f>ROUND(G95*H$6/12,2)</f>
        <v/>
      </c>
      <c r="I95" s="42">
        <f>MIN(I$6,G95+H95)</f>
        <v/>
      </c>
      <c r="J95" s="42">
        <f>MAX(0,MIN(G95+H95-I95,$F95))</f>
        <v/>
      </c>
      <c r="K95" s="42">
        <f>ROUND(G95+H95-I95-J95,2)</f>
        <v/>
      </c>
      <c r="L95">
        <f>$F95-J95</f>
        <v/>
      </c>
      <c r="M95" s="42">
        <f>Q94</f>
        <v/>
      </c>
      <c r="N95" s="42">
        <f>ROUND(M95*N$6/12,2)</f>
        <v/>
      </c>
      <c r="O95" s="42">
        <f>MIN(O$6,M95+N95)</f>
        <v/>
      </c>
      <c r="P95" s="42">
        <f>MAX(0,MIN(M95+N95-O95,L95))</f>
        <v/>
      </c>
      <c r="Q95" s="42">
        <f>ROUND(M95+N95-O95-P95,2)</f>
        <v/>
      </c>
      <c r="R95">
        <f>L95-P95</f>
        <v/>
      </c>
      <c r="S95" s="42">
        <f>W94</f>
        <v/>
      </c>
      <c r="T95" s="42">
        <f>ROUND(S95*T$6/12,2)</f>
        <v/>
      </c>
      <c r="U95" s="42">
        <f>MIN(U$6,S95+T95)</f>
        <v/>
      </c>
      <c r="V95" s="42">
        <f>MAX(0,MIN(S95+T95-U95,R95))</f>
        <v/>
      </c>
      <c r="W95" s="42">
        <f>ROUND(S95+T95-U95-V95,2)</f>
        <v/>
      </c>
      <c r="X95">
        <f>R95-V95</f>
        <v/>
      </c>
      <c r="Y95" s="42">
        <f>AC94</f>
        <v/>
      </c>
      <c r="Z95" s="42">
        <f>ROUND(Y95*Z$6/12,2)</f>
        <v/>
      </c>
      <c r="AA95" s="42">
        <f>MIN(AA$6,Y95+Z95)</f>
        <v/>
      </c>
      <c r="AB95" s="42">
        <f>MAX(0,MIN(Y95+Z95-AA95,X95))</f>
        <v/>
      </c>
      <c r="AC95" s="42">
        <f>ROUND(Y95+Z95-AA95-AB95,2)</f>
        <v/>
      </c>
      <c r="AD95">
        <f>X95-AB95</f>
        <v/>
      </c>
      <c r="AE95" s="42">
        <f>AI94</f>
        <v/>
      </c>
      <c r="AF95" s="42">
        <f>ROUND(AE95*AF$6/12,2)</f>
        <v/>
      </c>
      <c r="AG95" s="42">
        <f>MIN(AG$6,AE95+AF95)</f>
        <v/>
      </c>
      <c r="AH95" s="42">
        <f>MAX(0,MIN(AE95+AF95-AG95,AD95))</f>
        <v/>
      </c>
      <c r="AI95" s="42">
        <f>ROUND(AE95+AF95-AG95-AH95,2)</f>
        <v/>
      </c>
      <c r="AJ95">
        <f>AD95-AH95</f>
        <v/>
      </c>
      <c r="AK95" s="42">
        <f>AO94</f>
        <v/>
      </c>
      <c r="AL95" s="42">
        <f>ROUND(AK95*AL$6/12,2)</f>
        <v/>
      </c>
      <c r="AM95" s="42">
        <f>MIN(AM$6,AK95+AL95)</f>
        <v/>
      </c>
      <c r="AN95" s="42">
        <f>MAX(0,MIN(AK95+AL95-AM95,AJ95))</f>
        <v/>
      </c>
      <c r="AO95" s="42">
        <f>ROUND(AK95+AL95-AM95-AN95,2)</f>
        <v/>
      </c>
      <c r="AP95">
        <f>AJ95-AN95</f>
        <v/>
      </c>
      <c r="AQ95" s="42">
        <f>AU94</f>
        <v/>
      </c>
      <c r="AR95" s="42">
        <f>ROUND(AQ95*AR$6/12,2)</f>
        <v/>
      </c>
      <c r="AS95" s="42">
        <f>MIN(AS$6,AQ95+AR95)</f>
        <v/>
      </c>
      <c r="AT95" s="42">
        <f>MAX(0,MIN(AQ95+AR95-AS95,AP95))</f>
        <v/>
      </c>
      <c r="AU95" s="42">
        <f>ROUND(AQ95+AR95-AS95-AT95,2)</f>
        <v/>
      </c>
      <c r="AV95">
        <f>AP95-AT95</f>
        <v/>
      </c>
      <c r="AW95" s="42">
        <f>BA94</f>
        <v/>
      </c>
      <c r="AX95" s="42">
        <f>ROUND(AW95*AX$6/12,2)</f>
        <v/>
      </c>
      <c r="AY95" s="42">
        <f>MIN(AY$6,AW95+AX95)</f>
        <v/>
      </c>
      <c r="AZ95" s="42">
        <f>MAX(0,MIN(AW95+AX95-AY95,AV95))</f>
        <v/>
      </c>
      <c r="BA95" s="42">
        <f>ROUND(AW95+AX95-AY95-AZ95,2)</f>
        <v/>
      </c>
      <c r="BB95">
        <f>AV95-AZ95</f>
        <v/>
      </c>
      <c r="BC95" s="42">
        <f>BG94</f>
        <v/>
      </c>
      <c r="BD95" s="42">
        <f>ROUND(BC95*BD$6/12,2)</f>
        <v/>
      </c>
      <c r="BE95" s="42">
        <f>MIN(BE$6,BC95+BD95)</f>
        <v/>
      </c>
      <c r="BF95" s="42">
        <f>MAX(0,MIN(BC95+BD95-BE95,BB95))</f>
        <v/>
      </c>
      <c r="BG95" s="42">
        <f>ROUND(BC95+BD95-BE95-BF95,2)</f>
        <v/>
      </c>
      <c r="BH95">
        <f>BB95-BF95</f>
        <v/>
      </c>
      <c r="BI95" s="42">
        <f>BM94</f>
        <v/>
      </c>
      <c r="BJ95" s="42">
        <f>ROUND(BI95*BJ$6/12,2)</f>
        <v/>
      </c>
      <c r="BK95" s="42">
        <f>MIN(BK$6,BI95+BJ95)</f>
        <v/>
      </c>
      <c r="BL95" s="42">
        <f>MAX(0,MIN(BI95+BJ95-BK95,BH95))</f>
        <v/>
      </c>
      <c r="BM95" s="42">
        <f>ROUND(BI95+BJ95-BK95-BL95,2)</f>
        <v/>
      </c>
      <c r="BN95">
        <f>BH95-BL95</f>
        <v/>
      </c>
    </row>
    <row r="96">
      <c r="A96" s="39" t="n">
        <v>89</v>
      </c>
      <c r="B96" s="40">
        <f>EDATE('My Debts'!$C$6,A96-1)</f>
        <v/>
      </c>
      <c r="C96" s="41">
        <f>K96+Q96+W96+AC96+AI96+AO96+AU96+BA96+BG96+BM96</f>
        <v/>
      </c>
      <c r="D96" s="42">
        <f>I96+O96+U96+AA96+AG96+AM96+AS96+AY96+BE96+BK96+J96+P96+V96+AB96+AH96+AN96+AT96+AZ96+BF96+BL96</f>
        <v/>
      </c>
      <c r="E96" s="42">
        <f>H96+N96+T96+Z96+AF96+AL96+AR96+AX96+BD96+BJ96</f>
        <v/>
      </c>
      <c r="F96">
        <f>MAX(0,'My Debts'!$E$21-(I96+O96+U96+AA96+AG96+AM96+AS96+AY96+BE96+BK96))</f>
        <v/>
      </c>
      <c r="G96" s="42">
        <f>K95</f>
        <v/>
      </c>
      <c r="H96" s="42">
        <f>ROUND(G96*H$6/12,2)</f>
        <v/>
      </c>
      <c r="I96" s="42">
        <f>MIN(I$6,G96+H96)</f>
        <v/>
      </c>
      <c r="J96" s="42">
        <f>MAX(0,MIN(G96+H96-I96,$F96))</f>
        <v/>
      </c>
      <c r="K96" s="42">
        <f>ROUND(G96+H96-I96-J96,2)</f>
        <v/>
      </c>
      <c r="L96">
        <f>$F96-J96</f>
        <v/>
      </c>
      <c r="M96" s="42">
        <f>Q95</f>
        <v/>
      </c>
      <c r="N96" s="42">
        <f>ROUND(M96*N$6/12,2)</f>
        <v/>
      </c>
      <c r="O96" s="42">
        <f>MIN(O$6,M96+N96)</f>
        <v/>
      </c>
      <c r="P96" s="42">
        <f>MAX(0,MIN(M96+N96-O96,L96))</f>
        <v/>
      </c>
      <c r="Q96" s="42">
        <f>ROUND(M96+N96-O96-P96,2)</f>
        <v/>
      </c>
      <c r="R96">
        <f>L96-P96</f>
        <v/>
      </c>
      <c r="S96" s="42">
        <f>W95</f>
        <v/>
      </c>
      <c r="T96" s="42">
        <f>ROUND(S96*T$6/12,2)</f>
        <v/>
      </c>
      <c r="U96" s="42">
        <f>MIN(U$6,S96+T96)</f>
        <v/>
      </c>
      <c r="V96" s="42">
        <f>MAX(0,MIN(S96+T96-U96,R96))</f>
        <v/>
      </c>
      <c r="W96" s="42">
        <f>ROUND(S96+T96-U96-V96,2)</f>
        <v/>
      </c>
      <c r="X96">
        <f>R96-V96</f>
        <v/>
      </c>
      <c r="Y96" s="42">
        <f>AC95</f>
        <v/>
      </c>
      <c r="Z96" s="42">
        <f>ROUND(Y96*Z$6/12,2)</f>
        <v/>
      </c>
      <c r="AA96" s="42">
        <f>MIN(AA$6,Y96+Z96)</f>
        <v/>
      </c>
      <c r="AB96" s="42">
        <f>MAX(0,MIN(Y96+Z96-AA96,X96))</f>
        <v/>
      </c>
      <c r="AC96" s="42">
        <f>ROUND(Y96+Z96-AA96-AB96,2)</f>
        <v/>
      </c>
      <c r="AD96">
        <f>X96-AB96</f>
        <v/>
      </c>
      <c r="AE96" s="42">
        <f>AI95</f>
        <v/>
      </c>
      <c r="AF96" s="42">
        <f>ROUND(AE96*AF$6/12,2)</f>
        <v/>
      </c>
      <c r="AG96" s="42">
        <f>MIN(AG$6,AE96+AF96)</f>
        <v/>
      </c>
      <c r="AH96" s="42">
        <f>MAX(0,MIN(AE96+AF96-AG96,AD96))</f>
        <v/>
      </c>
      <c r="AI96" s="42">
        <f>ROUND(AE96+AF96-AG96-AH96,2)</f>
        <v/>
      </c>
      <c r="AJ96">
        <f>AD96-AH96</f>
        <v/>
      </c>
      <c r="AK96" s="42">
        <f>AO95</f>
        <v/>
      </c>
      <c r="AL96" s="42">
        <f>ROUND(AK96*AL$6/12,2)</f>
        <v/>
      </c>
      <c r="AM96" s="42">
        <f>MIN(AM$6,AK96+AL96)</f>
        <v/>
      </c>
      <c r="AN96" s="42">
        <f>MAX(0,MIN(AK96+AL96-AM96,AJ96))</f>
        <v/>
      </c>
      <c r="AO96" s="42">
        <f>ROUND(AK96+AL96-AM96-AN96,2)</f>
        <v/>
      </c>
      <c r="AP96">
        <f>AJ96-AN96</f>
        <v/>
      </c>
      <c r="AQ96" s="42">
        <f>AU95</f>
        <v/>
      </c>
      <c r="AR96" s="42">
        <f>ROUND(AQ96*AR$6/12,2)</f>
        <v/>
      </c>
      <c r="AS96" s="42">
        <f>MIN(AS$6,AQ96+AR96)</f>
        <v/>
      </c>
      <c r="AT96" s="42">
        <f>MAX(0,MIN(AQ96+AR96-AS96,AP96))</f>
        <v/>
      </c>
      <c r="AU96" s="42">
        <f>ROUND(AQ96+AR96-AS96-AT96,2)</f>
        <v/>
      </c>
      <c r="AV96">
        <f>AP96-AT96</f>
        <v/>
      </c>
      <c r="AW96" s="42">
        <f>BA95</f>
        <v/>
      </c>
      <c r="AX96" s="42">
        <f>ROUND(AW96*AX$6/12,2)</f>
        <v/>
      </c>
      <c r="AY96" s="42">
        <f>MIN(AY$6,AW96+AX96)</f>
        <v/>
      </c>
      <c r="AZ96" s="42">
        <f>MAX(0,MIN(AW96+AX96-AY96,AV96))</f>
        <v/>
      </c>
      <c r="BA96" s="42">
        <f>ROUND(AW96+AX96-AY96-AZ96,2)</f>
        <v/>
      </c>
      <c r="BB96">
        <f>AV96-AZ96</f>
        <v/>
      </c>
      <c r="BC96" s="42">
        <f>BG95</f>
        <v/>
      </c>
      <c r="BD96" s="42">
        <f>ROUND(BC96*BD$6/12,2)</f>
        <v/>
      </c>
      <c r="BE96" s="42">
        <f>MIN(BE$6,BC96+BD96)</f>
        <v/>
      </c>
      <c r="BF96" s="42">
        <f>MAX(0,MIN(BC96+BD96-BE96,BB96))</f>
        <v/>
      </c>
      <c r="BG96" s="42">
        <f>ROUND(BC96+BD96-BE96-BF96,2)</f>
        <v/>
      </c>
      <c r="BH96">
        <f>BB96-BF96</f>
        <v/>
      </c>
      <c r="BI96" s="42">
        <f>BM95</f>
        <v/>
      </c>
      <c r="BJ96" s="42">
        <f>ROUND(BI96*BJ$6/12,2)</f>
        <v/>
      </c>
      <c r="BK96" s="42">
        <f>MIN(BK$6,BI96+BJ96)</f>
        <v/>
      </c>
      <c r="BL96" s="42">
        <f>MAX(0,MIN(BI96+BJ96-BK96,BH96))</f>
        <v/>
      </c>
      <c r="BM96" s="42">
        <f>ROUND(BI96+BJ96-BK96-BL96,2)</f>
        <v/>
      </c>
      <c r="BN96">
        <f>BH96-BL96</f>
        <v/>
      </c>
    </row>
    <row r="97">
      <c r="A97" s="43" t="n">
        <v>90</v>
      </c>
      <c r="B97" s="44">
        <f>EDATE('My Debts'!$C$6,A97-1)</f>
        <v/>
      </c>
      <c r="C97" s="45">
        <f>K97+Q97+W97+AC97+AI97+AO97+AU97+BA97+BG97+BM97</f>
        <v/>
      </c>
      <c r="D97" s="46">
        <f>I97+O97+U97+AA97+AG97+AM97+AS97+AY97+BE97+BK97+J97+P97+V97+AB97+AH97+AN97+AT97+AZ97+BF97+BL97</f>
        <v/>
      </c>
      <c r="E97" s="46">
        <f>H97+N97+T97+Z97+AF97+AL97+AR97+AX97+BD97+BJ97</f>
        <v/>
      </c>
      <c r="F97">
        <f>MAX(0,'My Debts'!$E$21-(I97+O97+U97+AA97+AG97+AM97+AS97+AY97+BE97+BK97))</f>
        <v/>
      </c>
      <c r="G97" s="42">
        <f>K96</f>
        <v/>
      </c>
      <c r="H97" s="42">
        <f>ROUND(G97*H$6/12,2)</f>
        <v/>
      </c>
      <c r="I97" s="42">
        <f>MIN(I$6,G97+H97)</f>
        <v/>
      </c>
      <c r="J97" s="42">
        <f>MAX(0,MIN(G97+H97-I97,$F97))</f>
        <v/>
      </c>
      <c r="K97" s="42">
        <f>ROUND(G97+H97-I97-J97,2)</f>
        <v/>
      </c>
      <c r="L97">
        <f>$F97-J97</f>
        <v/>
      </c>
      <c r="M97" s="42">
        <f>Q96</f>
        <v/>
      </c>
      <c r="N97" s="42">
        <f>ROUND(M97*N$6/12,2)</f>
        <v/>
      </c>
      <c r="O97" s="42">
        <f>MIN(O$6,M97+N97)</f>
        <v/>
      </c>
      <c r="P97" s="42">
        <f>MAX(0,MIN(M97+N97-O97,L97))</f>
        <v/>
      </c>
      <c r="Q97" s="42">
        <f>ROUND(M97+N97-O97-P97,2)</f>
        <v/>
      </c>
      <c r="R97">
        <f>L97-P97</f>
        <v/>
      </c>
      <c r="S97" s="42">
        <f>W96</f>
        <v/>
      </c>
      <c r="T97" s="42">
        <f>ROUND(S97*T$6/12,2)</f>
        <v/>
      </c>
      <c r="U97" s="42">
        <f>MIN(U$6,S97+T97)</f>
        <v/>
      </c>
      <c r="V97" s="42">
        <f>MAX(0,MIN(S97+T97-U97,R97))</f>
        <v/>
      </c>
      <c r="W97" s="42">
        <f>ROUND(S97+T97-U97-V97,2)</f>
        <v/>
      </c>
      <c r="X97">
        <f>R97-V97</f>
        <v/>
      </c>
      <c r="Y97" s="42">
        <f>AC96</f>
        <v/>
      </c>
      <c r="Z97" s="42">
        <f>ROUND(Y97*Z$6/12,2)</f>
        <v/>
      </c>
      <c r="AA97" s="42">
        <f>MIN(AA$6,Y97+Z97)</f>
        <v/>
      </c>
      <c r="AB97" s="42">
        <f>MAX(0,MIN(Y97+Z97-AA97,X97))</f>
        <v/>
      </c>
      <c r="AC97" s="42">
        <f>ROUND(Y97+Z97-AA97-AB97,2)</f>
        <v/>
      </c>
      <c r="AD97">
        <f>X97-AB97</f>
        <v/>
      </c>
      <c r="AE97" s="42">
        <f>AI96</f>
        <v/>
      </c>
      <c r="AF97" s="42">
        <f>ROUND(AE97*AF$6/12,2)</f>
        <v/>
      </c>
      <c r="AG97" s="42">
        <f>MIN(AG$6,AE97+AF97)</f>
        <v/>
      </c>
      <c r="AH97" s="42">
        <f>MAX(0,MIN(AE97+AF97-AG97,AD97))</f>
        <v/>
      </c>
      <c r="AI97" s="42">
        <f>ROUND(AE97+AF97-AG97-AH97,2)</f>
        <v/>
      </c>
      <c r="AJ97">
        <f>AD97-AH97</f>
        <v/>
      </c>
      <c r="AK97" s="42">
        <f>AO96</f>
        <v/>
      </c>
      <c r="AL97" s="42">
        <f>ROUND(AK97*AL$6/12,2)</f>
        <v/>
      </c>
      <c r="AM97" s="42">
        <f>MIN(AM$6,AK97+AL97)</f>
        <v/>
      </c>
      <c r="AN97" s="42">
        <f>MAX(0,MIN(AK97+AL97-AM97,AJ97))</f>
        <v/>
      </c>
      <c r="AO97" s="42">
        <f>ROUND(AK97+AL97-AM97-AN97,2)</f>
        <v/>
      </c>
      <c r="AP97">
        <f>AJ97-AN97</f>
        <v/>
      </c>
      <c r="AQ97" s="42">
        <f>AU96</f>
        <v/>
      </c>
      <c r="AR97" s="42">
        <f>ROUND(AQ97*AR$6/12,2)</f>
        <v/>
      </c>
      <c r="AS97" s="42">
        <f>MIN(AS$6,AQ97+AR97)</f>
        <v/>
      </c>
      <c r="AT97" s="42">
        <f>MAX(0,MIN(AQ97+AR97-AS97,AP97))</f>
        <v/>
      </c>
      <c r="AU97" s="42">
        <f>ROUND(AQ97+AR97-AS97-AT97,2)</f>
        <v/>
      </c>
      <c r="AV97">
        <f>AP97-AT97</f>
        <v/>
      </c>
      <c r="AW97" s="42">
        <f>BA96</f>
        <v/>
      </c>
      <c r="AX97" s="42">
        <f>ROUND(AW97*AX$6/12,2)</f>
        <v/>
      </c>
      <c r="AY97" s="42">
        <f>MIN(AY$6,AW97+AX97)</f>
        <v/>
      </c>
      <c r="AZ97" s="42">
        <f>MAX(0,MIN(AW97+AX97-AY97,AV97))</f>
        <v/>
      </c>
      <c r="BA97" s="42">
        <f>ROUND(AW97+AX97-AY97-AZ97,2)</f>
        <v/>
      </c>
      <c r="BB97">
        <f>AV97-AZ97</f>
        <v/>
      </c>
      <c r="BC97" s="42">
        <f>BG96</f>
        <v/>
      </c>
      <c r="BD97" s="42">
        <f>ROUND(BC97*BD$6/12,2)</f>
        <v/>
      </c>
      <c r="BE97" s="42">
        <f>MIN(BE$6,BC97+BD97)</f>
        <v/>
      </c>
      <c r="BF97" s="42">
        <f>MAX(0,MIN(BC97+BD97-BE97,BB97))</f>
        <v/>
      </c>
      <c r="BG97" s="42">
        <f>ROUND(BC97+BD97-BE97-BF97,2)</f>
        <v/>
      </c>
      <c r="BH97">
        <f>BB97-BF97</f>
        <v/>
      </c>
      <c r="BI97" s="42">
        <f>BM96</f>
        <v/>
      </c>
      <c r="BJ97" s="42">
        <f>ROUND(BI97*BJ$6/12,2)</f>
        <v/>
      </c>
      <c r="BK97" s="42">
        <f>MIN(BK$6,BI97+BJ97)</f>
        <v/>
      </c>
      <c r="BL97" s="42">
        <f>MAX(0,MIN(BI97+BJ97-BK97,BH97))</f>
        <v/>
      </c>
      <c r="BM97" s="42">
        <f>ROUND(BI97+BJ97-BK97-BL97,2)</f>
        <v/>
      </c>
      <c r="BN97">
        <f>BH97-BL97</f>
        <v/>
      </c>
    </row>
    <row r="98">
      <c r="A98" s="39" t="n">
        <v>91</v>
      </c>
      <c r="B98" s="40">
        <f>EDATE('My Debts'!$C$6,A98-1)</f>
        <v/>
      </c>
      <c r="C98" s="41">
        <f>K98+Q98+W98+AC98+AI98+AO98+AU98+BA98+BG98+BM98</f>
        <v/>
      </c>
      <c r="D98" s="42">
        <f>I98+O98+U98+AA98+AG98+AM98+AS98+AY98+BE98+BK98+J98+P98+V98+AB98+AH98+AN98+AT98+AZ98+BF98+BL98</f>
        <v/>
      </c>
      <c r="E98" s="42">
        <f>H98+N98+T98+Z98+AF98+AL98+AR98+AX98+BD98+BJ98</f>
        <v/>
      </c>
      <c r="F98">
        <f>MAX(0,'My Debts'!$E$21-(I98+O98+U98+AA98+AG98+AM98+AS98+AY98+BE98+BK98))</f>
        <v/>
      </c>
      <c r="G98" s="42">
        <f>K97</f>
        <v/>
      </c>
      <c r="H98" s="42">
        <f>ROUND(G98*H$6/12,2)</f>
        <v/>
      </c>
      <c r="I98" s="42">
        <f>MIN(I$6,G98+H98)</f>
        <v/>
      </c>
      <c r="J98" s="42">
        <f>MAX(0,MIN(G98+H98-I98,$F98))</f>
        <v/>
      </c>
      <c r="K98" s="42">
        <f>ROUND(G98+H98-I98-J98,2)</f>
        <v/>
      </c>
      <c r="L98">
        <f>$F98-J98</f>
        <v/>
      </c>
      <c r="M98" s="42">
        <f>Q97</f>
        <v/>
      </c>
      <c r="N98" s="42">
        <f>ROUND(M98*N$6/12,2)</f>
        <v/>
      </c>
      <c r="O98" s="42">
        <f>MIN(O$6,M98+N98)</f>
        <v/>
      </c>
      <c r="P98" s="42">
        <f>MAX(0,MIN(M98+N98-O98,L98))</f>
        <v/>
      </c>
      <c r="Q98" s="42">
        <f>ROUND(M98+N98-O98-P98,2)</f>
        <v/>
      </c>
      <c r="R98">
        <f>L98-P98</f>
        <v/>
      </c>
      <c r="S98" s="42">
        <f>W97</f>
        <v/>
      </c>
      <c r="T98" s="42">
        <f>ROUND(S98*T$6/12,2)</f>
        <v/>
      </c>
      <c r="U98" s="42">
        <f>MIN(U$6,S98+T98)</f>
        <v/>
      </c>
      <c r="V98" s="42">
        <f>MAX(0,MIN(S98+T98-U98,R98))</f>
        <v/>
      </c>
      <c r="W98" s="42">
        <f>ROUND(S98+T98-U98-V98,2)</f>
        <v/>
      </c>
      <c r="X98">
        <f>R98-V98</f>
        <v/>
      </c>
      <c r="Y98" s="42">
        <f>AC97</f>
        <v/>
      </c>
      <c r="Z98" s="42">
        <f>ROUND(Y98*Z$6/12,2)</f>
        <v/>
      </c>
      <c r="AA98" s="42">
        <f>MIN(AA$6,Y98+Z98)</f>
        <v/>
      </c>
      <c r="AB98" s="42">
        <f>MAX(0,MIN(Y98+Z98-AA98,X98))</f>
        <v/>
      </c>
      <c r="AC98" s="42">
        <f>ROUND(Y98+Z98-AA98-AB98,2)</f>
        <v/>
      </c>
      <c r="AD98">
        <f>X98-AB98</f>
        <v/>
      </c>
      <c r="AE98" s="42">
        <f>AI97</f>
        <v/>
      </c>
      <c r="AF98" s="42">
        <f>ROUND(AE98*AF$6/12,2)</f>
        <v/>
      </c>
      <c r="AG98" s="42">
        <f>MIN(AG$6,AE98+AF98)</f>
        <v/>
      </c>
      <c r="AH98" s="42">
        <f>MAX(0,MIN(AE98+AF98-AG98,AD98))</f>
        <v/>
      </c>
      <c r="AI98" s="42">
        <f>ROUND(AE98+AF98-AG98-AH98,2)</f>
        <v/>
      </c>
      <c r="AJ98">
        <f>AD98-AH98</f>
        <v/>
      </c>
      <c r="AK98" s="42">
        <f>AO97</f>
        <v/>
      </c>
      <c r="AL98" s="42">
        <f>ROUND(AK98*AL$6/12,2)</f>
        <v/>
      </c>
      <c r="AM98" s="42">
        <f>MIN(AM$6,AK98+AL98)</f>
        <v/>
      </c>
      <c r="AN98" s="42">
        <f>MAX(0,MIN(AK98+AL98-AM98,AJ98))</f>
        <v/>
      </c>
      <c r="AO98" s="42">
        <f>ROUND(AK98+AL98-AM98-AN98,2)</f>
        <v/>
      </c>
      <c r="AP98">
        <f>AJ98-AN98</f>
        <v/>
      </c>
      <c r="AQ98" s="42">
        <f>AU97</f>
        <v/>
      </c>
      <c r="AR98" s="42">
        <f>ROUND(AQ98*AR$6/12,2)</f>
        <v/>
      </c>
      <c r="AS98" s="42">
        <f>MIN(AS$6,AQ98+AR98)</f>
        <v/>
      </c>
      <c r="AT98" s="42">
        <f>MAX(0,MIN(AQ98+AR98-AS98,AP98))</f>
        <v/>
      </c>
      <c r="AU98" s="42">
        <f>ROUND(AQ98+AR98-AS98-AT98,2)</f>
        <v/>
      </c>
      <c r="AV98">
        <f>AP98-AT98</f>
        <v/>
      </c>
      <c r="AW98" s="42">
        <f>BA97</f>
        <v/>
      </c>
      <c r="AX98" s="42">
        <f>ROUND(AW98*AX$6/12,2)</f>
        <v/>
      </c>
      <c r="AY98" s="42">
        <f>MIN(AY$6,AW98+AX98)</f>
        <v/>
      </c>
      <c r="AZ98" s="42">
        <f>MAX(0,MIN(AW98+AX98-AY98,AV98))</f>
        <v/>
      </c>
      <c r="BA98" s="42">
        <f>ROUND(AW98+AX98-AY98-AZ98,2)</f>
        <v/>
      </c>
      <c r="BB98">
        <f>AV98-AZ98</f>
        <v/>
      </c>
      <c r="BC98" s="42">
        <f>BG97</f>
        <v/>
      </c>
      <c r="BD98" s="42">
        <f>ROUND(BC98*BD$6/12,2)</f>
        <v/>
      </c>
      <c r="BE98" s="42">
        <f>MIN(BE$6,BC98+BD98)</f>
        <v/>
      </c>
      <c r="BF98" s="42">
        <f>MAX(0,MIN(BC98+BD98-BE98,BB98))</f>
        <v/>
      </c>
      <c r="BG98" s="42">
        <f>ROUND(BC98+BD98-BE98-BF98,2)</f>
        <v/>
      </c>
      <c r="BH98">
        <f>BB98-BF98</f>
        <v/>
      </c>
      <c r="BI98" s="42">
        <f>BM97</f>
        <v/>
      </c>
      <c r="BJ98" s="42">
        <f>ROUND(BI98*BJ$6/12,2)</f>
        <v/>
      </c>
      <c r="BK98" s="42">
        <f>MIN(BK$6,BI98+BJ98)</f>
        <v/>
      </c>
      <c r="BL98" s="42">
        <f>MAX(0,MIN(BI98+BJ98-BK98,BH98))</f>
        <v/>
      </c>
      <c r="BM98" s="42">
        <f>ROUND(BI98+BJ98-BK98-BL98,2)</f>
        <v/>
      </c>
      <c r="BN98">
        <f>BH98-BL98</f>
        <v/>
      </c>
    </row>
    <row r="99">
      <c r="A99" s="43" t="n">
        <v>92</v>
      </c>
      <c r="B99" s="44">
        <f>EDATE('My Debts'!$C$6,A99-1)</f>
        <v/>
      </c>
      <c r="C99" s="45">
        <f>K99+Q99+W99+AC99+AI99+AO99+AU99+BA99+BG99+BM99</f>
        <v/>
      </c>
      <c r="D99" s="46">
        <f>I99+O99+U99+AA99+AG99+AM99+AS99+AY99+BE99+BK99+J99+P99+V99+AB99+AH99+AN99+AT99+AZ99+BF99+BL99</f>
        <v/>
      </c>
      <c r="E99" s="46">
        <f>H99+N99+T99+Z99+AF99+AL99+AR99+AX99+BD99+BJ99</f>
        <v/>
      </c>
      <c r="F99">
        <f>MAX(0,'My Debts'!$E$21-(I99+O99+U99+AA99+AG99+AM99+AS99+AY99+BE99+BK99))</f>
        <v/>
      </c>
      <c r="G99" s="42">
        <f>K98</f>
        <v/>
      </c>
      <c r="H99" s="42">
        <f>ROUND(G99*H$6/12,2)</f>
        <v/>
      </c>
      <c r="I99" s="42">
        <f>MIN(I$6,G99+H99)</f>
        <v/>
      </c>
      <c r="J99" s="42">
        <f>MAX(0,MIN(G99+H99-I99,$F99))</f>
        <v/>
      </c>
      <c r="K99" s="42">
        <f>ROUND(G99+H99-I99-J99,2)</f>
        <v/>
      </c>
      <c r="L99">
        <f>$F99-J99</f>
        <v/>
      </c>
      <c r="M99" s="42">
        <f>Q98</f>
        <v/>
      </c>
      <c r="N99" s="42">
        <f>ROUND(M99*N$6/12,2)</f>
        <v/>
      </c>
      <c r="O99" s="42">
        <f>MIN(O$6,M99+N99)</f>
        <v/>
      </c>
      <c r="P99" s="42">
        <f>MAX(0,MIN(M99+N99-O99,L99))</f>
        <v/>
      </c>
      <c r="Q99" s="42">
        <f>ROUND(M99+N99-O99-P99,2)</f>
        <v/>
      </c>
      <c r="R99">
        <f>L99-P99</f>
        <v/>
      </c>
      <c r="S99" s="42">
        <f>W98</f>
        <v/>
      </c>
      <c r="T99" s="42">
        <f>ROUND(S99*T$6/12,2)</f>
        <v/>
      </c>
      <c r="U99" s="42">
        <f>MIN(U$6,S99+T99)</f>
        <v/>
      </c>
      <c r="V99" s="42">
        <f>MAX(0,MIN(S99+T99-U99,R99))</f>
        <v/>
      </c>
      <c r="W99" s="42">
        <f>ROUND(S99+T99-U99-V99,2)</f>
        <v/>
      </c>
      <c r="X99">
        <f>R99-V99</f>
        <v/>
      </c>
      <c r="Y99" s="42">
        <f>AC98</f>
        <v/>
      </c>
      <c r="Z99" s="42">
        <f>ROUND(Y99*Z$6/12,2)</f>
        <v/>
      </c>
      <c r="AA99" s="42">
        <f>MIN(AA$6,Y99+Z99)</f>
        <v/>
      </c>
      <c r="AB99" s="42">
        <f>MAX(0,MIN(Y99+Z99-AA99,X99))</f>
        <v/>
      </c>
      <c r="AC99" s="42">
        <f>ROUND(Y99+Z99-AA99-AB99,2)</f>
        <v/>
      </c>
      <c r="AD99">
        <f>X99-AB99</f>
        <v/>
      </c>
      <c r="AE99" s="42">
        <f>AI98</f>
        <v/>
      </c>
      <c r="AF99" s="42">
        <f>ROUND(AE99*AF$6/12,2)</f>
        <v/>
      </c>
      <c r="AG99" s="42">
        <f>MIN(AG$6,AE99+AF99)</f>
        <v/>
      </c>
      <c r="AH99" s="42">
        <f>MAX(0,MIN(AE99+AF99-AG99,AD99))</f>
        <v/>
      </c>
      <c r="AI99" s="42">
        <f>ROUND(AE99+AF99-AG99-AH99,2)</f>
        <v/>
      </c>
      <c r="AJ99">
        <f>AD99-AH99</f>
        <v/>
      </c>
      <c r="AK99" s="42">
        <f>AO98</f>
        <v/>
      </c>
      <c r="AL99" s="42">
        <f>ROUND(AK99*AL$6/12,2)</f>
        <v/>
      </c>
      <c r="AM99" s="42">
        <f>MIN(AM$6,AK99+AL99)</f>
        <v/>
      </c>
      <c r="AN99" s="42">
        <f>MAX(0,MIN(AK99+AL99-AM99,AJ99))</f>
        <v/>
      </c>
      <c r="AO99" s="42">
        <f>ROUND(AK99+AL99-AM99-AN99,2)</f>
        <v/>
      </c>
      <c r="AP99">
        <f>AJ99-AN99</f>
        <v/>
      </c>
      <c r="AQ99" s="42">
        <f>AU98</f>
        <v/>
      </c>
      <c r="AR99" s="42">
        <f>ROUND(AQ99*AR$6/12,2)</f>
        <v/>
      </c>
      <c r="AS99" s="42">
        <f>MIN(AS$6,AQ99+AR99)</f>
        <v/>
      </c>
      <c r="AT99" s="42">
        <f>MAX(0,MIN(AQ99+AR99-AS99,AP99))</f>
        <v/>
      </c>
      <c r="AU99" s="42">
        <f>ROUND(AQ99+AR99-AS99-AT99,2)</f>
        <v/>
      </c>
      <c r="AV99">
        <f>AP99-AT99</f>
        <v/>
      </c>
      <c r="AW99" s="42">
        <f>BA98</f>
        <v/>
      </c>
      <c r="AX99" s="42">
        <f>ROUND(AW99*AX$6/12,2)</f>
        <v/>
      </c>
      <c r="AY99" s="42">
        <f>MIN(AY$6,AW99+AX99)</f>
        <v/>
      </c>
      <c r="AZ99" s="42">
        <f>MAX(0,MIN(AW99+AX99-AY99,AV99))</f>
        <v/>
      </c>
      <c r="BA99" s="42">
        <f>ROUND(AW99+AX99-AY99-AZ99,2)</f>
        <v/>
      </c>
      <c r="BB99">
        <f>AV99-AZ99</f>
        <v/>
      </c>
      <c r="BC99" s="42">
        <f>BG98</f>
        <v/>
      </c>
      <c r="BD99" s="42">
        <f>ROUND(BC99*BD$6/12,2)</f>
        <v/>
      </c>
      <c r="BE99" s="42">
        <f>MIN(BE$6,BC99+BD99)</f>
        <v/>
      </c>
      <c r="BF99" s="42">
        <f>MAX(0,MIN(BC99+BD99-BE99,BB99))</f>
        <v/>
      </c>
      <c r="BG99" s="42">
        <f>ROUND(BC99+BD99-BE99-BF99,2)</f>
        <v/>
      </c>
      <c r="BH99">
        <f>BB99-BF99</f>
        <v/>
      </c>
      <c r="BI99" s="42">
        <f>BM98</f>
        <v/>
      </c>
      <c r="BJ99" s="42">
        <f>ROUND(BI99*BJ$6/12,2)</f>
        <v/>
      </c>
      <c r="BK99" s="42">
        <f>MIN(BK$6,BI99+BJ99)</f>
        <v/>
      </c>
      <c r="BL99" s="42">
        <f>MAX(0,MIN(BI99+BJ99-BK99,BH99))</f>
        <v/>
      </c>
      <c r="BM99" s="42">
        <f>ROUND(BI99+BJ99-BK99-BL99,2)</f>
        <v/>
      </c>
      <c r="BN99">
        <f>BH99-BL99</f>
        <v/>
      </c>
    </row>
    <row r="100">
      <c r="A100" s="39" t="n">
        <v>93</v>
      </c>
      <c r="B100" s="40">
        <f>EDATE('My Debts'!$C$6,A100-1)</f>
        <v/>
      </c>
      <c r="C100" s="41">
        <f>K100+Q100+W100+AC100+AI100+AO100+AU100+BA100+BG100+BM100</f>
        <v/>
      </c>
      <c r="D100" s="42">
        <f>I100+O100+U100+AA100+AG100+AM100+AS100+AY100+BE100+BK100+J100+P100+V100+AB100+AH100+AN100+AT100+AZ100+BF100+BL100</f>
        <v/>
      </c>
      <c r="E100" s="42">
        <f>H100+N100+T100+Z100+AF100+AL100+AR100+AX100+BD100+BJ100</f>
        <v/>
      </c>
      <c r="F100">
        <f>MAX(0,'My Debts'!$E$21-(I100+O100+U100+AA100+AG100+AM100+AS100+AY100+BE100+BK100))</f>
        <v/>
      </c>
      <c r="G100" s="42">
        <f>K99</f>
        <v/>
      </c>
      <c r="H100" s="42">
        <f>ROUND(G100*H$6/12,2)</f>
        <v/>
      </c>
      <c r="I100" s="42">
        <f>MIN(I$6,G100+H100)</f>
        <v/>
      </c>
      <c r="J100" s="42">
        <f>MAX(0,MIN(G100+H100-I100,$F100))</f>
        <v/>
      </c>
      <c r="K100" s="42">
        <f>ROUND(G100+H100-I100-J100,2)</f>
        <v/>
      </c>
      <c r="L100">
        <f>$F100-J100</f>
        <v/>
      </c>
      <c r="M100" s="42">
        <f>Q99</f>
        <v/>
      </c>
      <c r="N100" s="42">
        <f>ROUND(M100*N$6/12,2)</f>
        <v/>
      </c>
      <c r="O100" s="42">
        <f>MIN(O$6,M100+N100)</f>
        <v/>
      </c>
      <c r="P100" s="42">
        <f>MAX(0,MIN(M100+N100-O100,L100))</f>
        <v/>
      </c>
      <c r="Q100" s="42">
        <f>ROUND(M100+N100-O100-P100,2)</f>
        <v/>
      </c>
      <c r="R100">
        <f>L100-P100</f>
        <v/>
      </c>
      <c r="S100" s="42">
        <f>W99</f>
        <v/>
      </c>
      <c r="T100" s="42">
        <f>ROUND(S100*T$6/12,2)</f>
        <v/>
      </c>
      <c r="U100" s="42">
        <f>MIN(U$6,S100+T100)</f>
        <v/>
      </c>
      <c r="V100" s="42">
        <f>MAX(0,MIN(S100+T100-U100,R100))</f>
        <v/>
      </c>
      <c r="W100" s="42">
        <f>ROUND(S100+T100-U100-V100,2)</f>
        <v/>
      </c>
      <c r="X100">
        <f>R100-V100</f>
        <v/>
      </c>
      <c r="Y100" s="42">
        <f>AC99</f>
        <v/>
      </c>
      <c r="Z100" s="42">
        <f>ROUND(Y100*Z$6/12,2)</f>
        <v/>
      </c>
      <c r="AA100" s="42">
        <f>MIN(AA$6,Y100+Z100)</f>
        <v/>
      </c>
      <c r="AB100" s="42">
        <f>MAX(0,MIN(Y100+Z100-AA100,X100))</f>
        <v/>
      </c>
      <c r="AC100" s="42">
        <f>ROUND(Y100+Z100-AA100-AB100,2)</f>
        <v/>
      </c>
      <c r="AD100">
        <f>X100-AB100</f>
        <v/>
      </c>
      <c r="AE100" s="42">
        <f>AI99</f>
        <v/>
      </c>
      <c r="AF100" s="42">
        <f>ROUND(AE100*AF$6/12,2)</f>
        <v/>
      </c>
      <c r="AG100" s="42">
        <f>MIN(AG$6,AE100+AF100)</f>
        <v/>
      </c>
      <c r="AH100" s="42">
        <f>MAX(0,MIN(AE100+AF100-AG100,AD100))</f>
        <v/>
      </c>
      <c r="AI100" s="42">
        <f>ROUND(AE100+AF100-AG100-AH100,2)</f>
        <v/>
      </c>
      <c r="AJ100">
        <f>AD100-AH100</f>
        <v/>
      </c>
      <c r="AK100" s="42">
        <f>AO99</f>
        <v/>
      </c>
      <c r="AL100" s="42">
        <f>ROUND(AK100*AL$6/12,2)</f>
        <v/>
      </c>
      <c r="AM100" s="42">
        <f>MIN(AM$6,AK100+AL100)</f>
        <v/>
      </c>
      <c r="AN100" s="42">
        <f>MAX(0,MIN(AK100+AL100-AM100,AJ100))</f>
        <v/>
      </c>
      <c r="AO100" s="42">
        <f>ROUND(AK100+AL100-AM100-AN100,2)</f>
        <v/>
      </c>
      <c r="AP100">
        <f>AJ100-AN100</f>
        <v/>
      </c>
      <c r="AQ100" s="42">
        <f>AU99</f>
        <v/>
      </c>
      <c r="AR100" s="42">
        <f>ROUND(AQ100*AR$6/12,2)</f>
        <v/>
      </c>
      <c r="AS100" s="42">
        <f>MIN(AS$6,AQ100+AR100)</f>
        <v/>
      </c>
      <c r="AT100" s="42">
        <f>MAX(0,MIN(AQ100+AR100-AS100,AP100))</f>
        <v/>
      </c>
      <c r="AU100" s="42">
        <f>ROUND(AQ100+AR100-AS100-AT100,2)</f>
        <v/>
      </c>
      <c r="AV100">
        <f>AP100-AT100</f>
        <v/>
      </c>
      <c r="AW100" s="42">
        <f>BA99</f>
        <v/>
      </c>
      <c r="AX100" s="42">
        <f>ROUND(AW100*AX$6/12,2)</f>
        <v/>
      </c>
      <c r="AY100" s="42">
        <f>MIN(AY$6,AW100+AX100)</f>
        <v/>
      </c>
      <c r="AZ100" s="42">
        <f>MAX(0,MIN(AW100+AX100-AY100,AV100))</f>
        <v/>
      </c>
      <c r="BA100" s="42">
        <f>ROUND(AW100+AX100-AY100-AZ100,2)</f>
        <v/>
      </c>
      <c r="BB100">
        <f>AV100-AZ100</f>
        <v/>
      </c>
      <c r="BC100" s="42">
        <f>BG99</f>
        <v/>
      </c>
      <c r="BD100" s="42">
        <f>ROUND(BC100*BD$6/12,2)</f>
        <v/>
      </c>
      <c r="BE100" s="42">
        <f>MIN(BE$6,BC100+BD100)</f>
        <v/>
      </c>
      <c r="BF100" s="42">
        <f>MAX(0,MIN(BC100+BD100-BE100,BB100))</f>
        <v/>
      </c>
      <c r="BG100" s="42">
        <f>ROUND(BC100+BD100-BE100-BF100,2)</f>
        <v/>
      </c>
      <c r="BH100">
        <f>BB100-BF100</f>
        <v/>
      </c>
      <c r="BI100" s="42">
        <f>BM99</f>
        <v/>
      </c>
      <c r="BJ100" s="42">
        <f>ROUND(BI100*BJ$6/12,2)</f>
        <v/>
      </c>
      <c r="BK100" s="42">
        <f>MIN(BK$6,BI100+BJ100)</f>
        <v/>
      </c>
      <c r="BL100" s="42">
        <f>MAX(0,MIN(BI100+BJ100-BK100,BH100))</f>
        <v/>
      </c>
      <c r="BM100" s="42">
        <f>ROUND(BI100+BJ100-BK100-BL100,2)</f>
        <v/>
      </c>
      <c r="BN100">
        <f>BH100-BL100</f>
        <v/>
      </c>
    </row>
    <row r="101">
      <c r="A101" s="43" t="n">
        <v>94</v>
      </c>
      <c r="B101" s="44">
        <f>EDATE('My Debts'!$C$6,A101-1)</f>
        <v/>
      </c>
      <c r="C101" s="45">
        <f>K101+Q101+W101+AC101+AI101+AO101+AU101+BA101+BG101+BM101</f>
        <v/>
      </c>
      <c r="D101" s="46">
        <f>I101+O101+U101+AA101+AG101+AM101+AS101+AY101+BE101+BK101+J101+P101+V101+AB101+AH101+AN101+AT101+AZ101+BF101+BL101</f>
        <v/>
      </c>
      <c r="E101" s="46">
        <f>H101+N101+T101+Z101+AF101+AL101+AR101+AX101+BD101+BJ101</f>
        <v/>
      </c>
      <c r="F101">
        <f>MAX(0,'My Debts'!$E$21-(I101+O101+U101+AA101+AG101+AM101+AS101+AY101+BE101+BK101))</f>
        <v/>
      </c>
      <c r="G101" s="42">
        <f>K100</f>
        <v/>
      </c>
      <c r="H101" s="42">
        <f>ROUND(G101*H$6/12,2)</f>
        <v/>
      </c>
      <c r="I101" s="42">
        <f>MIN(I$6,G101+H101)</f>
        <v/>
      </c>
      <c r="J101" s="42">
        <f>MAX(0,MIN(G101+H101-I101,$F101))</f>
        <v/>
      </c>
      <c r="K101" s="42">
        <f>ROUND(G101+H101-I101-J101,2)</f>
        <v/>
      </c>
      <c r="L101">
        <f>$F101-J101</f>
        <v/>
      </c>
      <c r="M101" s="42">
        <f>Q100</f>
        <v/>
      </c>
      <c r="N101" s="42">
        <f>ROUND(M101*N$6/12,2)</f>
        <v/>
      </c>
      <c r="O101" s="42">
        <f>MIN(O$6,M101+N101)</f>
        <v/>
      </c>
      <c r="P101" s="42">
        <f>MAX(0,MIN(M101+N101-O101,L101))</f>
        <v/>
      </c>
      <c r="Q101" s="42">
        <f>ROUND(M101+N101-O101-P101,2)</f>
        <v/>
      </c>
      <c r="R101">
        <f>L101-P101</f>
        <v/>
      </c>
      <c r="S101" s="42">
        <f>W100</f>
        <v/>
      </c>
      <c r="T101" s="42">
        <f>ROUND(S101*T$6/12,2)</f>
        <v/>
      </c>
      <c r="U101" s="42">
        <f>MIN(U$6,S101+T101)</f>
        <v/>
      </c>
      <c r="V101" s="42">
        <f>MAX(0,MIN(S101+T101-U101,R101))</f>
        <v/>
      </c>
      <c r="W101" s="42">
        <f>ROUND(S101+T101-U101-V101,2)</f>
        <v/>
      </c>
      <c r="X101">
        <f>R101-V101</f>
        <v/>
      </c>
      <c r="Y101" s="42">
        <f>AC100</f>
        <v/>
      </c>
      <c r="Z101" s="42">
        <f>ROUND(Y101*Z$6/12,2)</f>
        <v/>
      </c>
      <c r="AA101" s="42">
        <f>MIN(AA$6,Y101+Z101)</f>
        <v/>
      </c>
      <c r="AB101" s="42">
        <f>MAX(0,MIN(Y101+Z101-AA101,X101))</f>
        <v/>
      </c>
      <c r="AC101" s="42">
        <f>ROUND(Y101+Z101-AA101-AB101,2)</f>
        <v/>
      </c>
      <c r="AD101">
        <f>X101-AB101</f>
        <v/>
      </c>
      <c r="AE101" s="42">
        <f>AI100</f>
        <v/>
      </c>
      <c r="AF101" s="42">
        <f>ROUND(AE101*AF$6/12,2)</f>
        <v/>
      </c>
      <c r="AG101" s="42">
        <f>MIN(AG$6,AE101+AF101)</f>
        <v/>
      </c>
      <c r="AH101" s="42">
        <f>MAX(0,MIN(AE101+AF101-AG101,AD101))</f>
        <v/>
      </c>
      <c r="AI101" s="42">
        <f>ROUND(AE101+AF101-AG101-AH101,2)</f>
        <v/>
      </c>
      <c r="AJ101">
        <f>AD101-AH101</f>
        <v/>
      </c>
      <c r="AK101" s="42">
        <f>AO100</f>
        <v/>
      </c>
      <c r="AL101" s="42">
        <f>ROUND(AK101*AL$6/12,2)</f>
        <v/>
      </c>
      <c r="AM101" s="42">
        <f>MIN(AM$6,AK101+AL101)</f>
        <v/>
      </c>
      <c r="AN101" s="42">
        <f>MAX(0,MIN(AK101+AL101-AM101,AJ101))</f>
        <v/>
      </c>
      <c r="AO101" s="42">
        <f>ROUND(AK101+AL101-AM101-AN101,2)</f>
        <v/>
      </c>
      <c r="AP101">
        <f>AJ101-AN101</f>
        <v/>
      </c>
      <c r="AQ101" s="42">
        <f>AU100</f>
        <v/>
      </c>
      <c r="AR101" s="42">
        <f>ROUND(AQ101*AR$6/12,2)</f>
        <v/>
      </c>
      <c r="AS101" s="42">
        <f>MIN(AS$6,AQ101+AR101)</f>
        <v/>
      </c>
      <c r="AT101" s="42">
        <f>MAX(0,MIN(AQ101+AR101-AS101,AP101))</f>
        <v/>
      </c>
      <c r="AU101" s="42">
        <f>ROUND(AQ101+AR101-AS101-AT101,2)</f>
        <v/>
      </c>
      <c r="AV101">
        <f>AP101-AT101</f>
        <v/>
      </c>
      <c r="AW101" s="42">
        <f>BA100</f>
        <v/>
      </c>
      <c r="AX101" s="42">
        <f>ROUND(AW101*AX$6/12,2)</f>
        <v/>
      </c>
      <c r="AY101" s="42">
        <f>MIN(AY$6,AW101+AX101)</f>
        <v/>
      </c>
      <c r="AZ101" s="42">
        <f>MAX(0,MIN(AW101+AX101-AY101,AV101))</f>
        <v/>
      </c>
      <c r="BA101" s="42">
        <f>ROUND(AW101+AX101-AY101-AZ101,2)</f>
        <v/>
      </c>
      <c r="BB101">
        <f>AV101-AZ101</f>
        <v/>
      </c>
      <c r="BC101" s="42">
        <f>BG100</f>
        <v/>
      </c>
      <c r="BD101" s="42">
        <f>ROUND(BC101*BD$6/12,2)</f>
        <v/>
      </c>
      <c r="BE101" s="42">
        <f>MIN(BE$6,BC101+BD101)</f>
        <v/>
      </c>
      <c r="BF101" s="42">
        <f>MAX(0,MIN(BC101+BD101-BE101,BB101))</f>
        <v/>
      </c>
      <c r="BG101" s="42">
        <f>ROUND(BC101+BD101-BE101-BF101,2)</f>
        <v/>
      </c>
      <c r="BH101">
        <f>BB101-BF101</f>
        <v/>
      </c>
      <c r="BI101" s="42">
        <f>BM100</f>
        <v/>
      </c>
      <c r="BJ101" s="42">
        <f>ROUND(BI101*BJ$6/12,2)</f>
        <v/>
      </c>
      <c r="BK101" s="42">
        <f>MIN(BK$6,BI101+BJ101)</f>
        <v/>
      </c>
      <c r="BL101" s="42">
        <f>MAX(0,MIN(BI101+BJ101-BK101,BH101))</f>
        <v/>
      </c>
      <c r="BM101" s="42">
        <f>ROUND(BI101+BJ101-BK101-BL101,2)</f>
        <v/>
      </c>
      <c r="BN101">
        <f>BH101-BL101</f>
        <v/>
      </c>
    </row>
    <row r="102">
      <c r="A102" s="39" t="n">
        <v>95</v>
      </c>
      <c r="B102" s="40">
        <f>EDATE('My Debts'!$C$6,A102-1)</f>
        <v/>
      </c>
      <c r="C102" s="41">
        <f>K102+Q102+W102+AC102+AI102+AO102+AU102+BA102+BG102+BM102</f>
        <v/>
      </c>
      <c r="D102" s="42">
        <f>I102+O102+U102+AA102+AG102+AM102+AS102+AY102+BE102+BK102+J102+P102+V102+AB102+AH102+AN102+AT102+AZ102+BF102+BL102</f>
        <v/>
      </c>
      <c r="E102" s="42">
        <f>H102+N102+T102+Z102+AF102+AL102+AR102+AX102+BD102+BJ102</f>
        <v/>
      </c>
      <c r="F102">
        <f>MAX(0,'My Debts'!$E$21-(I102+O102+U102+AA102+AG102+AM102+AS102+AY102+BE102+BK102))</f>
        <v/>
      </c>
      <c r="G102" s="42">
        <f>K101</f>
        <v/>
      </c>
      <c r="H102" s="42">
        <f>ROUND(G102*H$6/12,2)</f>
        <v/>
      </c>
      <c r="I102" s="42">
        <f>MIN(I$6,G102+H102)</f>
        <v/>
      </c>
      <c r="J102" s="42">
        <f>MAX(0,MIN(G102+H102-I102,$F102))</f>
        <v/>
      </c>
      <c r="K102" s="42">
        <f>ROUND(G102+H102-I102-J102,2)</f>
        <v/>
      </c>
      <c r="L102">
        <f>$F102-J102</f>
        <v/>
      </c>
      <c r="M102" s="42">
        <f>Q101</f>
        <v/>
      </c>
      <c r="N102" s="42">
        <f>ROUND(M102*N$6/12,2)</f>
        <v/>
      </c>
      <c r="O102" s="42">
        <f>MIN(O$6,M102+N102)</f>
        <v/>
      </c>
      <c r="P102" s="42">
        <f>MAX(0,MIN(M102+N102-O102,L102))</f>
        <v/>
      </c>
      <c r="Q102" s="42">
        <f>ROUND(M102+N102-O102-P102,2)</f>
        <v/>
      </c>
      <c r="R102">
        <f>L102-P102</f>
        <v/>
      </c>
      <c r="S102" s="42">
        <f>W101</f>
        <v/>
      </c>
      <c r="T102" s="42">
        <f>ROUND(S102*T$6/12,2)</f>
        <v/>
      </c>
      <c r="U102" s="42">
        <f>MIN(U$6,S102+T102)</f>
        <v/>
      </c>
      <c r="V102" s="42">
        <f>MAX(0,MIN(S102+T102-U102,R102))</f>
        <v/>
      </c>
      <c r="W102" s="42">
        <f>ROUND(S102+T102-U102-V102,2)</f>
        <v/>
      </c>
      <c r="X102">
        <f>R102-V102</f>
        <v/>
      </c>
      <c r="Y102" s="42">
        <f>AC101</f>
        <v/>
      </c>
      <c r="Z102" s="42">
        <f>ROUND(Y102*Z$6/12,2)</f>
        <v/>
      </c>
      <c r="AA102" s="42">
        <f>MIN(AA$6,Y102+Z102)</f>
        <v/>
      </c>
      <c r="AB102" s="42">
        <f>MAX(0,MIN(Y102+Z102-AA102,X102))</f>
        <v/>
      </c>
      <c r="AC102" s="42">
        <f>ROUND(Y102+Z102-AA102-AB102,2)</f>
        <v/>
      </c>
      <c r="AD102">
        <f>X102-AB102</f>
        <v/>
      </c>
      <c r="AE102" s="42">
        <f>AI101</f>
        <v/>
      </c>
      <c r="AF102" s="42">
        <f>ROUND(AE102*AF$6/12,2)</f>
        <v/>
      </c>
      <c r="AG102" s="42">
        <f>MIN(AG$6,AE102+AF102)</f>
        <v/>
      </c>
      <c r="AH102" s="42">
        <f>MAX(0,MIN(AE102+AF102-AG102,AD102))</f>
        <v/>
      </c>
      <c r="AI102" s="42">
        <f>ROUND(AE102+AF102-AG102-AH102,2)</f>
        <v/>
      </c>
      <c r="AJ102">
        <f>AD102-AH102</f>
        <v/>
      </c>
      <c r="AK102" s="42">
        <f>AO101</f>
        <v/>
      </c>
      <c r="AL102" s="42">
        <f>ROUND(AK102*AL$6/12,2)</f>
        <v/>
      </c>
      <c r="AM102" s="42">
        <f>MIN(AM$6,AK102+AL102)</f>
        <v/>
      </c>
      <c r="AN102" s="42">
        <f>MAX(0,MIN(AK102+AL102-AM102,AJ102))</f>
        <v/>
      </c>
      <c r="AO102" s="42">
        <f>ROUND(AK102+AL102-AM102-AN102,2)</f>
        <v/>
      </c>
      <c r="AP102">
        <f>AJ102-AN102</f>
        <v/>
      </c>
      <c r="AQ102" s="42">
        <f>AU101</f>
        <v/>
      </c>
      <c r="AR102" s="42">
        <f>ROUND(AQ102*AR$6/12,2)</f>
        <v/>
      </c>
      <c r="AS102" s="42">
        <f>MIN(AS$6,AQ102+AR102)</f>
        <v/>
      </c>
      <c r="AT102" s="42">
        <f>MAX(0,MIN(AQ102+AR102-AS102,AP102))</f>
        <v/>
      </c>
      <c r="AU102" s="42">
        <f>ROUND(AQ102+AR102-AS102-AT102,2)</f>
        <v/>
      </c>
      <c r="AV102">
        <f>AP102-AT102</f>
        <v/>
      </c>
      <c r="AW102" s="42">
        <f>BA101</f>
        <v/>
      </c>
      <c r="AX102" s="42">
        <f>ROUND(AW102*AX$6/12,2)</f>
        <v/>
      </c>
      <c r="AY102" s="42">
        <f>MIN(AY$6,AW102+AX102)</f>
        <v/>
      </c>
      <c r="AZ102" s="42">
        <f>MAX(0,MIN(AW102+AX102-AY102,AV102))</f>
        <v/>
      </c>
      <c r="BA102" s="42">
        <f>ROUND(AW102+AX102-AY102-AZ102,2)</f>
        <v/>
      </c>
      <c r="BB102">
        <f>AV102-AZ102</f>
        <v/>
      </c>
      <c r="BC102" s="42">
        <f>BG101</f>
        <v/>
      </c>
      <c r="BD102" s="42">
        <f>ROUND(BC102*BD$6/12,2)</f>
        <v/>
      </c>
      <c r="BE102" s="42">
        <f>MIN(BE$6,BC102+BD102)</f>
        <v/>
      </c>
      <c r="BF102" s="42">
        <f>MAX(0,MIN(BC102+BD102-BE102,BB102))</f>
        <v/>
      </c>
      <c r="BG102" s="42">
        <f>ROUND(BC102+BD102-BE102-BF102,2)</f>
        <v/>
      </c>
      <c r="BH102">
        <f>BB102-BF102</f>
        <v/>
      </c>
      <c r="BI102" s="42">
        <f>BM101</f>
        <v/>
      </c>
      <c r="BJ102" s="42">
        <f>ROUND(BI102*BJ$6/12,2)</f>
        <v/>
      </c>
      <c r="BK102" s="42">
        <f>MIN(BK$6,BI102+BJ102)</f>
        <v/>
      </c>
      <c r="BL102" s="42">
        <f>MAX(0,MIN(BI102+BJ102-BK102,BH102))</f>
        <v/>
      </c>
      <c r="BM102" s="42">
        <f>ROUND(BI102+BJ102-BK102-BL102,2)</f>
        <v/>
      </c>
      <c r="BN102">
        <f>BH102-BL102</f>
        <v/>
      </c>
    </row>
    <row r="103">
      <c r="A103" s="43" t="n">
        <v>96</v>
      </c>
      <c r="B103" s="44">
        <f>EDATE('My Debts'!$C$6,A103-1)</f>
        <v/>
      </c>
      <c r="C103" s="45">
        <f>K103+Q103+W103+AC103+AI103+AO103+AU103+BA103+BG103+BM103</f>
        <v/>
      </c>
      <c r="D103" s="46">
        <f>I103+O103+U103+AA103+AG103+AM103+AS103+AY103+BE103+BK103+J103+P103+V103+AB103+AH103+AN103+AT103+AZ103+BF103+BL103</f>
        <v/>
      </c>
      <c r="E103" s="46">
        <f>H103+N103+T103+Z103+AF103+AL103+AR103+AX103+BD103+BJ103</f>
        <v/>
      </c>
      <c r="F103">
        <f>MAX(0,'My Debts'!$E$21-(I103+O103+U103+AA103+AG103+AM103+AS103+AY103+BE103+BK103))</f>
        <v/>
      </c>
      <c r="G103" s="42">
        <f>K102</f>
        <v/>
      </c>
      <c r="H103" s="42">
        <f>ROUND(G103*H$6/12,2)</f>
        <v/>
      </c>
      <c r="I103" s="42">
        <f>MIN(I$6,G103+H103)</f>
        <v/>
      </c>
      <c r="J103" s="42">
        <f>MAX(0,MIN(G103+H103-I103,$F103))</f>
        <v/>
      </c>
      <c r="K103" s="42">
        <f>ROUND(G103+H103-I103-J103,2)</f>
        <v/>
      </c>
      <c r="L103">
        <f>$F103-J103</f>
        <v/>
      </c>
      <c r="M103" s="42">
        <f>Q102</f>
        <v/>
      </c>
      <c r="N103" s="42">
        <f>ROUND(M103*N$6/12,2)</f>
        <v/>
      </c>
      <c r="O103" s="42">
        <f>MIN(O$6,M103+N103)</f>
        <v/>
      </c>
      <c r="P103" s="42">
        <f>MAX(0,MIN(M103+N103-O103,L103))</f>
        <v/>
      </c>
      <c r="Q103" s="42">
        <f>ROUND(M103+N103-O103-P103,2)</f>
        <v/>
      </c>
      <c r="R103">
        <f>L103-P103</f>
        <v/>
      </c>
      <c r="S103" s="42">
        <f>W102</f>
        <v/>
      </c>
      <c r="T103" s="42">
        <f>ROUND(S103*T$6/12,2)</f>
        <v/>
      </c>
      <c r="U103" s="42">
        <f>MIN(U$6,S103+T103)</f>
        <v/>
      </c>
      <c r="V103" s="42">
        <f>MAX(0,MIN(S103+T103-U103,R103))</f>
        <v/>
      </c>
      <c r="W103" s="42">
        <f>ROUND(S103+T103-U103-V103,2)</f>
        <v/>
      </c>
      <c r="X103">
        <f>R103-V103</f>
        <v/>
      </c>
      <c r="Y103" s="42">
        <f>AC102</f>
        <v/>
      </c>
      <c r="Z103" s="42">
        <f>ROUND(Y103*Z$6/12,2)</f>
        <v/>
      </c>
      <c r="AA103" s="42">
        <f>MIN(AA$6,Y103+Z103)</f>
        <v/>
      </c>
      <c r="AB103" s="42">
        <f>MAX(0,MIN(Y103+Z103-AA103,X103))</f>
        <v/>
      </c>
      <c r="AC103" s="42">
        <f>ROUND(Y103+Z103-AA103-AB103,2)</f>
        <v/>
      </c>
      <c r="AD103">
        <f>X103-AB103</f>
        <v/>
      </c>
      <c r="AE103" s="42">
        <f>AI102</f>
        <v/>
      </c>
      <c r="AF103" s="42">
        <f>ROUND(AE103*AF$6/12,2)</f>
        <v/>
      </c>
      <c r="AG103" s="42">
        <f>MIN(AG$6,AE103+AF103)</f>
        <v/>
      </c>
      <c r="AH103" s="42">
        <f>MAX(0,MIN(AE103+AF103-AG103,AD103))</f>
        <v/>
      </c>
      <c r="AI103" s="42">
        <f>ROUND(AE103+AF103-AG103-AH103,2)</f>
        <v/>
      </c>
      <c r="AJ103">
        <f>AD103-AH103</f>
        <v/>
      </c>
      <c r="AK103" s="42">
        <f>AO102</f>
        <v/>
      </c>
      <c r="AL103" s="42">
        <f>ROUND(AK103*AL$6/12,2)</f>
        <v/>
      </c>
      <c r="AM103" s="42">
        <f>MIN(AM$6,AK103+AL103)</f>
        <v/>
      </c>
      <c r="AN103" s="42">
        <f>MAX(0,MIN(AK103+AL103-AM103,AJ103))</f>
        <v/>
      </c>
      <c r="AO103" s="42">
        <f>ROUND(AK103+AL103-AM103-AN103,2)</f>
        <v/>
      </c>
      <c r="AP103">
        <f>AJ103-AN103</f>
        <v/>
      </c>
      <c r="AQ103" s="42">
        <f>AU102</f>
        <v/>
      </c>
      <c r="AR103" s="42">
        <f>ROUND(AQ103*AR$6/12,2)</f>
        <v/>
      </c>
      <c r="AS103" s="42">
        <f>MIN(AS$6,AQ103+AR103)</f>
        <v/>
      </c>
      <c r="AT103" s="42">
        <f>MAX(0,MIN(AQ103+AR103-AS103,AP103))</f>
        <v/>
      </c>
      <c r="AU103" s="42">
        <f>ROUND(AQ103+AR103-AS103-AT103,2)</f>
        <v/>
      </c>
      <c r="AV103">
        <f>AP103-AT103</f>
        <v/>
      </c>
      <c r="AW103" s="42">
        <f>BA102</f>
        <v/>
      </c>
      <c r="AX103" s="42">
        <f>ROUND(AW103*AX$6/12,2)</f>
        <v/>
      </c>
      <c r="AY103" s="42">
        <f>MIN(AY$6,AW103+AX103)</f>
        <v/>
      </c>
      <c r="AZ103" s="42">
        <f>MAX(0,MIN(AW103+AX103-AY103,AV103))</f>
        <v/>
      </c>
      <c r="BA103" s="42">
        <f>ROUND(AW103+AX103-AY103-AZ103,2)</f>
        <v/>
      </c>
      <c r="BB103">
        <f>AV103-AZ103</f>
        <v/>
      </c>
      <c r="BC103" s="42">
        <f>BG102</f>
        <v/>
      </c>
      <c r="BD103" s="42">
        <f>ROUND(BC103*BD$6/12,2)</f>
        <v/>
      </c>
      <c r="BE103" s="42">
        <f>MIN(BE$6,BC103+BD103)</f>
        <v/>
      </c>
      <c r="BF103" s="42">
        <f>MAX(0,MIN(BC103+BD103-BE103,BB103))</f>
        <v/>
      </c>
      <c r="BG103" s="42">
        <f>ROUND(BC103+BD103-BE103-BF103,2)</f>
        <v/>
      </c>
      <c r="BH103">
        <f>BB103-BF103</f>
        <v/>
      </c>
      <c r="BI103" s="42">
        <f>BM102</f>
        <v/>
      </c>
      <c r="BJ103" s="42">
        <f>ROUND(BI103*BJ$6/12,2)</f>
        <v/>
      </c>
      <c r="BK103" s="42">
        <f>MIN(BK$6,BI103+BJ103)</f>
        <v/>
      </c>
      <c r="BL103" s="42">
        <f>MAX(0,MIN(BI103+BJ103-BK103,BH103))</f>
        <v/>
      </c>
      <c r="BM103" s="42">
        <f>ROUND(BI103+BJ103-BK103-BL103,2)</f>
        <v/>
      </c>
      <c r="BN103">
        <f>BH103-BL103</f>
        <v/>
      </c>
    </row>
    <row r="104">
      <c r="A104" s="39" t="n">
        <v>97</v>
      </c>
      <c r="B104" s="40">
        <f>EDATE('My Debts'!$C$6,A104-1)</f>
        <v/>
      </c>
      <c r="C104" s="41">
        <f>K104+Q104+W104+AC104+AI104+AO104+AU104+BA104+BG104+BM104</f>
        <v/>
      </c>
      <c r="D104" s="42">
        <f>I104+O104+U104+AA104+AG104+AM104+AS104+AY104+BE104+BK104+J104+P104+V104+AB104+AH104+AN104+AT104+AZ104+BF104+BL104</f>
        <v/>
      </c>
      <c r="E104" s="42">
        <f>H104+N104+T104+Z104+AF104+AL104+AR104+AX104+BD104+BJ104</f>
        <v/>
      </c>
      <c r="F104">
        <f>MAX(0,'My Debts'!$E$21-(I104+O104+U104+AA104+AG104+AM104+AS104+AY104+BE104+BK104))</f>
        <v/>
      </c>
      <c r="G104" s="42">
        <f>K103</f>
        <v/>
      </c>
      <c r="H104" s="42">
        <f>ROUND(G104*H$6/12,2)</f>
        <v/>
      </c>
      <c r="I104" s="42">
        <f>MIN(I$6,G104+H104)</f>
        <v/>
      </c>
      <c r="J104" s="42">
        <f>MAX(0,MIN(G104+H104-I104,$F104))</f>
        <v/>
      </c>
      <c r="K104" s="42">
        <f>ROUND(G104+H104-I104-J104,2)</f>
        <v/>
      </c>
      <c r="L104">
        <f>$F104-J104</f>
        <v/>
      </c>
      <c r="M104" s="42">
        <f>Q103</f>
        <v/>
      </c>
      <c r="N104" s="42">
        <f>ROUND(M104*N$6/12,2)</f>
        <v/>
      </c>
      <c r="O104" s="42">
        <f>MIN(O$6,M104+N104)</f>
        <v/>
      </c>
      <c r="P104" s="42">
        <f>MAX(0,MIN(M104+N104-O104,L104))</f>
        <v/>
      </c>
      <c r="Q104" s="42">
        <f>ROUND(M104+N104-O104-P104,2)</f>
        <v/>
      </c>
      <c r="R104">
        <f>L104-P104</f>
        <v/>
      </c>
      <c r="S104" s="42">
        <f>W103</f>
        <v/>
      </c>
      <c r="T104" s="42">
        <f>ROUND(S104*T$6/12,2)</f>
        <v/>
      </c>
      <c r="U104" s="42">
        <f>MIN(U$6,S104+T104)</f>
        <v/>
      </c>
      <c r="V104" s="42">
        <f>MAX(0,MIN(S104+T104-U104,R104))</f>
        <v/>
      </c>
      <c r="W104" s="42">
        <f>ROUND(S104+T104-U104-V104,2)</f>
        <v/>
      </c>
      <c r="X104">
        <f>R104-V104</f>
        <v/>
      </c>
      <c r="Y104" s="42">
        <f>AC103</f>
        <v/>
      </c>
      <c r="Z104" s="42">
        <f>ROUND(Y104*Z$6/12,2)</f>
        <v/>
      </c>
      <c r="AA104" s="42">
        <f>MIN(AA$6,Y104+Z104)</f>
        <v/>
      </c>
      <c r="AB104" s="42">
        <f>MAX(0,MIN(Y104+Z104-AA104,X104))</f>
        <v/>
      </c>
      <c r="AC104" s="42">
        <f>ROUND(Y104+Z104-AA104-AB104,2)</f>
        <v/>
      </c>
      <c r="AD104">
        <f>X104-AB104</f>
        <v/>
      </c>
      <c r="AE104" s="42">
        <f>AI103</f>
        <v/>
      </c>
      <c r="AF104" s="42">
        <f>ROUND(AE104*AF$6/12,2)</f>
        <v/>
      </c>
      <c r="AG104" s="42">
        <f>MIN(AG$6,AE104+AF104)</f>
        <v/>
      </c>
      <c r="AH104" s="42">
        <f>MAX(0,MIN(AE104+AF104-AG104,AD104))</f>
        <v/>
      </c>
      <c r="AI104" s="42">
        <f>ROUND(AE104+AF104-AG104-AH104,2)</f>
        <v/>
      </c>
      <c r="AJ104">
        <f>AD104-AH104</f>
        <v/>
      </c>
      <c r="AK104" s="42">
        <f>AO103</f>
        <v/>
      </c>
      <c r="AL104" s="42">
        <f>ROUND(AK104*AL$6/12,2)</f>
        <v/>
      </c>
      <c r="AM104" s="42">
        <f>MIN(AM$6,AK104+AL104)</f>
        <v/>
      </c>
      <c r="AN104" s="42">
        <f>MAX(0,MIN(AK104+AL104-AM104,AJ104))</f>
        <v/>
      </c>
      <c r="AO104" s="42">
        <f>ROUND(AK104+AL104-AM104-AN104,2)</f>
        <v/>
      </c>
      <c r="AP104">
        <f>AJ104-AN104</f>
        <v/>
      </c>
      <c r="AQ104" s="42">
        <f>AU103</f>
        <v/>
      </c>
      <c r="AR104" s="42">
        <f>ROUND(AQ104*AR$6/12,2)</f>
        <v/>
      </c>
      <c r="AS104" s="42">
        <f>MIN(AS$6,AQ104+AR104)</f>
        <v/>
      </c>
      <c r="AT104" s="42">
        <f>MAX(0,MIN(AQ104+AR104-AS104,AP104))</f>
        <v/>
      </c>
      <c r="AU104" s="42">
        <f>ROUND(AQ104+AR104-AS104-AT104,2)</f>
        <v/>
      </c>
      <c r="AV104">
        <f>AP104-AT104</f>
        <v/>
      </c>
      <c r="AW104" s="42">
        <f>BA103</f>
        <v/>
      </c>
      <c r="AX104" s="42">
        <f>ROUND(AW104*AX$6/12,2)</f>
        <v/>
      </c>
      <c r="AY104" s="42">
        <f>MIN(AY$6,AW104+AX104)</f>
        <v/>
      </c>
      <c r="AZ104" s="42">
        <f>MAX(0,MIN(AW104+AX104-AY104,AV104))</f>
        <v/>
      </c>
      <c r="BA104" s="42">
        <f>ROUND(AW104+AX104-AY104-AZ104,2)</f>
        <v/>
      </c>
      <c r="BB104">
        <f>AV104-AZ104</f>
        <v/>
      </c>
      <c r="BC104" s="42">
        <f>BG103</f>
        <v/>
      </c>
      <c r="BD104" s="42">
        <f>ROUND(BC104*BD$6/12,2)</f>
        <v/>
      </c>
      <c r="BE104" s="42">
        <f>MIN(BE$6,BC104+BD104)</f>
        <v/>
      </c>
      <c r="BF104" s="42">
        <f>MAX(0,MIN(BC104+BD104-BE104,BB104))</f>
        <v/>
      </c>
      <c r="BG104" s="42">
        <f>ROUND(BC104+BD104-BE104-BF104,2)</f>
        <v/>
      </c>
      <c r="BH104">
        <f>BB104-BF104</f>
        <v/>
      </c>
      <c r="BI104" s="42">
        <f>BM103</f>
        <v/>
      </c>
      <c r="BJ104" s="42">
        <f>ROUND(BI104*BJ$6/12,2)</f>
        <v/>
      </c>
      <c r="BK104" s="42">
        <f>MIN(BK$6,BI104+BJ104)</f>
        <v/>
      </c>
      <c r="BL104" s="42">
        <f>MAX(0,MIN(BI104+BJ104-BK104,BH104))</f>
        <v/>
      </c>
      <c r="BM104" s="42">
        <f>ROUND(BI104+BJ104-BK104-BL104,2)</f>
        <v/>
      </c>
      <c r="BN104">
        <f>BH104-BL104</f>
        <v/>
      </c>
    </row>
    <row r="105">
      <c r="A105" s="43" t="n">
        <v>98</v>
      </c>
      <c r="B105" s="44">
        <f>EDATE('My Debts'!$C$6,A105-1)</f>
        <v/>
      </c>
      <c r="C105" s="45">
        <f>K105+Q105+W105+AC105+AI105+AO105+AU105+BA105+BG105+BM105</f>
        <v/>
      </c>
      <c r="D105" s="46">
        <f>I105+O105+U105+AA105+AG105+AM105+AS105+AY105+BE105+BK105+J105+P105+V105+AB105+AH105+AN105+AT105+AZ105+BF105+BL105</f>
        <v/>
      </c>
      <c r="E105" s="46">
        <f>H105+N105+T105+Z105+AF105+AL105+AR105+AX105+BD105+BJ105</f>
        <v/>
      </c>
      <c r="F105">
        <f>MAX(0,'My Debts'!$E$21-(I105+O105+U105+AA105+AG105+AM105+AS105+AY105+BE105+BK105))</f>
        <v/>
      </c>
      <c r="G105" s="42">
        <f>K104</f>
        <v/>
      </c>
      <c r="H105" s="42">
        <f>ROUND(G105*H$6/12,2)</f>
        <v/>
      </c>
      <c r="I105" s="42">
        <f>MIN(I$6,G105+H105)</f>
        <v/>
      </c>
      <c r="J105" s="42">
        <f>MAX(0,MIN(G105+H105-I105,$F105))</f>
        <v/>
      </c>
      <c r="K105" s="42">
        <f>ROUND(G105+H105-I105-J105,2)</f>
        <v/>
      </c>
      <c r="L105">
        <f>$F105-J105</f>
        <v/>
      </c>
      <c r="M105" s="42">
        <f>Q104</f>
        <v/>
      </c>
      <c r="N105" s="42">
        <f>ROUND(M105*N$6/12,2)</f>
        <v/>
      </c>
      <c r="O105" s="42">
        <f>MIN(O$6,M105+N105)</f>
        <v/>
      </c>
      <c r="P105" s="42">
        <f>MAX(0,MIN(M105+N105-O105,L105))</f>
        <v/>
      </c>
      <c r="Q105" s="42">
        <f>ROUND(M105+N105-O105-P105,2)</f>
        <v/>
      </c>
      <c r="R105">
        <f>L105-P105</f>
        <v/>
      </c>
      <c r="S105" s="42">
        <f>W104</f>
        <v/>
      </c>
      <c r="T105" s="42">
        <f>ROUND(S105*T$6/12,2)</f>
        <v/>
      </c>
      <c r="U105" s="42">
        <f>MIN(U$6,S105+T105)</f>
        <v/>
      </c>
      <c r="V105" s="42">
        <f>MAX(0,MIN(S105+T105-U105,R105))</f>
        <v/>
      </c>
      <c r="W105" s="42">
        <f>ROUND(S105+T105-U105-V105,2)</f>
        <v/>
      </c>
      <c r="X105">
        <f>R105-V105</f>
        <v/>
      </c>
      <c r="Y105" s="42">
        <f>AC104</f>
        <v/>
      </c>
      <c r="Z105" s="42">
        <f>ROUND(Y105*Z$6/12,2)</f>
        <v/>
      </c>
      <c r="AA105" s="42">
        <f>MIN(AA$6,Y105+Z105)</f>
        <v/>
      </c>
      <c r="AB105" s="42">
        <f>MAX(0,MIN(Y105+Z105-AA105,X105))</f>
        <v/>
      </c>
      <c r="AC105" s="42">
        <f>ROUND(Y105+Z105-AA105-AB105,2)</f>
        <v/>
      </c>
      <c r="AD105">
        <f>X105-AB105</f>
        <v/>
      </c>
      <c r="AE105" s="42">
        <f>AI104</f>
        <v/>
      </c>
      <c r="AF105" s="42">
        <f>ROUND(AE105*AF$6/12,2)</f>
        <v/>
      </c>
      <c r="AG105" s="42">
        <f>MIN(AG$6,AE105+AF105)</f>
        <v/>
      </c>
      <c r="AH105" s="42">
        <f>MAX(0,MIN(AE105+AF105-AG105,AD105))</f>
        <v/>
      </c>
      <c r="AI105" s="42">
        <f>ROUND(AE105+AF105-AG105-AH105,2)</f>
        <v/>
      </c>
      <c r="AJ105">
        <f>AD105-AH105</f>
        <v/>
      </c>
      <c r="AK105" s="42">
        <f>AO104</f>
        <v/>
      </c>
      <c r="AL105" s="42">
        <f>ROUND(AK105*AL$6/12,2)</f>
        <v/>
      </c>
      <c r="AM105" s="42">
        <f>MIN(AM$6,AK105+AL105)</f>
        <v/>
      </c>
      <c r="AN105" s="42">
        <f>MAX(0,MIN(AK105+AL105-AM105,AJ105))</f>
        <v/>
      </c>
      <c r="AO105" s="42">
        <f>ROUND(AK105+AL105-AM105-AN105,2)</f>
        <v/>
      </c>
      <c r="AP105">
        <f>AJ105-AN105</f>
        <v/>
      </c>
      <c r="AQ105" s="42">
        <f>AU104</f>
        <v/>
      </c>
      <c r="AR105" s="42">
        <f>ROUND(AQ105*AR$6/12,2)</f>
        <v/>
      </c>
      <c r="AS105" s="42">
        <f>MIN(AS$6,AQ105+AR105)</f>
        <v/>
      </c>
      <c r="AT105" s="42">
        <f>MAX(0,MIN(AQ105+AR105-AS105,AP105))</f>
        <v/>
      </c>
      <c r="AU105" s="42">
        <f>ROUND(AQ105+AR105-AS105-AT105,2)</f>
        <v/>
      </c>
      <c r="AV105">
        <f>AP105-AT105</f>
        <v/>
      </c>
      <c r="AW105" s="42">
        <f>BA104</f>
        <v/>
      </c>
      <c r="AX105" s="42">
        <f>ROUND(AW105*AX$6/12,2)</f>
        <v/>
      </c>
      <c r="AY105" s="42">
        <f>MIN(AY$6,AW105+AX105)</f>
        <v/>
      </c>
      <c r="AZ105" s="42">
        <f>MAX(0,MIN(AW105+AX105-AY105,AV105))</f>
        <v/>
      </c>
      <c r="BA105" s="42">
        <f>ROUND(AW105+AX105-AY105-AZ105,2)</f>
        <v/>
      </c>
      <c r="BB105">
        <f>AV105-AZ105</f>
        <v/>
      </c>
      <c r="BC105" s="42">
        <f>BG104</f>
        <v/>
      </c>
      <c r="BD105" s="42">
        <f>ROUND(BC105*BD$6/12,2)</f>
        <v/>
      </c>
      <c r="BE105" s="42">
        <f>MIN(BE$6,BC105+BD105)</f>
        <v/>
      </c>
      <c r="BF105" s="42">
        <f>MAX(0,MIN(BC105+BD105-BE105,BB105))</f>
        <v/>
      </c>
      <c r="BG105" s="42">
        <f>ROUND(BC105+BD105-BE105-BF105,2)</f>
        <v/>
      </c>
      <c r="BH105">
        <f>BB105-BF105</f>
        <v/>
      </c>
      <c r="BI105" s="42">
        <f>BM104</f>
        <v/>
      </c>
      <c r="BJ105" s="42">
        <f>ROUND(BI105*BJ$6/12,2)</f>
        <v/>
      </c>
      <c r="BK105" s="42">
        <f>MIN(BK$6,BI105+BJ105)</f>
        <v/>
      </c>
      <c r="BL105" s="42">
        <f>MAX(0,MIN(BI105+BJ105-BK105,BH105))</f>
        <v/>
      </c>
      <c r="BM105" s="42">
        <f>ROUND(BI105+BJ105-BK105-BL105,2)</f>
        <v/>
      </c>
      <c r="BN105">
        <f>BH105-BL105</f>
        <v/>
      </c>
    </row>
    <row r="106">
      <c r="A106" s="39" t="n">
        <v>99</v>
      </c>
      <c r="B106" s="40">
        <f>EDATE('My Debts'!$C$6,A106-1)</f>
        <v/>
      </c>
      <c r="C106" s="41">
        <f>K106+Q106+W106+AC106+AI106+AO106+AU106+BA106+BG106+BM106</f>
        <v/>
      </c>
      <c r="D106" s="42">
        <f>I106+O106+U106+AA106+AG106+AM106+AS106+AY106+BE106+BK106+J106+P106+V106+AB106+AH106+AN106+AT106+AZ106+BF106+BL106</f>
        <v/>
      </c>
      <c r="E106" s="42">
        <f>H106+N106+T106+Z106+AF106+AL106+AR106+AX106+BD106+BJ106</f>
        <v/>
      </c>
      <c r="F106">
        <f>MAX(0,'My Debts'!$E$21-(I106+O106+U106+AA106+AG106+AM106+AS106+AY106+BE106+BK106))</f>
        <v/>
      </c>
      <c r="G106" s="42">
        <f>K105</f>
        <v/>
      </c>
      <c r="H106" s="42">
        <f>ROUND(G106*H$6/12,2)</f>
        <v/>
      </c>
      <c r="I106" s="42">
        <f>MIN(I$6,G106+H106)</f>
        <v/>
      </c>
      <c r="J106" s="42">
        <f>MAX(0,MIN(G106+H106-I106,$F106))</f>
        <v/>
      </c>
      <c r="K106" s="42">
        <f>ROUND(G106+H106-I106-J106,2)</f>
        <v/>
      </c>
      <c r="L106">
        <f>$F106-J106</f>
        <v/>
      </c>
      <c r="M106" s="42">
        <f>Q105</f>
        <v/>
      </c>
      <c r="N106" s="42">
        <f>ROUND(M106*N$6/12,2)</f>
        <v/>
      </c>
      <c r="O106" s="42">
        <f>MIN(O$6,M106+N106)</f>
        <v/>
      </c>
      <c r="P106" s="42">
        <f>MAX(0,MIN(M106+N106-O106,L106))</f>
        <v/>
      </c>
      <c r="Q106" s="42">
        <f>ROUND(M106+N106-O106-P106,2)</f>
        <v/>
      </c>
      <c r="R106">
        <f>L106-P106</f>
        <v/>
      </c>
      <c r="S106" s="42">
        <f>W105</f>
        <v/>
      </c>
      <c r="T106" s="42">
        <f>ROUND(S106*T$6/12,2)</f>
        <v/>
      </c>
      <c r="U106" s="42">
        <f>MIN(U$6,S106+T106)</f>
        <v/>
      </c>
      <c r="V106" s="42">
        <f>MAX(0,MIN(S106+T106-U106,R106))</f>
        <v/>
      </c>
      <c r="W106" s="42">
        <f>ROUND(S106+T106-U106-V106,2)</f>
        <v/>
      </c>
      <c r="X106">
        <f>R106-V106</f>
        <v/>
      </c>
      <c r="Y106" s="42">
        <f>AC105</f>
        <v/>
      </c>
      <c r="Z106" s="42">
        <f>ROUND(Y106*Z$6/12,2)</f>
        <v/>
      </c>
      <c r="AA106" s="42">
        <f>MIN(AA$6,Y106+Z106)</f>
        <v/>
      </c>
      <c r="AB106" s="42">
        <f>MAX(0,MIN(Y106+Z106-AA106,X106))</f>
        <v/>
      </c>
      <c r="AC106" s="42">
        <f>ROUND(Y106+Z106-AA106-AB106,2)</f>
        <v/>
      </c>
      <c r="AD106">
        <f>X106-AB106</f>
        <v/>
      </c>
      <c r="AE106" s="42">
        <f>AI105</f>
        <v/>
      </c>
      <c r="AF106" s="42">
        <f>ROUND(AE106*AF$6/12,2)</f>
        <v/>
      </c>
      <c r="AG106" s="42">
        <f>MIN(AG$6,AE106+AF106)</f>
        <v/>
      </c>
      <c r="AH106" s="42">
        <f>MAX(0,MIN(AE106+AF106-AG106,AD106))</f>
        <v/>
      </c>
      <c r="AI106" s="42">
        <f>ROUND(AE106+AF106-AG106-AH106,2)</f>
        <v/>
      </c>
      <c r="AJ106">
        <f>AD106-AH106</f>
        <v/>
      </c>
      <c r="AK106" s="42">
        <f>AO105</f>
        <v/>
      </c>
      <c r="AL106" s="42">
        <f>ROUND(AK106*AL$6/12,2)</f>
        <v/>
      </c>
      <c r="AM106" s="42">
        <f>MIN(AM$6,AK106+AL106)</f>
        <v/>
      </c>
      <c r="AN106" s="42">
        <f>MAX(0,MIN(AK106+AL106-AM106,AJ106))</f>
        <v/>
      </c>
      <c r="AO106" s="42">
        <f>ROUND(AK106+AL106-AM106-AN106,2)</f>
        <v/>
      </c>
      <c r="AP106">
        <f>AJ106-AN106</f>
        <v/>
      </c>
      <c r="AQ106" s="42">
        <f>AU105</f>
        <v/>
      </c>
      <c r="AR106" s="42">
        <f>ROUND(AQ106*AR$6/12,2)</f>
        <v/>
      </c>
      <c r="AS106" s="42">
        <f>MIN(AS$6,AQ106+AR106)</f>
        <v/>
      </c>
      <c r="AT106" s="42">
        <f>MAX(0,MIN(AQ106+AR106-AS106,AP106))</f>
        <v/>
      </c>
      <c r="AU106" s="42">
        <f>ROUND(AQ106+AR106-AS106-AT106,2)</f>
        <v/>
      </c>
      <c r="AV106">
        <f>AP106-AT106</f>
        <v/>
      </c>
      <c r="AW106" s="42">
        <f>BA105</f>
        <v/>
      </c>
      <c r="AX106" s="42">
        <f>ROUND(AW106*AX$6/12,2)</f>
        <v/>
      </c>
      <c r="AY106" s="42">
        <f>MIN(AY$6,AW106+AX106)</f>
        <v/>
      </c>
      <c r="AZ106" s="42">
        <f>MAX(0,MIN(AW106+AX106-AY106,AV106))</f>
        <v/>
      </c>
      <c r="BA106" s="42">
        <f>ROUND(AW106+AX106-AY106-AZ106,2)</f>
        <v/>
      </c>
      <c r="BB106">
        <f>AV106-AZ106</f>
        <v/>
      </c>
      <c r="BC106" s="42">
        <f>BG105</f>
        <v/>
      </c>
      <c r="BD106" s="42">
        <f>ROUND(BC106*BD$6/12,2)</f>
        <v/>
      </c>
      <c r="BE106" s="42">
        <f>MIN(BE$6,BC106+BD106)</f>
        <v/>
      </c>
      <c r="BF106" s="42">
        <f>MAX(0,MIN(BC106+BD106-BE106,BB106))</f>
        <v/>
      </c>
      <c r="BG106" s="42">
        <f>ROUND(BC106+BD106-BE106-BF106,2)</f>
        <v/>
      </c>
      <c r="BH106">
        <f>BB106-BF106</f>
        <v/>
      </c>
      <c r="BI106" s="42">
        <f>BM105</f>
        <v/>
      </c>
      <c r="BJ106" s="42">
        <f>ROUND(BI106*BJ$6/12,2)</f>
        <v/>
      </c>
      <c r="BK106" s="42">
        <f>MIN(BK$6,BI106+BJ106)</f>
        <v/>
      </c>
      <c r="BL106" s="42">
        <f>MAX(0,MIN(BI106+BJ106-BK106,BH106))</f>
        <v/>
      </c>
      <c r="BM106" s="42">
        <f>ROUND(BI106+BJ106-BK106-BL106,2)</f>
        <v/>
      </c>
      <c r="BN106">
        <f>BH106-BL106</f>
        <v/>
      </c>
    </row>
    <row r="107">
      <c r="A107" s="43" t="n">
        <v>100</v>
      </c>
      <c r="B107" s="44">
        <f>EDATE('My Debts'!$C$6,A107-1)</f>
        <v/>
      </c>
      <c r="C107" s="45">
        <f>K107+Q107+W107+AC107+AI107+AO107+AU107+BA107+BG107+BM107</f>
        <v/>
      </c>
      <c r="D107" s="46">
        <f>I107+O107+U107+AA107+AG107+AM107+AS107+AY107+BE107+BK107+J107+P107+V107+AB107+AH107+AN107+AT107+AZ107+BF107+BL107</f>
        <v/>
      </c>
      <c r="E107" s="46">
        <f>H107+N107+T107+Z107+AF107+AL107+AR107+AX107+BD107+BJ107</f>
        <v/>
      </c>
      <c r="F107">
        <f>MAX(0,'My Debts'!$E$21-(I107+O107+U107+AA107+AG107+AM107+AS107+AY107+BE107+BK107))</f>
        <v/>
      </c>
      <c r="G107" s="42">
        <f>K106</f>
        <v/>
      </c>
      <c r="H107" s="42">
        <f>ROUND(G107*H$6/12,2)</f>
        <v/>
      </c>
      <c r="I107" s="42">
        <f>MIN(I$6,G107+H107)</f>
        <v/>
      </c>
      <c r="J107" s="42">
        <f>MAX(0,MIN(G107+H107-I107,$F107))</f>
        <v/>
      </c>
      <c r="K107" s="42">
        <f>ROUND(G107+H107-I107-J107,2)</f>
        <v/>
      </c>
      <c r="L107">
        <f>$F107-J107</f>
        <v/>
      </c>
      <c r="M107" s="42">
        <f>Q106</f>
        <v/>
      </c>
      <c r="N107" s="42">
        <f>ROUND(M107*N$6/12,2)</f>
        <v/>
      </c>
      <c r="O107" s="42">
        <f>MIN(O$6,M107+N107)</f>
        <v/>
      </c>
      <c r="P107" s="42">
        <f>MAX(0,MIN(M107+N107-O107,L107))</f>
        <v/>
      </c>
      <c r="Q107" s="42">
        <f>ROUND(M107+N107-O107-P107,2)</f>
        <v/>
      </c>
      <c r="R107">
        <f>L107-P107</f>
        <v/>
      </c>
      <c r="S107" s="42">
        <f>W106</f>
        <v/>
      </c>
      <c r="T107" s="42">
        <f>ROUND(S107*T$6/12,2)</f>
        <v/>
      </c>
      <c r="U107" s="42">
        <f>MIN(U$6,S107+T107)</f>
        <v/>
      </c>
      <c r="V107" s="42">
        <f>MAX(0,MIN(S107+T107-U107,R107))</f>
        <v/>
      </c>
      <c r="W107" s="42">
        <f>ROUND(S107+T107-U107-V107,2)</f>
        <v/>
      </c>
      <c r="X107">
        <f>R107-V107</f>
        <v/>
      </c>
      <c r="Y107" s="42">
        <f>AC106</f>
        <v/>
      </c>
      <c r="Z107" s="42">
        <f>ROUND(Y107*Z$6/12,2)</f>
        <v/>
      </c>
      <c r="AA107" s="42">
        <f>MIN(AA$6,Y107+Z107)</f>
        <v/>
      </c>
      <c r="AB107" s="42">
        <f>MAX(0,MIN(Y107+Z107-AA107,X107))</f>
        <v/>
      </c>
      <c r="AC107" s="42">
        <f>ROUND(Y107+Z107-AA107-AB107,2)</f>
        <v/>
      </c>
      <c r="AD107">
        <f>X107-AB107</f>
        <v/>
      </c>
      <c r="AE107" s="42">
        <f>AI106</f>
        <v/>
      </c>
      <c r="AF107" s="42">
        <f>ROUND(AE107*AF$6/12,2)</f>
        <v/>
      </c>
      <c r="AG107" s="42">
        <f>MIN(AG$6,AE107+AF107)</f>
        <v/>
      </c>
      <c r="AH107" s="42">
        <f>MAX(0,MIN(AE107+AF107-AG107,AD107))</f>
        <v/>
      </c>
      <c r="AI107" s="42">
        <f>ROUND(AE107+AF107-AG107-AH107,2)</f>
        <v/>
      </c>
      <c r="AJ107">
        <f>AD107-AH107</f>
        <v/>
      </c>
      <c r="AK107" s="42">
        <f>AO106</f>
        <v/>
      </c>
      <c r="AL107" s="42">
        <f>ROUND(AK107*AL$6/12,2)</f>
        <v/>
      </c>
      <c r="AM107" s="42">
        <f>MIN(AM$6,AK107+AL107)</f>
        <v/>
      </c>
      <c r="AN107" s="42">
        <f>MAX(0,MIN(AK107+AL107-AM107,AJ107))</f>
        <v/>
      </c>
      <c r="AO107" s="42">
        <f>ROUND(AK107+AL107-AM107-AN107,2)</f>
        <v/>
      </c>
      <c r="AP107">
        <f>AJ107-AN107</f>
        <v/>
      </c>
      <c r="AQ107" s="42">
        <f>AU106</f>
        <v/>
      </c>
      <c r="AR107" s="42">
        <f>ROUND(AQ107*AR$6/12,2)</f>
        <v/>
      </c>
      <c r="AS107" s="42">
        <f>MIN(AS$6,AQ107+AR107)</f>
        <v/>
      </c>
      <c r="AT107" s="42">
        <f>MAX(0,MIN(AQ107+AR107-AS107,AP107))</f>
        <v/>
      </c>
      <c r="AU107" s="42">
        <f>ROUND(AQ107+AR107-AS107-AT107,2)</f>
        <v/>
      </c>
      <c r="AV107">
        <f>AP107-AT107</f>
        <v/>
      </c>
      <c r="AW107" s="42">
        <f>BA106</f>
        <v/>
      </c>
      <c r="AX107" s="42">
        <f>ROUND(AW107*AX$6/12,2)</f>
        <v/>
      </c>
      <c r="AY107" s="42">
        <f>MIN(AY$6,AW107+AX107)</f>
        <v/>
      </c>
      <c r="AZ107" s="42">
        <f>MAX(0,MIN(AW107+AX107-AY107,AV107))</f>
        <v/>
      </c>
      <c r="BA107" s="42">
        <f>ROUND(AW107+AX107-AY107-AZ107,2)</f>
        <v/>
      </c>
      <c r="BB107">
        <f>AV107-AZ107</f>
        <v/>
      </c>
      <c r="BC107" s="42">
        <f>BG106</f>
        <v/>
      </c>
      <c r="BD107" s="42">
        <f>ROUND(BC107*BD$6/12,2)</f>
        <v/>
      </c>
      <c r="BE107" s="42">
        <f>MIN(BE$6,BC107+BD107)</f>
        <v/>
      </c>
      <c r="BF107" s="42">
        <f>MAX(0,MIN(BC107+BD107-BE107,BB107))</f>
        <v/>
      </c>
      <c r="BG107" s="42">
        <f>ROUND(BC107+BD107-BE107-BF107,2)</f>
        <v/>
      </c>
      <c r="BH107">
        <f>BB107-BF107</f>
        <v/>
      </c>
      <c r="BI107" s="42">
        <f>BM106</f>
        <v/>
      </c>
      <c r="BJ107" s="42">
        <f>ROUND(BI107*BJ$6/12,2)</f>
        <v/>
      </c>
      <c r="BK107" s="42">
        <f>MIN(BK$6,BI107+BJ107)</f>
        <v/>
      </c>
      <c r="BL107" s="42">
        <f>MAX(0,MIN(BI107+BJ107-BK107,BH107))</f>
        <v/>
      </c>
      <c r="BM107" s="42">
        <f>ROUND(BI107+BJ107-BK107-BL107,2)</f>
        <v/>
      </c>
      <c r="BN107">
        <f>BH107-BL107</f>
        <v/>
      </c>
    </row>
    <row r="108">
      <c r="A108" s="39" t="n">
        <v>101</v>
      </c>
      <c r="B108" s="40">
        <f>EDATE('My Debts'!$C$6,A108-1)</f>
        <v/>
      </c>
      <c r="C108" s="41">
        <f>K108+Q108+W108+AC108+AI108+AO108+AU108+BA108+BG108+BM108</f>
        <v/>
      </c>
      <c r="D108" s="42">
        <f>I108+O108+U108+AA108+AG108+AM108+AS108+AY108+BE108+BK108+J108+P108+V108+AB108+AH108+AN108+AT108+AZ108+BF108+BL108</f>
        <v/>
      </c>
      <c r="E108" s="42">
        <f>H108+N108+T108+Z108+AF108+AL108+AR108+AX108+BD108+BJ108</f>
        <v/>
      </c>
      <c r="F108">
        <f>MAX(0,'My Debts'!$E$21-(I108+O108+U108+AA108+AG108+AM108+AS108+AY108+BE108+BK108))</f>
        <v/>
      </c>
      <c r="G108" s="42">
        <f>K107</f>
        <v/>
      </c>
      <c r="H108" s="42">
        <f>ROUND(G108*H$6/12,2)</f>
        <v/>
      </c>
      <c r="I108" s="42">
        <f>MIN(I$6,G108+H108)</f>
        <v/>
      </c>
      <c r="J108" s="42">
        <f>MAX(0,MIN(G108+H108-I108,$F108))</f>
        <v/>
      </c>
      <c r="K108" s="42">
        <f>ROUND(G108+H108-I108-J108,2)</f>
        <v/>
      </c>
      <c r="L108">
        <f>$F108-J108</f>
        <v/>
      </c>
      <c r="M108" s="42">
        <f>Q107</f>
        <v/>
      </c>
      <c r="N108" s="42">
        <f>ROUND(M108*N$6/12,2)</f>
        <v/>
      </c>
      <c r="O108" s="42">
        <f>MIN(O$6,M108+N108)</f>
        <v/>
      </c>
      <c r="P108" s="42">
        <f>MAX(0,MIN(M108+N108-O108,L108))</f>
        <v/>
      </c>
      <c r="Q108" s="42">
        <f>ROUND(M108+N108-O108-P108,2)</f>
        <v/>
      </c>
      <c r="R108">
        <f>L108-P108</f>
        <v/>
      </c>
      <c r="S108" s="42">
        <f>W107</f>
        <v/>
      </c>
      <c r="T108" s="42">
        <f>ROUND(S108*T$6/12,2)</f>
        <v/>
      </c>
      <c r="U108" s="42">
        <f>MIN(U$6,S108+T108)</f>
        <v/>
      </c>
      <c r="V108" s="42">
        <f>MAX(0,MIN(S108+T108-U108,R108))</f>
        <v/>
      </c>
      <c r="W108" s="42">
        <f>ROUND(S108+T108-U108-V108,2)</f>
        <v/>
      </c>
      <c r="X108">
        <f>R108-V108</f>
        <v/>
      </c>
      <c r="Y108" s="42">
        <f>AC107</f>
        <v/>
      </c>
      <c r="Z108" s="42">
        <f>ROUND(Y108*Z$6/12,2)</f>
        <v/>
      </c>
      <c r="AA108" s="42">
        <f>MIN(AA$6,Y108+Z108)</f>
        <v/>
      </c>
      <c r="AB108" s="42">
        <f>MAX(0,MIN(Y108+Z108-AA108,X108))</f>
        <v/>
      </c>
      <c r="AC108" s="42">
        <f>ROUND(Y108+Z108-AA108-AB108,2)</f>
        <v/>
      </c>
      <c r="AD108">
        <f>X108-AB108</f>
        <v/>
      </c>
      <c r="AE108" s="42">
        <f>AI107</f>
        <v/>
      </c>
      <c r="AF108" s="42">
        <f>ROUND(AE108*AF$6/12,2)</f>
        <v/>
      </c>
      <c r="AG108" s="42">
        <f>MIN(AG$6,AE108+AF108)</f>
        <v/>
      </c>
      <c r="AH108" s="42">
        <f>MAX(0,MIN(AE108+AF108-AG108,AD108))</f>
        <v/>
      </c>
      <c r="AI108" s="42">
        <f>ROUND(AE108+AF108-AG108-AH108,2)</f>
        <v/>
      </c>
      <c r="AJ108">
        <f>AD108-AH108</f>
        <v/>
      </c>
      <c r="AK108" s="42">
        <f>AO107</f>
        <v/>
      </c>
      <c r="AL108" s="42">
        <f>ROUND(AK108*AL$6/12,2)</f>
        <v/>
      </c>
      <c r="AM108" s="42">
        <f>MIN(AM$6,AK108+AL108)</f>
        <v/>
      </c>
      <c r="AN108" s="42">
        <f>MAX(0,MIN(AK108+AL108-AM108,AJ108))</f>
        <v/>
      </c>
      <c r="AO108" s="42">
        <f>ROUND(AK108+AL108-AM108-AN108,2)</f>
        <v/>
      </c>
      <c r="AP108">
        <f>AJ108-AN108</f>
        <v/>
      </c>
      <c r="AQ108" s="42">
        <f>AU107</f>
        <v/>
      </c>
      <c r="AR108" s="42">
        <f>ROUND(AQ108*AR$6/12,2)</f>
        <v/>
      </c>
      <c r="AS108" s="42">
        <f>MIN(AS$6,AQ108+AR108)</f>
        <v/>
      </c>
      <c r="AT108" s="42">
        <f>MAX(0,MIN(AQ108+AR108-AS108,AP108))</f>
        <v/>
      </c>
      <c r="AU108" s="42">
        <f>ROUND(AQ108+AR108-AS108-AT108,2)</f>
        <v/>
      </c>
      <c r="AV108">
        <f>AP108-AT108</f>
        <v/>
      </c>
      <c r="AW108" s="42">
        <f>BA107</f>
        <v/>
      </c>
      <c r="AX108" s="42">
        <f>ROUND(AW108*AX$6/12,2)</f>
        <v/>
      </c>
      <c r="AY108" s="42">
        <f>MIN(AY$6,AW108+AX108)</f>
        <v/>
      </c>
      <c r="AZ108" s="42">
        <f>MAX(0,MIN(AW108+AX108-AY108,AV108))</f>
        <v/>
      </c>
      <c r="BA108" s="42">
        <f>ROUND(AW108+AX108-AY108-AZ108,2)</f>
        <v/>
      </c>
      <c r="BB108">
        <f>AV108-AZ108</f>
        <v/>
      </c>
      <c r="BC108" s="42">
        <f>BG107</f>
        <v/>
      </c>
      <c r="BD108" s="42">
        <f>ROUND(BC108*BD$6/12,2)</f>
        <v/>
      </c>
      <c r="BE108" s="42">
        <f>MIN(BE$6,BC108+BD108)</f>
        <v/>
      </c>
      <c r="BF108" s="42">
        <f>MAX(0,MIN(BC108+BD108-BE108,BB108))</f>
        <v/>
      </c>
      <c r="BG108" s="42">
        <f>ROUND(BC108+BD108-BE108-BF108,2)</f>
        <v/>
      </c>
      <c r="BH108">
        <f>BB108-BF108</f>
        <v/>
      </c>
      <c r="BI108" s="42">
        <f>BM107</f>
        <v/>
      </c>
      <c r="BJ108" s="42">
        <f>ROUND(BI108*BJ$6/12,2)</f>
        <v/>
      </c>
      <c r="BK108" s="42">
        <f>MIN(BK$6,BI108+BJ108)</f>
        <v/>
      </c>
      <c r="BL108" s="42">
        <f>MAX(0,MIN(BI108+BJ108-BK108,BH108))</f>
        <v/>
      </c>
      <c r="BM108" s="42">
        <f>ROUND(BI108+BJ108-BK108-BL108,2)</f>
        <v/>
      </c>
      <c r="BN108">
        <f>BH108-BL108</f>
        <v/>
      </c>
    </row>
    <row r="109">
      <c r="A109" s="43" t="n">
        <v>102</v>
      </c>
      <c r="B109" s="44">
        <f>EDATE('My Debts'!$C$6,A109-1)</f>
        <v/>
      </c>
      <c r="C109" s="45">
        <f>K109+Q109+W109+AC109+AI109+AO109+AU109+BA109+BG109+BM109</f>
        <v/>
      </c>
      <c r="D109" s="46">
        <f>I109+O109+U109+AA109+AG109+AM109+AS109+AY109+BE109+BK109+J109+P109+V109+AB109+AH109+AN109+AT109+AZ109+BF109+BL109</f>
        <v/>
      </c>
      <c r="E109" s="46">
        <f>H109+N109+T109+Z109+AF109+AL109+AR109+AX109+BD109+BJ109</f>
        <v/>
      </c>
      <c r="F109">
        <f>MAX(0,'My Debts'!$E$21-(I109+O109+U109+AA109+AG109+AM109+AS109+AY109+BE109+BK109))</f>
        <v/>
      </c>
      <c r="G109" s="42">
        <f>K108</f>
        <v/>
      </c>
      <c r="H109" s="42">
        <f>ROUND(G109*H$6/12,2)</f>
        <v/>
      </c>
      <c r="I109" s="42">
        <f>MIN(I$6,G109+H109)</f>
        <v/>
      </c>
      <c r="J109" s="42">
        <f>MAX(0,MIN(G109+H109-I109,$F109))</f>
        <v/>
      </c>
      <c r="K109" s="42">
        <f>ROUND(G109+H109-I109-J109,2)</f>
        <v/>
      </c>
      <c r="L109">
        <f>$F109-J109</f>
        <v/>
      </c>
      <c r="M109" s="42">
        <f>Q108</f>
        <v/>
      </c>
      <c r="N109" s="42">
        <f>ROUND(M109*N$6/12,2)</f>
        <v/>
      </c>
      <c r="O109" s="42">
        <f>MIN(O$6,M109+N109)</f>
        <v/>
      </c>
      <c r="P109" s="42">
        <f>MAX(0,MIN(M109+N109-O109,L109))</f>
        <v/>
      </c>
      <c r="Q109" s="42">
        <f>ROUND(M109+N109-O109-P109,2)</f>
        <v/>
      </c>
      <c r="R109">
        <f>L109-P109</f>
        <v/>
      </c>
      <c r="S109" s="42">
        <f>W108</f>
        <v/>
      </c>
      <c r="T109" s="42">
        <f>ROUND(S109*T$6/12,2)</f>
        <v/>
      </c>
      <c r="U109" s="42">
        <f>MIN(U$6,S109+T109)</f>
        <v/>
      </c>
      <c r="V109" s="42">
        <f>MAX(0,MIN(S109+T109-U109,R109))</f>
        <v/>
      </c>
      <c r="W109" s="42">
        <f>ROUND(S109+T109-U109-V109,2)</f>
        <v/>
      </c>
      <c r="X109">
        <f>R109-V109</f>
        <v/>
      </c>
      <c r="Y109" s="42">
        <f>AC108</f>
        <v/>
      </c>
      <c r="Z109" s="42">
        <f>ROUND(Y109*Z$6/12,2)</f>
        <v/>
      </c>
      <c r="AA109" s="42">
        <f>MIN(AA$6,Y109+Z109)</f>
        <v/>
      </c>
      <c r="AB109" s="42">
        <f>MAX(0,MIN(Y109+Z109-AA109,X109))</f>
        <v/>
      </c>
      <c r="AC109" s="42">
        <f>ROUND(Y109+Z109-AA109-AB109,2)</f>
        <v/>
      </c>
      <c r="AD109">
        <f>X109-AB109</f>
        <v/>
      </c>
      <c r="AE109" s="42">
        <f>AI108</f>
        <v/>
      </c>
      <c r="AF109" s="42">
        <f>ROUND(AE109*AF$6/12,2)</f>
        <v/>
      </c>
      <c r="AG109" s="42">
        <f>MIN(AG$6,AE109+AF109)</f>
        <v/>
      </c>
      <c r="AH109" s="42">
        <f>MAX(0,MIN(AE109+AF109-AG109,AD109))</f>
        <v/>
      </c>
      <c r="AI109" s="42">
        <f>ROUND(AE109+AF109-AG109-AH109,2)</f>
        <v/>
      </c>
      <c r="AJ109">
        <f>AD109-AH109</f>
        <v/>
      </c>
      <c r="AK109" s="42">
        <f>AO108</f>
        <v/>
      </c>
      <c r="AL109" s="42">
        <f>ROUND(AK109*AL$6/12,2)</f>
        <v/>
      </c>
      <c r="AM109" s="42">
        <f>MIN(AM$6,AK109+AL109)</f>
        <v/>
      </c>
      <c r="AN109" s="42">
        <f>MAX(0,MIN(AK109+AL109-AM109,AJ109))</f>
        <v/>
      </c>
      <c r="AO109" s="42">
        <f>ROUND(AK109+AL109-AM109-AN109,2)</f>
        <v/>
      </c>
      <c r="AP109">
        <f>AJ109-AN109</f>
        <v/>
      </c>
      <c r="AQ109" s="42">
        <f>AU108</f>
        <v/>
      </c>
      <c r="AR109" s="42">
        <f>ROUND(AQ109*AR$6/12,2)</f>
        <v/>
      </c>
      <c r="AS109" s="42">
        <f>MIN(AS$6,AQ109+AR109)</f>
        <v/>
      </c>
      <c r="AT109" s="42">
        <f>MAX(0,MIN(AQ109+AR109-AS109,AP109))</f>
        <v/>
      </c>
      <c r="AU109" s="42">
        <f>ROUND(AQ109+AR109-AS109-AT109,2)</f>
        <v/>
      </c>
      <c r="AV109">
        <f>AP109-AT109</f>
        <v/>
      </c>
      <c r="AW109" s="42">
        <f>BA108</f>
        <v/>
      </c>
      <c r="AX109" s="42">
        <f>ROUND(AW109*AX$6/12,2)</f>
        <v/>
      </c>
      <c r="AY109" s="42">
        <f>MIN(AY$6,AW109+AX109)</f>
        <v/>
      </c>
      <c r="AZ109" s="42">
        <f>MAX(0,MIN(AW109+AX109-AY109,AV109))</f>
        <v/>
      </c>
      <c r="BA109" s="42">
        <f>ROUND(AW109+AX109-AY109-AZ109,2)</f>
        <v/>
      </c>
      <c r="BB109">
        <f>AV109-AZ109</f>
        <v/>
      </c>
      <c r="BC109" s="42">
        <f>BG108</f>
        <v/>
      </c>
      <c r="BD109" s="42">
        <f>ROUND(BC109*BD$6/12,2)</f>
        <v/>
      </c>
      <c r="BE109" s="42">
        <f>MIN(BE$6,BC109+BD109)</f>
        <v/>
      </c>
      <c r="BF109" s="42">
        <f>MAX(0,MIN(BC109+BD109-BE109,BB109))</f>
        <v/>
      </c>
      <c r="BG109" s="42">
        <f>ROUND(BC109+BD109-BE109-BF109,2)</f>
        <v/>
      </c>
      <c r="BH109">
        <f>BB109-BF109</f>
        <v/>
      </c>
      <c r="BI109" s="42">
        <f>BM108</f>
        <v/>
      </c>
      <c r="BJ109" s="42">
        <f>ROUND(BI109*BJ$6/12,2)</f>
        <v/>
      </c>
      <c r="BK109" s="42">
        <f>MIN(BK$6,BI109+BJ109)</f>
        <v/>
      </c>
      <c r="BL109" s="42">
        <f>MAX(0,MIN(BI109+BJ109-BK109,BH109))</f>
        <v/>
      </c>
      <c r="BM109" s="42">
        <f>ROUND(BI109+BJ109-BK109-BL109,2)</f>
        <v/>
      </c>
      <c r="BN109">
        <f>BH109-BL109</f>
        <v/>
      </c>
    </row>
    <row r="110">
      <c r="A110" s="39" t="n">
        <v>103</v>
      </c>
      <c r="B110" s="40">
        <f>EDATE('My Debts'!$C$6,A110-1)</f>
        <v/>
      </c>
      <c r="C110" s="41">
        <f>K110+Q110+W110+AC110+AI110+AO110+AU110+BA110+BG110+BM110</f>
        <v/>
      </c>
      <c r="D110" s="42">
        <f>I110+O110+U110+AA110+AG110+AM110+AS110+AY110+BE110+BK110+J110+P110+V110+AB110+AH110+AN110+AT110+AZ110+BF110+BL110</f>
        <v/>
      </c>
      <c r="E110" s="42">
        <f>H110+N110+T110+Z110+AF110+AL110+AR110+AX110+BD110+BJ110</f>
        <v/>
      </c>
      <c r="F110">
        <f>MAX(0,'My Debts'!$E$21-(I110+O110+U110+AA110+AG110+AM110+AS110+AY110+BE110+BK110))</f>
        <v/>
      </c>
      <c r="G110" s="42">
        <f>K109</f>
        <v/>
      </c>
      <c r="H110" s="42">
        <f>ROUND(G110*H$6/12,2)</f>
        <v/>
      </c>
      <c r="I110" s="42">
        <f>MIN(I$6,G110+H110)</f>
        <v/>
      </c>
      <c r="J110" s="42">
        <f>MAX(0,MIN(G110+H110-I110,$F110))</f>
        <v/>
      </c>
      <c r="K110" s="42">
        <f>ROUND(G110+H110-I110-J110,2)</f>
        <v/>
      </c>
      <c r="L110">
        <f>$F110-J110</f>
        <v/>
      </c>
      <c r="M110" s="42">
        <f>Q109</f>
        <v/>
      </c>
      <c r="N110" s="42">
        <f>ROUND(M110*N$6/12,2)</f>
        <v/>
      </c>
      <c r="O110" s="42">
        <f>MIN(O$6,M110+N110)</f>
        <v/>
      </c>
      <c r="P110" s="42">
        <f>MAX(0,MIN(M110+N110-O110,L110))</f>
        <v/>
      </c>
      <c r="Q110" s="42">
        <f>ROUND(M110+N110-O110-P110,2)</f>
        <v/>
      </c>
      <c r="R110">
        <f>L110-P110</f>
        <v/>
      </c>
      <c r="S110" s="42">
        <f>W109</f>
        <v/>
      </c>
      <c r="T110" s="42">
        <f>ROUND(S110*T$6/12,2)</f>
        <v/>
      </c>
      <c r="U110" s="42">
        <f>MIN(U$6,S110+T110)</f>
        <v/>
      </c>
      <c r="V110" s="42">
        <f>MAX(0,MIN(S110+T110-U110,R110))</f>
        <v/>
      </c>
      <c r="W110" s="42">
        <f>ROUND(S110+T110-U110-V110,2)</f>
        <v/>
      </c>
      <c r="X110">
        <f>R110-V110</f>
        <v/>
      </c>
      <c r="Y110" s="42">
        <f>AC109</f>
        <v/>
      </c>
      <c r="Z110" s="42">
        <f>ROUND(Y110*Z$6/12,2)</f>
        <v/>
      </c>
      <c r="AA110" s="42">
        <f>MIN(AA$6,Y110+Z110)</f>
        <v/>
      </c>
      <c r="AB110" s="42">
        <f>MAX(0,MIN(Y110+Z110-AA110,X110))</f>
        <v/>
      </c>
      <c r="AC110" s="42">
        <f>ROUND(Y110+Z110-AA110-AB110,2)</f>
        <v/>
      </c>
      <c r="AD110">
        <f>X110-AB110</f>
        <v/>
      </c>
      <c r="AE110" s="42">
        <f>AI109</f>
        <v/>
      </c>
      <c r="AF110" s="42">
        <f>ROUND(AE110*AF$6/12,2)</f>
        <v/>
      </c>
      <c r="AG110" s="42">
        <f>MIN(AG$6,AE110+AF110)</f>
        <v/>
      </c>
      <c r="AH110" s="42">
        <f>MAX(0,MIN(AE110+AF110-AG110,AD110))</f>
        <v/>
      </c>
      <c r="AI110" s="42">
        <f>ROUND(AE110+AF110-AG110-AH110,2)</f>
        <v/>
      </c>
      <c r="AJ110">
        <f>AD110-AH110</f>
        <v/>
      </c>
      <c r="AK110" s="42">
        <f>AO109</f>
        <v/>
      </c>
      <c r="AL110" s="42">
        <f>ROUND(AK110*AL$6/12,2)</f>
        <v/>
      </c>
      <c r="AM110" s="42">
        <f>MIN(AM$6,AK110+AL110)</f>
        <v/>
      </c>
      <c r="AN110" s="42">
        <f>MAX(0,MIN(AK110+AL110-AM110,AJ110))</f>
        <v/>
      </c>
      <c r="AO110" s="42">
        <f>ROUND(AK110+AL110-AM110-AN110,2)</f>
        <v/>
      </c>
      <c r="AP110">
        <f>AJ110-AN110</f>
        <v/>
      </c>
      <c r="AQ110" s="42">
        <f>AU109</f>
        <v/>
      </c>
      <c r="AR110" s="42">
        <f>ROUND(AQ110*AR$6/12,2)</f>
        <v/>
      </c>
      <c r="AS110" s="42">
        <f>MIN(AS$6,AQ110+AR110)</f>
        <v/>
      </c>
      <c r="AT110" s="42">
        <f>MAX(0,MIN(AQ110+AR110-AS110,AP110))</f>
        <v/>
      </c>
      <c r="AU110" s="42">
        <f>ROUND(AQ110+AR110-AS110-AT110,2)</f>
        <v/>
      </c>
      <c r="AV110">
        <f>AP110-AT110</f>
        <v/>
      </c>
      <c r="AW110" s="42">
        <f>BA109</f>
        <v/>
      </c>
      <c r="AX110" s="42">
        <f>ROUND(AW110*AX$6/12,2)</f>
        <v/>
      </c>
      <c r="AY110" s="42">
        <f>MIN(AY$6,AW110+AX110)</f>
        <v/>
      </c>
      <c r="AZ110" s="42">
        <f>MAX(0,MIN(AW110+AX110-AY110,AV110))</f>
        <v/>
      </c>
      <c r="BA110" s="42">
        <f>ROUND(AW110+AX110-AY110-AZ110,2)</f>
        <v/>
      </c>
      <c r="BB110">
        <f>AV110-AZ110</f>
        <v/>
      </c>
      <c r="BC110" s="42">
        <f>BG109</f>
        <v/>
      </c>
      <c r="BD110" s="42">
        <f>ROUND(BC110*BD$6/12,2)</f>
        <v/>
      </c>
      <c r="BE110" s="42">
        <f>MIN(BE$6,BC110+BD110)</f>
        <v/>
      </c>
      <c r="BF110" s="42">
        <f>MAX(0,MIN(BC110+BD110-BE110,BB110))</f>
        <v/>
      </c>
      <c r="BG110" s="42">
        <f>ROUND(BC110+BD110-BE110-BF110,2)</f>
        <v/>
      </c>
      <c r="BH110">
        <f>BB110-BF110</f>
        <v/>
      </c>
      <c r="BI110" s="42">
        <f>BM109</f>
        <v/>
      </c>
      <c r="BJ110" s="42">
        <f>ROUND(BI110*BJ$6/12,2)</f>
        <v/>
      </c>
      <c r="BK110" s="42">
        <f>MIN(BK$6,BI110+BJ110)</f>
        <v/>
      </c>
      <c r="BL110" s="42">
        <f>MAX(0,MIN(BI110+BJ110-BK110,BH110))</f>
        <v/>
      </c>
      <c r="BM110" s="42">
        <f>ROUND(BI110+BJ110-BK110-BL110,2)</f>
        <v/>
      </c>
      <c r="BN110">
        <f>BH110-BL110</f>
        <v/>
      </c>
    </row>
    <row r="111">
      <c r="A111" s="43" t="n">
        <v>104</v>
      </c>
      <c r="B111" s="44">
        <f>EDATE('My Debts'!$C$6,A111-1)</f>
        <v/>
      </c>
      <c r="C111" s="45">
        <f>K111+Q111+W111+AC111+AI111+AO111+AU111+BA111+BG111+BM111</f>
        <v/>
      </c>
      <c r="D111" s="46">
        <f>I111+O111+U111+AA111+AG111+AM111+AS111+AY111+BE111+BK111+J111+P111+V111+AB111+AH111+AN111+AT111+AZ111+BF111+BL111</f>
        <v/>
      </c>
      <c r="E111" s="46">
        <f>H111+N111+T111+Z111+AF111+AL111+AR111+AX111+BD111+BJ111</f>
        <v/>
      </c>
      <c r="F111">
        <f>MAX(0,'My Debts'!$E$21-(I111+O111+U111+AA111+AG111+AM111+AS111+AY111+BE111+BK111))</f>
        <v/>
      </c>
      <c r="G111" s="42">
        <f>K110</f>
        <v/>
      </c>
      <c r="H111" s="42">
        <f>ROUND(G111*H$6/12,2)</f>
        <v/>
      </c>
      <c r="I111" s="42">
        <f>MIN(I$6,G111+H111)</f>
        <v/>
      </c>
      <c r="J111" s="42">
        <f>MAX(0,MIN(G111+H111-I111,$F111))</f>
        <v/>
      </c>
      <c r="K111" s="42">
        <f>ROUND(G111+H111-I111-J111,2)</f>
        <v/>
      </c>
      <c r="L111">
        <f>$F111-J111</f>
        <v/>
      </c>
      <c r="M111" s="42">
        <f>Q110</f>
        <v/>
      </c>
      <c r="N111" s="42">
        <f>ROUND(M111*N$6/12,2)</f>
        <v/>
      </c>
      <c r="O111" s="42">
        <f>MIN(O$6,M111+N111)</f>
        <v/>
      </c>
      <c r="P111" s="42">
        <f>MAX(0,MIN(M111+N111-O111,L111))</f>
        <v/>
      </c>
      <c r="Q111" s="42">
        <f>ROUND(M111+N111-O111-P111,2)</f>
        <v/>
      </c>
      <c r="R111">
        <f>L111-P111</f>
        <v/>
      </c>
      <c r="S111" s="42">
        <f>W110</f>
        <v/>
      </c>
      <c r="T111" s="42">
        <f>ROUND(S111*T$6/12,2)</f>
        <v/>
      </c>
      <c r="U111" s="42">
        <f>MIN(U$6,S111+T111)</f>
        <v/>
      </c>
      <c r="V111" s="42">
        <f>MAX(0,MIN(S111+T111-U111,R111))</f>
        <v/>
      </c>
      <c r="W111" s="42">
        <f>ROUND(S111+T111-U111-V111,2)</f>
        <v/>
      </c>
      <c r="X111">
        <f>R111-V111</f>
        <v/>
      </c>
      <c r="Y111" s="42">
        <f>AC110</f>
        <v/>
      </c>
      <c r="Z111" s="42">
        <f>ROUND(Y111*Z$6/12,2)</f>
        <v/>
      </c>
      <c r="AA111" s="42">
        <f>MIN(AA$6,Y111+Z111)</f>
        <v/>
      </c>
      <c r="AB111" s="42">
        <f>MAX(0,MIN(Y111+Z111-AA111,X111))</f>
        <v/>
      </c>
      <c r="AC111" s="42">
        <f>ROUND(Y111+Z111-AA111-AB111,2)</f>
        <v/>
      </c>
      <c r="AD111">
        <f>X111-AB111</f>
        <v/>
      </c>
      <c r="AE111" s="42">
        <f>AI110</f>
        <v/>
      </c>
      <c r="AF111" s="42">
        <f>ROUND(AE111*AF$6/12,2)</f>
        <v/>
      </c>
      <c r="AG111" s="42">
        <f>MIN(AG$6,AE111+AF111)</f>
        <v/>
      </c>
      <c r="AH111" s="42">
        <f>MAX(0,MIN(AE111+AF111-AG111,AD111))</f>
        <v/>
      </c>
      <c r="AI111" s="42">
        <f>ROUND(AE111+AF111-AG111-AH111,2)</f>
        <v/>
      </c>
      <c r="AJ111">
        <f>AD111-AH111</f>
        <v/>
      </c>
      <c r="AK111" s="42">
        <f>AO110</f>
        <v/>
      </c>
      <c r="AL111" s="42">
        <f>ROUND(AK111*AL$6/12,2)</f>
        <v/>
      </c>
      <c r="AM111" s="42">
        <f>MIN(AM$6,AK111+AL111)</f>
        <v/>
      </c>
      <c r="AN111" s="42">
        <f>MAX(0,MIN(AK111+AL111-AM111,AJ111))</f>
        <v/>
      </c>
      <c r="AO111" s="42">
        <f>ROUND(AK111+AL111-AM111-AN111,2)</f>
        <v/>
      </c>
      <c r="AP111">
        <f>AJ111-AN111</f>
        <v/>
      </c>
      <c r="AQ111" s="42">
        <f>AU110</f>
        <v/>
      </c>
      <c r="AR111" s="42">
        <f>ROUND(AQ111*AR$6/12,2)</f>
        <v/>
      </c>
      <c r="AS111" s="42">
        <f>MIN(AS$6,AQ111+AR111)</f>
        <v/>
      </c>
      <c r="AT111" s="42">
        <f>MAX(0,MIN(AQ111+AR111-AS111,AP111))</f>
        <v/>
      </c>
      <c r="AU111" s="42">
        <f>ROUND(AQ111+AR111-AS111-AT111,2)</f>
        <v/>
      </c>
      <c r="AV111">
        <f>AP111-AT111</f>
        <v/>
      </c>
      <c r="AW111" s="42">
        <f>BA110</f>
        <v/>
      </c>
      <c r="AX111" s="42">
        <f>ROUND(AW111*AX$6/12,2)</f>
        <v/>
      </c>
      <c r="AY111" s="42">
        <f>MIN(AY$6,AW111+AX111)</f>
        <v/>
      </c>
      <c r="AZ111" s="42">
        <f>MAX(0,MIN(AW111+AX111-AY111,AV111))</f>
        <v/>
      </c>
      <c r="BA111" s="42">
        <f>ROUND(AW111+AX111-AY111-AZ111,2)</f>
        <v/>
      </c>
      <c r="BB111">
        <f>AV111-AZ111</f>
        <v/>
      </c>
      <c r="BC111" s="42">
        <f>BG110</f>
        <v/>
      </c>
      <c r="BD111" s="42">
        <f>ROUND(BC111*BD$6/12,2)</f>
        <v/>
      </c>
      <c r="BE111" s="42">
        <f>MIN(BE$6,BC111+BD111)</f>
        <v/>
      </c>
      <c r="BF111" s="42">
        <f>MAX(0,MIN(BC111+BD111-BE111,BB111))</f>
        <v/>
      </c>
      <c r="BG111" s="42">
        <f>ROUND(BC111+BD111-BE111-BF111,2)</f>
        <v/>
      </c>
      <c r="BH111">
        <f>BB111-BF111</f>
        <v/>
      </c>
      <c r="BI111" s="42">
        <f>BM110</f>
        <v/>
      </c>
      <c r="BJ111" s="42">
        <f>ROUND(BI111*BJ$6/12,2)</f>
        <v/>
      </c>
      <c r="BK111" s="42">
        <f>MIN(BK$6,BI111+BJ111)</f>
        <v/>
      </c>
      <c r="BL111" s="42">
        <f>MAX(0,MIN(BI111+BJ111-BK111,BH111))</f>
        <v/>
      </c>
      <c r="BM111" s="42">
        <f>ROUND(BI111+BJ111-BK111-BL111,2)</f>
        <v/>
      </c>
      <c r="BN111">
        <f>BH111-BL111</f>
        <v/>
      </c>
    </row>
    <row r="112">
      <c r="A112" s="39" t="n">
        <v>105</v>
      </c>
      <c r="B112" s="40">
        <f>EDATE('My Debts'!$C$6,A112-1)</f>
        <v/>
      </c>
      <c r="C112" s="41">
        <f>K112+Q112+W112+AC112+AI112+AO112+AU112+BA112+BG112+BM112</f>
        <v/>
      </c>
      <c r="D112" s="42">
        <f>I112+O112+U112+AA112+AG112+AM112+AS112+AY112+BE112+BK112+J112+P112+V112+AB112+AH112+AN112+AT112+AZ112+BF112+BL112</f>
        <v/>
      </c>
      <c r="E112" s="42">
        <f>H112+N112+T112+Z112+AF112+AL112+AR112+AX112+BD112+BJ112</f>
        <v/>
      </c>
      <c r="F112">
        <f>MAX(0,'My Debts'!$E$21-(I112+O112+U112+AA112+AG112+AM112+AS112+AY112+BE112+BK112))</f>
        <v/>
      </c>
      <c r="G112" s="42">
        <f>K111</f>
        <v/>
      </c>
      <c r="H112" s="42">
        <f>ROUND(G112*H$6/12,2)</f>
        <v/>
      </c>
      <c r="I112" s="42">
        <f>MIN(I$6,G112+H112)</f>
        <v/>
      </c>
      <c r="J112" s="42">
        <f>MAX(0,MIN(G112+H112-I112,$F112))</f>
        <v/>
      </c>
      <c r="K112" s="42">
        <f>ROUND(G112+H112-I112-J112,2)</f>
        <v/>
      </c>
      <c r="L112">
        <f>$F112-J112</f>
        <v/>
      </c>
      <c r="M112" s="42">
        <f>Q111</f>
        <v/>
      </c>
      <c r="N112" s="42">
        <f>ROUND(M112*N$6/12,2)</f>
        <v/>
      </c>
      <c r="O112" s="42">
        <f>MIN(O$6,M112+N112)</f>
        <v/>
      </c>
      <c r="P112" s="42">
        <f>MAX(0,MIN(M112+N112-O112,L112))</f>
        <v/>
      </c>
      <c r="Q112" s="42">
        <f>ROUND(M112+N112-O112-P112,2)</f>
        <v/>
      </c>
      <c r="R112">
        <f>L112-P112</f>
        <v/>
      </c>
      <c r="S112" s="42">
        <f>W111</f>
        <v/>
      </c>
      <c r="T112" s="42">
        <f>ROUND(S112*T$6/12,2)</f>
        <v/>
      </c>
      <c r="U112" s="42">
        <f>MIN(U$6,S112+T112)</f>
        <v/>
      </c>
      <c r="V112" s="42">
        <f>MAX(0,MIN(S112+T112-U112,R112))</f>
        <v/>
      </c>
      <c r="W112" s="42">
        <f>ROUND(S112+T112-U112-V112,2)</f>
        <v/>
      </c>
      <c r="X112">
        <f>R112-V112</f>
        <v/>
      </c>
      <c r="Y112" s="42">
        <f>AC111</f>
        <v/>
      </c>
      <c r="Z112" s="42">
        <f>ROUND(Y112*Z$6/12,2)</f>
        <v/>
      </c>
      <c r="AA112" s="42">
        <f>MIN(AA$6,Y112+Z112)</f>
        <v/>
      </c>
      <c r="AB112" s="42">
        <f>MAX(0,MIN(Y112+Z112-AA112,X112))</f>
        <v/>
      </c>
      <c r="AC112" s="42">
        <f>ROUND(Y112+Z112-AA112-AB112,2)</f>
        <v/>
      </c>
      <c r="AD112">
        <f>X112-AB112</f>
        <v/>
      </c>
      <c r="AE112" s="42">
        <f>AI111</f>
        <v/>
      </c>
      <c r="AF112" s="42">
        <f>ROUND(AE112*AF$6/12,2)</f>
        <v/>
      </c>
      <c r="AG112" s="42">
        <f>MIN(AG$6,AE112+AF112)</f>
        <v/>
      </c>
      <c r="AH112" s="42">
        <f>MAX(0,MIN(AE112+AF112-AG112,AD112))</f>
        <v/>
      </c>
      <c r="AI112" s="42">
        <f>ROUND(AE112+AF112-AG112-AH112,2)</f>
        <v/>
      </c>
      <c r="AJ112">
        <f>AD112-AH112</f>
        <v/>
      </c>
      <c r="AK112" s="42">
        <f>AO111</f>
        <v/>
      </c>
      <c r="AL112" s="42">
        <f>ROUND(AK112*AL$6/12,2)</f>
        <v/>
      </c>
      <c r="AM112" s="42">
        <f>MIN(AM$6,AK112+AL112)</f>
        <v/>
      </c>
      <c r="AN112" s="42">
        <f>MAX(0,MIN(AK112+AL112-AM112,AJ112))</f>
        <v/>
      </c>
      <c r="AO112" s="42">
        <f>ROUND(AK112+AL112-AM112-AN112,2)</f>
        <v/>
      </c>
      <c r="AP112">
        <f>AJ112-AN112</f>
        <v/>
      </c>
      <c r="AQ112" s="42">
        <f>AU111</f>
        <v/>
      </c>
      <c r="AR112" s="42">
        <f>ROUND(AQ112*AR$6/12,2)</f>
        <v/>
      </c>
      <c r="AS112" s="42">
        <f>MIN(AS$6,AQ112+AR112)</f>
        <v/>
      </c>
      <c r="AT112" s="42">
        <f>MAX(0,MIN(AQ112+AR112-AS112,AP112))</f>
        <v/>
      </c>
      <c r="AU112" s="42">
        <f>ROUND(AQ112+AR112-AS112-AT112,2)</f>
        <v/>
      </c>
      <c r="AV112">
        <f>AP112-AT112</f>
        <v/>
      </c>
      <c r="AW112" s="42">
        <f>BA111</f>
        <v/>
      </c>
      <c r="AX112" s="42">
        <f>ROUND(AW112*AX$6/12,2)</f>
        <v/>
      </c>
      <c r="AY112" s="42">
        <f>MIN(AY$6,AW112+AX112)</f>
        <v/>
      </c>
      <c r="AZ112" s="42">
        <f>MAX(0,MIN(AW112+AX112-AY112,AV112))</f>
        <v/>
      </c>
      <c r="BA112" s="42">
        <f>ROUND(AW112+AX112-AY112-AZ112,2)</f>
        <v/>
      </c>
      <c r="BB112">
        <f>AV112-AZ112</f>
        <v/>
      </c>
      <c r="BC112" s="42">
        <f>BG111</f>
        <v/>
      </c>
      <c r="BD112" s="42">
        <f>ROUND(BC112*BD$6/12,2)</f>
        <v/>
      </c>
      <c r="BE112" s="42">
        <f>MIN(BE$6,BC112+BD112)</f>
        <v/>
      </c>
      <c r="BF112" s="42">
        <f>MAX(0,MIN(BC112+BD112-BE112,BB112))</f>
        <v/>
      </c>
      <c r="BG112" s="42">
        <f>ROUND(BC112+BD112-BE112-BF112,2)</f>
        <v/>
      </c>
      <c r="BH112">
        <f>BB112-BF112</f>
        <v/>
      </c>
      <c r="BI112" s="42">
        <f>BM111</f>
        <v/>
      </c>
      <c r="BJ112" s="42">
        <f>ROUND(BI112*BJ$6/12,2)</f>
        <v/>
      </c>
      <c r="BK112" s="42">
        <f>MIN(BK$6,BI112+BJ112)</f>
        <v/>
      </c>
      <c r="BL112" s="42">
        <f>MAX(0,MIN(BI112+BJ112-BK112,BH112))</f>
        <v/>
      </c>
      <c r="BM112" s="42">
        <f>ROUND(BI112+BJ112-BK112-BL112,2)</f>
        <v/>
      </c>
      <c r="BN112">
        <f>BH112-BL112</f>
        <v/>
      </c>
    </row>
    <row r="113">
      <c r="A113" s="43" t="n">
        <v>106</v>
      </c>
      <c r="B113" s="44">
        <f>EDATE('My Debts'!$C$6,A113-1)</f>
        <v/>
      </c>
      <c r="C113" s="45">
        <f>K113+Q113+W113+AC113+AI113+AO113+AU113+BA113+BG113+BM113</f>
        <v/>
      </c>
      <c r="D113" s="46">
        <f>I113+O113+U113+AA113+AG113+AM113+AS113+AY113+BE113+BK113+J113+P113+V113+AB113+AH113+AN113+AT113+AZ113+BF113+BL113</f>
        <v/>
      </c>
      <c r="E113" s="46">
        <f>H113+N113+T113+Z113+AF113+AL113+AR113+AX113+BD113+BJ113</f>
        <v/>
      </c>
      <c r="F113">
        <f>MAX(0,'My Debts'!$E$21-(I113+O113+U113+AA113+AG113+AM113+AS113+AY113+BE113+BK113))</f>
        <v/>
      </c>
      <c r="G113" s="42">
        <f>K112</f>
        <v/>
      </c>
      <c r="H113" s="42">
        <f>ROUND(G113*H$6/12,2)</f>
        <v/>
      </c>
      <c r="I113" s="42">
        <f>MIN(I$6,G113+H113)</f>
        <v/>
      </c>
      <c r="J113" s="42">
        <f>MAX(0,MIN(G113+H113-I113,$F113))</f>
        <v/>
      </c>
      <c r="K113" s="42">
        <f>ROUND(G113+H113-I113-J113,2)</f>
        <v/>
      </c>
      <c r="L113">
        <f>$F113-J113</f>
        <v/>
      </c>
      <c r="M113" s="42">
        <f>Q112</f>
        <v/>
      </c>
      <c r="N113" s="42">
        <f>ROUND(M113*N$6/12,2)</f>
        <v/>
      </c>
      <c r="O113" s="42">
        <f>MIN(O$6,M113+N113)</f>
        <v/>
      </c>
      <c r="P113" s="42">
        <f>MAX(0,MIN(M113+N113-O113,L113))</f>
        <v/>
      </c>
      <c r="Q113" s="42">
        <f>ROUND(M113+N113-O113-P113,2)</f>
        <v/>
      </c>
      <c r="R113">
        <f>L113-P113</f>
        <v/>
      </c>
      <c r="S113" s="42">
        <f>W112</f>
        <v/>
      </c>
      <c r="T113" s="42">
        <f>ROUND(S113*T$6/12,2)</f>
        <v/>
      </c>
      <c r="U113" s="42">
        <f>MIN(U$6,S113+T113)</f>
        <v/>
      </c>
      <c r="V113" s="42">
        <f>MAX(0,MIN(S113+T113-U113,R113))</f>
        <v/>
      </c>
      <c r="W113" s="42">
        <f>ROUND(S113+T113-U113-V113,2)</f>
        <v/>
      </c>
      <c r="X113">
        <f>R113-V113</f>
        <v/>
      </c>
      <c r="Y113" s="42">
        <f>AC112</f>
        <v/>
      </c>
      <c r="Z113" s="42">
        <f>ROUND(Y113*Z$6/12,2)</f>
        <v/>
      </c>
      <c r="AA113" s="42">
        <f>MIN(AA$6,Y113+Z113)</f>
        <v/>
      </c>
      <c r="AB113" s="42">
        <f>MAX(0,MIN(Y113+Z113-AA113,X113))</f>
        <v/>
      </c>
      <c r="AC113" s="42">
        <f>ROUND(Y113+Z113-AA113-AB113,2)</f>
        <v/>
      </c>
      <c r="AD113">
        <f>X113-AB113</f>
        <v/>
      </c>
      <c r="AE113" s="42">
        <f>AI112</f>
        <v/>
      </c>
      <c r="AF113" s="42">
        <f>ROUND(AE113*AF$6/12,2)</f>
        <v/>
      </c>
      <c r="AG113" s="42">
        <f>MIN(AG$6,AE113+AF113)</f>
        <v/>
      </c>
      <c r="AH113" s="42">
        <f>MAX(0,MIN(AE113+AF113-AG113,AD113))</f>
        <v/>
      </c>
      <c r="AI113" s="42">
        <f>ROUND(AE113+AF113-AG113-AH113,2)</f>
        <v/>
      </c>
      <c r="AJ113">
        <f>AD113-AH113</f>
        <v/>
      </c>
      <c r="AK113" s="42">
        <f>AO112</f>
        <v/>
      </c>
      <c r="AL113" s="42">
        <f>ROUND(AK113*AL$6/12,2)</f>
        <v/>
      </c>
      <c r="AM113" s="42">
        <f>MIN(AM$6,AK113+AL113)</f>
        <v/>
      </c>
      <c r="AN113" s="42">
        <f>MAX(0,MIN(AK113+AL113-AM113,AJ113))</f>
        <v/>
      </c>
      <c r="AO113" s="42">
        <f>ROUND(AK113+AL113-AM113-AN113,2)</f>
        <v/>
      </c>
      <c r="AP113">
        <f>AJ113-AN113</f>
        <v/>
      </c>
      <c r="AQ113" s="42">
        <f>AU112</f>
        <v/>
      </c>
      <c r="AR113" s="42">
        <f>ROUND(AQ113*AR$6/12,2)</f>
        <v/>
      </c>
      <c r="AS113" s="42">
        <f>MIN(AS$6,AQ113+AR113)</f>
        <v/>
      </c>
      <c r="AT113" s="42">
        <f>MAX(0,MIN(AQ113+AR113-AS113,AP113))</f>
        <v/>
      </c>
      <c r="AU113" s="42">
        <f>ROUND(AQ113+AR113-AS113-AT113,2)</f>
        <v/>
      </c>
      <c r="AV113">
        <f>AP113-AT113</f>
        <v/>
      </c>
      <c r="AW113" s="42">
        <f>BA112</f>
        <v/>
      </c>
      <c r="AX113" s="42">
        <f>ROUND(AW113*AX$6/12,2)</f>
        <v/>
      </c>
      <c r="AY113" s="42">
        <f>MIN(AY$6,AW113+AX113)</f>
        <v/>
      </c>
      <c r="AZ113" s="42">
        <f>MAX(0,MIN(AW113+AX113-AY113,AV113))</f>
        <v/>
      </c>
      <c r="BA113" s="42">
        <f>ROUND(AW113+AX113-AY113-AZ113,2)</f>
        <v/>
      </c>
      <c r="BB113">
        <f>AV113-AZ113</f>
        <v/>
      </c>
      <c r="BC113" s="42">
        <f>BG112</f>
        <v/>
      </c>
      <c r="BD113" s="42">
        <f>ROUND(BC113*BD$6/12,2)</f>
        <v/>
      </c>
      <c r="BE113" s="42">
        <f>MIN(BE$6,BC113+BD113)</f>
        <v/>
      </c>
      <c r="BF113" s="42">
        <f>MAX(0,MIN(BC113+BD113-BE113,BB113))</f>
        <v/>
      </c>
      <c r="BG113" s="42">
        <f>ROUND(BC113+BD113-BE113-BF113,2)</f>
        <v/>
      </c>
      <c r="BH113">
        <f>BB113-BF113</f>
        <v/>
      </c>
      <c r="BI113" s="42">
        <f>BM112</f>
        <v/>
      </c>
      <c r="BJ113" s="42">
        <f>ROUND(BI113*BJ$6/12,2)</f>
        <v/>
      </c>
      <c r="BK113" s="42">
        <f>MIN(BK$6,BI113+BJ113)</f>
        <v/>
      </c>
      <c r="BL113" s="42">
        <f>MAX(0,MIN(BI113+BJ113-BK113,BH113))</f>
        <v/>
      </c>
      <c r="BM113" s="42">
        <f>ROUND(BI113+BJ113-BK113-BL113,2)</f>
        <v/>
      </c>
      <c r="BN113">
        <f>BH113-BL113</f>
        <v/>
      </c>
    </row>
    <row r="114">
      <c r="A114" s="39" t="n">
        <v>107</v>
      </c>
      <c r="B114" s="40">
        <f>EDATE('My Debts'!$C$6,A114-1)</f>
        <v/>
      </c>
      <c r="C114" s="41">
        <f>K114+Q114+W114+AC114+AI114+AO114+AU114+BA114+BG114+BM114</f>
        <v/>
      </c>
      <c r="D114" s="42">
        <f>I114+O114+U114+AA114+AG114+AM114+AS114+AY114+BE114+BK114+J114+P114+V114+AB114+AH114+AN114+AT114+AZ114+BF114+BL114</f>
        <v/>
      </c>
      <c r="E114" s="42">
        <f>H114+N114+T114+Z114+AF114+AL114+AR114+AX114+BD114+BJ114</f>
        <v/>
      </c>
      <c r="F114">
        <f>MAX(0,'My Debts'!$E$21-(I114+O114+U114+AA114+AG114+AM114+AS114+AY114+BE114+BK114))</f>
        <v/>
      </c>
      <c r="G114" s="42">
        <f>K113</f>
        <v/>
      </c>
      <c r="H114" s="42">
        <f>ROUND(G114*H$6/12,2)</f>
        <v/>
      </c>
      <c r="I114" s="42">
        <f>MIN(I$6,G114+H114)</f>
        <v/>
      </c>
      <c r="J114" s="42">
        <f>MAX(0,MIN(G114+H114-I114,$F114))</f>
        <v/>
      </c>
      <c r="K114" s="42">
        <f>ROUND(G114+H114-I114-J114,2)</f>
        <v/>
      </c>
      <c r="L114">
        <f>$F114-J114</f>
        <v/>
      </c>
      <c r="M114" s="42">
        <f>Q113</f>
        <v/>
      </c>
      <c r="N114" s="42">
        <f>ROUND(M114*N$6/12,2)</f>
        <v/>
      </c>
      <c r="O114" s="42">
        <f>MIN(O$6,M114+N114)</f>
        <v/>
      </c>
      <c r="P114" s="42">
        <f>MAX(0,MIN(M114+N114-O114,L114))</f>
        <v/>
      </c>
      <c r="Q114" s="42">
        <f>ROUND(M114+N114-O114-P114,2)</f>
        <v/>
      </c>
      <c r="R114">
        <f>L114-P114</f>
        <v/>
      </c>
      <c r="S114" s="42">
        <f>W113</f>
        <v/>
      </c>
      <c r="T114" s="42">
        <f>ROUND(S114*T$6/12,2)</f>
        <v/>
      </c>
      <c r="U114" s="42">
        <f>MIN(U$6,S114+T114)</f>
        <v/>
      </c>
      <c r="V114" s="42">
        <f>MAX(0,MIN(S114+T114-U114,R114))</f>
        <v/>
      </c>
      <c r="W114" s="42">
        <f>ROUND(S114+T114-U114-V114,2)</f>
        <v/>
      </c>
      <c r="X114">
        <f>R114-V114</f>
        <v/>
      </c>
      <c r="Y114" s="42">
        <f>AC113</f>
        <v/>
      </c>
      <c r="Z114" s="42">
        <f>ROUND(Y114*Z$6/12,2)</f>
        <v/>
      </c>
      <c r="AA114" s="42">
        <f>MIN(AA$6,Y114+Z114)</f>
        <v/>
      </c>
      <c r="AB114" s="42">
        <f>MAX(0,MIN(Y114+Z114-AA114,X114))</f>
        <v/>
      </c>
      <c r="AC114" s="42">
        <f>ROUND(Y114+Z114-AA114-AB114,2)</f>
        <v/>
      </c>
      <c r="AD114">
        <f>X114-AB114</f>
        <v/>
      </c>
      <c r="AE114" s="42">
        <f>AI113</f>
        <v/>
      </c>
      <c r="AF114" s="42">
        <f>ROUND(AE114*AF$6/12,2)</f>
        <v/>
      </c>
      <c r="AG114" s="42">
        <f>MIN(AG$6,AE114+AF114)</f>
        <v/>
      </c>
      <c r="AH114" s="42">
        <f>MAX(0,MIN(AE114+AF114-AG114,AD114))</f>
        <v/>
      </c>
      <c r="AI114" s="42">
        <f>ROUND(AE114+AF114-AG114-AH114,2)</f>
        <v/>
      </c>
      <c r="AJ114">
        <f>AD114-AH114</f>
        <v/>
      </c>
      <c r="AK114" s="42">
        <f>AO113</f>
        <v/>
      </c>
      <c r="AL114" s="42">
        <f>ROUND(AK114*AL$6/12,2)</f>
        <v/>
      </c>
      <c r="AM114" s="42">
        <f>MIN(AM$6,AK114+AL114)</f>
        <v/>
      </c>
      <c r="AN114" s="42">
        <f>MAX(0,MIN(AK114+AL114-AM114,AJ114))</f>
        <v/>
      </c>
      <c r="AO114" s="42">
        <f>ROUND(AK114+AL114-AM114-AN114,2)</f>
        <v/>
      </c>
      <c r="AP114">
        <f>AJ114-AN114</f>
        <v/>
      </c>
      <c r="AQ114" s="42">
        <f>AU113</f>
        <v/>
      </c>
      <c r="AR114" s="42">
        <f>ROUND(AQ114*AR$6/12,2)</f>
        <v/>
      </c>
      <c r="AS114" s="42">
        <f>MIN(AS$6,AQ114+AR114)</f>
        <v/>
      </c>
      <c r="AT114" s="42">
        <f>MAX(0,MIN(AQ114+AR114-AS114,AP114))</f>
        <v/>
      </c>
      <c r="AU114" s="42">
        <f>ROUND(AQ114+AR114-AS114-AT114,2)</f>
        <v/>
      </c>
      <c r="AV114">
        <f>AP114-AT114</f>
        <v/>
      </c>
      <c r="AW114" s="42">
        <f>BA113</f>
        <v/>
      </c>
      <c r="AX114" s="42">
        <f>ROUND(AW114*AX$6/12,2)</f>
        <v/>
      </c>
      <c r="AY114" s="42">
        <f>MIN(AY$6,AW114+AX114)</f>
        <v/>
      </c>
      <c r="AZ114" s="42">
        <f>MAX(0,MIN(AW114+AX114-AY114,AV114))</f>
        <v/>
      </c>
      <c r="BA114" s="42">
        <f>ROUND(AW114+AX114-AY114-AZ114,2)</f>
        <v/>
      </c>
      <c r="BB114">
        <f>AV114-AZ114</f>
        <v/>
      </c>
      <c r="BC114" s="42">
        <f>BG113</f>
        <v/>
      </c>
      <c r="BD114" s="42">
        <f>ROUND(BC114*BD$6/12,2)</f>
        <v/>
      </c>
      <c r="BE114" s="42">
        <f>MIN(BE$6,BC114+BD114)</f>
        <v/>
      </c>
      <c r="BF114" s="42">
        <f>MAX(0,MIN(BC114+BD114-BE114,BB114))</f>
        <v/>
      </c>
      <c r="BG114" s="42">
        <f>ROUND(BC114+BD114-BE114-BF114,2)</f>
        <v/>
      </c>
      <c r="BH114">
        <f>BB114-BF114</f>
        <v/>
      </c>
      <c r="BI114" s="42">
        <f>BM113</f>
        <v/>
      </c>
      <c r="BJ114" s="42">
        <f>ROUND(BI114*BJ$6/12,2)</f>
        <v/>
      </c>
      <c r="BK114" s="42">
        <f>MIN(BK$6,BI114+BJ114)</f>
        <v/>
      </c>
      <c r="BL114" s="42">
        <f>MAX(0,MIN(BI114+BJ114-BK114,BH114))</f>
        <v/>
      </c>
      <c r="BM114" s="42">
        <f>ROUND(BI114+BJ114-BK114-BL114,2)</f>
        <v/>
      </c>
      <c r="BN114">
        <f>BH114-BL114</f>
        <v/>
      </c>
    </row>
    <row r="115">
      <c r="A115" s="43" t="n">
        <v>108</v>
      </c>
      <c r="B115" s="44">
        <f>EDATE('My Debts'!$C$6,A115-1)</f>
        <v/>
      </c>
      <c r="C115" s="45">
        <f>K115+Q115+W115+AC115+AI115+AO115+AU115+BA115+BG115+BM115</f>
        <v/>
      </c>
      <c r="D115" s="46">
        <f>I115+O115+U115+AA115+AG115+AM115+AS115+AY115+BE115+BK115+J115+P115+V115+AB115+AH115+AN115+AT115+AZ115+BF115+BL115</f>
        <v/>
      </c>
      <c r="E115" s="46">
        <f>H115+N115+T115+Z115+AF115+AL115+AR115+AX115+BD115+BJ115</f>
        <v/>
      </c>
      <c r="F115">
        <f>MAX(0,'My Debts'!$E$21-(I115+O115+U115+AA115+AG115+AM115+AS115+AY115+BE115+BK115))</f>
        <v/>
      </c>
      <c r="G115" s="42">
        <f>K114</f>
        <v/>
      </c>
      <c r="H115" s="42">
        <f>ROUND(G115*H$6/12,2)</f>
        <v/>
      </c>
      <c r="I115" s="42">
        <f>MIN(I$6,G115+H115)</f>
        <v/>
      </c>
      <c r="J115" s="42">
        <f>MAX(0,MIN(G115+H115-I115,$F115))</f>
        <v/>
      </c>
      <c r="K115" s="42">
        <f>ROUND(G115+H115-I115-J115,2)</f>
        <v/>
      </c>
      <c r="L115">
        <f>$F115-J115</f>
        <v/>
      </c>
      <c r="M115" s="42">
        <f>Q114</f>
        <v/>
      </c>
      <c r="N115" s="42">
        <f>ROUND(M115*N$6/12,2)</f>
        <v/>
      </c>
      <c r="O115" s="42">
        <f>MIN(O$6,M115+N115)</f>
        <v/>
      </c>
      <c r="P115" s="42">
        <f>MAX(0,MIN(M115+N115-O115,L115))</f>
        <v/>
      </c>
      <c r="Q115" s="42">
        <f>ROUND(M115+N115-O115-P115,2)</f>
        <v/>
      </c>
      <c r="R115">
        <f>L115-P115</f>
        <v/>
      </c>
      <c r="S115" s="42">
        <f>W114</f>
        <v/>
      </c>
      <c r="T115" s="42">
        <f>ROUND(S115*T$6/12,2)</f>
        <v/>
      </c>
      <c r="U115" s="42">
        <f>MIN(U$6,S115+T115)</f>
        <v/>
      </c>
      <c r="V115" s="42">
        <f>MAX(0,MIN(S115+T115-U115,R115))</f>
        <v/>
      </c>
      <c r="W115" s="42">
        <f>ROUND(S115+T115-U115-V115,2)</f>
        <v/>
      </c>
      <c r="X115">
        <f>R115-V115</f>
        <v/>
      </c>
      <c r="Y115" s="42">
        <f>AC114</f>
        <v/>
      </c>
      <c r="Z115" s="42">
        <f>ROUND(Y115*Z$6/12,2)</f>
        <v/>
      </c>
      <c r="AA115" s="42">
        <f>MIN(AA$6,Y115+Z115)</f>
        <v/>
      </c>
      <c r="AB115" s="42">
        <f>MAX(0,MIN(Y115+Z115-AA115,X115))</f>
        <v/>
      </c>
      <c r="AC115" s="42">
        <f>ROUND(Y115+Z115-AA115-AB115,2)</f>
        <v/>
      </c>
      <c r="AD115">
        <f>X115-AB115</f>
        <v/>
      </c>
      <c r="AE115" s="42">
        <f>AI114</f>
        <v/>
      </c>
      <c r="AF115" s="42">
        <f>ROUND(AE115*AF$6/12,2)</f>
        <v/>
      </c>
      <c r="AG115" s="42">
        <f>MIN(AG$6,AE115+AF115)</f>
        <v/>
      </c>
      <c r="AH115" s="42">
        <f>MAX(0,MIN(AE115+AF115-AG115,AD115))</f>
        <v/>
      </c>
      <c r="AI115" s="42">
        <f>ROUND(AE115+AF115-AG115-AH115,2)</f>
        <v/>
      </c>
      <c r="AJ115">
        <f>AD115-AH115</f>
        <v/>
      </c>
      <c r="AK115" s="42">
        <f>AO114</f>
        <v/>
      </c>
      <c r="AL115" s="42">
        <f>ROUND(AK115*AL$6/12,2)</f>
        <v/>
      </c>
      <c r="AM115" s="42">
        <f>MIN(AM$6,AK115+AL115)</f>
        <v/>
      </c>
      <c r="AN115" s="42">
        <f>MAX(0,MIN(AK115+AL115-AM115,AJ115))</f>
        <v/>
      </c>
      <c r="AO115" s="42">
        <f>ROUND(AK115+AL115-AM115-AN115,2)</f>
        <v/>
      </c>
      <c r="AP115">
        <f>AJ115-AN115</f>
        <v/>
      </c>
      <c r="AQ115" s="42">
        <f>AU114</f>
        <v/>
      </c>
      <c r="AR115" s="42">
        <f>ROUND(AQ115*AR$6/12,2)</f>
        <v/>
      </c>
      <c r="AS115" s="42">
        <f>MIN(AS$6,AQ115+AR115)</f>
        <v/>
      </c>
      <c r="AT115" s="42">
        <f>MAX(0,MIN(AQ115+AR115-AS115,AP115))</f>
        <v/>
      </c>
      <c r="AU115" s="42">
        <f>ROUND(AQ115+AR115-AS115-AT115,2)</f>
        <v/>
      </c>
      <c r="AV115">
        <f>AP115-AT115</f>
        <v/>
      </c>
      <c r="AW115" s="42">
        <f>BA114</f>
        <v/>
      </c>
      <c r="AX115" s="42">
        <f>ROUND(AW115*AX$6/12,2)</f>
        <v/>
      </c>
      <c r="AY115" s="42">
        <f>MIN(AY$6,AW115+AX115)</f>
        <v/>
      </c>
      <c r="AZ115" s="42">
        <f>MAX(0,MIN(AW115+AX115-AY115,AV115))</f>
        <v/>
      </c>
      <c r="BA115" s="42">
        <f>ROUND(AW115+AX115-AY115-AZ115,2)</f>
        <v/>
      </c>
      <c r="BB115">
        <f>AV115-AZ115</f>
        <v/>
      </c>
      <c r="BC115" s="42">
        <f>BG114</f>
        <v/>
      </c>
      <c r="BD115" s="42">
        <f>ROUND(BC115*BD$6/12,2)</f>
        <v/>
      </c>
      <c r="BE115" s="42">
        <f>MIN(BE$6,BC115+BD115)</f>
        <v/>
      </c>
      <c r="BF115" s="42">
        <f>MAX(0,MIN(BC115+BD115-BE115,BB115))</f>
        <v/>
      </c>
      <c r="BG115" s="42">
        <f>ROUND(BC115+BD115-BE115-BF115,2)</f>
        <v/>
      </c>
      <c r="BH115">
        <f>BB115-BF115</f>
        <v/>
      </c>
      <c r="BI115" s="42">
        <f>BM114</f>
        <v/>
      </c>
      <c r="BJ115" s="42">
        <f>ROUND(BI115*BJ$6/12,2)</f>
        <v/>
      </c>
      <c r="BK115" s="42">
        <f>MIN(BK$6,BI115+BJ115)</f>
        <v/>
      </c>
      <c r="BL115" s="42">
        <f>MAX(0,MIN(BI115+BJ115-BK115,BH115))</f>
        <v/>
      </c>
      <c r="BM115" s="42">
        <f>ROUND(BI115+BJ115-BK115-BL115,2)</f>
        <v/>
      </c>
      <c r="BN115">
        <f>BH115-BL115</f>
        <v/>
      </c>
    </row>
    <row r="116">
      <c r="A116" s="39" t="n">
        <v>109</v>
      </c>
      <c r="B116" s="40">
        <f>EDATE('My Debts'!$C$6,A116-1)</f>
        <v/>
      </c>
      <c r="C116" s="41">
        <f>K116+Q116+W116+AC116+AI116+AO116+AU116+BA116+BG116+BM116</f>
        <v/>
      </c>
      <c r="D116" s="42">
        <f>I116+O116+U116+AA116+AG116+AM116+AS116+AY116+BE116+BK116+J116+P116+V116+AB116+AH116+AN116+AT116+AZ116+BF116+BL116</f>
        <v/>
      </c>
      <c r="E116" s="42">
        <f>H116+N116+T116+Z116+AF116+AL116+AR116+AX116+BD116+BJ116</f>
        <v/>
      </c>
      <c r="F116">
        <f>MAX(0,'My Debts'!$E$21-(I116+O116+U116+AA116+AG116+AM116+AS116+AY116+BE116+BK116))</f>
        <v/>
      </c>
      <c r="G116" s="42">
        <f>K115</f>
        <v/>
      </c>
      <c r="H116" s="42">
        <f>ROUND(G116*H$6/12,2)</f>
        <v/>
      </c>
      <c r="I116" s="42">
        <f>MIN(I$6,G116+H116)</f>
        <v/>
      </c>
      <c r="J116" s="42">
        <f>MAX(0,MIN(G116+H116-I116,$F116))</f>
        <v/>
      </c>
      <c r="K116" s="42">
        <f>ROUND(G116+H116-I116-J116,2)</f>
        <v/>
      </c>
      <c r="L116">
        <f>$F116-J116</f>
        <v/>
      </c>
      <c r="M116" s="42">
        <f>Q115</f>
        <v/>
      </c>
      <c r="N116" s="42">
        <f>ROUND(M116*N$6/12,2)</f>
        <v/>
      </c>
      <c r="O116" s="42">
        <f>MIN(O$6,M116+N116)</f>
        <v/>
      </c>
      <c r="P116" s="42">
        <f>MAX(0,MIN(M116+N116-O116,L116))</f>
        <v/>
      </c>
      <c r="Q116" s="42">
        <f>ROUND(M116+N116-O116-P116,2)</f>
        <v/>
      </c>
      <c r="R116">
        <f>L116-P116</f>
        <v/>
      </c>
      <c r="S116" s="42">
        <f>W115</f>
        <v/>
      </c>
      <c r="T116" s="42">
        <f>ROUND(S116*T$6/12,2)</f>
        <v/>
      </c>
      <c r="U116" s="42">
        <f>MIN(U$6,S116+T116)</f>
        <v/>
      </c>
      <c r="V116" s="42">
        <f>MAX(0,MIN(S116+T116-U116,R116))</f>
        <v/>
      </c>
      <c r="W116" s="42">
        <f>ROUND(S116+T116-U116-V116,2)</f>
        <v/>
      </c>
      <c r="X116">
        <f>R116-V116</f>
        <v/>
      </c>
      <c r="Y116" s="42">
        <f>AC115</f>
        <v/>
      </c>
      <c r="Z116" s="42">
        <f>ROUND(Y116*Z$6/12,2)</f>
        <v/>
      </c>
      <c r="AA116" s="42">
        <f>MIN(AA$6,Y116+Z116)</f>
        <v/>
      </c>
      <c r="AB116" s="42">
        <f>MAX(0,MIN(Y116+Z116-AA116,X116))</f>
        <v/>
      </c>
      <c r="AC116" s="42">
        <f>ROUND(Y116+Z116-AA116-AB116,2)</f>
        <v/>
      </c>
      <c r="AD116">
        <f>X116-AB116</f>
        <v/>
      </c>
      <c r="AE116" s="42">
        <f>AI115</f>
        <v/>
      </c>
      <c r="AF116" s="42">
        <f>ROUND(AE116*AF$6/12,2)</f>
        <v/>
      </c>
      <c r="AG116" s="42">
        <f>MIN(AG$6,AE116+AF116)</f>
        <v/>
      </c>
      <c r="AH116" s="42">
        <f>MAX(0,MIN(AE116+AF116-AG116,AD116))</f>
        <v/>
      </c>
      <c r="AI116" s="42">
        <f>ROUND(AE116+AF116-AG116-AH116,2)</f>
        <v/>
      </c>
      <c r="AJ116">
        <f>AD116-AH116</f>
        <v/>
      </c>
      <c r="AK116" s="42">
        <f>AO115</f>
        <v/>
      </c>
      <c r="AL116" s="42">
        <f>ROUND(AK116*AL$6/12,2)</f>
        <v/>
      </c>
      <c r="AM116" s="42">
        <f>MIN(AM$6,AK116+AL116)</f>
        <v/>
      </c>
      <c r="AN116" s="42">
        <f>MAX(0,MIN(AK116+AL116-AM116,AJ116))</f>
        <v/>
      </c>
      <c r="AO116" s="42">
        <f>ROUND(AK116+AL116-AM116-AN116,2)</f>
        <v/>
      </c>
      <c r="AP116">
        <f>AJ116-AN116</f>
        <v/>
      </c>
      <c r="AQ116" s="42">
        <f>AU115</f>
        <v/>
      </c>
      <c r="AR116" s="42">
        <f>ROUND(AQ116*AR$6/12,2)</f>
        <v/>
      </c>
      <c r="AS116" s="42">
        <f>MIN(AS$6,AQ116+AR116)</f>
        <v/>
      </c>
      <c r="AT116" s="42">
        <f>MAX(0,MIN(AQ116+AR116-AS116,AP116))</f>
        <v/>
      </c>
      <c r="AU116" s="42">
        <f>ROUND(AQ116+AR116-AS116-AT116,2)</f>
        <v/>
      </c>
      <c r="AV116">
        <f>AP116-AT116</f>
        <v/>
      </c>
      <c r="AW116" s="42">
        <f>BA115</f>
        <v/>
      </c>
      <c r="AX116" s="42">
        <f>ROUND(AW116*AX$6/12,2)</f>
        <v/>
      </c>
      <c r="AY116" s="42">
        <f>MIN(AY$6,AW116+AX116)</f>
        <v/>
      </c>
      <c r="AZ116" s="42">
        <f>MAX(0,MIN(AW116+AX116-AY116,AV116))</f>
        <v/>
      </c>
      <c r="BA116" s="42">
        <f>ROUND(AW116+AX116-AY116-AZ116,2)</f>
        <v/>
      </c>
      <c r="BB116">
        <f>AV116-AZ116</f>
        <v/>
      </c>
      <c r="BC116" s="42">
        <f>BG115</f>
        <v/>
      </c>
      <c r="BD116" s="42">
        <f>ROUND(BC116*BD$6/12,2)</f>
        <v/>
      </c>
      <c r="BE116" s="42">
        <f>MIN(BE$6,BC116+BD116)</f>
        <v/>
      </c>
      <c r="BF116" s="42">
        <f>MAX(0,MIN(BC116+BD116-BE116,BB116))</f>
        <v/>
      </c>
      <c r="BG116" s="42">
        <f>ROUND(BC116+BD116-BE116-BF116,2)</f>
        <v/>
      </c>
      <c r="BH116">
        <f>BB116-BF116</f>
        <v/>
      </c>
      <c r="BI116" s="42">
        <f>BM115</f>
        <v/>
      </c>
      <c r="BJ116" s="42">
        <f>ROUND(BI116*BJ$6/12,2)</f>
        <v/>
      </c>
      <c r="BK116" s="42">
        <f>MIN(BK$6,BI116+BJ116)</f>
        <v/>
      </c>
      <c r="BL116" s="42">
        <f>MAX(0,MIN(BI116+BJ116-BK116,BH116))</f>
        <v/>
      </c>
      <c r="BM116" s="42">
        <f>ROUND(BI116+BJ116-BK116-BL116,2)</f>
        <v/>
      </c>
      <c r="BN116">
        <f>BH116-BL116</f>
        <v/>
      </c>
    </row>
    <row r="117">
      <c r="A117" s="43" t="n">
        <v>110</v>
      </c>
      <c r="B117" s="44">
        <f>EDATE('My Debts'!$C$6,A117-1)</f>
        <v/>
      </c>
      <c r="C117" s="45">
        <f>K117+Q117+W117+AC117+AI117+AO117+AU117+BA117+BG117+BM117</f>
        <v/>
      </c>
      <c r="D117" s="46">
        <f>I117+O117+U117+AA117+AG117+AM117+AS117+AY117+BE117+BK117+J117+P117+V117+AB117+AH117+AN117+AT117+AZ117+BF117+BL117</f>
        <v/>
      </c>
      <c r="E117" s="46">
        <f>H117+N117+T117+Z117+AF117+AL117+AR117+AX117+BD117+BJ117</f>
        <v/>
      </c>
      <c r="F117">
        <f>MAX(0,'My Debts'!$E$21-(I117+O117+U117+AA117+AG117+AM117+AS117+AY117+BE117+BK117))</f>
        <v/>
      </c>
      <c r="G117" s="42">
        <f>K116</f>
        <v/>
      </c>
      <c r="H117" s="42">
        <f>ROUND(G117*H$6/12,2)</f>
        <v/>
      </c>
      <c r="I117" s="42">
        <f>MIN(I$6,G117+H117)</f>
        <v/>
      </c>
      <c r="J117" s="42">
        <f>MAX(0,MIN(G117+H117-I117,$F117))</f>
        <v/>
      </c>
      <c r="K117" s="42">
        <f>ROUND(G117+H117-I117-J117,2)</f>
        <v/>
      </c>
      <c r="L117">
        <f>$F117-J117</f>
        <v/>
      </c>
      <c r="M117" s="42">
        <f>Q116</f>
        <v/>
      </c>
      <c r="N117" s="42">
        <f>ROUND(M117*N$6/12,2)</f>
        <v/>
      </c>
      <c r="O117" s="42">
        <f>MIN(O$6,M117+N117)</f>
        <v/>
      </c>
      <c r="P117" s="42">
        <f>MAX(0,MIN(M117+N117-O117,L117))</f>
        <v/>
      </c>
      <c r="Q117" s="42">
        <f>ROUND(M117+N117-O117-P117,2)</f>
        <v/>
      </c>
      <c r="R117">
        <f>L117-P117</f>
        <v/>
      </c>
      <c r="S117" s="42">
        <f>W116</f>
        <v/>
      </c>
      <c r="T117" s="42">
        <f>ROUND(S117*T$6/12,2)</f>
        <v/>
      </c>
      <c r="U117" s="42">
        <f>MIN(U$6,S117+T117)</f>
        <v/>
      </c>
      <c r="V117" s="42">
        <f>MAX(0,MIN(S117+T117-U117,R117))</f>
        <v/>
      </c>
      <c r="W117" s="42">
        <f>ROUND(S117+T117-U117-V117,2)</f>
        <v/>
      </c>
      <c r="X117">
        <f>R117-V117</f>
        <v/>
      </c>
      <c r="Y117" s="42">
        <f>AC116</f>
        <v/>
      </c>
      <c r="Z117" s="42">
        <f>ROUND(Y117*Z$6/12,2)</f>
        <v/>
      </c>
      <c r="AA117" s="42">
        <f>MIN(AA$6,Y117+Z117)</f>
        <v/>
      </c>
      <c r="AB117" s="42">
        <f>MAX(0,MIN(Y117+Z117-AA117,X117))</f>
        <v/>
      </c>
      <c r="AC117" s="42">
        <f>ROUND(Y117+Z117-AA117-AB117,2)</f>
        <v/>
      </c>
      <c r="AD117">
        <f>X117-AB117</f>
        <v/>
      </c>
      <c r="AE117" s="42">
        <f>AI116</f>
        <v/>
      </c>
      <c r="AF117" s="42">
        <f>ROUND(AE117*AF$6/12,2)</f>
        <v/>
      </c>
      <c r="AG117" s="42">
        <f>MIN(AG$6,AE117+AF117)</f>
        <v/>
      </c>
      <c r="AH117" s="42">
        <f>MAX(0,MIN(AE117+AF117-AG117,AD117))</f>
        <v/>
      </c>
      <c r="AI117" s="42">
        <f>ROUND(AE117+AF117-AG117-AH117,2)</f>
        <v/>
      </c>
      <c r="AJ117">
        <f>AD117-AH117</f>
        <v/>
      </c>
      <c r="AK117" s="42">
        <f>AO116</f>
        <v/>
      </c>
      <c r="AL117" s="42">
        <f>ROUND(AK117*AL$6/12,2)</f>
        <v/>
      </c>
      <c r="AM117" s="42">
        <f>MIN(AM$6,AK117+AL117)</f>
        <v/>
      </c>
      <c r="AN117" s="42">
        <f>MAX(0,MIN(AK117+AL117-AM117,AJ117))</f>
        <v/>
      </c>
      <c r="AO117" s="42">
        <f>ROUND(AK117+AL117-AM117-AN117,2)</f>
        <v/>
      </c>
      <c r="AP117">
        <f>AJ117-AN117</f>
        <v/>
      </c>
      <c r="AQ117" s="42">
        <f>AU116</f>
        <v/>
      </c>
      <c r="AR117" s="42">
        <f>ROUND(AQ117*AR$6/12,2)</f>
        <v/>
      </c>
      <c r="AS117" s="42">
        <f>MIN(AS$6,AQ117+AR117)</f>
        <v/>
      </c>
      <c r="AT117" s="42">
        <f>MAX(0,MIN(AQ117+AR117-AS117,AP117))</f>
        <v/>
      </c>
      <c r="AU117" s="42">
        <f>ROUND(AQ117+AR117-AS117-AT117,2)</f>
        <v/>
      </c>
      <c r="AV117">
        <f>AP117-AT117</f>
        <v/>
      </c>
      <c r="AW117" s="42">
        <f>BA116</f>
        <v/>
      </c>
      <c r="AX117" s="42">
        <f>ROUND(AW117*AX$6/12,2)</f>
        <v/>
      </c>
      <c r="AY117" s="42">
        <f>MIN(AY$6,AW117+AX117)</f>
        <v/>
      </c>
      <c r="AZ117" s="42">
        <f>MAX(0,MIN(AW117+AX117-AY117,AV117))</f>
        <v/>
      </c>
      <c r="BA117" s="42">
        <f>ROUND(AW117+AX117-AY117-AZ117,2)</f>
        <v/>
      </c>
      <c r="BB117">
        <f>AV117-AZ117</f>
        <v/>
      </c>
      <c r="BC117" s="42">
        <f>BG116</f>
        <v/>
      </c>
      <c r="BD117" s="42">
        <f>ROUND(BC117*BD$6/12,2)</f>
        <v/>
      </c>
      <c r="BE117" s="42">
        <f>MIN(BE$6,BC117+BD117)</f>
        <v/>
      </c>
      <c r="BF117" s="42">
        <f>MAX(0,MIN(BC117+BD117-BE117,BB117))</f>
        <v/>
      </c>
      <c r="BG117" s="42">
        <f>ROUND(BC117+BD117-BE117-BF117,2)</f>
        <v/>
      </c>
      <c r="BH117">
        <f>BB117-BF117</f>
        <v/>
      </c>
      <c r="BI117" s="42">
        <f>BM116</f>
        <v/>
      </c>
      <c r="BJ117" s="42">
        <f>ROUND(BI117*BJ$6/12,2)</f>
        <v/>
      </c>
      <c r="BK117" s="42">
        <f>MIN(BK$6,BI117+BJ117)</f>
        <v/>
      </c>
      <c r="BL117" s="42">
        <f>MAX(0,MIN(BI117+BJ117-BK117,BH117))</f>
        <v/>
      </c>
      <c r="BM117" s="42">
        <f>ROUND(BI117+BJ117-BK117-BL117,2)</f>
        <v/>
      </c>
      <c r="BN117">
        <f>BH117-BL117</f>
        <v/>
      </c>
    </row>
    <row r="118">
      <c r="A118" s="39" t="n">
        <v>111</v>
      </c>
      <c r="B118" s="40">
        <f>EDATE('My Debts'!$C$6,A118-1)</f>
        <v/>
      </c>
      <c r="C118" s="41">
        <f>K118+Q118+W118+AC118+AI118+AO118+AU118+BA118+BG118+BM118</f>
        <v/>
      </c>
      <c r="D118" s="42">
        <f>I118+O118+U118+AA118+AG118+AM118+AS118+AY118+BE118+BK118+J118+P118+V118+AB118+AH118+AN118+AT118+AZ118+BF118+BL118</f>
        <v/>
      </c>
      <c r="E118" s="42">
        <f>H118+N118+T118+Z118+AF118+AL118+AR118+AX118+BD118+BJ118</f>
        <v/>
      </c>
      <c r="F118">
        <f>MAX(0,'My Debts'!$E$21-(I118+O118+U118+AA118+AG118+AM118+AS118+AY118+BE118+BK118))</f>
        <v/>
      </c>
      <c r="G118" s="42">
        <f>K117</f>
        <v/>
      </c>
      <c r="H118" s="42">
        <f>ROUND(G118*H$6/12,2)</f>
        <v/>
      </c>
      <c r="I118" s="42">
        <f>MIN(I$6,G118+H118)</f>
        <v/>
      </c>
      <c r="J118" s="42">
        <f>MAX(0,MIN(G118+H118-I118,$F118))</f>
        <v/>
      </c>
      <c r="K118" s="42">
        <f>ROUND(G118+H118-I118-J118,2)</f>
        <v/>
      </c>
      <c r="L118">
        <f>$F118-J118</f>
        <v/>
      </c>
      <c r="M118" s="42">
        <f>Q117</f>
        <v/>
      </c>
      <c r="N118" s="42">
        <f>ROUND(M118*N$6/12,2)</f>
        <v/>
      </c>
      <c r="O118" s="42">
        <f>MIN(O$6,M118+N118)</f>
        <v/>
      </c>
      <c r="P118" s="42">
        <f>MAX(0,MIN(M118+N118-O118,L118))</f>
        <v/>
      </c>
      <c r="Q118" s="42">
        <f>ROUND(M118+N118-O118-P118,2)</f>
        <v/>
      </c>
      <c r="R118">
        <f>L118-P118</f>
        <v/>
      </c>
      <c r="S118" s="42">
        <f>W117</f>
        <v/>
      </c>
      <c r="T118" s="42">
        <f>ROUND(S118*T$6/12,2)</f>
        <v/>
      </c>
      <c r="U118" s="42">
        <f>MIN(U$6,S118+T118)</f>
        <v/>
      </c>
      <c r="V118" s="42">
        <f>MAX(0,MIN(S118+T118-U118,R118))</f>
        <v/>
      </c>
      <c r="W118" s="42">
        <f>ROUND(S118+T118-U118-V118,2)</f>
        <v/>
      </c>
      <c r="X118">
        <f>R118-V118</f>
        <v/>
      </c>
      <c r="Y118" s="42">
        <f>AC117</f>
        <v/>
      </c>
      <c r="Z118" s="42">
        <f>ROUND(Y118*Z$6/12,2)</f>
        <v/>
      </c>
      <c r="AA118" s="42">
        <f>MIN(AA$6,Y118+Z118)</f>
        <v/>
      </c>
      <c r="AB118" s="42">
        <f>MAX(0,MIN(Y118+Z118-AA118,X118))</f>
        <v/>
      </c>
      <c r="AC118" s="42">
        <f>ROUND(Y118+Z118-AA118-AB118,2)</f>
        <v/>
      </c>
      <c r="AD118">
        <f>X118-AB118</f>
        <v/>
      </c>
      <c r="AE118" s="42">
        <f>AI117</f>
        <v/>
      </c>
      <c r="AF118" s="42">
        <f>ROUND(AE118*AF$6/12,2)</f>
        <v/>
      </c>
      <c r="AG118" s="42">
        <f>MIN(AG$6,AE118+AF118)</f>
        <v/>
      </c>
      <c r="AH118" s="42">
        <f>MAX(0,MIN(AE118+AF118-AG118,AD118))</f>
        <v/>
      </c>
      <c r="AI118" s="42">
        <f>ROUND(AE118+AF118-AG118-AH118,2)</f>
        <v/>
      </c>
      <c r="AJ118">
        <f>AD118-AH118</f>
        <v/>
      </c>
      <c r="AK118" s="42">
        <f>AO117</f>
        <v/>
      </c>
      <c r="AL118" s="42">
        <f>ROUND(AK118*AL$6/12,2)</f>
        <v/>
      </c>
      <c r="AM118" s="42">
        <f>MIN(AM$6,AK118+AL118)</f>
        <v/>
      </c>
      <c r="AN118" s="42">
        <f>MAX(0,MIN(AK118+AL118-AM118,AJ118))</f>
        <v/>
      </c>
      <c r="AO118" s="42">
        <f>ROUND(AK118+AL118-AM118-AN118,2)</f>
        <v/>
      </c>
      <c r="AP118">
        <f>AJ118-AN118</f>
        <v/>
      </c>
      <c r="AQ118" s="42">
        <f>AU117</f>
        <v/>
      </c>
      <c r="AR118" s="42">
        <f>ROUND(AQ118*AR$6/12,2)</f>
        <v/>
      </c>
      <c r="AS118" s="42">
        <f>MIN(AS$6,AQ118+AR118)</f>
        <v/>
      </c>
      <c r="AT118" s="42">
        <f>MAX(0,MIN(AQ118+AR118-AS118,AP118))</f>
        <v/>
      </c>
      <c r="AU118" s="42">
        <f>ROUND(AQ118+AR118-AS118-AT118,2)</f>
        <v/>
      </c>
      <c r="AV118">
        <f>AP118-AT118</f>
        <v/>
      </c>
      <c r="AW118" s="42">
        <f>BA117</f>
        <v/>
      </c>
      <c r="AX118" s="42">
        <f>ROUND(AW118*AX$6/12,2)</f>
        <v/>
      </c>
      <c r="AY118" s="42">
        <f>MIN(AY$6,AW118+AX118)</f>
        <v/>
      </c>
      <c r="AZ118" s="42">
        <f>MAX(0,MIN(AW118+AX118-AY118,AV118))</f>
        <v/>
      </c>
      <c r="BA118" s="42">
        <f>ROUND(AW118+AX118-AY118-AZ118,2)</f>
        <v/>
      </c>
      <c r="BB118">
        <f>AV118-AZ118</f>
        <v/>
      </c>
      <c r="BC118" s="42">
        <f>BG117</f>
        <v/>
      </c>
      <c r="BD118" s="42">
        <f>ROUND(BC118*BD$6/12,2)</f>
        <v/>
      </c>
      <c r="BE118" s="42">
        <f>MIN(BE$6,BC118+BD118)</f>
        <v/>
      </c>
      <c r="BF118" s="42">
        <f>MAX(0,MIN(BC118+BD118-BE118,BB118))</f>
        <v/>
      </c>
      <c r="BG118" s="42">
        <f>ROUND(BC118+BD118-BE118-BF118,2)</f>
        <v/>
      </c>
      <c r="BH118">
        <f>BB118-BF118</f>
        <v/>
      </c>
      <c r="BI118" s="42">
        <f>BM117</f>
        <v/>
      </c>
      <c r="BJ118" s="42">
        <f>ROUND(BI118*BJ$6/12,2)</f>
        <v/>
      </c>
      <c r="BK118" s="42">
        <f>MIN(BK$6,BI118+BJ118)</f>
        <v/>
      </c>
      <c r="BL118" s="42">
        <f>MAX(0,MIN(BI118+BJ118-BK118,BH118))</f>
        <v/>
      </c>
      <c r="BM118" s="42">
        <f>ROUND(BI118+BJ118-BK118-BL118,2)</f>
        <v/>
      </c>
      <c r="BN118">
        <f>BH118-BL118</f>
        <v/>
      </c>
    </row>
    <row r="119">
      <c r="A119" s="43" t="n">
        <v>112</v>
      </c>
      <c r="B119" s="44">
        <f>EDATE('My Debts'!$C$6,A119-1)</f>
        <v/>
      </c>
      <c r="C119" s="45">
        <f>K119+Q119+W119+AC119+AI119+AO119+AU119+BA119+BG119+BM119</f>
        <v/>
      </c>
      <c r="D119" s="46">
        <f>I119+O119+U119+AA119+AG119+AM119+AS119+AY119+BE119+BK119+J119+P119+V119+AB119+AH119+AN119+AT119+AZ119+BF119+BL119</f>
        <v/>
      </c>
      <c r="E119" s="46">
        <f>H119+N119+T119+Z119+AF119+AL119+AR119+AX119+BD119+BJ119</f>
        <v/>
      </c>
      <c r="F119">
        <f>MAX(0,'My Debts'!$E$21-(I119+O119+U119+AA119+AG119+AM119+AS119+AY119+BE119+BK119))</f>
        <v/>
      </c>
      <c r="G119" s="42">
        <f>K118</f>
        <v/>
      </c>
      <c r="H119" s="42">
        <f>ROUND(G119*H$6/12,2)</f>
        <v/>
      </c>
      <c r="I119" s="42">
        <f>MIN(I$6,G119+H119)</f>
        <v/>
      </c>
      <c r="J119" s="42">
        <f>MAX(0,MIN(G119+H119-I119,$F119))</f>
        <v/>
      </c>
      <c r="K119" s="42">
        <f>ROUND(G119+H119-I119-J119,2)</f>
        <v/>
      </c>
      <c r="L119">
        <f>$F119-J119</f>
        <v/>
      </c>
      <c r="M119" s="42">
        <f>Q118</f>
        <v/>
      </c>
      <c r="N119" s="42">
        <f>ROUND(M119*N$6/12,2)</f>
        <v/>
      </c>
      <c r="O119" s="42">
        <f>MIN(O$6,M119+N119)</f>
        <v/>
      </c>
      <c r="P119" s="42">
        <f>MAX(0,MIN(M119+N119-O119,L119))</f>
        <v/>
      </c>
      <c r="Q119" s="42">
        <f>ROUND(M119+N119-O119-P119,2)</f>
        <v/>
      </c>
      <c r="R119">
        <f>L119-P119</f>
        <v/>
      </c>
      <c r="S119" s="42">
        <f>W118</f>
        <v/>
      </c>
      <c r="T119" s="42">
        <f>ROUND(S119*T$6/12,2)</f>
        <v/>
      </c>
      <c r="U119" s="42">
        <f>MIN(U$6,S119+T119)</f>
        <v/>
      </c>
      <c r="V119" s="42">
        <f>MAX(0,MIN(S119+T119-U119,R119))</f>
        <v/>
      </c>
      <c r="W119" s="42">
        <f>ROUND(S119+T119-U119-V119,2)</f>
        <v/>
      </c>
      <c r="X119">
        <f>R119-V119</f>
        <v/>
      </c>
      <c r="Y119" s="42">
        <f>AC118</f>
        <v/>
      </c>
      <c r="Z119" s="42">
        <f>ROUND(Y119*Z$6/12,2)</f>
        <v/>
      </c>
      <c r="AA119" s="42">
        <f>MIN(AA$6,Y119+Z119)</f>
        <v/>
      </c>
      <c r="AB119" s="42">
        <f>MAX(0,MIN(Y119+Z119-AA119,X119))</f>
        <v/>
      </c>
      <c r="AC119" s="42">
        <f>ROUND(Y119+Z119-AA119-AB119,2)</f>
        <v/>
      </c>
      <c r="AD119">
        <f>X119-AB119</f>
        <v/>
      </c>
      <c r="AE119" s="42">
        <f>AI118</f>
        <v/>
      </c>
      <c r="AF119" s="42">
        <f>ROUND(AE119*AF$6/12,2)</f>
        <v/>
      </c>
      <c r="AG119" s="42">
        <f>MIN(AG$6,AE119+AF119)</f>
        <v/>
      </c>
      <c r="AH119" s="42">
        <f>MAX(0,MIN(AE119+AF119-AG119,AD119))</f>
        <v/>
      </c>
      <c r="AI119" s="42">
        <f>ROUND(AE119+AF119-AG119-AH119,2)</f>
        <v/>
      </c>
      <c r="AJ119">
        <f>AD119-AH119</f>
        <v/>
      </c>
      <c r="AK119" s="42">
        <f>AO118</f>
        <v/>
      </c>
      <c r="AL119" s="42">
        <f>ROUND(AK119*AL$6/12,2)</f>
        <v/>
      </c>
      <c r="AM119" s="42">
        <f>MIN(AM$6,AK119+AL119)</f>
        <v/>
      </c>
      <c r="AN119" s="42">
        <f>MAX(0,MIN(AK119+AL119-AM119,AJ119))</f>
        <v/>
      </c>
      <c r="AO119" s="42">
        <f>ROUND(AK119+AL119-AM119-AN119,2)</f>
        <v/>
      </c>
      <c r="AP119">
        <f>AJ119-AN119</f>
        <v/>
      </c>
      <c r="AQ119" s="42">
        <f>AU118</f>
        <v/>
      </c>
      <c r="AR119" s="42">
        <f>ROUND(AQ119*AR$6/12,2)</f>
        <v/>
      </c>
      <c r="AS119" s="42">
        <f>MIN(AS$6,AQ119+AR119)</f>
        <v/>
      </c>
      <c r="AT119" s="42">
        <f>MAX(0,MIN(AQ119+AR119-AS119,AP119))</f>
        <v/>
      </c>
      <c r="AU119" s="42">
        <f>ROUND(AQ119+AR119-AS119-AT119,2)</f>
        <v/>
      </c>
      <c r="AV119">
        <f>AP119-AT119</f>
        <v/>
      </c>
      <c r="AW119" s="42">
        <f>BA118</f>
        <v/>
      </c>
      <c r="AX119" s="42">
        <f>ROUND(AW119*AX$6/12,2)</f>
        <v/>
      </c>
      <c r="AY119" s="42">
        <f>MIN(AY$6,AW119+AX119)</f>
        <v/>
      </c>
      <c r="AZ119" s="42">
        <f>MAX(0,MIN(AW119+AX119-AY119,AV119))</f>
        <v/>
      </c>
      <c r="BA119" s="42">
        <f>ROUND(AW119+AX119-AY119-AZ119,2)</f>
        <v/>
      </c>
      <c r="BB119">
        <f>AV119-AZ119</f>
        <v/>
      </c>
      <c r="BC119" s="42">
        <f>BG118</f>
        <v/>
      </c>
      <c r="BD119" s="42">
        <f>ROUND(BC119*BD$6/12,2)</f>
        <v/>
      </c>
      <c r="BE119" s="42">
        <f>MIN(BE$6,BC119+BD119)</f>
        <v/>
      </c>
      <c r="BF119" s="42">
        <f>MAX(0,MIN(BC119+BD119-BE119,BB119))</f>
        <v/>
      </c>
      <c r="BG119" s="42">
        <f>ROUND(BC119+BD119-BE119-BF119,2)</f>
        <v/>
      </c>
      <c r="BH119">
        <f>BB119-BF119</f>
        <v/>
      </c>
      <c r="BI119" s="42">
        <f>BM118</f>
        <v/>
      </c>
      <c r="BJ119" s="42">
        <f>ROUND(BI119*BJ$6/12,2)</f>
        <v/>
      </c>
      <c r="BK119" s="42">
        <f>MIN(BK$6,BI119+BJ119)</f>
        <v/>
      </c>
      <c r="BL119" s="42">
        <f>MAX(0,MIN(BI119+BJ119-BK119,BH119))</f>
        <v/>
      </c>
      <c r="BM119" s="42">
        <f>ROUND(BI119+BJ119-BK119-BL119,2)</f>
        <v/>
      </c>
      <c r="BN119">
        <f>BH119-BL119</f>
        <v/>
      </c>
    </row>
    <row r="120">
      <c r="A120" s="39" t="n">
        <v>113</v>
      </c>
      <c r="B120" s="40">
        <f>EDATE('My Debts'!$C$6,A120-1)</f>
        <v/>
      </c>
      <c r="C120" s="41">
        <f>K120+Q120+W120+AC120+AI120+AO120+AU120+BA120+BG120+BM120</f>
        <v/>
      </c>
      <c r="D120" s="42">
        <f>I120+O120+U120+AA120+AG120+AM120+AS120+AY120+BE120+BK120+J120+P120+V120+AB120+AH120+AN120+AT120+AZ120+BF120+BL120</f>
        <v/>
      </c>
      <c r="E120" s="42">
        <f>H120+N120+T120+Z120+AF120+AL120+AR120+AX120+BD120+BJ120</f>
        <v/>
      </c>
      <c r="F120">
        <f>MAX(0,'My Debts'!$E$21-(I120+O120+U120+AA120+AG120+AM120+AS120+AY120+BE120+BK120))</f>
        <v/>
      </c>
      <c r="G120" s="42">
        <f>K119</f>
        <v/>
      </c>
      <c r="H120" s="42">
        <f>ROUND(G120*H$6/12,2)</f>
        <v/>
      </c>
      <c r="I120" s="42">
        <f>MIN(I$6,G120+H120)</f>
        <v/>
      </c>
      <c r="J120" s="42">
        <f>MAX(0,MIN(G120+H120-I120,$F120))</f>
        <v/>
      </c>
      <c r="K120" s="42">
        <f>ROUND(G120+H120-I120-J120,2)</f>
        <v/>
      </c>
      <c r="L120">
        <f>$F120-J120</f>
        <v/>
      </c>
      <c r="M120" s="42">
        <f>Q119</f>
        <v/>
      </c>
      <c r="N120" s="42">
        <f>ROUND(M120*N$6/12,2)</f>
        <v/>
      </c>
      <c r="O120" s="42">
        <f>MIN(O$6,M120+N120)</f>
        <v/>
      </c>
      <c r="P120" s="42">
        <f>MAX(0,MIN(M120+N120-O120,L120))</f>
        <v/>
      </c>
      <c r="Q120" s="42">
        <f>ROUND(M120+N120-O120-P120,2)</f>
        <v/>
      </c>
      <c r="R120">
        <f>L120-P120</f>
        <v/>
      </c>
      <c r="S120" s="42">
        <f>W119</f>
        <v/>
      </c>
      <c r="T120" s="42">
        <f>ROUND(S120*T$6/12,2)</f>
        <v/>
      </c>
      <c r="U120" s="42">
        <f>MIN(U$6,S120+T120)</f>
        <v/>
      </c>
      <c r="V120" s="42">
        <f>MAX(0,MIN(S120+T120-U120,R120))</f>
        <v/>
      </c>
      <c r="W120" s="42">
        <f>ROUND(S120+T120-U120-V120,2)</f>
        <v/>
      </c>
      <c r="X120">
        <f>R120-V120</f>
        <v/>
      </c>
      <c r="Y120" s="42">
        <f>AC119</f>
        <v/>
      </c>
      <c r="Z120" s="42">
        <f>ROUND(Y120*Z$6/12,2)</f>
        <v/>
      </c>
      <c r="AA120" s="42">
        <f>MIN(AA$6,Y120+Z120)</f>
        <v/>
      </c>
      <c r="AB120" s="42">
        <f>MAX(0,MIN(Y120+Z120-AA120,X120))</f>
        <v/>
      </c>
      <c r="AC120" s="42">
        <f>ROUND(Y120+Z120-AA120-AB120,2)</f>
        <v/>
      </c>
      <c r="AD120">
        <f>X120-AB120</f>
        <v/>
      </c>
      <c r="AE120" s="42">
        <f>AI119</f>
        <v/>
      </c>
      <c r="AF120" s="42">
        <f>ROUND(AE120*AF$6/12,2)</f>
        <v/>
      </c>
      <c r="AG120" s="42">
        <f>MIN(AG$6,AE120+AF120)</f>
        <v/>
      </c>
      <c r="AH120" s="42">
        <f>MAX(0,MIN(AE120+AF120-AG120,AD120))</f>
        <v/>
      </c>
      <c r="AI120" s="42">
        <f>ROUND(AE120+AF120-AG120-AH120,2)</f>
        <v/>
      </c>
      <c r="AJ120">
        <f>AD120-AH120</f>
        <v/>
      </c>
      <c r="AK120" s="42">
        <f>AO119</f>
        <v/>
      </c>
      <c r="AL120" s="42">
        <f>ROUND(AK120*AL$6/12,2)</f>
        <v/>
      </c>
      <c r="AM120" s="42">
        <f>MIN(AM$6,AK120+AL120)</f>
        <v/>
      </c>
      <c r="AN120" s="42">
        <f>MAX(0,MIN(AK120+AL120-AM120,AJ120))</f>
        <v/>
      </c>
      <c r="AO120" s="42">
        <f>ROUND(AK120+AL120-AM120-AN120,2)</f>
        <v/>
      </c>
      <c r="AP120">
        <f>AJ120-AN120</f>
        <v/>
      </c>
      <c r="AQ120" s="42">
        <f>AU119</f>
        <v/>
      </c>
      <c r="AR120" s="42">
        <f>ROUND(AQ120*AR$6/12,2)</f>
        <v/>
      </c>
      <c r="AS120" s="42">
        <f>MIN(AS$6,AQ120+AR120)</f>
        <v/>
      </c>
      <c r="AT120" s="42">
        <f>MAX(0,MIN(AQ120+AR120-AS120,AP120))</f>
        <v/>
      </c>
      <c r="AU120" s="42">
        <f>ROUND(AQ120+AR120-AS120-AT120,2)</f>
        <v/>
      </c>
      <c r="AV120">
        <f>AP120-AT120</f>
        <v/>
      </c>
      <c r="AW120" s="42">
        <f>BA119</f>
        <v/>
      </c>
      <c r="AX120" s="42">
        <f>ROUND(AW120*AX$6/12,2)</f>
        <v/>
      </c>
      <c r="AY120" s="42">
        <f>MIN(AY$6,AW120+AX120)</f>
        <v/>
      </c>
      <c r="AZ120" s="42">
        <f>MAX(0,MIN(AW120+AX120-AY120,AV120))</f>
        <v/>
      </c>
      <c r="BA120" s="42">
        <f>ROUND(AW120+AX120-AY120-AZ120,2)</f>
        <v/>
      </c>
      <c r="BB120">
        <f>AV120-AZ120</f>
        <v/>
      </c>
      <c r="BC120" s="42">
        <f>BG119</f>
        <v/>
      </c>
      <c r="BD120" s="42">
        <f>ROUND(BC120*BD$6/12,2)</f>
        <v/>
      </c>
      <c r="BE120" s="42">
        <f>MIN(BE$6,BC120+BD120)</f>
        <v/>
      </c>
      <c r="BF120" s="42">
        <f>MAX(0,MIN(BC120+BD120-BE120,BB120))</f>
        <v/>
      </c>
      <c r="BG120" s="42">
        <f>ROUND(BC120+BD120-BE120-BF120,2)</f>
        <v/>
      </c>
      <c r="BH120">
        <f>BB120-BF120</f>
        <v/>
      </c>
      <c r="BI120" s="42">
        <f>BM119</f>
        <v/>
      </c>
      <c r="BJ120" s="42">
        <f>ROUND(BI120*BJ$6/12,2)</f>
        <v/>
      </c>
      <c r="BK120" s="42">
        <f>MIN(BK$6,BI120+BJ120)</f>
        <v/>
      </c>
      <c r="BL120" s="42">
        <f>MAX(0,MIN(BI120+BJ120-BK120,BH120))</f>
        <v/>
      </c>
      <c r="BM120" s="42">
        <f>ROUND(BI120+BJ120-BK120-BL120,2)</f>
        <v/>
      </c>
      <c r="BN120">
        <f>BH120-BL120</f>
        <v/>
      </c>
    </row>
    <row r="121">
      <c r="A121" s="43" t="n">
        <v>114</v>
      </c>
      <c r="B121" s="44">
        <f>EDATE('My Debts'!$C$6,A121-1)</f>
        <v/>
      </c>
      <c r="C121" s="45">
        <f>K121+Q121+W121+AC121+AI121+AO121+AU121+BA121+BG121+BM121</f>
        <v/>
      </c>
      <c r="D121" s="46">
        <f>I121+O121+U121+AA121+AG121+AM121+AS121+AY121+BE121+BK121+J121+P121+V121+AB121+AH121+AN121+AT121+AZ121+BF121+BL121</f>
        <v/>
      </c>
      <c r="E121" s="46">
        <f>H121+N121+T121+Z121+AF121+AL121+AR121+AX121+BD121+BJ121</f>
        <v/>
      </c>
      <c r="F121">
        <f>MAX(0,'My Debts'!$E$21-(I121+O121+U121+AA121+AG121+AM121+AS121+AY121+BE121+BK121))</f>
        <v/>
      </c>
      <c r="G121" s="42">
        <f>K120</f>
        <v/>
      </c>
      <c r="H121" s="42">
        <f>ROUND(G121*H$6/12,2)</f>
        <v/>
      </c>
      <c r="I121" s="42">
        <f>MIN(I$6,G121+H121)</f>
        <v/>
      </c>
      <c r="J121" s="42">
        <f>MAX(0,MIN(G121+H121-I121,$F121))</f>
        <v/>
      </c>
      <c r="K121" s="42">
        <f>ROUND(G121+H121-I121-J121,2)</f>
        <v/>
      </c>
      <c r="L121">
        <f>$F121-J121</f>
        <v/>
      </c>
      <c r="M121" s="42">
        <f>Q120</f>
        <v/>
      </c>
      <c r="N121" s="42">
        <f>ROUND(M121*N$6/12,2)</f>
        <v/>
      </c>
      <c r="O121" s="42">
        <f>MIN(O$6,M121+N121)</f>
        <v/>
      </c>
      <c r="P121" s="42">
        <f>MAX(0,MIN(M121+N121-O121,L121))</f>
        <v/>
      </c>
      <c r="Q121" s="42">
        <f>ROUND(M121+N121-O121-P121,2)</f>
        <v/>
      </c>
      <c r="R121">
        <f>L121-P121</f>
        <v/>
      </c>
      <c r="S121" s="42">
        <f>W120</f>
        <v/>
      </c>
      <c r="T121" s="42">
        <f>ROUND(S121*T$6/12,2)</f>
        <v/>
      </c>
      <c r="U121" s="42">
        <f>MIN(U$6,S121+T121)</f>
        <v/>
      </c>
      <c r="V121" s="42">
        <f>MAX(0,MIN(S121+T121-U121,R121))</f>
        <v/>
      </c>
      <c r="W121" s="42">
        <f>ROUND(S121+T121-U121-V121,2)</f>
        <v/>
      </c>
      <c r="X121">
        <f>R121-V121</f>
        <v/>
      </c>
      <c r="Y121" s="42">
        <f>AC120</f>
        <v/>
      </c>
      <c r="Z121" s="42">
        <f>ROUND(Y121*Z$6/12,2)</f>
        <v/>
      </c>
      <c r="AA121" s="42">
        <f>MIN(AA$6,Y121+Z121)</f>
        <v/>
      </c>
      <c r="AB121" s="42">
        <f>MAX(0,MIN(Y121+Z121-AA121,X121))</f>
        <v/>
      </c>
      <c r="AC121" s="42">
        <f>ROUND(Y121+Z121-AA121-AB121,2)</f>
        <v/>
      </c>
      <c r="AD121">
        <f>X121-AB121</f>
        <v/>
      </c>
      <c r="AE121" s="42">
        <f>AI120</f>
        <v/>
      </c>
      <c r="AF121" s="42">
        <f>ROUND(AE121*AF$6/12,2)</f>
        <v/>
      </c>
      <c r="AG121" s="42">
        <f>MIN(AG$6,AE121+AF121)</f>
        <v/>
      </c>
      <c r="AH121" s="42">
        <f>MAX(0,MIN(AE121+AF121-AG121,AD121))</f>
        <v/>
      </c>
      <c r="AI121" s="42">
        <f>ROUND(AE121+AF121-AG121-AH121,2)</f>
        <v/>
      </c>
      <c r="AJ121">
        <f>AD121-AH121</f>
        <v/>
      </c>
      <c r="AK121" s="42">
        <f>AO120</f>
        <v/>
      </c>
      <c r="AL121" s="42">
        <f>ROUND(AK121*AL$6/12,2)</f>
        <v/>
      </c>
      <c r="AM121" s="42">
        <f>MIN(AM$6,AK121+AL121)</f>
        <v/>
      </c>
      <c r="AN121" s="42">
        <f>MAX(0,MIN(AK121+AL121-AM121,AJ121))</f>
        <v/>
      </c>
      <c r="AO121" s="42">
        <f>ROUND(AK121+AL121-AM121-AN121,2)</f>
        <v/>
      </c>
      <c r="AP121">
        <f>AJ121-AN121</f>
        <v/>
      </c>
      <c r="AQ121" s="42">
        <f>AU120</f>
        <v/>
      </c>
      <c r="AR121" s="42">
        <f>ROUND(AQ121*AR$6/12,2)</f>
        <v/>
      </c>
      <c r="AS121" s="42">
        <f>MIN(AS$6,AQ121+AR121)</f>
        <v/>
      </c>
      <c r="AT121" s="42">
        <f>MAX(0,MIN(AQ121+AR121-AS121,AP121))</f>
        <v/>
      </c>
      <c r="AU121" s="42">
        <f>ROUND(AQ121+AR121-AS121-AT121,2)</f>
        <v/>
      </c>
      <c r="AV121">
        <f>AP121-AT121</f>
        <v/>
      </c>
      <c r="AW121" s="42">
        <f>BA120</f>
        <v/>
      </c>
      <c r="AX121" s="42">
        <f>ROUND(AW121*AX$6/12,2)</f>
        <v/>
      </c>
      <c r="AY121" s="42">
        <f>MIN(AY$6,AW121+AX121)</f>
        <v/>
      </c>
      <c r="AZ121" s="42">
        <f>MAX(0,MIN(AW121+AX121-AY121,AV121))</f>
        <v/>
      </c>
      <c r="BA121" s="42">
        <f>ROUND(AW121+AX121-AY121-AZ121,2)</f>
        <v/>
      </c>
      <c r="BB121">
        <f>AV121-AZ121</f>
        <v/>
      </c>
      <c r="BC121" s="42">
        <f>BG120</f>
        <v/>
      </c>
      <c r="BD121" s="42">
        <f>ROUND(BC121*BD$6/12,2)</f>
        <v/>
      </c>
      <c r="BE121" s="42">
        <f>MIN(BE$6,BC121+BD121)</f>
        <v/>
      </c>
      <c r="BF121" s="42">
        <f>MAX(0,MIN(BC121+BD121-BE121,BB121))</f>
        <v/>
      </c>
      <c r="BG121" s="42">
        <f>ROUND(BC121+BD121-BE121-BF121,2)</f>
        <v/>
      </c>
      <c r="BH121">
        <f>BB121-BF121</f>
        <v/>
      </c>
      <c r="BI121" s="42">
        <f>BM120</f>
        <v/>
      </c>
      <c r="BJ121" s="42">
        <f>ROUND(BI121*BJ$6/12,2)</f>
        <v/>
      </c>
      <c r="BK121" s="42">
        <f>MIN(BK$6,BI121+BJ121)</f>
        <v/>
      </c>
      <c r="BL121" s="42">
        <f>MAX(0,MIN(BI121+BJ121-BK121,BH121))</f>
        <v/>
      </c>
      <c r="BM121" s="42">
        <f>ROUND(BI121+BJ121-BK121-BL121,2)</f>
        <v/>
      </c>
      <c r="BN121">
        <f>BH121-BL121</f>
        <v/>
      </c>
    </row>
    <row r="122">
      <c r="A122" s="39" t="n">
        <v>115</v>
      </c>
      <c r="B122" s="40">
        <f>EDATE('My Debts'!$C$6,A122-1)</f>
        <v/>
      </c>
      <c r="C122" s="41">
        <f>K122+Q122+W122+AC122+AI122+AO122+AU122+BA122+BG122+BM122</f>
        <v/>
      </c>
      <c r="D122" s="42">
        <f>I122+O122+U122+AA122+AG122+AM122+AS122+AY122+BE122+BK122+J122+P122+V122+AB122+AH122+AN122+AT122+AZ122+BF122+BL122</f>
        <v/>
      </c>
      <c r="E122" s="42">
        <f>H122+N122+T122+Z122+AF122+AL122+AR122+AX122+BD122+BJ122</f>
        <v/>
      </c>
      <c r="F122">
        <f>MAX(0,'My Debts'!$E$21-(I122+O122+U122+AA122+AG122+AM122+AS122+AY122+BE122+BK122))</f>
        <v/>
      </c>
      <c r="G122" s="42">
        <f>K121</f>
        <v/>
      </c>
      <c r="H122" s="42">
        <f>ROUND(G122*H$6/12,2)</f>
        <v/>
      </c>
      <c r="I122" s="42">
        <f>MIN(I$6,G122+H122)</f>
        <v/>
      </c>
      <c r="J122" s="42">
        <f>MAX(0,MIN(G122+H122-I122,$F122))</f>
        <v/>
      </c>
      <c r="K122" s="42">
        <f>ROUND(G122+H122-I122-J122,2)</f>
        <v/>
      </c>
      <c r="L122">
        <f>$F122-J122</f>
        <v/>
      </c>
      <c r="M122" s="42">
        <f>Q121</f>
        <v/>
      </c>
      <c r="N122" s="42">
        <f>ROUND(M122*N$6/12,2)</f>
        <v/>
      </c>
      <c r="O122" s="42">
        <f>MIN(O$6,M122+N122)</f>
        <v/>
      </c>
      <c r="P122" s="42">
        <f>MAX(0,MIN(M122+N122-O122,L122))</f>
        <v/>
      </c>
      <c r="Q122" s="42">
        <f>ROUND(M122+N122-O122-P122,2)</f>
        <v/>
      </c>
      <c r="R122">
        <f>L122-P122</f>
        <v/>
      </c>
      <c r="S122" s="42">
        <f>W121</f>
        <v/>
      </c>
      <c r="T122" s="42">
        <f>ROUND(S122*T$6/12,2)</f>
        <v/>
      </c>
      <c r="U122" s="42">
        <f>MIN(U$6,S122+T122)</f>
        <v/>
      </c>
      <c r="V122" s="42">
        <f>MAX(0,MIN(S122+T122-U122,R122))</f>
        <v/>
      </c>
      <c r="W122" s="42">
        <f>ROUND(S122+T122-U122-V122,2)</f>
        <v/>
      </c>
      <c r="X122">
        <f>R122-V122</f>
        <v/>
      </c>
      <c r="Y122" s="42">
        <f>AC121</f>
        <v/>
      </c>
      <c r="Z122" s="42">
        <f>ROUND(Y122*Z$6/12,2)</f>
        <v/>
      </c>
      <c r="AA122" s="42">
        <f>MIN(AA$6,Y122+Z122)</f>
        <v/>
      </c>
      <c r="AB122" s="42">
        <f>MAX(0,MIN(Y122+Z122-AA122,X122))</f>
        <v/>
      </c>
      <c r="AC122" s="42">
        <f>ROUND(Y122+Z122-AA122-AB122,2)</f>
        <v/>
      </c>
      <c r="AD122">
        <f>X122-AB122</f>
        <v/>
      </c>
      <c r="AE122" s="42">
        <f>AI121</f>
        <v/>
      </c>
      <c r="AF122" s="42">
        <f>ROUND(AE122*AF$6/12,2)</f>
        <v/>
      </c>
      <c r="AG122" s="42">
        <f>MIN(AG$6,AE122+AF122)</f>
        <v/>
      </c>
      <c r="AH122" s="42">
        <f>MAX(0,MIN(AE122+AF122-AG122,AD122))</f>
        <v/>
      </c>
      <c r="AI122" s="42">
        <f>ROUND(AE122+AF122-AG122-AH122,2)</f>
        <v/>
      </c>
      <c r="AJ122">
        <f>AD122-AH122</f>
        <v/>
      </c>
      <c r="AK122" s="42">
        <f>AO121</f>
        <v/>
      </c>
      <c r="AL122" s="42">
        <f>ROUND(AK122*AL$6/12,2)</f>
        <v/>
      </c>
      <c r="AM122" s="42">
        <f>MIN(AM$6,AK122+AL122)</f>
        <v/>
      </c>
      <c r="AN122" s="42">
        <f>MAX(0,MIN(AK122+AL122-AM122,AJ122))</f>
        <v/>
      </c>
      <c r="AO122" s="42">
        <f>ROUND(AK122+AL122-AM122-AN122,2)</f>
        <v/>
      </c>
      <c r="AP122">
        <f>AJ122-AN122</f>
        <v/>
      </c>
      <c r="AQ122" s="42">
        <f>AU121</f>
        <v/>
      </c>
      <c r="AR122" s="42">
        <f>ROUND(AQ122*AR$6/12,2)</f>
        <v/>
      </c>
      <c r="AS122" s="42">
        <f>MIN(AS$6,AQ122+AR122)</f>
        <v/>
      </c>
      <c r="AT122" s="42">
        <f>MAX(0,MIN(AQ122+AR122-AS122,AP122))</f>
        <v/>
      </c>
      <c r="AU122" s="42">
        <f>ROUND(AQ122+AR122-AS122-AT122,2)</f>
        <v/>
      </c>
      <c r="AV122">
        <f>AP122-AT122</f>
        <v/>
      </c>
      <c r="AW122" s="42">
        <f>BA121</f>
        <v/>
      </c>
      <c r="AX122" s="42">
        <f>ROUND(AW122*AX$6/12,2)</f>
        <v/>
      </c>
      <c r="AY122" s="42">
        <f>MIN(AY$6,AW122+AX122)</f>
        <v/>
      </c>
      <c r="AZ122" s="42">
        <f>MAX(0,MIN(AW122+AX122-AY122,AV122))</f>
        <v/>
      </c>
      <c r="BA122" s="42">
        <f>ROUND(AW122+AX122-AY122-AZ122,2)</f>
        <v/>
      </c>
      <c r="BB122">
        <f>AV122-AZ122</f>
        <v/>
      </c>
      <c r="BC122" s="42">
        <f>BG121</f>
        <v/>
      </c>
      <c r="BD122" s="42">
        <f>ROUND(BC122*BD$6/12,2)</f>
        <v/>
      </c>
      <c r="BE122" s="42">
        <f>MIN(BE$6,BC122+BD122)</f>
        <v/>
      </c>
      <c r="BF122" s="42">
        <f>MAX(0,MIN(BC122+BD122-BE122,BB122))</f>
        <v/>
      </c>
      <c r="BG122" s="42">
        <f>ROUND(BC122+BD122-BE122-BF122,2)</f>
        <v/>
      </c>
      <c r="BH122">
        <f>BB122-BF122</f>
        <v/>
      </c>
      <c r="BI122" s="42">
        <f>BM121</f>
        <v/>
      </c>
      <c r="BJ122" s="42">
        <f>ROUND(BI122*BJ$6/12,2)</f>
        <v/>
      </c>
      <c r="BK122" s="42">
        <f>MIN(BK$6,BI122+BJ122)</f>
        <v/>
      </c>
      <c r="BL122" s="42">
        <f>MAX(0,MIN(BI122+BJ122-BK122,BH122))</f>
        <v/>
      </c>
      <c r="BM122" s="42">
        <f>ROUND(BI122+BJ122-BK122-BL122,2)</f>
        <v/>
      </c>
      <c r="BN122">
        <f>BH122-BL122</f>
        <v/>
      </c>
    </row>
    <row r="123">
      <c r="A123" s="43" t="n">
        <v>116</v>
      </c>
      <c r="B123" s="44">
        <f>EDATE('My Debts'!$C$6,A123-1)</f>
        <v/>
      </c>
      <c r="C123" s="45">
        <f>K123+Q123+W123+AC123+AI123+AO123+AU123+BA123+BG123+BM123</f>
        <v/>
      </c>
      <c r="D123" s="46">
        <f>I123+O123+U123+AA123+AG123+AM123+AS123+AY123+BE123+BK123+J123+P123+V123+AB123+AH123+AN123+AT123+AZ123+BF123+BL123</f>
        <v/>
      </c>
      <c r="E123" s="46">
        <f>H123+N123+T123+Z123+AF123+AL123+AR123+AX123+BD123+BJ123</f>
        <v/>
      </c>
      <c r="F123">
        <f>MAX(0,'My Debts'!$E$21-(I123+O123+U123+AA123+AG123+AM123+AS123+AY123+BE123+BK123))</f>
        <v/>
      </c>
      <c r="G123" s="42">
        <f>K122</f>
        <v/>
      </c>
      <c r="H123" s="42">
        <f>ROUND(G123*H$6/12,2)</f>
        <v/>
      </c>
      <c r="I123" s="42">
        <f>MIN(I$6,G123+H123)</f>
        <v/>
      </c>
      <c r="J123" s="42">
        <f>MAX(0,MIN(G123+H123-I123,$F123))</f>
        <v/>
      </c>
      <c r="K123" s="42">
        <f>ROUND(G123+H123-I123-J123,2)</f>
        <v/>
      </c>
      <c r="L123">
        <f>$F123-J123</f>
        <v/>
      </c>
      <c r="M123" s="42">
        <f>Q122</f>
        <v/>
      </c>
      <c r="N123" s="42">
        <f>ROUND(M123*N$6/12,2)</f>
        <v/>
      </c>
      <c r="O123" s="42">
        <f>MIN(O$6,M123+N123)</f>
        <v/>
      </c>
      <c r="P123" s="42">
        <f>MAX(0,MIN(M123+N123-O123,L123))</f>
        <v/>
      </c>
      <c r="Q123" s="42">
        <f>ROUND(M123+N123-O123-P123,2)</f>
        <v/>
      </c>
      <c r="R123">
        <f>L123-P123</f>
        <v/>
      </c>
      <c r="S123" s="42">
        <f>W122</f>
        <v/>
      </c>
      <c r="T123" s="42">
        <f>ROUND(S123*T$6/12,2)</f>
        <v/>
      </c>
      <c r="U123" s="42">
        <f>MIN(U$6,S123+T123)</f>
        <v/>
      </c>
      <c r="V123" s="42">
        <f>MAX(0,MIN(S123+T123-U123,R123))</f>
        <v/>
      </c>
      <c r="W123" s="42">
        <f>ROUND(S123+T123-U123-V123,2)</f>
        <v/>
      </c>
      <c r="X123">
        <f>R123-V123</f>
        <v/>
      </c>
      <c r="Y123" s="42">
        <f>AC122</f>
        <v/>
      </c>
      <c r="Z123" s="42">
        <f>ROUND(Y123*Z$6/12,2)</f>
        <v/>
      </c>
      <c r="AA123" s="42">
        <f>MIN(AA$6,Y123+Z123)</f>
        <v/>
      </c>
      <c r="AB123" s="42">
        <f>MAX(0,MIN(Y123+Z123-AA123,X123))</f>
        <v/>
      </c>
      <c r="AC123" s="42">
        <f>ROUND(Y123+Z123-AA123-AB123,2)</f>
        <v/>
      </c>
      <c r="AD123">
        <f>X123-AB123</f>
        <v/>
      </c>
      <c r="AE123" s="42">
        <f>AI122</f>
        <v/>
      </c>
      <c r="AF123" s="42">
        <f>ROUND(AE123*AF$6/12,2)</f>
        <v/>
      </c>
      <c r="AG123" s="42">
        <f>MIN(AG$6,AE123+AF123)</f>
        <v/>
      </c>
      <c r="AH123" s="42">
        <f>MAX(0,MIN(AE123+AF123-AG123,AD123))</f>
        <v/>
      </c>
      <c r="AI123" s="42">
        <f>ROUND(AE123+AF123-AG123-AH123,2)</f>
        <v/>
      </c>
      <c r="AJ123">
        <f>AD123-AH123</f>
        <v/>
      </c>
      <c r="AK123" s="42">
        <f>AO122</f>
        <v/>
      </c>
      <c r="AL123" s="42">
        <f>ROUND(AK123*AL$6/12,2)</f>
        <v/>
      </c>
      <c r="AM123" s="42">
        <f>MIN(AM$6,AK123+AL123)</f>
        <v/>
      </c>
      <c r="AN123" s="42">
        <f>MAX(0,MIN(AK123+AL123-AM123,AJ123))</f>
        <v/>
      </c>
      <c r="AO123" s="42">
        <f>ROUND(AK123+AL123-AM123-AN123,2)</f>
        <v/>
      </c>
      <c r="AP123">
        <f>AJ123-AN123</f>
        <v/>
      </c>
      <c r="AQ123" s="42">
        <f>AU122</f>
        <v/>
      </c>
      <c r="AR123" s="42">
        <f>ROUND(AQ123*AR$6/12,2)</f>
        <v/>
      </c>
      <c r="AS123" s="42">
        <f>MIN(AS$6,AQ123+AR123)</f>
        <v/>
      </c>
      <c r="AT123" s="42">
        <f>MAX(0,MIN(AQ123+AR123-AS123,AP123))</f>
        <v/>
      </c>
      <c r="AU123" s="42">
        <f>ROUND(AQ123+AR123-AS123-AT123,2)</f>
        <v/>
      </c>
      <c r="AV123">
        <f>AP123-AT123</f>
        <v/>
      </c>
      <c r="AW123" s="42">
        <f>BA122</f>
        <v/>
      </c>
      <c r="AX123" s="42">
        <f>ROUND(AW123*AX$6/12,2)</f>
        <v/>
      </c>
      <c r="AY123" s="42">
        <f>MIN(AY$6,AW123+AX123)</f>
        <v/>
      </c>
      <c r="AZ123" s="42">
        <f>MAX(0,MIN(AW123+AX123-AY123,AV123))</f>
        <v/>
      </c>
      <c r="BA123" s="42">
        <f>ROUND(AW123+AX123-AY123-AZ123,2)</f>
        <v/>
      </c>
      <c r="BB123">
        <f>AV123-AZ123</f>
        <v/>
      </c>
      <c r="BC123" s="42">
        <f>BG122</f>
        <v/>
      </c>
      <c r="BD123" s="42">
        <f>ROUND(BC123*BD$6/12,2)</f>
        <v/>
      </c>
      <c r="BE123" s="42">
        <f>MIN(BE$6,BC123+BD123)</f>
        <v/>
      </c>
      <c r="BF123" s="42">
        <f>MAX(0,MIN(BC123+BD123-BE123,BB123))</f>
        <v/>
      </c>
      <c r="BG123" s="42">
        <f>ROUND(BC123+BD123-BE123-BF123,2)</f>
        <v/>
      </c>
      <c r="BH123">
        <f>BB123-BF123</f>
        <v/>
      </c>
      <c r="BI123" s="42">
        <f>BM122</f>
        <v/>
      </c>
      <c r="BJ123" s="42">
        <f>ROUND(BI123*BJ$6/12,2)</f>
        <v/>
      </c>
      <c r="BK123" s="42">
        <f>MIN(BK$6,BI123+BJ123)</f>
        <v/>
      </c>
      <c r="BL123" s="42">
        <f>MAX(0,MIN(BI123+BJ123-BK123,BH123))</f>
        <v/>
      </c>
      <c r="BM123" s="42">
        <f>ROUND(BI123+BJ123-BK123-BL123,2)</f>
        <v/>
      </c>
      <c r="BN123">
        <f>BH123-BL123</f>
        <v/>
      </c>
    </row>
    <row r="124">
      <c r="A124" s="39" t="n">
        <v>117</v>
      </c>
      <c r="B124" s="40">
        <f>EDATE('My Debts'!$C$6,A124-1)</f>
        <v/>
      </c>
      <c r="C124" s="41">
        <f>K124+Q124+W124+AC124+AI124+AO124+AU124+BA124+BG124+BM124</f>
        <v/>
      </c>
      <c r="D124" s="42">
        <f>I124+O124+U124+AA124+AG124+AM124+AS124+AY124+BE124+BK124+J124+P124+V124+AB124+AH124+AN124+AT124+AZ124+BF124+BL124</f>
        <v/>
      </c>
      <c r="E124" s="42">
        <f>H124+N124+T124+Z124+AF124+AL124+AR124+AX124+BD124+BJ124</f>
        <v/>
      </c>
      <c r="F124">
        <f>MAX(0,'My Debts'!$E$21-(I124+O124+U124+AA124+AG124+AM124+AS124+AY124+BE124+BK124))</f>
        <v/>
      </c>
      <c r="G124" s="42">
        <f>K123</f>
        <v/>
      </c>
      <c r="H124" s="42">
        <f>ROUND(G124*H$6/12,2)</f>
        <v/>
      </c>
      <c r="I124" s="42">
        <f>MIN(I$6,G124+H124)</f>
        <v/>
      </c>
      <c r="J124" s="42">
        <f>MAX(0,MIN(G124+H124-I124,$F124))</f>
        <v/>
      </c>
      <c r="K124" s="42">
        <f>ROUND(G124+H124-I124-J124,2)</f>
        <v/>
      </c>
      <c r="L124">
        <f>$F124-J124</f>
        <v/>
      </c>
      <c r="M124" s="42">
        <f>Q123</f>
        <v/>
      </c>
      <c r="N124" s="42">
        <f>ROUND(M124*N$6/12,2)</f>
        <v/>
      </c>
      <c r="O124" s="42">
        <f>MIN(O$6,M124+N124)</f>
        <v/>
      </c>
      <c r="P124" s="42">
        <f>MAX(0,MIN(M124+N124-O124,L124))</f>
        <v/>
      </c>
      <c r="Q124" s="42">
        <f>ROUND(M124+N124-O124-P124,2)</f>
        <v/>
      </c>
      <c r="R124">
        <f>L124-P124</f>
        <v/>
      </c>
      <c r="S124" s="42">
        <f>W123</f>
        <v/>
      </c>
      <c r="T124" s="42">
        <f>ROUND(S124*T$6/12,2)</f>
        <v/>
      </c>
      <c r="U124" s="42">
        <f>MIN(U$6,S124+T124)</f>
        <v/>
      </c>
      <c r="V124" s="42">
        <f>MAX(0,MIN(S124+T124-U124,R124))</f>
        <v/>
      </c>
      <c r="W124" s="42">
        <f>ROUND(S124+T124-U124-V124,2)</f>
        <v/>
      </c>
      <c r="X124">
        <f>R124-V124</f>
        <v/>
      </c>
      <c r="Y124" s="42">
        <f>AC123</f>
        <v/>
      </c>
      <c r="Z124" s="42">
        <f>ROUND(Y124*Z$6/12,2)</f>
        <v/>
      </c>
      <c r="AA124" s="42">
        <f>MIN(AA$6,Y124+Z124)</f>
        <v/>
      </c>
      <c r="AB124" s="42">
        <f>MAX(0,MIN(Y124+Z124-AA124,X124))</f>
        <v/>
      </c>
      <c r="AC124" s="42">
        <f>ROUND(Y124+Z124-AA124-AB124,2)</f>
        <v/>
      </c>
      <c r="AD124">
        <f>X124-AB124</f>
        <v/>
      </c>
      <c r="AE124" s="42">
        <f>AI123</f>
        <v/>
      </c>
      <c r="AF124" s="42">
        <f>ROUND(AE124*AF$6/12,2)</f>
        <v/>
      </c>
      <c r="AG124" s="42">
        <f>MIN(AG$6,AE124+AF124)</f>
        <v/>
      </c>
      <c r="AH124" s="42">
        <f>MAX(0,MIN(AE124+AF124-AG124,AD124))</f>
        <v/>
      </c>
      <c r="AI124" s="42">
        <f>ROUND(AE124+AF124-AG124-AH124,2)</f>
        <v/>
      </c>
      <c r="AJ124">
        <f>AD124-AH124</f>
        <v/>
      </c>
      <c r="AK124" s="42">
        <f>AO123</f>
        <v/>
      </c>
      <c r="AL124" s="42">
        <f>ROUND(AK124*AL$6/12,2)</f>
        <v/>
      </c>
      <c r="AM124" s="42">
        <f>MIN(AM$6,AK124+AL124)</f>
        <v/>
      </c>
      <c r="AN124" s="42">
        <f>MAX(0,MIN(AK124+AL124-AM124,AJ124))</f>
        <v/>
      </c>
      <c r="AO124" s="42">
        <f>ROUND(AK124+AL124-AM124-AN124,2)</f>
        <v/>
      </c>
      <c r="AP124">
        <f>AJ124-AN124</f>
        <v/>
      </c>
      <c r="AQ124" s="42">
        <f>AU123</f>
        <v/>
      </c>
      <c r="AR124" s="42">
        <f>ROUND(AQ124*AR$6/12,2)</f>
        <v/>
      </c>
      <c r="AS124" s="42">
        <f>MIN(AS$6,AQ124+AR124)</f>
        <v/>
      </c>
      <c r="AT124" s="42">
        <f>MAX(0,MIN(AQ124+AR124-AS124,AP124))</f>
        <v/>
      </c>
      <c r="AU124" s="42">
        <f>ROUND(AQ124+AR124-AS124-AT124,2)</f>
        <v/>
      </c>
      <c r="AV124">
        <f>AP124-AT124</f>
        <v/>
      </c>
      <c r="AW124" s="42">
        <f>BA123</f>
        <v/>
      </c>
      <c r="AX124" s="42">
        <f>ROUND(AW124*AX$6/12,2)</f>
        <v/>
      </c>
      <c r="AY124" s="42">
        <f>MIN(AY$6,AW124+AX124)</f>
        <v/>
      </c>
      <c r="AZ124" s="42">
        <f>MAX(0,MIN(AW124+AX124-AY124,AV124))</f>
        <v/>
      </c>
      <c r="BA124" s="42">
        <f>ROUND(AW124+AX124-AY124-AZ124,2)</f>
        <v/>
      </c>
      <c r="BB124">
        <f>AV124-AZ124</f>
        <v/>
      </c>
      <c r="BC124" s="42">
        <f>BG123</f>
        <v/>
      </c>
      <c r="BD124" s="42">
        <f>ROUND(BC124*BD$6/12,2)</f>
        <v/>
      </c>
      <c r="BE124" s="42">
        <f>MIN(BE$6,BC124+BD124)</f>
        <v/>
      </c>
      <c r="BF124" s="42">
        <f>MAX(0,MIN(BC124+BD124-BE124,BB124))</f>
        <v/>
      </c>
      <c r="BG124" s="42">
        <f>ROUND(BC124+BD124-BE124-BF124,2)</f>
        <v/>
      </c>
      <c r="BH124">
        <f>BB124-BF124</f>
        <v/>
      </c>
      <c r="BI124" s="42">
        <f>BM123</f>
        <v/>
      </c>
      <c r="BJ124" s="42">
        <f>ROUND(BI124*BJ$6/12,2)</f>
        <v/>
      </c>
      <c r="BK124" s="42">
        <f>MIN(BK$6,BI124+BJ124)</f>
        <v/>
      </c>
      <c r="BL124" s="42">
        <f>MAX(0,MIN(BI124+BJ124-BK124,BH124))</f>
        <v/>
      </c>
      <c r="BM124" s="42">
        <f>ROUND(BI124+BJ124-BK124-BL124,2)</f>
        <v/>
      </c>
      <c r="BN124">
        <f>BH124-BL124</f>
        <v/>
      </c>
    </row>
    <row r="125">
      <c r="A125" s="43" t="n">
        <v>118</v>
      </c>
      <c r="B125" s="44">
        <f>EDATE('My Debts'!$C$6,A125-1)</f>
        <v/>
      </c>
      <c r="C125" s="45">
        <f>K125+Q125+W125+AC125+AI125+AO125+AU125+BA125+BG125+BM125</f>
        <v/>
      </c>
      <c r="D125" s="46">
        <f>I125+O125+U125+AA125+AG125+AM125+AS125+AY125+BE125+BK125+J125+P125+V125+AB125+AH125+AN125+AT125+AZ125+BF125+BL125</f>
        <v/>
      </c>
      <c r="E125" s="46">
        <f>H125+N125+T125+Z125+AF125+AL125+AR125+AX125+BD125+BJ125</f>
        <v/>
      </c>
      <c r="F125">
        <f>MAX(0,'My Debts'!$E$21-(I125+O125+U125+AA125+AG125+AM125+AS125+AY125+BE125+BK125))</f>
        <v/>
      </c>
      <c r="G125" s="42">
        <f>K124</f>
        <v/>
      </c>
      <c r="H125" s="42">
        <f>ROUND(G125*H$6/12,2)</f>
        <v/>
      </c>
      <c r="I125" s="42">
        <f>MIN(I$6,G125+H125)</f>
        <v/>
      </c>
      <c r="J125" s="42">
        <f>MAX(0,MIN(G125+H125-I125,$F125))</f>
        <v/>
      </c>
      <c r="K125" s="42">
        <f>ROUND(G125+H125-I125-J125,2)</f>
        <v/>
      </c>
      <c r="L125">
        <f>$F125-J125</f>
        <v/>
      </c>
      <c r="M125" s="42">
        <f>Q124</f>
        <v/>
      </c>
      <c r="N125" s="42">
        <f>ROUND(M125*N$6/12,2)</f>
        <v/>
      </c>
      <c r="O125" s="42">
        <f>MIN(O$6,M125+N125)</f>
        <v/>
      </c>
      <c r="P125" s="42">
        <f>MAX(0,MIN(M125+N125-O125,L125))</f>
        <v/>
      </c>
      <c r="Q125" s="42">
        <f>ROUND(M125+N125-O125-P125,2)</f>
        <v/>
      </c>
      <c r="R125">
        <f>L125-P125</f>
        <v/>
      </c>
      <c r="S125" s="42">
        <f>W124</f>
        <v/>
      </c>
      <c r="T125" s="42">
        <f>ROUND(S125*T$6/12,2)</f>
        <v/>
      </c>
      <c r="U125" s="42">
        <f>MIN(U$6,S125+T125)</f>
        <v/>
      </c>
      <c r="V125" s="42">
        <f>MAX(0,MIN(S125+T125-U125,R125))</f>
        <v/>
      </c>
      <c r="W125" s="42">
        <f>ROUND(S125+T125-U125-V125,2)</f>
        <v/>
      </c>
      <c r="X125">
        <f>R125-V125</f>
        <v/>
      </c>
      <c r="Y125" s="42">
        <f>AC124</f>
        <v/>
      </c>
      <c r="Z125" s="42">
        <f>ROUND(Y125*Z$6/12,2)</f>
        <v/>
      </c>
      <c r="AA125" s="42">
        <f>MIN(AA$6,Y125+Z125)</f>
        <v/>
      </c>
      <c r="AB125" s="42">
        <f>MAX(0,MIN(Y125+Z125-AA125,X125))</f>
        <v/>
      </c>
      <c r="AC125" s="42">
        <f>ROUND(Y125+Z125-AA125-AB125,2)</f>
        <v/>
      </c>
      <c r="AD125">
        <f>X125-AB125</f>
        <v/>
      </c>
      <c r="AE125" s="42">
        <f>AI124</f>
        <v/>
      </c>
      <c r="AF125" s="42">
        <f>ROUND(AE125*AF$6/12,2)</f>
        <v/>
      </c>
      <c r="AG125" s="42">
        <f>MIN(AG$6,AE125+AF125)</f>
        <v/>
      </c>
      <c r="AH125" s="42">
        <f>MAX(0,MIN(AE125+AF125-AG125,AD125))</f>
        <v/>
      </c>
      <c r="AI125" s="42">
        <f>ROUND(AE125+AF125-AG125-AH125,2)</f>
        <v/>
      </c>
      <c r="AJ125">
        <f>AD125-AH125</f>
        <v/>
      </c>
      <c r="AK125" s="42">
        <f>AO124</f>
        <v/>
      </c>
      <c r="AL125" s="42">
        <f>ROUND(AK125*AL$6/12,2)</f>
        <v/>
      </c>
      <c r="AM125" s="42">
        <f>MIN(AM$6,AK125+AL125)</f>
        <v/>
      </c>
      <c r="AN125" s="42">
        <f>MAX(0,MIN(AK125+AL125-AM125,AJ125))</f>
        <v/>
      </c>
      <c r="AO125" s="42">
        <f>ROUND(AK125+AL125-AM125-AN125,2)</f>
        <v/>
      </c>
      <c r="AP125">
        <f>AJ125-AN125</f>
        <v/>
      </c>
      <c r="AQ125" s="42">
        <f>AU124</f>
        <v/>
      </c>
      <c r="AR125" s="42">
        <f>ROUND(AQ125*AR$6/12,2)</f>
        <v/>
      </c>
      <c r="AS125" s="42">
        <f>MIN(AS$6,AQ125+AR125)</f>
        <v/>
      </c>
      <c r="AT125" s="42">
        <f>MAX(0,MIN(AQ125+AR125-AS125,AP125))</f>
        <v/>
      </c>
      <c r="AU125" s="42">
        <f>ROUND(AQ125+AR125-AS125-AT125,2)</f>
        <v/>
      </c>
      <c r="AV125">
        <f>AP125-AT125</f>
        <v/>
      </c>
      <c r="AW125" s="42">
        <f>BA124</f>
        <v/>
      </c>
      <c r="AX125" s="42">
        <f>ROUND(AW125*AX$6/12,2)</f>
        <v/>
      </c>
      <c r="AY125" s="42">
        <f>MIN(AY$6,AW125+AX125)</f>
        <v/>
      </c>
      <c r="AZ125" s="42">
        <f>MAX(0,MIN(AW125+AX125-AY125,AV125))</f>
        <v/>
      </c>
      <c r="BA125" s="42">
        <f>ROUND(AW125+AX125-AY125-AZ125,2)</f>
        <v/>
      </c>
      <c r="BB125">
        <f>AV125-AZ125</f>
        <v/>
      </c>
      <c r="BC125" s="42">
        <f>BG124</f>
        <v/>
      </c>
      <c r="BD125" s="42">
        <f>ROUND(BC125*BD$6/12,2)</f>
        <v/>
      </c>
      <c r="BE125" s="42">
        <f>MIN(BE$6,BC125+BD125)</f>
        <v/>
      </c>
      <c r="BF125" s="42">
        <f>MAX(0,MIN(BC125+BD125-BE125,BB125))</f>
        <v/>
      </c>
      <c r="BG125" s="42">
        <f>ROUND(BC125+BD125-BE125-BF125,2)</f>
        <v/>
      </c>
      <c r="BH125">
        <f>BB125-BF125</f>
        <v/>
      </c>
      <c r="BI125" s="42">
        <f>BM124</f>
        <v/>
      </c>
      <c r="BJ125" s="42">
        <f>ROUND(BI125*BJ$6/12,2)</f>
        <v/>
      </c>
      <c r="BK125" s="42">
        <f>MIN(BK$6,BI125+BJ125)</f>
        <v/>
      </c>
      <c r="BL125" s="42">
        <f>MAX(0,MIN(BI125+BJ125-BK125,BH125))</f>
        <v/>
      </c>
      <c r="BM125" s="42">
        <f>ROUND(BI125+BJ125-BK125-BL125,2)</f>
        <v/>
      </c>
      <c r="BN125">
        <f>BH125-BL125</f>
        <v/>
      </c>
    </row>
    <row r="126">
      <c r="A126" s="39" t="n">
        <v>119</v>
      </c>
      <c r="B126" s="40">
        <f>EDATE('My Debts'!$C$6,A126-1)</f>
        <v/>
      </c>
      <c r="C126" s="41">
        <f>K126+Q126+W126+AC126+AI126+AO126+AU126+BA126+BG126+BM126</f>
        <v/>
      </c>
      <c r="D126" s="42">
        <f>I126+O126+U126+AA126+AG126+AM126+AS126+AY126+BE126+BK126+J126+P126+V126+AB126+AH126+AN126+AT126+AZ126+BF126+BL126</f>
        <v/>
      </c>
      <c r="E126" s="42">
        <f>H126+N126+T126+Z126+AF126+AL126+AR126+AX126+BD126+BJ126</f>
        <v/>
      </c>
      <c r="F126">
        <f>MAX(0,'My Debts'!$E$21-(I126+O126+U126+AA126+AG126+AM126+AS126+AY126+BE126+BK126))</f>
        <v/>
      </c>
      <c r="G126" s="42">
        <f>K125</f>
        <v/>
      </c>
      <c r="H126" s="42">
        <f>ROUND(G126*H$6/12,2)</f>
        <v/>
      </c>
      <c r="I126" s="42">
        <f>MIN(I$6,G126+H126)</f>
        <v/>
      </c>
      <c r="J126" s="42">
        <f>MAX(0,MIN(G126+H126-I126,$F126))</f>
        <v/>
      </c>
      <c r="K126" s="42">
        <f>ROUND(G126+H126-I126-J126,2)</f>
        <v/>
      </c>
      <c r="L126">
        <f>$F126-J126</f>
        <v/>
      </c>
      <c r="M126" s="42">
        <f>Q125</f>
        <v/>
      </c>
      <c r="N126" s="42">
        <f>ROUND(M126*N$6/12,2)</f>
        <v/>
      </c>
      <c r="O126" s="42">
        <f>MIN(O$6,M126+N126)</f>
        <v/>
      </c>
      <c r="P126" s="42">
        <f>MAX(0,MIN(M126+N126-O126,L126))</f>
        <v/>
      </c>
      <c r="Q126" s="42">
        <f>ROUND(M126+N126-O126-P126,2)</f>
        <v/>
      </c>
      <c r="R126">
        <f>L126-P126</f>
        <v/>
      </c>
      <c r="S126" s="42">
        <f>W125</f>
        <v/>
      </c>
      <c r="T126" s="42">
        <f>ROUND(S126*T$6/12,2)</f>
        <v/>
      </c>
      <c r="U126" s="42">
        <f>MIN(U$6,S126+T126)</f>
        <v/>
      </c>
      <c r="V126" s="42">
        <f>MAX(0,MIN(S126+T126-U126,R126))</f>
        <v/>
      </c>
      <c r="W126" s="42">
        <f>ROUND(S126+T126-U126-V126,2)</f>
        <v/>
      </c>
      <c r="X126">
        <f>R126-V126</f>
        <v/>
      </c>
      <c r="Y126" s="42">
        <f>AC125</f>
        <v/>
      </c>
      <c r="Z126" s="42">
        <f>ROUND(Y126*Z$6/12,2)</f>
        <v/>
      </c>
      <c r="AA126" s="42">
        <f>MIN(AA$6,Y126+Z126)</f>
        <v/>
      </c>
      <c r="AB126" s="42">
        <f>MAX(0,MIN(Y126+Z126-AA126,X126))</f>
        <v/>
      </c>
      <c r="AC126" s="42">
        <f>ROUND(Y126+Z126-AA126-AB126,2)</f>
        <v/>
      </c>
      <c r="AD126">
        <f>X126-AB126</f>
        <v/>
      </c>
      <c r="AE126" s="42">
        <f>AI125</f>
        <v/>
      </c>
      <c r="AF126" s="42">
        <f>ROUND(AE126*AF$6/12,2)</f>
        <v/>
      </c>
      <c r="AG126" s="42">
        <f>MIN(AG$6,AE126+AF126)</f>
        <v/>
      </c>
      <c r="AH126" s="42">
        <f>MAX(0,MIN(AE126+AF126-AG126,AD126))</f>
        <v/>
      </c>
      <c r="AI126" s="42">
        <f>ROUND(AE126+AF126-AG126-AH126,2)</f>
        <v/>
      </c>
      <c r="AJ126">
        <f>AD126-AH126</f>
        <v/>
      </c>
      <c r="AK126" s="42">
        <f>AO125</f>
        <v/>
      </c>
      <c r="AL126" s="42">
        <f>ROUND(AK126*AL$6/12,2)</f>
        <v/>
      </c>
      <c r="AM126" s="42">
        <f>MIN(AM$6,AK126+AL126)</f>
        <v/>
      </c>
      <c r="AN126" s="42">
        <f>MAX(0,MIN(AK126+AL126-AM126,AJ126))</f>
        <v/>
      </c>
      <c r="AO126" s="42">
        <f>ROUND(AK126+AL126-AM126-AN126,2)</f>
        <v/>
      </c>
      <c r="AP126">
        <f>AJ126-AN126</f>
        <v/>
      </c>
      <c r="AQ126" s="42">
        <f>AU125</f>
        <v/>
      </c>
      <c r="AR126" s="42">
        <f>ROUND(AQ126*AR$6/12,2)</f>
        <v/>
      </c>
      <c r="AS126" s="42">
        <f>MIN(AS$6,AQ126+AR126)</f>
        <v/>
      </c>
      <c r="AT126" s="42">
        <f>MAX(0,MIN(AQ126+AR126-AS126,AP126))</f>
        <v/>
      </c>
      <c r="AU126" s="42">
        <f>ROUND(AQ126+AR126-AS126-AT126,2)</f>
        <v/>
      </c>
      <c r="AV126">
        <f>AP126-AT126</f>
        <v/>
      </c>
      <c r="AW126" s="42">
        <f>BA125</f>
        <v/>
      </c>
      <c r="AX126" s="42">
        <f>ROUND(AW126*AX$6/12,2)</f>
        <v/>
      </c>
      <c r="AY126" s="42">
        <f>MIN(AY$6,AW126+AX126)</f>
        <v/>
      </c>
      <c r="AZ126" s="42">
        <f>MAX(0,MIN(AW126+AX126-AY126,AV126))</f>
        <v/>
      </c>
      <c r="BA126" s="42">
        <f>ROUND(AW126+AX126-AY126-AZ126,2)</f>
        <v/>
      </c>
      <c r="BB126">
        <f>AV126-AZ126</f>
        <v/>
      </c>
      <c r="BC126" s="42">
        <f>BG125</f>
        <v/>
      </c>
      <c r="BD126" s="42">
        <f>ROUND(BC126*BD$6/12,2)</f>
        <v/>
      </c>
      <c r="BE126" s="42">
        <f>MIN(BE$6,BC126+BD126)</f>
        <v/>
      </c>
      <c r="BF126" s="42">
        <f>MAX(0,MIN(BC126+BD126-BE126,BB126))</f>
        <v/>
      </c>
      <c r="BG126" s="42">
        <f>ROUND(BC126+BD126-BE126-BF126,2)</f>
        <v/>
      </c>
      <c r="BH126">
        <f>BB126-BF126</f>
        <v/>
      </c>
      <c r="BI126" s="42">
        <f>BM125</f>
        <v/>
      </c>
      <c r="BJ126" s="42">
        <f>ROUND(BI126*BJ$6/12,2)</f>
        <v/>
      </c>
      <c r="BK126" s="42">
        <f>MIN(BK$6,BI126+BJ126)</f>
        <v/>
      </c>
      <c r="BL126" s="42">
        <f>MAX(0,MIN(BI126+BJ126-BK126,BH126))</f>
        <v/>
      </c>
      <c r="BM126" s="42">
        <f>ROUND(BI126+BJ126-BK126-BL126,2)</f>
        <v/>
      </c>
      <c r="BN126">
        <f>BH126-BL126</f>
        <v/>
      </c>
    </row>
    <row r="127">
      <c r="A127" s="43" t="n">
        <v>120</v>
      </c>
      <c r="B127" s="44">
        <f>EDATE('My Debts'!$C$6,A127-1)</f>
        <v/>
      </c>
      <c r="C127" s="45">
        <f>K127+Q127+W127+AC127+AI127+AO127+AU127+BA127+BG127+BM127</f>
        <v/>
      </c>
      <c r="D127" s="46">
        <f>I127+O127+U127+AA127+AG127+AM127+AS127+AY127+BE127+BK127+J127+P127+V127+AB127+AH127+AN127+AT127+AZ127+BF127+BL127</f>
        <v/>
      </c>
      <c r="E127" s="46">
        <f>H127+N127+T127+Z127+AF127+AL127+AR127+AX127+BD127+BJ127</f>
        <v/>
      </c>
      <c r="F127">
        <f>MAX(0,'My Debts'!$E$21-(I127+O127+U127+AA127+AG127+AM127+AS127+AY127+BE127+BK127))</f>
        <v/>
      </c>
      <c r="G127" s="42">
        <f>K126</f>
        <v/>
      </c>
      <c r="H127" s="42">
        <f>ROUND(G127*H$6/12,2)</f>
        <v/>
      </c>
      <c r="I127" s="42">
        <f>MIN(I$6,G127+H127)</f>
        <v/>
      </c>
      <c r="J127" s="42">
        <f>MAX(0,MIN(G127+H127-I127,$F127))</f>
        <v/>
      </c>
      <c r="K127" s="42">
        <f>ROUND(G127+H127-I127-J127,2)</f>
        <v/>
      </c>
      <c r="L127">
        <f>$F127-J127</f>
        <v/>
      </c>
      <c r="M127" s="42">
        <f>Q126</f>
        <v/>
      </c>
      <c r="N127" s="42">
        <f>ROUND(M127*N$6/12,2)</f>
        <v/>
      </c>
      <c r="O127" s="42">
        <f>MIN(O$6,M127+N127)</f>
        <v/>
      </c>
      <c r="P127" s="42">
        <f>MAX(0,MIN(M127+N127-O127,L127))</f>
        <v/>
      </c>
      <c r="Q127" s="42">
        <f>ROUND(M127+N127-O127-P127,2)</f>
        <v/>
      </c>
      <c r="R127">
        <f>L127-P127</f>
        <v/>
      </c>
      <c r="S127" s="42">
        <f>W126</f>
        <v/>
      </c>
      <c r="T127" s="42">
        <f>ROUND(S127*T$6/12,2)</f>
        <v/>
      </c>
      <c r="U127" s="42">
        <f>MIN(U$6,S127+T127)</f>
        <v/>
      </c>
      <c r="V127" s="42">
        <f>MAX(0,MIN(S127+T127-U127,R127))</f>
        <v/>
      </c>
      <c r="W127" s="42">
        <f>ROUND(S127+T127-U127-V127,2)</f>
        <v/>
      </c>
      <c r="X127">
        <f>R127-V127</f>
        <v/>
      </c>
      <c r="Y127" s="42">
        <f>AC126</f>
        <v/>
      </c>
      <c r="Z127" s="42">
        <f>ROUND(Y127*Z$6/12,2)</f>
        <v/>
      </c>
      <c r="AA127" s="42">
        <f>MIN(AA$6,Y127+Z127)</f>
        <v/>
      </c>
      <c r="AB127" s="42">
        <f>MAX(0,MIN(Y127+Z127-AA127,X127))</f>
        <v/>
      </c>
      <c r="AC127" s="42">
        <f>ROUND(Y127+Z127-AA127-AB127,2)</f>
        <v/>
      </c>
      <c r="AD127">
        <f>X127-AB127</f>
        <v/>
      </c>
      <c r="AE127" s="42">
        <f>AI126</f>
        <v/>
      </c>
      <c r="AF127" s="42">
        <f>ROUND(AE127*AF$6/12,2)</f>
        <v/>
      </c>
      <c r="AG127" s="42">
        <f>MIN(AG$6,AE127+AF127)</f>
        <v/>
      </c>
      <c r="AH127" s="42">
        <f>MAX(0,MIN(AE127+AF127-AG127,AD127))</f>
        <v/>
      </c>
      <c r="AI127" s="42">
        <f>ROUND(AE127+AF127-AG127-AH127,2)</f>
        <v/>
      </c>
      <c r="AJ127">
        <f>AD127-AH127</f>
        <v/>
      </c>
      <c r="AK127" s="42">
        <f>AO126</f>
        <v/>
      </c>
      <c r="AL127" s="42">
        <f>ROUND(AK127*AL$6/12,2)</f>
        <v/>
      </c>
      <c r="AM127" s="42">
        <f>MIN(AM$6,AK127+AL127)</f>
        <v/>
      </c>
      <c r="AN127" s="42">
        <f>MAX(0,MIN(AK127+AL127-AM127,AJ127))</f>
        <v/>
      </c>
      <c r="AO127" s="42">
        <f>ROUND(AK127+AL127-AM127-AN127,2)</f>
        <v/>
      </c>
      <c r="AP127">
        <f>AJ127-AN127</f>
        <v/>
      </c>
      <c r="AQ127" s="42">
        <f>AU126</f>
        <v/>
      </c>
      <c r="AR127" s="42">
        <f>ROUND(AQ127*AR$6/12,2)</f>
        <v/>
      </c>
      <c r="AS127" s="42">
        <f>MIN(AS$6,AQ127+AR127)</f>
        <v/>
      </c>
      <c r="AT127" s="42">
        <f>MAX(0,MIN(AQ127+AR127-AS127,AP127))</f>
        <v/>
      </c>
      <c r="AU127" s="42">
        <f>ROUND(AQ127+AR127-AS127-AT127,2)</f>
        <v/>
      </c>
      <c r="AV127">
        <f>AP127-AT127</f>
        <v/>
      </c>
      <c r="AW127" s="42">
        <f>BA126</f>
        <v/>
      </c>
      <c r="AX127" s="42">
        <f>ROUND(AW127*AX$6/12,2)</f>
        <v/>
      </c>
      <c r="AY127" s="42">
        <f>MIN(AY$6,AW127+AX127)</f>
        <v/>
      </c>
      <c r="AZ127" s="42">
        <f>MAX(0,MIN(AW127+AX127-AY127,AV127))</f>
        <v/>
      </c>
      <c r="BA127" s="42">
        <f>ROUND(AW127+AX127-AY127-AZ127,2)</f>
        <v/>
      </c>
      <c r="BB127">
        <f>AV127-AZ127</f>
        <v/>
      </c>
      <c r="BC127" s="42">
        <f>BG126</f>
        <v/>
      </c>
      <c r="BD127" s="42">
        <f>ROUND(BC127*BD$6/12,2)</f>
        <v/>
      </c>
      <c r="BE127" s="42">
        <f>MIN(BE$6,BC127+BD127)</f>
        <v/>
      </c>
      <c r="BF127" s="42">
        <f>MAX(0,MIN(BC127+BD127-BE127,BB127))</f>
        <v/>
      </c>
      <c r="BG127" s="42">
        <f>ROUND(BC127+BD127-BE127-BF127,2)</f>
        <v/>
      </c>
      <c r="BH127">
        <f>BB127-BF127</f>
        <v/>
      </c>
      <c r="BI127" s="42">
        <f>BM126</f>
        <v/>
      </c>
      <c r="BJ127" s="42">
        <f>ROUND(BI127*BJ$6/12,2)</f>
        <v/>
      </c>
      <c r="BK127" s="42">
        <f>MIN(BK$6,BI127+BJ127)</f>
        <v/>
      </c>
      <c r="BL127" s="42">
        <f>MAX(0,MIN(BI127+BJ127-BK127,BH127))</f>
        <v/>
      </c>
      <c r="BM127" s="42">
        <f>ROUND(BI127+BJ127-BK127-BL127,2)</f>
        <v/>
      </c>
      <c r="BN127">
        <f>BH127-BL127</f>
        <v/>
      </c>
    </row>
    <row r="128">
      <c r="A128" s="39" t="n">
        <v>121</v>
      </c>
      <c r="B128" s="40">
        <f>EDATE('My Debts'!$C$6,A128-1)</f>
        <v/>
      </c>
      <c r="C128" s="41">
        <f>K128+Q128+W128+AC128+AI128+AO128+AU128+BA128+BG128+BM128</f>
        <v/>
      </c>
      <c r="D128" s="42">
        <f>I128+O128+U128+AA128+AG128+AM128+AS128+AY128+BE128+BK128+J128+P128+V128+AB128+AH128+AN128+AT128+AZ128+BF128+BL128</f>
        <v/>
      </c>
      <c r="E128" s="42">
        <f>H128+N128+T128+Z128+AF128+AL128+AR128+AX128+BD128+BJ128</f>
        <v/>
      </c>
      <c r="F128">
        <f>MAX(0,'My Debts'!$E$21-(I128+O128+U128+AA128+AG128+AM128+AS128+AY128+BE128+BK128))</f>
        <v/>
      </c>
      <c r="G128" s="42">
        <f>K127</f>
        <v/>
      </c>
      <c r="H128" s="42">
        <f>ROUND(G128*H$6/12,2)</f>
        <v/>
      </c>
      <c r="I128" s="42">
        <f>MIN(I$6,G128+H128)</f>
        <v/>
      </c>
      <c r="J128" s="42">
        <f>MAX(0,MIN(G128+H128-I128,$F128))</f>
        <v/>
      </c>
      <c r="K128" s="42">
        <f>ROUND(G128+H128-I128-J128,2)</f>
        <v/>
      </c>
      <c r="L128">
        <f>$F128-J128</f>
        <v/>
      </c>
      <c r="M128" s="42">
        <f>Q127</f>
        <v/>
      </c>
      <c r="N128" s="42">
        <f>ROUND(M128*N$6/12,2)</f>
        <v/>
      </c>
      <c r="O128" s="42">
        <f>MIN(O$6,M128+N128)</f>
        <v/>
      </c>
      <c r="P128" s="42">
        <f>MAX(0,MIN(M128+N128-O128,L128))</f>
        <v/>
      </c>
      <c r="Q128" s="42">
        <f>ROUND(M128+N128-O128-P128,2)</f>
        <v/>
      </c>
      <c r="R128">
        <f>L128-P128</f>
        <v/>
      </c>
      <c r="S128" s="42">
        <f>W127</f>
        <v/>
      </c>
      <c r="T128" s="42">
        <f>ROUND(S128*T$6/12,2)</f>
        <v/>
      </c>
      <c r="U128" s="42">
        <f>MIN(U$6,S128+T128)</f>
        <v/>
      </c>
      <c r="V128" s="42">
        <f>MAX(0,MIN(S128+T128-U128,R128))</f>
        <v/>
      </c>
      <c r="W128" s="42">
        <f>ROUND(S128+T128-U128-V128,2)</f>
        <v/>
      </c>
      <c r="X128">
        <f>R128-V128</f>
        <v/>
      </c>
      <c r="Y128" s="42">
        <f>AC127</f>
        <v/>
      </c>
      <c r="Z128" s="42">
        <f>ROUND(Y128*Z$6/12,2)</f>
        <v/>
      </c>
      <c r="AA128" s="42">
        <f>MIN(AA$6,Y128+Z128)</f>
        <v/>
      </c>
      <c r="AB128" s="42">
        <f>MAX(0,MIN(Y128+Z128-AA128,X128))</f>
        <v/>
      </c>
      <c r="AC128" s="42">
        <f>ROUND(Y128+Z128-AA128-AB128,2)</f>
        <v/>
      </c>
      <c r="AD128">
        <f>X128-AB128</f>
        <v/>
      </c>
      <c r="AE128" s="42">
        <f>AI127</f>
        <v/>
      </c>
      <c r="AF128" s="42">
        <f>ROUND(AE128*AF$6/12,2)</f>
        <v/>
      </c>
      <c r="AG128" s="42">
        <f>MIN(AG$6,AE128+AF128)</f>
        <v/>
      </c>
      <c r="AH128" s="42">
        <f>MAX(0,MIN(AE128+AF128-AG128,AD128))</f>
        <v/>
      </c>
      <c r="AI128" s="42">
        <f>ROUND(AE128+AF128-AG128-AH128,2)</f>
        <v/>
      </c>
      <c r="AJ128">
        <f>AD128-AH128</f>
        <v/>
      </c>
      <c r="AK128" s="42">
        <f>AO127</f>
        <v/>
      </c>
      <c r="AL128" s="42">
        <f>ROUND(AK128*AL$6/12,2)</f>
        <v/>
      </c>
      <c r="AM128" s="42">
        <f>MIN(AM$6,AK128+AL128)</f>
        <v/>
      </c>
      <c r="AN128" s="42">
        <f>MAX(0,MIN(AK128+AL128-AM128,AJ128))</f>
        <v/>
      </c>
      <c r="AO128" s="42">
        <f>ROUND(AK128+AL128-AM128-AN128,2)</f>
        <v/>
      </c>
      <c r="AP128">
        <f>AJ128-AN128</f>
        <v/>
      </c>
      <c r="AQ128" s="42">
        <f>AU127</f>
        <v/>
      </c>
      <c r="AR128" s="42">
        <f>ROUND(AQ128*AR$6/12,2)</f>
        <v/>
      </c>
      <c r="AS128" s="42">
        <f>MIN(AS$6,AQ128+AR128)</f>
        <v/>
      </c>
      <c r="AT128" s="42">
        <f>MAX(0,MIN(AQ128+AR128-AS128,AP128))</f>
        <v/>
      </c>
      <c r="AU128" s="42">
        <f>ROUND(AQ128+AR128-AS128-AT128,2)</f>
        <v/>
      </c>
      <c r="AV128">
        <f>AP128-AT128</f>
        <v/>
      </c>
      <c r="AW128" s="42">
        <f>BA127</f>
        <v/>
      </c>
      <c r="AX128" s="42">
        <f>ROUND(AW128*AX$6/12,2)</f>
        <v/>
      </c>
      <c r="AY128" s="42">
        <f>MIN(AY$6,AW128+AX128)</f>
        <v/>
      </c>
      <c r="AZ128" s="42">
        <f>MAX(0,MIN(AW128+AX128-AY128,AV128))</f>
        <v/>
      </c>
      <c r="BA128" s="42">
        <f>ROUND(AW128+AX128-AY128-AZ128,2)</f>
        <v/>
      </c>
      <c r="BB128">
        <f>AV128-AZ128</f>
        <v/>
      </c>
      <c r="BC128" s="42">
        <f>BG127</f>
        <v/>
      </c>
      <c r="BD128" s="42">
        <f>ROUND(BC128*BD$6/12,2)</f>
        <v/>
      </c>
      <c r="BE128" s="42">
        <f>MIN(BE$6,BC128+BD128)</f>
        <v/>
      </c>
      <c r="BF128" s="42">
        <f>MAX(0,MIN(BC128+BD128-BE128,BB128))</f>
        <v/>
      </c>
      <c r="BG128" s="42">
        <f>ROUND(BC128+BD128-BE128-BF128,2)</f>
        <v/>
      </c>
      <c r="BH128">
        <f>BB128-BF128</f>
        <v/>
      </c>
      <c r="BI128" s="42">
        <f>BM127</f>
        <v/>
      </c>
      <c r="BJ128" s="42">
        <f>ROUND(BI128*BJ$6/12,2)</f>
        <v/>
      </c>
      <c r="BK128" s="42">
        <f>MIN(BK$6,BI128+BJ128)</f>
        <v/>
      </c>
      <c r="BL128" s="42">
        <f>MAX(0,MIN(BI128+BJ128-BK128,BH128))</f>
        <v/>
      </c>
      <c r="BM128" s="42">
        <f>ROUND(BI128+BJ128-BK128-BL128,2)</f>
        <v/>
      </c>
      <c r="BN128">
        <f>BH128-BL128</f>
        <v/>
      </c>
    </row>
    <row r="129">
      <c r="A129" s="43" t="n">
        <v>122</v>
      </c>
      <c r="B129" s="44">
        <f>EDATE('My Debts'!$C$6,A129-1)</f>
        <v/>
      </c>
      <c r="C129" s="45">
        <f>K129+Q129+W129+AC129+AI129+AO129+AU129+BA129+BG129+BM129</f>
        <v/>
      </c>
      <c r="D129" s="46">
        <f>I129+O129+U129+AA129+AG129+AM129+AS129+AY129+BE129+BK129+J129+P129+V129+AB129+AH129+AN129+AT129+AZ129+BF129+BL129</f>
        <v/>
      </c>
      <c r="E129" s="46">
        <f>H129+N129+T129+Z129+AF129+AL129+AR129+AX129+BD129+BJ129</f>
        <v/>
      </c>
      <c r="F129">
        <f>MAX(0,'My Debts'!$E$21-(I129+O129+U129+AA129+AG129+AM129+AS129+AY129+BE129+BK129))</f>
        <v/>
      </c>
      <c r="G129" s="42">
        <f>K128</f>
        <v/>
      </c>
      <c r="H129" s="42">
        <f>ROUND(G129*H$6/12,2)</f>
        <v/>
      </c>
      <c r="I129" s="42">
        <f>MIN(I$6,G129+H129)</f>
        <v/>
      </c>
      <c r="J129" s="42">
        <f>MAX(0,MIN(G129+H129-I129,$F129))</f>
        <v/>
      </c>
      <c r="K129" s="42">
        <f>ROUND(G129+H129-I129-J129,2)</f>
        <v/>
      </c>
      <c r="L129">
        <f>$F129-J129</f>
        <v/>
      </c>
      <c r="M129" s="42">
        <f>Q128</f>
        <v/>
      </c>
      <c r="N129" s="42">
        <f>ROUND(M129*N$6/12,2)</f>
        <v/>
      </c>
      <c r="O129" s="42">
        <f>MIN(O$6,M129+N129)</f>
        <v/>
      </c>
      <c r="P129" s="42">
        <f>MAX(0,MIN(M129+N129-O129,L129))</f>
        <v/>
      </c>
      <c r="Q129" s="42">
        <f>ROUND(M129+N129-O129-P129,2)</f>
        <v/>
      </c>
      <c r="R129">
        <f>L129-P129</f>
        <v/>
      </c>
      <c r="S129" s="42">
        <f>W128</f>
        <v/>
      </c>
      <c r="T129" s="42">
        <f>ROUND(S129*T$6/12,2)</f>
        <v/>
      </c>
      <c r="U129" s="42">
        <f>MIN(U$6,S129+T129)</f>
        <v/>
      </c>
      <c r="V129" s="42">
        <f>MAX(0,MIN(S129+T129-U129,R129))</f>
        <v/>
      </c>
      <c r="W129" s="42">
        <f>ROUND(S129+T129-U129-V129,2)</f>
        <v/>
      </c>
      <c r="X129">
        <f>R129-V129</f>
        <v/>
      </c>
      <c r="Y129" s="42">
        <f>AC128</f>
        <v/>
      </c>
      <c r="Z129" s="42">
        <f>ROUND(Y129*Z$6/12,2)</f>
        <v/>
      </c>
      <c r="AA129" s="42">
        <f>MIN(AA$6,Y129+Z129)</f>
        <v/>
      </c>
      <c r="AB129" s="42">
        <f>MAX(0,MIN(Y129+Z129-AA129,X129))</f>
        <v/>
      </c>
      <c r="AC129" s="42">
        <f>ROUND(Y129+Z129-AA129-AB129,2)</f>
        <v/>
      </c>
      <c r="AD129">
        <f>X129-AB129</f>
        <v/>
      </c>
      <c r="AE129" s="42">
        <f>AI128</f>
        <v/>
      </c>
      <c r="AF129" s="42">
        <f>ROUND(AE129*AF$6/12,2)</f>
        <v/>
      </c>
      <c r="AG129" s="42">
        <f>MIN(AG$6,AE129+AF129)</f>
        <v/>
      </c>
      <c r="AH129" s="42">
        <f>MAX(0,MIN(AE129+AF129-AG129,AD129))</f>
        <v/>
      </c>
      <c r="AI129" s="42">
        <f>ROUND(AE129+AF129-AG129-AH129,2)</f>
        <v/>
      </c>
      <c r="AJ129">
        <f>AD129-AH129</f>
        <v/>
      </c>
      <c r="AK129" s="42">
        <f>AO128</f>
        <v/>
      </c>
      <c r="AL129" s="42">
        <f>ROUND(AK129*AL$6/12,2)</f>
        <v/>
      </c>
      <c r="AM129" s="42">
        <f>MIN(AM$6,AK129+AL129)</f>
        <v/>
      </c>
      <c r="AN129" s="42">
        <f>MAX(0,MIN(AK129+AL129-AM129,AJ129))</f>
        <v/>
      </c>
      <c r="AO129" s="42">
        <f>ROUND(AK129+AL129-AM129-AN129,2)</f>
        <v/>
      </c>
      <c r="AP129">
        <f>AJ129-AN129</f>
        <v/>
      </c>
      <c r="AQ129" s="42">
        <f>AU128</f>
        <v/>
      </c>
      <c r="AR129" s="42">
        <f>ROUND(AQ129*AR$6/12,2)</f>
        <v/>
      </c>
      <c r="AS129" s="42">
        <f>MIN(AS$6,AQ129+AR129)</f>
        <v/>
      </c>
      <c r="AT129" s="42">
        <f>MAX(0,MIN(AQ129+AR129-AS129,AP129))</f>
        <v/>
      </c>
      <c r="AU129" s="42">
        <f>ROUND(AQ129+AR129-AS129-AT129,2)</f>
        <v/>
      </c>
      <c r="AV129">
        <f>AP129-AT129</f>
        <v/>
      </c>
      <c r="AW129" s="42">
        <f>BA128</f>
        <v/>
      </c>
      <c r="AX129" s="42">
        <f>ROUND(AW129*AX$6/12,2)</f>
        <v/>
      </c>
      <c r="AY129" s="42">
        <f>MIN(AY$6,AW129+AX129)</f>
        <v/>
      </c>
      <c r="AZ129" s="42">
        <f>MAX(0,MIN(AW129+AX129-AY129,AV129))</f>
        <v/>
      </c>
      <c r="BA129" s="42">
        <f>ROUND(AW129+AX129-AY129-AZ129,2)</f>
        <v/>
      </c>
      <c r="BB129">
        <f>AV129-AZ129</f>
        <v/>
      </c>
      <c r="BC129" s="42">
        <f>BG128</f>
        <v/>
      </c>
      <c r="BD129" s="42">
        <f>ROUND(BC129*BD$6/12,2)</f>
        <v/>
      </c>
      <c r="BE129" s="42">
        <f>MIN(BE$6,BC129+BD129)</f>
        <v/>
      </c>
      <c r="BF129" s="42">
        <f>MAX(0,MIN(BC129+BD129-BE129,BB129))</f>
        <v/>
      </c>
      <c r="BG129" s="42">
        <f>ROUND(BC129+BD129-BE129-BF129,2)</f>
        <v/>
      </c>
      <c r="BH129">
        <f>BB129-BF129</f>
        <v/>
      </c>
      <c r="BI129" s="42">
        <f>BM128</f>
        <v/>
      </c>
      <c r="BJ129" s="42">
        <f>ROUND(BI129*BJ$6/12,2)</f>
        <v/>
      </c>
      <c r="BK129" s="42">
        <f>MIN(BK$6,BI129+BJ129)</f>
        <v/>
      </c>
      <c r="BL129" s="42">
        <f>MAX(0,MIN(BI129+BJ129-BK129,BH129))</f>
        <v/>
      </c>
      <c r="BM129" s="42">
        <f>ROUND(BI129+BJ129-BK129-BL129,2)</f>
        <v/>
      </c>
      <c r="BN129">
        <f>BH129-BL129</f>
        <v/>
      </c>
    </row>
    <row r="130">
      <c r="A130" s="39" t="n">
        <v>123</v>
      </c>
      <c r="B130" s="40">
        <f>EDATE('My Debts'!$C$6,A130-1)</f>
        <v/>
      </c>
      <c r="C130" s="41">
        <f>K130+Q130+W130+AC130+AI130+AO130+AU130+BA130+BG130+BM130</f>
        <v/>
      </c>
      <c r="D130" s="42">
        <f>I130+O130+U130+AA130+AG130+AM130+AS130+AY130+BE130+BK130+J130+P130+V130+AB130+AH130+AN130+AT130+AZ130+BF130+BL130</f>
        <v/>
      </c>
      <c r="E130" s="42">
        <f>H130+N130+T130+Z130+AF130+AL130+AR130+AX130+BD130+BJ130</f>
        <v/>
      </c>
      <c r="F130">
        <f>MAX(0,'My Debts'!$E$21-(I130+O130+U130+AA130+AG130+AM130+AS130+AY130+BE130+BK130))</f>
        <v/>
      </c>
      <c r="G130" s="42">
        <f>K129</f>
        <v/>
      </c>
      <c r="H130" s="42">
        <f>ROUND(G130*H$6/12,2)</f>
        <v/>
      </c>
      <c r="I130" s="42">
        <f>MIN(I$6,G130+H130)</f>
        <v/>
      </c>
      <c r="J130" s="42">
        <f>MAX(0,MIN(G130+H130-I130,$F130))</f>
        <v/>
      </c>
      <c r="K130" s="42">
        <f>ROUND(G130+H130-I130-J130,2)</f>
        <v/>
      </c>
      <c r="L130">
        <f>$F130-J130</f>
        <v/>
      </c>
      <c r="M130" s="42">
        <f>Q129</f>
        <v/>
      </c>
      <c r="N130" s="42">
        <f>ROUND(M130*N$6/12,2)</f>
        <v/>
      </c>
      <c r="O130" s="42">
        <f>MIN(O$6,M130+N130)</f>
        <v/>
      </c>
      <c r="P130" s="42">
        <f>MAX(0,MIN(M130+N130-O130,L130))</f>
        <v/>
      </c>
      <c r="Q130" s="42">
        <f>ROUND(M130+N130-O130-P130,2)</f>
        <v/>
      </c>
      <c r="R130">
        <f>L130-P130</f>
        <v/>
      </c>
      <c r="S130" s="42">
        <f>W129</f>
        <v/>
      </c>
      <c r="T130" s="42">
        <f>ROUND(S130*T$6/12,2)</f>
        <v/>
      </c>
      <c r="U130" s="42">
        <f>MIN(U$6,S130+T130)</f>
        <v/>
      </c>
      <c r="V130" s="42">
        <f>MAX(0,MIN(S130+T130-U130,R130))</f>
        <v/>
      </c>
      <c r="W130" s="42">
        <f>ROUND(S130+T130-U130-V130,2)</f>
        <v/>
      </c>
      <c r="X130">
        <f>R130-V130</f>
        <v/>
      </c>
      <c r="Y130" s="42">
        <f>AC129</f>
        <v/>
      </c>
      <c r="Z130" s="42">
        <f>ROUND(Y130*Z$6/12,2)</f>
        <v/>
      </c>
      <c r="AA130" s="42">
        <f>MIN(AA$6,Y130+Z130)</f>
        <v/>
      </c>
      <c r="AB130" s="42">
        <f>MAX(0,MIN(Y130+Z130-AA130,X130))</f>
        <v/>
      </c>
      <c r="AC130" s="42">
        <f>ROUND(Y130+Z130-AA130-AB130,2)</f>
        <v/>
      </c>
      <c r="AD130">
        <f>X130-AB130</f>
        <v/>
      </c>
      <c r="AE130" s="42">
        <f>AI129</f>
        <v/>
      </c>
      <c r="AF130" s="42">
        <f>ROUND(AE130*AF$6/12,2)</f>
        <v/>
      </c>
      <c r="AG130" s="42">
        <f>MIN(AG$6,AE130+AF130)</f>
        <v/>
      </c>
      <c r="AH130" s="42">
        <f>MAX(0,MIN(AE130+AF130-AG130,AD130))</f>
        <v/>
      </c>
      <c r="AI130" s="42">
        <f>ROUND(AE130+AF130-AG130-AH130,2)</f>
        <v/>
      </c>
      <c r="AJ130">
        <f>AD130-AH130</f>
        <v/>
      </c>
      <c r="AK130" s="42">
        <f>AO129</f>
        <v/>
      </c>
      <c r="AL130" s="42">
        <f>ROUND(AK130*AL$6/12,2)</f>
        <v/>
      </c>
      <c r="AM130" s="42">
        <f>MIN(AM$6,AK130+AL130)</f>
        <v/>
      </c>
      <c r="AN130" s="42">
        <f>MAX(0,MIN(AK130+AL130-AM130,AJ130))</f>
        <v/>
      </c>
      <c r="AO130" s="42">
        <f>ROUND(AK130+AL130-AM130-AN130,2)</f>
        <v/>
      </c>
      <c r="AP130">
        <f>AJ130-AN130</f>
        <v/>
      </c>
      <c r="AQ130" s="42">
        <f>AU129</f>
        <v/>
      </c>
      <c r="AR130" s="42">
        <f>ROUND(AQ130*AR$6/12,2)</f>
        <v/>
      </c>
      <c r="AS130" s="42">
        <f>MIN(AS$6,AQ130+AR130)</f>
        <v/>
      </c>
      <c r="AT130" s="42">
        <f>MAX(0,MIN(AQ130+AR130-AS130,AP130))</f>
        <v/>
      </c>
      <c r="AU130" s="42">
        <f>ROUND(AQ130+AR130-AS130-AT130,2)</f>
        <v/>
      </c>
      <c r="AV130">
        <f>AP130-AT130</f>
        <v/>
      </c>
      <c r="AW130" s="42">
        <f>BA129</f>
        <v/>
      </c>
      <c r="AX130" s="42">
        <f>ROUND(AW130*AX$6/12,2)</f>
        <v/>
      </c>
      <c r="AY130" s="42">
        <f>MIN(AY$6,AW130+AX130)</f>
        <v/>
      </c>
      <c r="AZ130" s="42">
        <f>MAX(0,MIN(AW130+AX130-AY130,AV130))</f>
        <v/>
      </c>
      <c r="BA130" s="42">
        <f>ROUND(AW130+AX130-AY130-AZ130,2)</f>
        <v/>
      </c>
      <c r="BB130">
        <f>AV130-AZ130</f>
        <v/>
      </c>
      <c r="BC130" s="42">
        <f>BG129</f>
        <v/>
      </c>
      <c r="BD130" s="42">
        <f>ROUND(BC130*BD$6/12,2)</f>
        <v/>
      </c>
      <c r="BE130" s="42">
        <f>MIN(BE$6,BC130+BD130)</f>
        <v/>
      </c>
      <c r="BF130" s="42">
        <f>MAX(0,MIN(BC130+BD130-BE130,BB130))</f>
        <v/>
      </c>
      <c r="BG130" s="42">
        <f>ROUND(BC130+BD130-BE130-BF130,2)</f>
        <v/>
      </c>
      <c r="BH130">
        <f>BB130-BF130</f>
        <v/>
      </c>
      <c r="BI130" s="42">
        <f>BM129</f>
        <v/>
      </c>
      <c r="BJ130" s="42">
        <f>ROUND(BI130*BJ$6/12,2)</f>
        <v/>
      </c>
      <c r="BK130" s="42">
        <f>MIN(BK$6,BI130+BJ130)</f>
        <v/>
      </c>
      <c r="BL130" s="42">
        <f>MAX(0,MIN(BI130+BJ130-BK130,BH130))</f>
        <v/>
      </c>
      <c r="BM130" s="42">
        <f>ROUND(BI130+BJ130-BK130-BL130,2)</f>
        <v/>
      </c>
      <c r="BN130">
        <f>BH130-BL130</f>
        <v/>
      </c>
    </row>
    <row r="131">
      <c r="A131" s="43" t="n">
        <v>124</v>
      </c>
      <c r="B131" s="44">
        <f>EDATE('My Debts'!$C$6,A131-1)</f>
        <v/>
      </c>
      <c r="C131" s="45">
        <f>K131+Q131+W131+AC131+AI131+AO131+AU131+BA131+BG131+BM131</f>
        <v/>
      </c>
      <c r="D131" s="46">
        <f>I131+O131+U131+AA131+AG131+AM131+AS131+AY131+BE131+BK131+J131+P131+V131+AB131+AH131+AN131+AT131+AZ131+BF131+BL131</f>
        <v/>
      </c>
      <c r="E131" s="46">
        <f>H131+N131+T131+Z131+AF131+AL131+AR131+AX131+BD131+BJ131</f>
        <v/>
      </c>
      <c r="F131">
        <f>MAX(0,'My Debts'!$E$21-(I131+O131+U131+AA131+AG131+AM131+AS131+AY131+BE131+BK131))</f>
        <v/>
      </c>
      <c r="G131" s="42">
        <f>K130</f>
        <v/>
      </c>
      <c r="H131" s="42">
        <f>ROUND(G131*H$6/12,2)</f>
        <v/>
      </c>
      <c r="I131" s="42">
        <f>MIN(I$6,G131+H131)</f>
        <v/>
      </c>
      <c r="J131" s="42">
        <f>MAX(0,MIN(G131+H131-I131,$F131))</f>
        <v/>
      </c>
      <c r="K131" s="42">
        <f>ROUND(G131+H131-I131-J131,2)</f>
        <v/>
      </c>
      <c r="L131">
        <f>$F131-J131</f>
        <v/>
      </c>
      <c r="M131" s="42">
        <f>Q130</f>
        <v/>
      </c>
      <c r="N131" s="42">
        <f>ROUND(M131*N$6/12,2)</f>
        <v/>
      </c>
      <c r="O131" s="42">
        <f>MIN(O$6,M131+N131)</f>
        <v/>
      </c>
      <c r="P131" s="42">
        <f>MAX(0,MIN(M131+N131-O131,L131))</f>
        <v/>
      </c>
      <c r="Q131" s="42">
        <f>ROUND(M131+N131-O131-P131,2)</f>
        <v/>
      </c>
      <c r="R131">
        <f>L131-P131</f>
        <v/>
      </c>
      <c r="S131" s="42">
        <f>W130</f>
        <v/>
      </c>
      <c r="T131" s="42">
        <f>ROUND(S131*T$6/12,2)</f>
        <v/>
      </c>
      <c r="U131" s="42">
        <f>MIN(U$6,S131+T131)</f>
        <v/>
      </c>
      <c r="V131" s="42">
        <f>MAX(0,MIN(S131+T131-U131,R131))</f>
        <v/>
      </c>
      <c r="W131" s="42">
        <f>ROUND(S131+T131-U131-V131,2)</f>
        <v/>
      </c>
      <c r="X131">
        <f>R131-V131</f>
        <v/>
      </c>
      <c r="Y131" s="42">
        <f>AC130</f>
        <v/>
      </c>
      <c r="Z131" s="42">
        <f>ROUND(Y131*Z$6/12,2)</f>
        <v/>
      </c>
      <c r="AA131" s="42">
        <f>MIN(AA$6,Y131+Z131)</f>
        <v/>
      </c>
      <c r="AB131" s="42">
        <f>MAX(0,MIN(Y131+Z131-AA131,X131))</f>
        <v/>
      </c>
      <c r="AC131" s="42">
        <f>ROUND(Y131+Z131-AA131-AB131,2)</f>
        <v/>
      </c>
      <c r="AD131">
        <f>X131-AB131</f>
        <v/>
      </c>
      <c r="AE131" s="42">
        <f>AI130</f>
        <v/>
      </c>
      <c r="AF131" s="42">
        <f>ROUND(AE131*AF$6/12,2)</f>
        <v/>
      </c>
      <c r="AG131" s="42">
        <f>MIN(AG$6,AE131+AF131)</f>
        <v/>
      </c>
      <c r="AH131" s="42">
        <f>MAX(0,MIN(AE131+AF131-AG131,AD131))</f>
        <v/>
      </c>
      <c r="AI131" s="42">
        <f>ROUND(AE131+AF131-AG131-AH131,2)</f>
        <v/>
      </c>
      <c r="AJ131">
        <f>AD131-AH131</f>
        <v/>
      </c>
      <c r="AK131" s="42">
        <f>AO130</f>
        <v/>
      </c>
      <c r="AL131" s="42">
        <f>ROUND(AK131*AL$6/12,2)</f>
        <v/>
      </c>
      <c r="AM131" s="42">
        <f>MIN(AM$6,AK131+AL131)</f>
        <v/>
      </c>
      <c r="AN131" s="42">
        <f>MAX(0,MIN(AK131+AL131-AM131,AJ131))</f>
        <v/>
      </c>
      <c r="AO131" s="42">
        <f>ROUND(AK131+AL131-AM131-AN131,2)</f>
        <v/>
      </c>
      <c r="AP131">
        <f>AJ131-AN131</f>
        <v/>
      </c>
      <c r="AQ131" s="42">
        <f>AU130</f>
        <v/>
      </c>
      <c r="AR131" s="42">
        <f>ROUND(AQ131*AR$6/12,2)</f>
        <v/>
      </c>
      <c r="AS131" s="42">
        <f>MIN(AS$6,AQ131+AR131)</f>
        <v/>
      </c>
      <c r="AT131" s="42">
        <f>MAX(0,MIN(AQ131+AR131-AS131,AP131))</f>
        <v/>
      </c>
      <c r="AU131" s="42">
        <f>ROUND(AQ131+AR131-AS131-AT131,2)</f>
        <v/>
      </c>
      <c r="AV131">
        <f>AP131-AT131</f>
        <v/>
      </c>
      <c r="AW131" s="42">
        <f>BA130</f>
        <v/>
      </c>
      <c r="AX131" s="42">
        <f>ROUND(AW131*AX$6/12,2)</f>
        <v/>
      </c>
      <c r="AY131" s="42">
        <f>MIN(AY$6,AW131+AX131)</f>
        <v/>
      </c>
      <c r="AZ131" s="42">
        <f>MAX(0,MIN(AW131+AX131-AY131,AV131))</f>
        <v/>
      </c>
      <c r="BA131" s="42">
        <f>ROUND(AW131+AX131-AY131-AZ131,2)</f>
        <v/>
      </c>
      <c r="BB131">
        <f>AV131-AZ131</f>
        <v/>
      </c>
      <c r="BC131" s="42">
        <f>BG130</f>
        <v/>
      </c>
      <c r="BD131" s="42">
        <f>ROUND(BC131*BD$6/12,2)</f>
        <v/>
      </c>
      <c r="BE131" s="42">
        <f>MIN(BE$6,BC131+BD131)</f>
        <v/>
      </c>
      <c r="BF131" s="42">
        <f>MAX(0,MIN(BC131+BD131-BE131,BB131))</f>
        <v/>
      </c>
      <c r="BG131" s="42">
        <f>ROUND(BC131+BD131-BE131-BF131,2)</f>
        <v/>
      </c>
      <c r="BH131">
        <f>BB131-BF131</f>
        <v/>
      </c>
      <c r="BI131" s="42">
        <f>BM130</f>
        <v/>
      </c>
      <c r="BJ131" s="42">
        <f>ROUND(BI131*BJ$6/12,2)</f>
        <v/>
      </c>
      <c r="BK131" s="42">
        <f>MIN(BK$6,BI131+BJ131)</f>
        <v/>
      </c>
      <c r="BL131" s="42">
        <f>MAX(0,MIN(BI131+BJ131-BK131,BH131))</f>
        <v/>
      </c>
      <c r="BM131" s="42">
        <f>ROUND(BI131+BJ131-BK131-BL131,2)</f>
        <v/>
      </c>
      <c r="BN131">
        <f>BH131-BL131</f>
        <v/>
      </c>
    </row>
    <row r="132">
      <c r="A132" s="39" t="n">
        <v>125</v>
      </c>
      <c r="B132" s="40">
        <f>EDATE('My Debts'!$C$6,A132-1)</f>
        <v/>
      </c>
      <c r="C132" s="41">
        <f>K132+Q132+W132+AC132+AI132+AO132+AU132+BA132+BG132+BM132</f>
        <v/>
      </c>
      <c r="D132" s="42">
        <f>I132+O132+U132+AA132+AG132+AM132+AS132+AY132+BE132+BK132+J132+P132+V132+AB132+AH132+AN132+AT132+AZ132+BF132+BL132</f>
        <v/>
      </c>
      <c r="E132" s="42">
        <f>H132+N132+T132+Z132+AF132+AL132+AR132+AX132+BD132+BJ132</f>
        <v/>
      </c>
      <c r="F132">
        <f>MAX(0,'My Debts'!$E$21-(I132+O132+U132+AA132+AG132+AM132+AS132+AY132+BE132+BK132))</f>
        <v/>
      </c>
      <c r="G132" s="42">
        <f>K131</f>
        <v/>
      </c>
      <c r="H132" s="42">
        <f>ROUND(G132*H$6/12,2)</f>
        <v/>
      </c>
      <c r="I132" s="42">
        <f>MIN(I$6,G132+H132)</f>
        <v/>
      </c>
      <c r="J132" s="42">
        <f>MAX(0,MIN(G132+H132-I132,$F132))</f>
        <v/>
      </c>
      <c r="K132" s="42">
        <f>ROUND(G132+H132-I132-J132,2)</f>
        <v/>
      </c>
      <c r="L132">
        <f>$F132-J132</f>
        <v/>
      </c>
      <c r="M132" s="42">
        <f>Q131</f>
        <v/>
      </c>
      <c r="N132" s="42">
        <f>ROUND(M132*N$6/12,2)</f>
        <v/>
      </c>
      <c r="O132" s="42">
        <f>MIN(O$6,M132+N132)</f>
        <v/>
      </c>
      <c r="P132" s="42">
        <f>MAX(0,MIN(M132+N132-O132,L132))</f>
        <v/>
      </c>
      <c r="Q132" s="42">
        <f>ROUND(M132+N132-O132-P132,2)</f>
        <v/>
      </c>
      <c r="R132">
        <f>L132-P132</f>
        <v/>
      </c>
      <c r="S132" s="42">
        <f>W131</f>
        <v/>
      </c>
      <c r="T132" s="42">
        <f>ROUND(S132*T$6/12,2)</f>
        <v/>
      </c>
      <c r="U132" s="42">
        <f>MIN(U$6,S132+T132)</f>
        <v/>
      </c>
      <c r="V132" s="42">
        <f>MAX(0,MIN(S132+T132-U132,R132))</f>
        <v/>
      </c>
      <c r="W132" s="42">
        <f>ROUND(S132+T132-U132-V132,2)</f>
        <v/>
      </c>
      <c r="X132">
        <f>R132-V132</f>
        <v/>
      </c>
      <c r="Y132" s="42">
        <f>AC131</f>
        <v/>
      </c>
      <c r="Z132" s="42">
        <f>ROUND(Y132*Z$6/12,2)</f>
        <v/>
      </c>
      <c r="AA132" s="42">
        <f>MIN(AA$6,Y132+Z132)</f>
        <v/>
      </c>
      <c r="AB132" s="42">
        <f>MAX(0,MIN(Y132+Z132-AA132,X132))</f>
        <v/>
      </c>
      <c r="AC132" s="42">
        <f>ROUND(Y132+Z132-AA132-AB132,2)</f>
        <v/>
      </c>
      <c r="AD132">
        <f>X132-AB132</f>
        <v/>
      </c>
      <c r="AE132" s="42">
        <f>AI131</f>
        <v/>
      </c>
      <c r="AF132" s="42">
        <f>ROUND(AE132*AF$6/12,2)</f>
        <v/>
      </c>
      <c r="AG132" s="42">
        <f>MIN(AG$6,AE132+AF132)</f>
        <v/>
      </c>
      <c r="AH132" s="42">
        <f>MAX(0,MIN(AE132+AF132-AG132,AD132))</f>
        <v/>
      </c>
      <c r="AI132" s="42">
        <f>ROUND(AE132+AF132-AG132-AH132,2)</f>
        <v/>
      </c>
      <c r="AJ132">
        <f>AD132-AH132</f>
        <v/>
      </c>
      <c r="AK132" s="42">
        <f>AO131</f>
        <v/>
      </c>
      <c r="AL132" s="42">
        <f>ROUND(AK132*AL$6/12,2)</f>
        <v/>
      </c>
      <c r="AM132" s="42">
        <f>MIN(AM$6,AK132+AL132)</f>
        <v/>
      </c>
      <c r="AN132" s="42">
        <f>MAX(0,MIN(AK132+AL132-AM132,AJ132))</f>
        <v/>
      </c>
      <c r="AO132" s="42">
        <f>ROUND(AK132+AL132-AM132-AN132,2)</f>
        <v/>
      </c>
      <c r="AP132">
        <f>AJ132-AN132</f>
        <v/>
      </c>
      <c r="AQ132" s="42">
        <f>AU131</f>
        <v/>
      </c>
      <c r="AR132" s="42">
        <f>ROUND(AQ132*AR$6/12,2)</f>
        <v/>
      </c>
      <c r="AS132" s="42">
        <f>MIN(AS$6,AQ132+AR132)</f>
        <v/>
      </c>
      <c r="AT132" s="42">
        <f>MAX(0,MIN(AQ132+AR132-AS132,AP132))</f>
        <v/>
      </c>
      <c r="AU132" s="42">
        <f>ROUND(AQ132+AR132-AS132-AT132,2)</f>
        <v/>
      </c>
      <c r="AV132">
        <f>AP132-AT132</f>
        <v/>
      </c>
      <c r="AW132" s="42">
        <f>BA131</f>
        <v/>
      </c>
      <c r="AX132" s="42">
        <f>ROUND(AW132*AX$6/12,2)</f>
        <v/>
      </c>
      <c r="AY132" s="42">
        <f>MIN(AY$6,AW132+AX132)</f>
        <v/>
      </c>
      <c r="AZ132" s="42">
        <f>MAX(0,MIN(AW132+AX132-AY132,AV132))</f>
        <v/>
      </c>
      <c r="BA132" s="42">
        <f>ROUND(AW132+AX132-AY132-AZ132,2)</f>
        <v/>
      </c>
      <c r="BB132">
        <f>AV132-AZ132</f>
        <v/>
      </c>
      <c r="BC132" s="42">
        <f>BG131</f>
        <v/>
      </c>
      <c r="BD132" s="42">
        <f>ROUND(BC132*BD$6/12,2)</f>
        <v/>
      </c>
      <c r="BE132" s="42">
        <f>MIN(BE$6,BC132+BD132)</f>
        <v/>
      </c>
      <c r="BF132" s="42">
        <f>MAX(0,MIN(BC132+BD132-BE132,BB132))</f>
        <v/>
      </c>
      <c r="BG132" s="42">
        <f>ROUND(BC132+BD132-BE132-BF132,2)</f>
        <v/>
      </c>
      <c r="BH132">
        <f>BB132-BF132</f>
        <v/>
      </c>
      <c r="BI132" s="42">
        <f>BM131</f>
        <v/>
      </c>
      <c r="BJ132" s="42">
        <f>ROUND(BI132*BJ$6/12,2)</f>
        <v/>
      </c>
      <c r="BK132" s="42">
        <f>MIN(BK$6,BI132+BJ132)</f>
        <v/>
      </c>
      <c r="BL132" s="42">
        <f>MAX(0,MIN(BI132+BJ132-BK132,BH132))</f>
        <v/>
      </c>
      <c r="BM132" s="42">
        <f>ROUND(BI132+BJ132-BK132-BL132,2)</f>
        <v/>
      </c>
      <c r="BN132">
        <f>BH132-BL132</f>
        <v/>
      </c>
    </row>
    <row r="133">
      <c r="A133" s="43" t="n">
        <v>126</v>
      </c>
      <c r="B133" s="44">
        <f>EDATE('My Debts'!$C$6,A133-1)</f>
        <v/>
      </c>
      <c r="C133" s="45">
        <f>K133+Q133+W133+AC133+AI133+AO133+AU133+BA133+BG133+BM133</f>
        <v/>
      </c>
      <c r="D133" s="46">
        <f>I133+O133+U133+AA133+AG133+AM133+AS133+AY133+BE133+BK133+J133+P133+V133+AB133+AH133+AN133+AT133+AZ133+BF133+BL133</f>
        <v/>
      </c>
      <c r="E133" s="46">
        <f>H133+N133+T133+Z133+AF133+AL133+AR133+AX133+BD133+BJ133</f>
        <v/>
      </c>
      <c r="F133">
        <f>MAX(0,'My Debts'!$E$21-(I133+O133+U133+AA133+AG133+AM133+AS133+AY133+BE133+BK133))</f>
        <v/>
      </c>
      <c r="G133" s="42">
        <f>K132</f>
        <v/>
      </c>
      <c r="H133" s="42">
        <f>ROUND(G133*H$6/12,2)</f>
        <v/>
      </c>
      <c r="I133" s="42">
        <f>MIN(I$6,G133+H133)</f>
        <v/>
      </c>
      <c r="J133" s="42">
        <f>MAX(0,MIN(G133+H133-I133,$F133))</f>
        <v/>
      </c>
      <c r="K133" s="42">
        <f>ROUND(G133+H133-I133-J133,2)</f>
        <v/>
      </c>
      <c r="L133">
        <f>$F133-J133</f>
        <v/>
      </c>
      <c r="M133" s="42">
        <f>Q132</f>
        <v/>
      </c>
      <c r="N133" s="42">
        <f>ROUND(M133*N$6/12,2)</f>
        <v/>
      </c>
      <c r="O133" s="42">
        <f>MIN(O$6,M133+N133)</f>
        <v/>
      </c>
      <c r="P133" s="42">
        <f>MAX(0,MIN(M133+N133-O133,L133))</f>
        <v/>
      </c>
      <c r="Q133" s="42">
        <f>ROUND(M133+N133-O133-P133,2)</f>
        <v/>
      </c>
      <c r="R133">
        <f>L133-P133</f>
        <v/>
      </c>
      <c r="S133" s="42">
        <f>W132</f>
        <v/>
      </c>
      <c r="T133" s="42">
        <f>ROUND(S133*T$6/12,2)</f>
        <v/>
      </c>
      <c r="U133" s="42">
        <f>MIN(U$6,S133+T133)</f>
        <v/>
      </c>
      <c r="V133" s="42">
        <f>MAX(0,MIN(S133+T133-U133,R133))</f>
        <v/>
      </c>
      <c r="W133" s="42">
        <f>ROUND(S133+T133-U133-V133,2)</f>
        <v/>
      </c>
      <c r="X133">
        <f>R133-V133</f>
        <v/>
      </c>
      <c r="Y133" s="42">
        <f>AC132</f>
        <v/>
      </c>
      <c r="Z133" s="42">
        <f>ROUND(Y133*Z$6/12,2)</f>
        <v/>
      </c>
      <c r="AA133" s="42">
        <f>MIN(AA$6,Y133+Z133)</f>
        <v/>
      </c>
      <c r="AB133" s="42">
        <f>MAX(0,MIN(Y133+Z133-AA133,X133))</f>
        <v/>
      </c>
      <c r="AC133" s="42">
        <f>ROUND(Y133+Z133-AA133-AB133,2)</f>
        <v/>
      </c>
      <c r="AD133">
        <f>X133-AB133</f>
        <v/>
      </c>
      <c r="AE133" s="42">
        <f>AI132</f>
        <v/>
      </c>
      <c r="AF133" s="42">
        <f>ROUND(AE133*AF$6/12,2)</f>
        <v/>
      </c>
      <c r="AG133" s="42">
        <f>MIN(AG$6,AE133+AF133)</f>
        <v/>
      </c>
      <c r="AH133" s="42">
        <f>MAX(0,MIN(AE133+AF133-AG133,AD133))</f>
        <v/>
      </c>
      <c r="AI133" s="42">
        <f>ROUND(AE133+AF133-AG133-AH133,2)</f>
        <v/>
      </c>
      <c r="AJ133">
        <f>AD133-AH133</f>
        <v/>
      </c>
      <c r="AK133" s="42">
        <f>AO132</f>
        <v/>
      </c>
      <c r="AL133" s="42">
        <f>ROUND(AK133*AL$6/12,2)</f>
        <v/>
      </c>
      <c r="AM133" s="42">
        <f>MIN(AM$6,AK133+AL133)</f>
        <v/>
      </c>
      <c r="AN133" s="42">
        <f>MAX(0,MIN(AK133+AL133-AM133,AJ133))</f>
        <v/>
      </c>
      <c r="AO133" s="42">
        <f>ROUND(AK133+AL133-AM133-AN133,2)</f>
        <v/>
      </c>
      <c r="AP133">
        <f>AJ133-AN133</f>
        <v/>
      </c>
      <c r="AQ133" s="42">
        <f>AU132</f>
        <v/>
      </c>
      <c r="AR133" s="42">
        <f>ROUND(AQ133*AR$6/12,2)</f>
        <v/>
      </c>
      <c r="AS133" s="42">
        <f>MIN(AS$6,AQ133+AR133)</f>
        <v/>
      </c>
      <c r="AT133" s="42">
        <f>MAX(0,MIN(AQ133+AR133-AS133,AP133))</f>
        <v/>
      </c>
      <c r="AU133" s="42">
        <f>ROUND(AQ133+AR133-AS133-AT133,2)</f>
        <v/>
      </c>
      <c r="AV133">
        <f>AP133-AT133</f>
        <v/>
      </c>
      <c r="AW133" s="42">
        <f>BA132</f>
        <v/>
      </c>
      <c r="AX133" s="42">
        <f>ROUND(AW133*AX$6/12,2)</f>
        <v/>
      </c>
      <c r="AY133" s="42">
        <f>MIN(AY$6,AW133+AX133)</f>
        <v/>
      </c>
      <c r="AZ133" s="42">
        <f>MAX(0,MIN(AW133+AX133-AY133,AV133))</f>
        <v/>
      </c>
      <c r="BA133" s="42">
        <f>ROUND(AW133+AX133-AY133-AZ133,2)</f>
        <v/>
      </c>
      <c r="BB133">
        <f>AV133-AZ133</f>
        <v/>
      </c>
      <c r="BC133" s="42">
        <f>BG132</f>
        <v/>
      </c>
      <c r="BD133" s="42">
        <f>ROUND(BC133*BD$6/12,2)</f>
        <v/>
      </c>
      <c r="BE133" s="42">
        <f>MIN(BE$6,BC133+BD133)</f>
        <v/>
      </c>
      <c r="BF133" s="42">
        <f>MAX(0,MIN(BC133+BD133-BE133,BB133))</f>
        <v/>
      </c>
      <c r="BG133" s="42">
        <f>ROUND(BC133+BD133-BE133-BF133,2)</f>
        <v/>
      </c>
      <c r="BH133">
        <f>BB133-BF133</f>
        <v/>
      </c>
      <c r="BI133" s="42">
        <f>BM132</f>
        <v/>
      </c>
      <c r="BJ133" s="42">
        <f>ROUND(BI133*BJ$6/12,2)</f>
        <v/>
      </c>
      <c r="BK133" s="42">
        <f>MIN(BK$6,BI133+BJ133)</f>
        <v/>
      </c>
      <c r="BL133" s="42">
        <f>MAX(0,MIN(BI133+BJ133-BK133,BH133))</f>
        <v/>
      </c>
      <c r="BM133" s="42">
        <f>ROUND(BI133+BJ133-BK133-BL133,2)</f>
        <v/>
      </c>
      <c r="BN133">
        <f>BH133-BL133</f>
        <v/>
      </c>
    </row>
    <row r="134">
      <c r="A134" s="39" t="n">
        <v>127</v>
      </c>
      <c r="B134" s="40">
        <f>EDATE('My Debts'!$C$6,A134-1)</f>
        <v/>
      </c>
      <c r="C134" s="41">
        <f>K134+Q134+W134+AC134+AI134+AO134+AU134+BA134+BG134+BM134</f>
        <v/>
      </c>
      <c r="D134" s="42">
        <f>I134+O134+U134+AA134+AG134+AM134+AS134+AY134+BE134+BK134+J134+P134+V134+AB134+AH134+AN134+AT134+AZ134+BF134+BL134</f>
        <v/>
      </c>
      <c r="E134" s="42">
        <f>H134+N134+T134+Z134+AF134+AL134+AR134+AX134+BD134+BJ134</f>
        <v/>
      </c>
      <c r="F134">
        <f>MAX(0,'My Debts'!$E$21-(I134+O134+U134+AA134+AG134+AM134+AS134+AY134+BE134+BK134))</f>
        <v/>
      </c>
      <c r="G134" s="42">
        <f>K133</f>
        <v/>
      </c>
      <c r="H134" s="42">
        <f>ROUND(G134*H$6/12,2)</f>
        <v/>
      </c>
      <c r="I134" s="42">
        <f>MIN(I$6,G134+H134)</f>
        <v/>
      </c>
      <c r="J134" s="42">
        <f>MAX(0,MIN(G134+H134-I134,$F134))</f>
        <v/>
      </c>
      <c r="K134" s="42">
        <f>ROUND(G134+H134-I134-J134,2)</f>
        <v/>
      </c>
      <c r="L134">
        <f>$F134-J134</f>
        <v/>
      </c>
      <c r="M134" s="42">
        <f>Q133</f>
        <v/>
      </c>
      <c r="N134" s="42">
        <f>ROUND(M134*N$6/12,2)</f>
        <v/>
      </c>
      <c r="O134" s="42">
        <f>MIN(O$6,M134+N134)</f>
        <v/>
      </c>
      <c r="P134" s="42">
        <f>MAX(0,MIN(M134+N134-O134,L134))</f>
        <v/>
      </c>
      <c r="Q134" s="42">
        <f>ROUND(M134+N134-O134-P134,2)</f>
        <v/>
      </c>
      <c r="R134">
        <f>L134-P134</f>
        <v/>
      </c>
      <c r="S134" s="42">
        <f>W133</f>
        <v/>
      </c>
      <c r="T134" s="42">
        <f>ROUND(S134*T$6/12,2)</f>
        <v/>
      </c>
      <c r="U134" s="42">
        <f>MIN(U$6,S134+T134)</f>
        <v/>
      </c>
      <c r="V134" s="42">
        <f>MAX(0,MIN(S134+T134-U134,R134))</f>
        <v/>
      </c>
      <c r="W134" s="42">
        <f>ROUND(S134+T134-U134-V134,2)</f>
        <v/>
      </c>
      <c r="X134">
        <f>R134-V134</f>
        <v/>
      </c>
      <c r="Y134" s="42">
        <f>AC133</f>
        <v/>
      </c>
      <c r="Z134" s="42">
        <f>ROUND(Y134*Z$6/12,2)</f>
        <v/>
      </c>
      <c r="AA134" s="42">
        <f>MIN(AA$6,Y134+Z134)</f>
        <v/>
      </c>
      <c r="AB134" s="42">
        <f>MAX(0,MIN(Y134+Z134-AA134,X134))</f>
        <v/>
      </c>
      <c r="AC134" s="42">
        <f>ROUND(Y134+Z134-AA134-AB134,2)</f>
        <v/>
      </c>
      <c r="AD134">
        <f>X134-AB134</f>
        <v/>
      </c>
      <c r="AE134" s="42">
        <f>AI133</f>
        <v/>
      </c>
      <c r="AF134" s="42">
        <f>ROUND(AE134*AF$6/12,2)</f>
        <v/>
      </c>
      <c r="AG134" s="42">
        <f>MIN(AG$6,AE134+AF134)</f>
        <v/>
      </c>
      <c r="AH134" s="42">
        <f>MAX(0,MIN(AE134+AF134-AG134,AD134))</f>
        <v/>
      </c>
      <c r="AI134" s="42">
        <f>ROUND(AE134+AF134-AG134-AH134,2)</f>
        <v/>
      </c>
      <c r="AJ134">
        <f>AD134-AH134</f>
        <v/>
      </c>
      <c r="AK134" s="42">
        <f>AO133</f>
        <v/>
      </c>
      <c r="AL134" s="42">
        <f>ROUND(AK134*AL$6/12,2)</f>
        <v/>
      </c>
      <c r="AM134" s="42">
        <f>MIN(AM$6,AK134+AL134)</f>
        <v/>
      </c>
      <c r="AN134" s="42">
        <f>MAX(0,MIN(AK134+AL134-AM134,AJ134))</f>
        <v/>
      </c>
      <c r="AO134" s="42">
        <f>ROUND(AK134+AL134-AM134-AN134,2)</f>
        <v/>
      </c>
      <c r="AP134">
        <f>AJ134-AN134</f>
        <v/>
      </c>
      <c r="AQ134" s="42">
        <f>AU133</f>
        <v/>
      </c>
      <c r="AR134" s="42">
        <f>ROUND(AQ134*AR$6/12,2)</f>
        <v/>
      </c>
      <c r="AS134" s="42">
        <f>MIN(AS$6,AQ134+AR134)</f>
        <v/>
      </c>
      <c r="AT134" s="42">
        <f>MAX(0,MIN(AQ134+AR134-AS134,AP134))</f>
        <v/>
      </c>
      <c r="AU134" s="42">
        <f>ROUND(AQ134+AR134-AS134-AT134,2)</f>
        <v/>
      </c>
      <c r="AV134">
        <f>AP134-AT134</f>
        <v/>
      </c>
      <c r="AW134" s="42">
        <f>BA133</f>
        <v/>
      </c>
      <c r="AX134" s="42">
        <f>ROUND(AW134*AX$6/12,2)</f>
        <v/>
      </c>
      <c r="AY134" s="42">
        <f>MIN(AY$6,AW134+AX134)</f>
        <v/>
      </c>
      <c r="AZ134" s="42">
        <f>MAX(0,MIN(AW134+AX134-AY134,AV134))</f>
        <v/>
      </c>
      <c r="BA134" s="42">
        <f>ROUND(AW134+AX134-AY134-AZ134,2)</f>
        <v/>
      </c>
      <c r="BB134">
        <f>AV134-AZ134</f>
        <v/>
      </c>
      <c r="BC134" s="42">
        <f>BG133</f>
        <v/>
      </c>
      <c r="BD134" s="42">
        <f>ROUND(BC134*BD$6/12,2)</f>
        <v/>
      </c>
      <c r="BE134" s="42">
        <f>MIN(BE$6,BC134+BD134)</f>
        <v/>
      </c>
      <c r="BF134" s="42">
        <f>MAX(0,MIN(BC134+BD134-BE134,BB134))</f>
        <v/>
      </c>
      <c r="BG134" s="42">
        <f>ROUND(BC134+BD134-BE134-BF134,2)</f>
        <v/>
      </c>
      <c r="BH134">
        <f>BB134-BF134</f>
        <v/>
      </c>
      <c r="BI134" s="42">
        <f>BM133</f>
        <v/>
      </c>
      <c r="BJ134" s="42">
        <f>ROUND(BI134*BJ$6/12,2)</f>
        <v/>
      </c>
      <c r="BK134" s="42">
        <f>MIN(BK$6,BI134+BJ134)</f>
        <v/>
      </c>
      <c r="BL134" s="42">
        <f>MAX(0,MIN(BI134+BJ134-BK134,BH134))</f>
        <v/>
      </c>
      <c r="BM134" s="42">
        <f>ROUND(BI134+BJ134-BK134-BL134,2)</f>
        <v/>
      </c>
      <c r="BN134">
        <f>BH134-BL134</f>
        <v/>
      </c>
    </row>
    <row r="135">
      <c r="A135" s="43" t="n">
        <v>128</v>
      </c>
      <c r="B135" s="44">
        <f>EDATE('My Debts'!$C$6,A135-1)</f>
        <v/>
      </c>
      <c r="C135" s="45">
        <f>K135+Q135+W135+AC135+AI135+AO135+AU135+BA135+BG135+BM135</f>
        <v/>
      </c>
      <c r="D135" s="46">
        <f>I135+O135+U135+AA135+AG135+AM135+AS135+AY135+BE135+BK135+J135+P135+V135+AB135+AH135+AN135+AT135+AZ135+BF135+BL135</f>
        <v/>
      </c>
      <c r="E135" s="46">
        <f>H135+N135+T135+Z135+AF135+AL135+AR135+AX135+BD135+BJ135</f>
        <v/>
      </c>
      <c r="F135">
        <f>MAX(0,'My Debts'!$E$21-(I135+O135+U135+AA135+AG135+AM135+AS135+AY135+BE135+BK135))</f>
        <v/>
      </c>
      <c r="G135" s="42">
        <f>K134</f>
        <v/>
      </c>
      <c r="H135" s="42">
        <f>ROUND(G135*H$6/12,2)</f>
        <v/>
      </c>
      <c r="I135" s="42">
        <f>MIN(I$6,G135+H135)</f>
        <v/>
      </c>
      <c r="J135" s="42">
        <f>MAX(0,MIN(G135+H135-I135,$F135))</f>
        <v/>
      </c>
      <c r="K135" s="42">
        <f>ROUND(G135+H135-I135-J135,2)</f>
        <v/>
      </c>
      <c r="L135">
        <f>$F135-J135</f>
        <v/>
      </c>
      <c r="M135" s="42">
        <f>Q134</f>
        <v/>
      </c>
      <c r="N135" s="42">
        <f>ROUND(M135*N$6/12,2)</f>
        <v/>
      </c>
      <c r="O135" s="42">
        <f>MIN(O$6,M135+N135)</f>
        <v/>
      </c>
      <c r="P135" s="42">
        <f>MAX(0,MIN(M135+N135-O135,L135))</f>
        <v/>
      </c>
      <c r="Q135" s="42">
        <f>ROUND(M135+N135-O135-P135,2)</f>
        <v/>
      </c>
      <c r="R135">
        <f>L135-P135</f>
        <v/>
      </c>
      <c r="S135" s="42">
        <f>W134</f>
        <v/>
      </c>
      <c r="T135" s="42">
        <f>ROUND(S135*T$6/12,2)</f>
        <v/>
      </c>
      <c r="U135" s="42">
        <f>MIN(U$6,S135+T135)</f>
        <v/>
      </c>
      <c r="V135" s="42">
        <f>MAX(0,MIN(S135+T135-U135,R135))</f>
        <v/>
      </c>
      <c r="W135" s="42">
        <f>ROUND(S135+T135-U135-V135,2)</f>
        <v/>
      </c>
      <c r="X135">
        <f>R135-V135</f>
        <v/>
      </c>
      <c r="Y135" s="42">
        <f>AC134</f>
        <v/>
      </c>
      <c r="Z135" s="42">
        <f>ROUND(Y135*Z$6/12,2)</f>
        <v/>
      </c>
      <c r="AA135" s="42">
        <f>MIN(AA$6,Y135+Z135)</f>
        <v/>
      </c>
      <c r="AB135" s="42">
        <f>MAX(0,MIN(Y135+Z135-AA135,X135))</f>
        <v/>
      </c>
      <c r="AC135" s="42">
        <f>ROUND(Y135+Z135-AA135-AB135,2)</f>
        <v/>
      </c>
      <c r="AD135">
        <f>X135-AB135</f>
        <v/>
      </c>
      <c r="AE135" s="42">
        <f>AI134</f>
        <v/>
      </c>
      <c r="AF135" s="42">
        <f>ROUND(AE135*AF$6/12,2)</f>
        <v/>
      </c>
      <c r="AG135" s="42">
        <f>MIN(AG$6,AE135+AF135)</f>
        <v/>
      </c>
      <c r="AH135" s="42">
        <f>MAX(0,MIN(AE135+AF135-AG135,AD135))</f>
        <v/>
      </c>
      <c r="AI135" s="42">
        <f>ROUND(AE135+AF135-AG135-AH135,2)</f>
        <v/>
      </c>
      <c r="AJ135">
        <f>AD135-AH135</f>
        <v/>
      </c>
      <c r="AK135" s="42">
        <f>AO134</f>
        <v/>
      </c>
      <c r="AL135" s="42">
        <f>ROUND(AK135*AL$6/12,2)</f>
        <v/>
      </c>
      <c r="AM135" s="42">
        <f>MIN(AM$6,AK135+AL135)</f>
        <v/>
      </c>
      <c r="AN135" s="42">
        <f>MAX(0,MIN(AK135+AL135-AM135,AJ135))</f>
        <v/>
      </c>
      <c r="AO135" s="42">
        <f>ROUND(AK135+AL135-AM135-AN135,2)</f>
        <v/>
      </c>
      <c r="AP135">
        <f>AJ135-AN135</f>
        <v/>
      </c>
      <c r="AQ135" s="42">
        <f>AU134</f>
        <v/>
      </c>
      <c r="AR135" s="42">
        <f>ROUND(AQ135*AR$6/12,2)</f>
        <v/>
      </c>
      <c r="AS135" s="42">
        <f>MIN(AS$6,AQ135+AR135)</f>
        <v/>
      </c>
      <c r="AT135" s="42">
        <f>MAX(0,MIN(AQ135+AR135-AS135,AP135))</f>
        <v/>
      </c>
      <c r="AU135" s="42">
        <f>ROUND(AQ135+AR135-AS135-AT135,2)</f>
        <v/>
      </c>
      <c r="AV135">
        <f>AP135-AT135</f>
        <v/>
      </c>
      <c r="AW135" s="42">
        <f>BA134</f>
        <v/>
      </c>
      <c r="AX135" s="42">
        <f>ROUND(AW135*AX$6/12,2)</f>
        <v/>
      </c>
      <c r="AY135" s="42">
        <f>MIN(AY$6,AW135+AX135)</f>
        <v/>
      </c>
      <c r="AZ135" s="42">
        <f>MAX(0,MIN(AW135+AX135-AY135,AV135))</f>
        <v/>
      </c>
      <c r="BA135" s="42">
        <f>ROUND(AW135+AX135-AY135-AZ135,2)</f>
        <v/>
      </c>
      <c r="BB135">
        <f>AV135-AZ135</f>
        <v/>
      </c>
      <c r="BC135" s="42">
        <f>BG134</f>
        <v/>
      </c>
      <c r="BD135" s="42">
        <f>ROUND(BC135*BD$6/12,2)</f>
        <v/>
      </c>
      <c r="BE135" s="42">
        <f>MIN(BE$6,BC135+BD135)</f>
        <v/>
      </c>
      <c r="BF135" s="42">
        <f>MAX(0,MIN(BC135+BD135-BE135,BB135))</f>
        <v/>
      </c>
      <c r="BG135" s="42">
        <f>ROUND(BC135+BD135-BE135-BF135,2)</f>
        <v/>
      </c>
      <c r="BH135">
        <f>BB135-BF135</f>
        <v/>
      </c>
      <c r="BI135" s="42">
        <f>BM134</f>
        <v/>
      </c>
      <c r="BJ135" s="42">
        <f>ROUND(BI135*BJ$6/12,2)</f>
        <v/>
      </c>
      <c r="BK135" s="42">
        <f>MIN(BK$6,BI135+BJ135)</f>
        <v/>
      </c>
      <c r="BL135" s="42">
        <f>MAX(0,MIN(BI135+BJ135-BK135,BH135))</f>
        <v/>
      </c>
      <c r="BM135" s="42">
        <f>ROUND(BI135+BJ135-BK135-BL135,2)</f>
        <v/>
      </c>
      <c r="BN135">
        <f>BH135-BL135</f>
        <v/>
      </c>
    </row>
    <row r="136">
      <c r="A136" s="39" t="n">
        <v>129</v>
      </c>
      <c r="B136" s="40">
        <f>EDATE('My Debts'!$C$6,A136-1)</f>
        <v/>
      </c>
      <c r="C136" s="41">
        <f>K136+Q136+W136+AC136+AI136+AO136+AU136+BA136+BG136+BM136</f>
        <v/>
      </c>
      <c r="D136" s="42">
        <f>I136+O136+U136+AA136+AG136+AM136+AS136+AY136+BE136+BK136+J136+P136+V136+AB136+AH136+AN136+AT136+AZ136+BF136+BL136</f>
        <v/>
      </c>
      <c r="E136" s="42">
        <f>H136+N136+T136+Z136+AF136+AL136+AR136+AX136+BD136+BJ136</f>
        <v/>
      </c>
      <c r="F136">
        <f>MAX(0,'My Debts'!$E$21-(I136+O136+U136+AA136+AG136+AM136+AS136+AY136+BE136+BK136))</f>
        <v/>
      </c>
      <c r="G136" s="42">
        <f>K135</f>
        <v/>
      </c>
      <c r="H136" s="42">
        <f>ROUND(G136*H$6/12,2)</f>
        <v/>
      </c>
      <c r="I136" s="42">
        <f>MIN(I$6,G136+H136)</f>
        <v/>
      </c>
      <c r="J136" s="42">
        <f>MAX(0,MIN(G136+H136-I136,$F136))</f>
        <v/>
      </c>
      <c r="K136" s="42">
        <f>ROUND(G136+H136-I136-J136,2)</f>
        <v/>
      </c>
      <c r="L136">
        <f>$F136-J136</f>
        <v/>
      </c>
      <c r="M136" s="42">
        <f>Q135</f>
        <v/>
      </c>
      <c r="N136" s="42">
        <f>ROUND(M136*N$6/12,2)</f>
        <v/>
      </c>
      <c r="O136" s="42">
        <f>MIN(O$6,M136+N136)</f>
        <v/>
      </c>
      <c r="P136" s="42">
        <f>MAX(0,MIN(M136+N136-O136,L136))</f>
        <v/>
      </c>
      <c r="Q136" s="42">
        <f>ROUND(M136+N136-O136-P136,2)</f>
        <v/>
      </c>
      <c r="R136">
        <f>L136-P136</f>
        <v/>
      </c>
      <c r="S136" s="42">
        <f>W135</f>
        <v/>
      </c>
      <c r="T136" s="42">
        <f>ROUND(S136*T$6/12,2)</f>
        <v/>
      </c>
      <c r="U136" s="42">
        <f>MIN(U$6,S136+T136)</f>
        <v/>
      </c>
      <c r="V136" s="42">
        <f>MAX(0,MIN(S136+T136-U136,R136))</f>
        <v/>
      </c>
      <c r="W136" s="42">
        <f>ROUND(S136+T136-U136-V136,2)</f>
        <v/>
      </c>
      <c r="X136">
        <f>R136-V136</f>
        <v/>
      </c>
      <c r="Y136" s="42">
        <f>AC135</f>
        <v/>
      </c>
      <c r="Z136" s="42">
        <f>ROUND(Y136*Z$6/12,2)</f>
        <v/>
      </c>
      <c r="AA136" s="42">
        <f>MIN(AA$6,Y136+Z136)</f>
        <v/>
      </c>
      <c r="AB136" s="42">
        <f>MAX(0,MIN(Y136+Z136-AA136,X136))</f>
        <v/>
      </c>
      <c r="AC136" s="42">
        <f>ROUND(Y136+Z136-AA136-AB136,2)</f>
        <v/>
      </c>
      <c r="AD136">
        <f>X136-AB136</f>
        <v/>
      </c>
      <c r="AE136" s="42">
        <f>AI135</f>
        <v/>
      </c>
      <c r="AF136" s="42">
        <f>ROUND(AE136*AF$6/12,2)</f>
        <v/>
      </c>
      <c r="AG136" s="42">
        <f>MIN(AG$6,AE136+AF136)</f>
        <v/>
      </c>
      <c r="AH136" s="42">
        <f>MAX(0,MIN(AE136+AF136-AG136,AD136))</f>
        <v/>
      </c>
      <c r="AI136" s="42">
        <f>ROUND(AE136+AF136-AG136-AH136,2)</f>
        <v/>
      </c>
      <c r="AJ136">
        <f>AD136-AH136</f>
        <v/>
      </c>
      <c r="AK136" s="42">
        <f>AO135</f>
        <v/>
      </c>
      <c r="AL136" s="42">
        <f>ROUND(AK136*AL$6/12,2)</f>
        <v/>
      </c>
      <c r="AM136" s="42">
        <f>MIN(AM$6,AK136+AL136)</f>
        <v/>
      </c>
      <c r="AN136" s="42">
        <f>MAX(0,MIN(AK136+AL136-AM136,AJ136))</f>
        <v/>
      </c>
      <c r="AO136" s="42">
        <f>ROUND(AK136+AL136-AM136-AN136,2)</f>
        <v/>
      </c>
      <c r="AP136">
        <f>AJ136-AN136</f>
        <v/>
      </c>
      <c r="AQ136" s="42">
        <f>AU135</f>
        <v/>
      </c>
      <c r="AR136" s="42">
        <f>ROUND(AQ136*AR$6/12,2)</f>
        <v/>
      </c>
      <c r="AS136" s="42">
        <f>MIN(AS$6,AQ136+AR136)</f>
        <v/>
      </c>
      <c r="AT136" s="42">
        <f>MAX(0,MIN(AQ136+AR136-AS136,AP136))</f>
        <v/>
      </c>
      <c r="AU136" s="42">
        <f>ROUND(AQ136+AR136-AS136-AT136,2)</f>
        <v/>
      </c>
      <c r="AV136">
        <f>AP136-AT136</f>
        <v/>
      </c>
      <c r="AW136" s="42">
        <f>BA135</f>
        <v/>
      </c>
      <c r="AX136" s="42">
        <f>ROUND(AW136*AX$6/12,2)</f>
        <v/>
      </c>
      <c r="AY136" s="42">
        <f>MIN(AY$6,AW136+AX136)</f>
        <v/>
      </c>
      <c r="AZ136" s="42">
        <f>MAX(0,MIN(AW136+AX136-AY136,AV136))</f>
        <v/>
      </c>
      <c r="BA136" s="42">
        <f>ROUND(AW136+AX136-AY136-AZ136,2)</f>
        <v/>
      </c>
      <c r="BB136">
        <f>AV136-AZ136</f>
        <v/>
      </c>
      <c r="BC136" s="42">
        <f>BG135</f>
        <v/>
      </c>
      <c r="BD136" s="42">
        <f>ROUND(BC136*BD$6/12,2)</f>
        <v/>
      </c>
      <c r="BE136" s="42">
        <f>MIN(BE$6,BC136+BD136)</f>
        <v/>
      </c>
      <c r="BF136" s="42">
        <f>MAX(0,MIN(BC136+BD136-BE136,BB136))</f>
        <v/>
      </c>
      <c r="BG136" s="42">
        <f>ROUND(BC136+BD136-BE136-BF136,2)</f>
        <v/>
      </c>
      <c r="BH136">
        <f>BB136-BF136</f>
        <v/>
      </c>
      <c r="BI136" s="42">
        <f>BM135</f>
        <v/>
      </c>
      <c r="BJ136" s="42">
        <f>ROUND(BI136*BJ$6/12,2)</f>
        <v/>
      </c>
      <c r="BK136" s="42">
        <f>MIN(BK$6,BI136+BJ136)</f>
        <v/>
      </c>
      <c r="BL136" s="42">
        <f>MAX(0,MIN(BI136+BJ136-BK136,BH136))</f>
        <v/>
      </c>
      <c r="BM136" s="42">
        <f>ROUND(BI136+BJ136-BK136-BL136,2)</f>
        <v/>
      </c>
      <c r="BN136">
        <f>BH136-BL136</f>
        <v/>
      </c>
    </row>
    <row r="137">
      <c r="A137" s="43" t="n">
        <v>130</v>
      </c>
      <c r="B137" s="44">
        <f>EDATE('My Debts'!$C$6,A137-1)</f>
        <v/>
      </c>
      <c r="C137" s="45">
        <f>K137+Q137+W137+AC137+AI137+AO137+AU137+BA137+BG137+BM137</f>
        <v/>
      </c>
      <c r="D137" s="46">
        <f>I137+O137+U137+AA137+AG137+AM137+AS137+AY137+BE137+BK137+J137+P137+V137+AB137+AH137+AN137+AT137+AZ137+BF137+BL137</f>
        <v/>
      </c>
      <c r="E137" s="46">
        <f>H137+N137+T137+Z137+AF137+AL137+AR137+AX137+BD137+BJ137</f>
        <v/>
      </c>
      <c r="F137">
        <f>MAX(0,'My Debts'!$E$21-(I137+O137+U137+AA137+AG137+AM137+AS137+AY137+BE137+BK137))</f>
        <v/>
      </c>
      <c r="G137" s="42">
        <f>K136</f>
        <v/>
      </c>
      <c r="H137" s="42">
        <f>ROUND(G137*H$6/12,2)</f>
        <v/>
      </c>
      <c r="I137" s="42">
        <f>MIN(I$6,G137+H137)</f>
        <v/>
      </c>
      <c r="J137" s="42">
        <f>MAX(0,MIN(G137+H137-I137,$F137))</f>
        <v/>
      </c>
      <c r="K137" s="42">
        <f>ROUND(G137+H137-I137-J137,2)</f>
        <v/>
      </c>
      <c r="L137">
        <f>$F137-J137</f>
        <v/>
      </c>
      <c r="M137" s="42">
        <f>Q136</f>
        <v/>
      </c>
      <c r="N137" s="42">
        <f>ROUND(M137*N$6/12,2)</f>
        <v/>
      </c>
      <c r="O137" s="42">
        <f>MIN(O$6,M137+N137)</f>
        <v/>
      </c>
      <c r="P137" s="42">
        <f>MAX(0,MIN(M137+N137-O137,L137))</f>
        <v/>
      </c>
      <c r="Q137" s="42">
        <f>ROUND(M137+N137-O137-P137,2)</f>
        <v/>
      </c>
      <c r="R137">
        <f>L137-P137</f>
        <v/>
      </c>
      <c r="S137" s="42">
        <f>W136</f>
        <v/>
      </c>
      <c r="T137" s="42">
        <f>ROUND(S137*T$6/12,2)</f>
        <v/>
      </c>
      <c r="U137" s="42">
        <f>MIN(U$6,S137+T137)</f>
        <v/>
      </c>
      <c r="V137" s="42">
        <f>MAX(0,MIN(S137+T137-U137,R137))</f>
        <v/>
      </c>
      <c r="W137" s="42">
        <f>ROUND(S137+T137-U137-V137,2)</f>
        <v/>
      </c>
      <c r="X137">
        <f>R137-V137</f>
        <v/>
      </c>
      <c r="Y137" s="42">
        <f>AC136</f>
        <v/>
      </c>
      <c r="Z137" s="42">
        <f>ROUND(Y137*Z$6/12,2)</f>
        <v/>
      </c>
      <c r="AA137" s="42">
        <f>MIN(AA$6,Y137+Z137)</f>
        <v/>
      </c>
      <c r="AB137" s="42">
        <f>MAX(0,MIN(Y137+Z137-AA137,X137))</f>
        <v/>
      </c>
      <c r="AC137" s="42">
        <f>ROUND(Y137+Z137-AA137-AB137,2)</f>
        <v/>
      </c>
      <c r="AD137">
        <f>X137-AB137</f>
        <v/>
      </c>
      <c r="AE137" s="42">
        <f>AI136</f>
        <v/>
      </c>
      <c r="AF137" s="42">
        <f>ROUND(AE137*AF$6/12,2)</f>
        <v/>
      </c>
      <c r="AG137" s="42">
        <f>MIN(AG$6,AE137+AF137)</f>
        <v/>
      </c>
      <c r="AH137" s="42">
        <f>MAX(0,MIN(AE137+AF137-AG137,AD137))</f>
        <v/>
      </c>
      <c r="AI137" s="42">
        <f>ROUND(AE137+AF137-AG137-AH137,2)</f>
        <v/>
      </c>
      <c r="AJ137">
        <f>AD137-AH137</f>
        <v/>
      </c>
      <c r="AK137" s="42">
        <f>AO136</f>
        <v/>
      </c>
      <c r="AL137" s="42">
        <f>ROUND(AK137*AL$6/12,2)</f>
        <v/>
      </c>
      <c r="AM137" s="42">
        <f>MIN(AM$6,AK137+AL137)</f>
        <v/>
      </c>
      <c r="AN137" s="42">
        <f>MAX(0,MIN(AK137+AL137-AM137,AJ137))</f>
        <v/>
      </c>
      <c r="AO137" s="42">
        <f>ROUND(AK137+AL137-AM137-AN137,2)</f>
        <v/>
      </c>
      <c r="AP137">
        <f>AJ137-AN137</f>
        <v/>
      </c>
      <c r="AQ137" s="42">
        <f>AU136</f>
        <v/>
      </c>
      <c r="AR137" s="42">
        <f>ROUND(AQ137*AR$6/12,2)</f>
        <v/>
      </c>
      <c r="AS137" s="42">
        <f>MIN(AS$6,AQ137+AR137)</f>
        <v/>
      </c>
      <c r="AT137" s="42">
        <f>MAX(0,MIN(AQ137+AR137-AS137,AP137))</f>
        <v/>
      </c>
      <c r="AU137" s="42">
        <f>ROUND(AQ137+AR137-AS137-AT137,2)</f>
        <v/>
      </c>
      <c r="AV137">
        <f>AP137-AT137</f>
        <v/>
      </c>
      <c r="AW137" s="42">
        <f>BA136</f>
        <v/>
      </c>
      <c r="AX137" s="42">
        <f>ROUND(AW137*AX$6/12,2)</f>
        <v/>
      </c>
      <c r="AY137" s="42">
        <f>MIN(AY$6,AW137+AX137)</f>
        <v/>
      </c>
      <c r="AZ137" s="42">
        <f>MAX(0,MIN(AW137+AX137-AY137,AV137))</f>
        <v/>
      </c>
      <c r="BA137" s="42">
        <f>ROUND(AW137+AX137-AY137-AZ137,2)</f>
        <v/>
      </c>
      <c r="BB137">
        <f>AV137-AZ137</f>
        <v/>
      </c>
      <c r="BC137" s="42">
        <f>BG136</f>
        <v/>
      </c>
      <c r="BD137" s="42">
        <f>ROUND(BC137*BD$6/12,2)</f>
        <v/>
      </c>
      <c r="BE137" s="42">
        <f>MIN(BE$6,BC137+BD137)</f>
        <v/>
      </c>
      <c r="BF137" s="42">
        <f>MAX(0,MIN(BC137+BD137-BE137,BB137))</f>
        <v/>
      </c>
      <c r="BG137" s="42">
        <f>ROUND(BC137+BD137-BE137-BF137,2)</f>
        <v/>
      </c>
      <c r="BH137">
        <f>BB137-BF137</f>
        <v/>
      </c>
      <c r="BI137" s="42">
        <f>BM136</f>
        <v/>
      </c>
      <c r="BJ137" s="42">
        <f>ROUND(BI137*BJ$6/12,2)</f>
        <v/>
      </c>
      <c r="BK137" s="42">
        <f>MIN(BK$6,BI137+BJ137)</f>
        <v/>
      </c>
      <c r="BL137" s="42">
        <f>MAX(0,MIN(BI137+BJ137-BK137,BH137))</f>
        <v/>
      </c>
      <c r="BM137" s="42">
        <f>ROUND(BI137+BJ137-BK137-BL137,2)</f>
        <v/>
      </c>
      <c r="BN137">
        <f>BH137-BL137</f>
        <v/>
      </c>
    </row>
    <row r="138">
      <c r="A138" s="39" t="n">
        <v>131</v>
      </c>
      <c r="B138" s="40">
        <f>EDATE('My Debts'!$C$6,A138-1)</f>
        <v/>
      </c>
      <c r="C138" s="41">
        <f>K138+Q138+W138+AC138+AI138+AO138+AU138+BA138+BG138+BM138</f>
        <v/>
      </c>
      <c r="D138" s="42">
        <f>I138+O138+U138+AA138+AG138+AM138+AS138+AY138+BE138+BK138+J138+P138+V138+AB138+AH138+AN138+AT138+AZ138+BF138+BL138</f>
        <v/>
      </c>
      <c r="E138" s="42">
        <f>H138+N138+T138+Z138+AF138+AL138+AR138+AX138+BD138+BJ138</f>
        <v/>
      </c>
      <c r="F138">
        <f>MAX(0,'My Debts'!$E$21-(I138+O138+U138+AA138+AG138+AM138+AS138+AY138+BE138+BK138))</f>
        <v/>
      </c>
      <c r="G138" s="42">
        <f>K137</f>
        <v/>
      </c>
      <c r="H138" s="42">
        <f>ROUND(G138*H$6/12,2)</f>
        <v/>
      </c>
      <c r="I138" s="42">
        <f>MIN(I$6,G138+H138)</f>
        <v/>
      </c>
      <c r="J138" s="42">
        <f>MAX(0,MIN(G138+H138-I138,$F138))</f>
        <v/>
      </c>
      <c r="K138" s="42">
        <f>ROUND(G138+H138-I138-J138,2)</f>
        <v/>
      </c>
      <c r="L138">
        <f>$F138-J138</f>
        <v/>
      </c>
      <c r="M138" s="42">
        <f>Q137</f>
        <v/>
      </c>
      <c r="N138" s="42">
        <f>ROUND(M138*N$6/12,2)</f>
        <v/>
      </c>
      <c r="O138" s="42">
        <f>MIN(O$6,M138+N138)</f>
        <v/>
      </c>
      <c r="P138" s="42">
        <f>MAX(0,MIN(M138+N138-O138,L138))</f>
        <v/>
      </c>
      <c r="Q138" s="42">
        <f>ROUND(M138+N138-O138-P138,2)</f>
        <v/>
      </c>
      <c r="R138">
        <f>L138-P138</f>
        <v/>
      </c>
      <c r="S138" s="42">
        <f>W137</f>
        <v/>
      </c>
      <c r="T138" s="42">
        <f>ROUND(S138*T$6/12,2)</f>
        <v/>
      </c>
      <c r="U138" s="42">
        <f>MIN(U$6,S138+T138)</f>
        <v/>
      </c>
      <c r="V138" s="42">
        <f>MAX(0,MIN(S138+T138-U138,R138))</f>
        <v/>
      </c>
      <c r="W138" s="42">
        <f>ROUND(S138+T138-U138-V138,2)</f>
        <v/>
      </c>
      <c r="X138">
        <f>R138-V138</f>
        <v/>
      </c>
      <c r="Y138" s="42">
        <f>AC137</f>
        <v/>
      </c>
      <c r="Z138" s="42">
        <f>ROUND(Y138*Z$6/12,2)</f>
        <v/>
      </c>
      <c r="AA138" s="42">
        <f>MIN(AA$6,Y138+Z138)</f>
        <v/>
      </c>
      <c r="AB138" s="42">
        <f>MAX(0,MIN(Y138+Z138-AA138,X138))</f>
        <v/>
      </c>
      <c r="AC138" s="42">
        <f>ROUND(Y138+Z138-AA138-AB138,2)</f>
        <v/>
      </c>
      <c r="AD138">
        <f>X138-AB138</f>
        <v/>
      </c>
      <c r="AE138" s="42">
        <f>AI137</f>
        <v/>
      </c>
      <c r="AF138" s="42">
        <f>ROUND(AE138*AF$6/12,2)</f>
        <v/>
      </c>
      <c r="AG138" s="42">
        <f>MIN(AG$6,AE138+AF138)</f>
        <v/>
      </c>
      <c r="AH138" s="42">
        <f>MAX(0,MIN(AE138+AF138-AG138,AD138))</f>
        <v/>
      </c>
      <c r="AI138" s="42">
        <f>ROUND(AE138+AF138-AG138-AH138,2)</f>
        <v/>
      </c>
      <c r="AJ138">
        <f>AD138-AH138</f>
        <v/>
      </c>
      <c r="AK138" s="42">
        <f>AO137</f>
        <v/>
      </c>
      <c r="AL138" s="42">
        <f>ROUND(AK138*AL$6/12,2)</f>
        <v/>
      </c>
      <c r="AM138" s="42">
        <f>MIN(AM$6,AK138+AL138)</f>
        <v/>
      </c>
      <c r="AN138" s="42">
        <f>MAX(0,MIN(AK138+AL138-AM138,AJ138))</f>
        <v/>
      </c>
      <c r="AO138" s="42">
        <f>ROUND(AK138+AL138-AM138-AN138,2)</f>
        <v/>
      </c>
      <c r="AP138">
        <f>AJ138-AN138</f>
        <v/>
      </c>
      <c r="AQ138" s="42">
        <f>AU137</f>
        <v/>
      </c>
      <c r="AR138" s="42">
        <f>ROUND(AQ138*AR$6/12,2)</f>
        <v/>
      </c>
      <c r="AS138" s="42">
        <f>MIN(AS$6,AQ138+AR138)</f>
        <v/>
      </c>
      <c r="AT138" s="42">
        <f>MAX(0,MIN(AQ138+AR138-AS138,AP138))</f>
        <v/>
      </c>
      <c r="AU138" s="42">
        <f>ROUND(AQ138+AR138-AS138-AT138,2)</f>
        <v/>
      </c>
      <c r="AV138">
        <f>AP138-AT138</f>
        <v/>
      </c>
      <c r="AW138" s="42">
        <f>BA137</f>
        <v/>
      </c>
      <c r="AX138" s="42">
        <f>ROUND(AW138*AX$6/12,2)</f>
        <v/>
      </c>
      <c r="AY138" s="42">
        <f>MIN(AY$6,AW138+AX138)</f>
        <v/>
      </c>
      <c r="AZ138" s="42">
        <f>MAX(0,MIN(AW138+AX138-AY138,AV138))</f>
        <v/>
      </c>
      <c r="BA138" s="42">
        <f>ROUND(AW138+AX138-AY138-AZ138,2)</f>
        <v/>
      </c>
      <c r="BB138">
        <f>AV138-AZ138</f>
        <v/>
      </c>
      <c r="BC138" s="42">
        <f>BG137</f>
        <v/>
      </c>
      <c r="BD138" s="42">
        <f>ROUND(BC138*BD$6/12,2)</f>
        <v/>
      </c>
      <c r="BE138" s="42">
        <f>MIN(BE$6,BC138+BD138)</f>
        <v/>
      </c>
      <c r="BF138" s="42">
        <f>MAX(0,MIN(BC138+BD138-BE138,BB138))</f>
        <v/>
      </c>
      <c r="BG138" s="42">
        <f>ROUND(BC138+BD138-BE138-BF138,2)</f>
        <v/>
      </c>
      <c r="BH138">
        <f>BB138-BF138</f>
        <v/>
      </c>
      <c r="BI138" s="42">
        <f>BM137</f>
        <v/>
      </c>
      <c r="BJ138" s="42">
        <f>ROUND(BI138*BJ$6/12,2)</f>
        <v/>
      </c>
      <c r="BK138" s="42">
        <f>MIN(BK$6,BI138+BJ138)</f>
        <v/>
      </c>
      <c r="BL138" s="42">
        <f>MAX(0,MIN(BI138+BJ138-BK138,BH138))</f>
        <v/>
      </c>
      <c r="BM138" s="42">
        <f>ROUND(BI138+BJ138-BK138-BL138,2)</f>
        <v/>
      </c>
      <c r="BN138">
        <f>BH138-BL138</f>
        <v/>
      </c>
    </row>
    <row r="139">
      <c r="A139" s="43" t="n">
        <v>132</v>
      </c>
      <c r="B139" s="44">
        <f>EDATE('My Debts'!$C$6,A139-1)</f>
        <v/>
      </c>
      <c r="C139" s="45">
        <f>K139+Q139+W139+AC139+AI139+AO139+AU139+BA139+BG139+BM139</f>
        <v/>
      </c>
      <c r="D139" s="46">
        <f>I139+O139+U139+AA139+AG139+AM139+AS139+AY139+BE139+BK139+J139+P139+V139+AB139+AH139+AN139+AT139+AZ139+BF139+BL139</f>
        <v/>
      </c>
      <c r="E139" s="46">
        <f>H139+N139+T139+Z139+AF139+AL139+AR139+AX139+BD139+BJ139</f>
        <v/>
      </c>
      <c r="F139">
        <f>MAX(0,'My Debts'!$E$21-(I139+O139+U139+AA139+AG139+AM139+AS139+AY139+BE139+BK139))</f>
        <v/>
      </c>
      <c r="G139" s="42">
        <f>K138</f>
        <v/>
      </c>
      <c r="H139" s="42">
        <f>ROUND(G139*H$6/12,2)</f>
        <v/>
      </c>
      <c r="I139" s="42">
        <f>MIN(I$6,G139+H139)</f>
        <v/>
      </c>
      <c r="J139" s="42">
        <f>MAX(0,MIN(G139+H139-I139,$F139))</f>
        <v/>
      </c>
      <c r="K139" s="42">
        <f>ROUND(G139+H139-I139-J139,2)</f>
        <v/>
      </c>
      <c r="L139">
        <f>$F139-J139</f>
        <v/>
      </c>
      <c r="M139" s="42">
        <f>Q138</f>
        <v/>
      </c>
      <c r="N139" s="42">
        <f>ROUND(M139*N$6/12,2)</f>
        <v/>
      </c>
      <c r="O139" s="42">
        <f>MIN(O$6,M139+N139)</f>
        <v/>
      </c>
      <c r="P139" s="42">
        <f>MAX(0,MIN(M139+N139-O139,L139))</f>
        <v/>
      </c>
      <c r="Q139" s="42">
        <f>ROUND(M139+N139-O139-P139,2)</f>
        <v/>
      </c>
      <c r="R139">
        <f>L139-P139</f>
        <v/>
      </c>
      <c r="S139" s="42">
        <f>W138</f>
        <v/>
      </c>
      <c r="T139" s="42">
        <f>ROUND(S139*T$6/12,2)</f>
        <v/>
      </c>
      <c r="U139" s="42">
        <f>MIN(U$6,S139+T139)</f>
        <v/>
      </c>
      <c r="V139" s="42">
        <f>MAX(0,MIN(S139+T139-U139,R139))</f>
        <v/>
      </c>
      <c r="W139" s="42">
        <f>ROUND(S139+T139-U139-V139,2)</f>
        <v/>
      </c>
      <c r="X139">
        <f>R139-V139</f>
        <v/>
      </c>
      <c r="Y139" s="42">
        <f>AC138</f>
        <v/>
      </c>
      <c r="Z139" s="42">
        <f>ROUND(Y139*Z$6/12,2)</f>
        <v/>
      </c>
      <c r="AA139" s="42">
        <f>MIN(AA$6,Y139+Z139)</f>
        <v/>
      </c>
      <c r="AB139" s="42">
        <f>MAX(0,MIN(Y139+Z139-AA139,X139))</f>
        <v/>
      </c>
      <c r="AC139" s="42">
        <f>ROUND(Y139+Z139-AA139-AB139,2)</f>
        <v/>
      </c>
      <c r="AD139">
        <f>X139-AB139</f>
        <v/>
      </c>
      <c r="AE139" s="42">
        <f>AI138</f>
        <v/>
      </c>
      <c r="AF139" s="42">
        <f>ROUND(AE139*AF$6/12,2)</f>
        <v/>
      </c>
      <c r="AG139" s="42">
        <f>MIN(AG$6,AE139+AF139)</f>
        <v/>
      </c>
      <c r="AH139" s="42">
        <f>MAX(0,MIN(AE139+AF139-AG139,AD139))</f>
        <v/>
      </c>
      <c r="AI139" s="42">
        <f>ROUND(AE139+AF139-AG139-AH139,2)</f>
        <v/>
      </c>
      <c r="AJ139">
        <f>AD139-AH139</f>
        <v/>
      </c>
      <c r="AK139" s="42">
        <f>AO138</f>
        <v/>
      </c>
      <c r="AL139" s="42">
        <f>ROUND(AK139*AL$6/12,2)</f>
        <v/>
      </c>
      <c r="AM139" s="42">
        <f>MIN(AM$6,AK139+AL139)</f>
        <v/>
      </c>
      <c r="AN139" s="42">
        <f>MAX(0,MIN(AK139+AL139-AM139,AJ139))</f>
        <v/>
      </c>
      <c r="AO139" s="42">
        <f>ROUND(AK139+AL139-AM139-AN139,2)</f>
        <v/>
      </c>
      <c r="AP139">
        <f>AJ139-AN139</f>
        <v/>
      </c>
      <c r="AQ139" s="42">
        <f>AU138</f>
        <v/>
      </c>
      <c r="AR139" s="42">
        <f>ROUND(AQ139*AR$6/12,2)</f>
        <v/>
      </c>
      <c r="AS139" s="42">
        <f>MIN(AS$6,AQ139+AR139)</f>
        <v/>
      </c>
      <c r="AT139" s="42">
        <f>MAX(0,MIN(AQ139+AR139-AS139,AP139))</f>
        <v/>
      </c>
      <c r="AU139" s="42">
        <f>ROUND(AQ139+AR139-AS139-AT139,2)</f>
        <v/>
      </c>
      <c r="AV139">
        <f>AP139-AT139</f>
        <v/>
      </c>
      <c r="AW139" s="42">
        <f>BA138</f>
        <v/>
      </c>
      <c r="AX139" s="42">
        <f>ROUND(AW139*AX$6/12,2)</f>
        <v/>
      </c>
      <c r="AY139" s="42">
        <f>MIN(AY$6,AW139+AX139)</f>
        <v/>
      </c>
      <c r="AZ139" s="42">
        <f>MAX(0,MIN(AW139+AX139-AY139,AV139))</f>
        <v/>
      </c>
      <c r="BA139" s="42">
        <f>ROUND(AW139+AX139-AY139-AZ139,2)</f>
        <v/>
      </c>
      <c r="BB139">
        <f>AV139-AZ139</f>
        <v/>
      </c>
      <c r="BC139" s="42">
        <f>BG138</f>
        <v/>
      </c>
      <c r="BD139" s="42">
        <f>ROUND(BC139*BD$6/12,2)</f>
        <v/>
      </c>
      <c r="BE139" s="42">
        <f>MIN(BE$6,BC139+BD139)</f>
        <v/>
      </c>
      <c r="BF139" s="42">
        <f>MAX(0,MIN(BC139+BD139-BE139,BB139))</f>
        <v/>
      </c>
      <c r="BG139" s="42">
        <f>ROUND(BC139+BD139-BE139-BF139,2)</f>
        <v/>
      </c>
      <c r="BH139">
        <f>BB139-BF139</f>
        <v/>
      </c>
      <c r="BI139" s="42">
        <f>BM138</f>
        <v/>
      </c>
      <c r="BJ139" s="42">
        <f>ROUND(BI139*BJ$6/12,2)</f>
        <v/>
      </c>
      <c r="BK139" s="42">
        <f>MIN(BK$6,BI139+BJ139)</f>
        <v/>
      </c>
      <c r="BL139" s="42">
        <f>MAX(0,MIN(BI139+BJ139-BK139,BH139))</f>
        <v/>
      </c>
      <c r="BM139" s="42">
        <f>ROUND(BI139+BJ139-BK139-BL139,2)</f>
        <v/>
      </c>
      <c r="BN139">
        <f>BH139-BL139</f>
        <v/>
      </c>
    </row>
    <row r="140">
      <c r="A140" s="39" t="n">
        <v>133</v>
      </c>
      <c r="B140" s="40">
        <f>EDATE('My Debts'!$C$6,A140-1)</f>
        <v/>
      </c>
      <c r="C140" s="41">
        <f>K140+Q140+W140+AC140+AI140+AO140+AU140+BA140+BG140+BM140</f>
        <v/>
      </c>
      <c r="D140" s="42">
        <f>I140+O140+U140+AA140+AG140+AM140+AS140+AY140+BE140+BK140+J140+P140+V140+AB140+AH140+AN140+AT140+AZ140+BF140+BL140</f>
        <v/>
      </c>
      <c r="E140" s="42">
        <f>H140+N140+T140+Z140+AF140+AL140+AR140+AX140+BD140+BJ140</f>
        <v/>
      </c>
      <c r="F140">
        <f>MAX(0,'My Debts'!$E$21-(I140+O140+U140+AA140+AG140+AM140+AS140+AY140+BE140+BK140))</f>
        <v/>
      </c>
      <c r="G140" s="42">
        <f>K139</f>
        <v/>
      </c>
      <c r="H140" s="42">
        <f>ROUND(G140*H$6/12,2)</f>
        <v/>
      </c>
      <c r="I140" s="42">
        <f>MIN(I$6,G140+H140)</f>
        <v/>
      </c>
      <c r="J140" s="42">
        <f>MAX(0,MIN(G140+H140-I140,$F140))</f>
        <v/>
      </c>
      <c r="K140" s="42">
        <f>ROUND(G140+H140-I140-J140,2)</f>
        <v/>
      </c>
      <c r="L140">
        <f>$F140-J140</f>
        <v/>
      </c>
      <c r="M140" s="42">
        <f>Q139</f>
        <v/>
      </c>
      <c r="N140" s="42">
        <f>ROUND(M140*N$6/12,2)</f>
        <v/>
      </c>
      <c r="O140" s="42">
        <f>MIN(O$6,M140+N140)</f>
        <v/>
      </c>
      <c r="P140" s="42">
        <f>MAX(0,MIN(M140+N140-O140,L140))</f>
        <v/>
      </c>
      <c r="Q140" s="42">
        <f>ROUND(M140+N140-O140-P140,2)</f>
        <v/>
      </c>
      <c r="R140">
        <f>L140-P140</f>
        <v/>
      </c>
      <c r="S140" s="42">
        <f>W139</f>
        <v/>
      </c>
      <c r="T140" s="42">
        <f>ROUND(S140*T$6/12,2)</f>
        <v/>
      </c>
      <c r="U140" s="42">
        <f>MIN(U$6,S140+T140)</f>
        <v/>
      </c>
      <c r="V140" s="42">
        <f>MAX(0,MIN(S140+T140-U140,R140))</f>
        <v/>
      </c>
      <c r="W140" s="42">
        <f>ROUND(S140+T140-U140-V140,2)</f>
        <v/>
      </c>
      <c r="X140">
        <f>R140-V140</f>
        <v/>
      </c>
      <c r="Y140" s="42">
        <f>AC139</f>
        <v/>
      </c>
      <c r="Z140" s="42">
        <f>ROUND(Y140*Z$6/12,2)</f>
        <v/>
      </c>
      <c r="AA140" s="42">
        <f>MIN(AA$6,Y140+Z140)</f>
        <v/>
      </c>
      <c r="AB140" s="42">
        <f>MAX(0,MIN(Y140+Z140-AA140,X140))</f>
        <v/>
      </c>
      <c r="AC140" s="42">
        <f>ROUND(Y140+Z140-AA140-AB140,2)</f>
        <v/>
      </c>
      <c r="AD140">
        <f>X140-AB140</f>
        <v/>
      </c>
      <c r="AE140" s="42">
        <f>AI139</f>
        <v/>
      </c>
      <c r="AF140" s="42">
        <f>ROUND(AE140*AF$6/12,2)</f>
        <v/>
      </c>
      <c r="AG140" s="42">
        <f>MIN(AG$6,AE140+AF140)</f>
        <v/>
      </c>
      <c r="AH140" s="42">
        <f>MAX(0,MIN(AE140+AF140-AG140,AD140))</f>
        <v/>
      </c>
      <c r="AI140" s="42">
        <f>ROUND(AE140+AF140-AG140-AH140,2)</f>
        <v/>
      </c>
      <c r="AJ140">
        <f>AD140-AH140</f>
        <v/>
      </c>
      <c r="AK140" s="42">
        <f>AO139</f>
        <v/>
      </c>
      <c r="AL140" s="42">
        <f>ROUND(AK140*AL$6/12,2)</f>
        <v/>
      </c>
      <c r="AM140" s="42">
        <f>MIN(AM$6,AK140+AL140)</f>
        <v/>
      </c>
      <c r="AN140" s="42">
        <f>MAX(0,MIN(AK140+AL140-AM140,AJ140))</f>
        <v/>
      </c>
      <c r="AO140" s="42">
        <f>ROUND(AK140+AL140-AM140-AN140,2)</f>
        <v/>
      </c>
      <c r="AP140">
        <f>AJ140-AN140</f>
        <v/>
      </c>
      <c r="AQ140" s="42">
        <f>AU139</f>
        <v/>
      </c>
      <c r="AR140" s="42">
        <f>ROUND(AQ140*AR$6/12,2)</f>
        <v/>
      </c>
      <c r="AS140" s="42">
        <f>MIN(AS$6,AQ140+AR140)</f>
        <v/>
      </c>
      <c r="AT140" s="42">
        <f>MAX(0,MIN(AQ140+AR140-AS140,AP140))</f>
        <v/>
      </c>
      <c r="AU140" s="42">
        <f>ROUND(AQ140+AR140-AS140-AT140,2)</f>
        <v/>
      </c>
      <c r="AV140">
        <f>AP140-AT140</f>
        <v/>
      </c>
      <c r="AW140" s="42">
        <f>BA139</f>
        <v/>
      </c>
      <c r="AX140" s="42">
        <f>ROUND(AW140*AX$6/12,2)</f>
        <v/>
      </c>
      <c r="AY140" s="42">
        <f>MIN(AY$6,AW140+AX140)</f>
        <v/>
      </c>
      <c r="AZ140" s="42">
        <f>MAX(0,MIN(AW140+AX140-AY140,AV140))</f>
        <v/>
      </c>
      <c r="BA140" s="42">
        <f>ROUND(AW140+AX140-AY140-AZ140,2)</f>
        <v/>
      </c>
      <c r="BB140">
        <f>AV140-AZ140</f>
        <v/>
      </c>
      <c r="BC140" s="42">
        <f>BG139</f>
        <v/>
      </c>
      <c r="BD140" s="42">
        <f>ROUND(BC140*BD$6/12,2)</f>
        <v/>
      </c>
      <c r="BE140" s="42">
        <f>MIN(BE$6,BC140+BD140)</f>
        <v/>
      </c>
      <c r="BF140" s="42">
        <f>MAX(0,MIN(BC140+BD140-BE140,BB140))</f>
        <v/>
      </c>
      <c r="BG140" s="42">
        <f>ROUND(BC140+BD140-BE140-BF140,2)</f>
        <v/>
      </c>
      <c r="BH140">
        <f>BB140-BF140</f>
        <v/>
      </c>
      <c r="BI140" s="42">
        <f>BM139</f>
        <v/>
      </c>
      <c r="BJ140" s="42">
        <f>ROUND(BI140*BJ$6/12,2)</f>
        <v/>
      </c>
      <c r="BK140" s="42">
        <f>MIN(BK$6,BI140+BJ140)</f>
        <v/>
      </c>
      <c r="BL140" s="42">
        <f>MAX(0,MIN(BI140+BJ140-BK140,BH140))</f>
        <v/>
      </c>
      <c r="BM140" s="42">
        <f>ROUND(BI140+BJ140-BK140-BL140,2)</f>
        <v/>
      </c>
      <c r="BN140">
        <f>BH140-BL140</f>
        <v/>
      </c>
    </row>
    <row r="141">
      <c r="A141" s="43" t="n">
        <v>134</v>
      </c>
      <c r="B141" s="44">
        <f>EDATE('My Debts'!$C$6,A141-1)</f>
        <v/>
      </c>
      <c r="C141" s="45">
        <f>K141+Q141+W141+AC141+AI141+AO141+AU141+BA141+BG141+BM141</f>
        <v/>
      </c>
      <c r="D141" s="46">
        <f>I141+O141+U141+AA141+AG141+AM141+AS141+AY141+BE141+BK141+J141+P141+V141+AB141+AH141+AN141+AT141+AZ141+BF141+BL141</f>
        <v/>
      </c>
      <c r="E141" s="46">
        <f>H141+N141+T141+Z141+AF141+AL141+AR141+AX141+BD141+BJ141</f>
        <v/>
      </c>
      <c r="F141">
        <f>MAX(0,'My Debts'!$E$21-(I141+O141+U141+AA141+AG141+AM141+AS141+AY141+BE141+BK141))</f>
        <v/>
      </c>
      <c r="G141" s="42">
        <f>K140</f>
        <v/>
      </c>
      <c r="H141" s="42">
        <f>ROUND(G141*H$6/12,2)</f>
        <v/>
      </c>
      <c r="I141" s="42">
        <f>MIN(I$6,G141+H141)</f>
        <v/>
      </c>
      <c r="J141" s="42">
        <f>MAX(0,MIN(G141+H141-I141,$F141))</f>
        <v/>
      </c>
      <c r="K141" s="42">
        <f>ROUND(G141+H141-I141-J141,2)</f>
        <v/>
      </c>
      <c r="L141">
        <f>$F141-J141</f>
        <v/>
      </c>
      <c r="M141" s="42">
        <f>Q140</f>
        <v/>
      </c>
      <c r="N141" s="42">
        <f>ROUND(M141*N$6/12,2)</f>
        <v/>
      </c>
      <c r="O141" s="42">
        <f>MIN(O$6,M141+N141)</f>
        <v/>
      </c>
      <c r="P141" s="42">
        <f>MAX(0,MIN(M141+N141-O141,L141))</f>
        <v/>
      </c>
      <c r="Q141" s="42">
        <f>ROUND(M141+N141-O141-P141,2)</f>
        <v/>
      </c>
      <c r="R141">
        <f>L141-P141</f>
        <v/>
      </c>
      <c r="S141" s="42">
        <f>W140</f>
        <v/>
      </c>
      <c r="T141" s="42">
        <f>ROUND(S141*T$6/12,2)</f>
        <v/>
      </c>
      <c r="U141" s="42">
        <f>MIN(U$6,S141+T141)</f>
        <v/>
      </c>
      <c r="V141" s="42">
        <f>MAX(0,MIN(S141+T141-U141,R141))</f>
        <v/>
      </c>
      <c r="W141" s="42">
        <f>ROUND(S141+T141-U141-V141,2)</f>
        <v/>
      </c>
      <c r="X141">
        <f>R141-V141</f>
        <v/>
      </c>
      <c r="Y141" s="42">
        <f>AC140</f>
        <v/>
      </c>
      <c r="Z141" s="42">
        <f>ROUND(Y141*Z$6/12,2)</f>
        <v/>
      </c>
      <c r="AA141" s="42">
        <f>MIN(AA$6,Y141+Z141)</f>
        <v/>
      </c>
      <c r="AB141" s="42">
        <f>MAX(0,MIN(Y141+Z141-AA141,X141))</f>
        <v/>
      </c>
      <c r="AC141" s="42">
        <f>ROUND(Y141+Z141-AA141-AB141,2)</f>
        <v/>
      </c>
      <c r="AD141">
        <f>X141-AB141</f>
        <v/>
      </c>
      <c r="AE141" s="42">
        <f>AI140</f>
        <v/>
      </c>
      <c r="AF141" s="42">
        <f>ROUND(AE141*AF$6/12,2)</f>
        <v/>
      </c>
      <c r="AG141" s="42">
        <f>MIN(AG$6,AE141+AF141)</f>
        <v/>
      </c>
      <c r="AH141" s="42">
        <f>MAX(0,MIN(AE141+AF141-AG141,AD141))</f>
        <v/>
      </c>
      <c r="AI141" s="42">
        <f>ROUND(AE141+AF141-AG141-AH141,2)</f>
        <v/>
      </c>
      <c r="AJ141">
        <f>AD141-AH141</f>
        <v/>
      </c>
      <c r="AK141" s="42">
        <f>AO140</f>
        <v/>
      </c>
      <c r="AL141" s="42">
        <f>ROUND(AK141*AL$6/12,2)</f>
        <v/>
      </c>
      <c r="AM141" s="42">
        <f>MIN(AM$6,AK141+AL141)</f>
        <v/>
      </c>
      <c r="AN141" s="42">
        <f>MAX(0,MIN(AK141+AL141-AM141,AJ141))</f>
        <v/>
      </c>
      <c r="AO141" s="42">
        <f>ROUND(AK141+AL141-AM141-AN141,2)</f>
        <v/>
      </c>
      <c r="AP141">
        <f>AJ141-AN141</f>
        <v/>
      </c>
      <c r="AQ141" s="42">
        <f>AU140</f>
        <v/>
      </c>
      <c r="AR141" s="42">
        <f>ROUND(AQ141*AR$6/12,2)</f>
        <v/>
      </c>
      <c r="AS141" s="42">
        <f>MIN(AS$6,AQ141+AR141)</f>
        <v/>
      </c>
      <c r="AT141" s="42">
        <f>MAX(0,MIN(AQ141+AR141-AS141,AP141))</f>
        <v/>
      </c>
      <c r="AU141" s="42">
        <f>ROUND(AQ141+AR141-AS141-AT141,2)</f>
        <v/>
      </c>
      <c r="AV141">
        <f>AP141-AT141</f>
        <v/>
      </c>
      <c r="AW141" s="42">
        <f>BA140</f>
        <v/>
      </c>
      <c r="AX141" s="42">
        <f>ROUND(AW141*AX$6/12,2)</f>
        <v/>
      </c>
      <c r="AY141" s="42">
        <f>MIN(AY$6,AW141+AX141)</f>
        <v/>
      </c>
      <c r="AZ141" s="42">
        <f>MAX(0,MIN(AW141+AX141-AY141,AV141))</f>
        <v/>
      </c>
      <c r="BA141" s="42">
        <f>ROUND(AW141+AX141-AY141-AZ141,2)</f>
        <v/>
      </c>
      <c r="BB141">
        <f>AV141-AZ141</f>
        <v/>
      </c>
      <c r="BC141" s="42">
        <f>BG140</f>
        <v/>
      </c>
      <c r="BD141" s="42">
        <f>ROUND(BC141*BD$6/12,2)</f>
        <v/>
      </c>
      <c r="BE141" s="42">
        <f>MIN(BE$6,BC141+BD141)</f>
        <v/>
      </c>
      <c r="BF141" s="42">
        <f>MAX(0,MIN(BC141+BD141-BE141,BB141))</f>
        <v/>
      </c>
      <c r="BG141" s="42">
        <f>ROUND(BC141+BD141-BE141-BF141,2)</f>
        <v/>
      </c>
      <c r="BH141">
        <f>BB141-BF141</f>
        <v/>
      </c>
      <c r="BI141" s="42">
        <f>BM140</f>
        <v/>
      </c>
      <c r="BJ141" s="42">
        <f>ROUND(BI141*BJ$6/12,2)</f>
        <v/>
      </c>
      <c r="BK141" s="42">
        <f>MIN(BK$6,BI141+BJ141)</f>
        <v/>
      </c>
      <c r="BL141" s="42">
        <f>MAX(0,MIN(BI141+BJ141-BK141,BH141))</f>
        <v/>
      </c>
      <c r="BM141" s="42">
        <f>ROUND(BI141+BJ141-BK141-BL141,2)</f>
        <v/>
      </c>
      <c r="BN141">
        <f>BH141-BL141</f>
        <v/>
      </c>
    </row>
    <row r="142">
      <c r="A142" s="39" t="n">
        <v>135</v>
      </c>
      <c r="B142" s="40">
        <f>EDATE('My Debts'!$C$6,A142-1)</f>
        <v/>
      </c>
      <c r="C142" s="41">
        <f>K142+Q142+W142+AC142+AI142+AO142+AU142+BA142+BG142+BM142</f>
        <v/>
      </c>
      <c r="D142" s="42">
        <f>I142+O142+U142+AA142+AG142+AM142+AS142+AY142+BE142+BK142+J142+P142+V142+AB142+AH142+AN142+AT142+AZ142+BF142+BL142</f>
        <v/>
      </c>
      <c r="E142" s="42">
        <f>H142+N142+T142+Z142+AF142+AL142+AR142+AX142+BD142+BJ142</f>
        <v/>
      </c>
      <c r="F142">
        <f>MAX(0,'My Debts'!$E$21-(I142+O142+U142+AA142+AG142+AM142+AS142+AY142+BE142+BK142))</f>
        <v/>
      </c>
      <c r="G142" s="42">
        <f>K141</f>
        <v/>
      </c>
      <c r="H142" s="42">
        <f>ROUND(G142*H$6/12,2)</f>
        <v/>
      </c>
      <c r="I142" s="42">
        <f>MIN(I$6,G142+H142)</f>
        <v/>
      </c>
      <c r="J142" s="42">
        <f>MAX(0,MIN(G142+H142-I142,$F142))</f>
        <v/>
      </c>
      <c r="K142" s="42">
        <f>ROUND(G142+H142-I142-J142,2)</f>
        <v/>
      </c>
      <c r="L142">
        <f>$F142-J142</f>
        <v/>
      </c>
      <c r="M142" s="42">
        <f>Q141</f>
        <v/>
      </c>
      <c r="N142" s="42">
        <f>ROUND(M142*N$6/12,2)</f>
        <v/>
      </c>
      <c r="O142" s="42">
        <f>MIN(O$6,M142+N142)</f>
        <v/>
      </c>
      <c r="P142" s="42">
        <f>MAX(0,MIN(M142+N142-O142,L142))</f>
        <v/>
      </c>
      <c r="Q142" s="42">
        <f>ROUND(M142+N142-O142-P142,2)</f>
        <v/>
      </c>
      <c r="R142">
        <f>L142-P142</f>
        <v/>
      </c>
      <c r="S142" s="42">
        <f>W141</f>
        <v/>
      </c>
      <c r="T142" s="42">
        <f>ROUND(S142*T$6/12,2)</f>
        <v/>
      </c>
      <c r="U142" s="42">
        <f>MIN(U$6,S142+T142)</f>
        <v/>
      </c>
      <c r="V142" s="42">
        <f>MAX(0,MIN(S142+T142-U142,R142))</f>
        <v/>
      </c>
      <c r="W142" s="42">
        <f>ROUND(S142+T142-U142-V142,2)</f>
        <v/>
      </c>
      <c r="X142">
        <f>R142-V142</f>
        <v/>
      </c>
      <c r="Y142" s="42">
        <f>AC141</f>
        <v/>
      </c>
      <c r="Z142" s="42">
        <f>ROUND(Y142*Z$6/12,2)</f>
        <v/>
      </c>
      <c r="AA142" s="42">
        <f>MIN(AA$6,Y142+Z142)</f>
        <v/>
      </c>
      <c r="AB142" s="42">
        <f>MAX(0,MIN(Y142+Z142-AA142,X142))</f>
        <v/>
      </c>
      <c r="AC142" s="42">
        <f>ROUND(Y142+Z142-AA142-AB142,2)</f>
        <v/>
      </c>
      <c r="AD142">
        <f>X142-AB142</f>
        <v/>
      </c>
      <c r="AE142" s="42">
        <f>AI141</f>
        <v/>
      </c>
      <c r="AF142" s="42">
        <f>ROUND(AE142*AF$6/12,2)</f>
        <v/>
      </c>
      <c r="AG142" s="42">
        <f>MIN(AG$6,AE142+AF142)</f>
        <v/>
      </c>
      <c r="AH142" s="42">
        <f>MAX(0,MIN(AE142+AF142-AG142,AD142))</f>
        <v/>
      </c>
      <c r="AI142" s="42">
        <f>ROUND(AE142+AF142-AG142-AH142,2)</f>
        <v/>
      </c>
      <c r="AJ142">
        <f>AD142-AH142</f>
        <v/>
      </c>
      <c r="AK142" s="42">
        <f>AO141</f>
        <v/>
      </c>
      <c r="AL142" s="42">
        <f>ROUND(AK142*AL$6/12,2)</f>
        <v/>
      </c>
      <c r="AM142" s="42">
        <f>MIN(AM$6,AK142+AL142)</f>
        <v/>
      </c>
      <c r="AN142" s="42">
        <f>MAX(0,MIN(AK142+AL142-AM142,AJ142))</f>
        <v/>
      </c>
      <c r="AO142" s="42">
        <f>ROUND(AK142+AL142-AM142-AN142,2)</f>
        <v/>
      </c>
      <c r="AP142">
        <f>AJ142-AN142</f>
        <v/>
      </c>
      <c r="AQ142" s="42">
        <f>AU141</f>
        <v/>
      </c>
      <c r="AR142" s="42">
        <f>ROUND(AQ142*AR$6/12,2)</f>
        <v/>
      </c>
      <c r="AS142" s="42">
        <f>MIN(AS$6,AQ142+AR142)</f>
        <v/>
      </c>
      <c r="AT142" s="42">
        <f>MAX(0,MIN(AQ142+AR142-AS142,AP142))</f>
        <v/>
      </c>
      <c r="AU142" s="42">
        <f>ROUND(AQ142+AR142-AS142-AT142,2)</f>
        <v/>
      </c>
      <c r="AV142">
        <f>AP142-AT142</f>
        <v/>
      </c>
      <c r="AW142" s="42">
        <f>BA141</f>
        <v/>
      </c>
      <c r="AX142" s="42">
        <f>ROUND(AW142*AX$6/12,2)</f>
        <v/>
      </c>
      <c r="AY142" s="42">
        <f>MIN(AY$6,AW142+AX142)</f>
        <v/>
      </c>
      <c r="AZ142" s="42">
        <f>MAX(0,MIN(AW142+AX142-AY142,AV142))</f>
        <v/>
      </c>
      <c r="BA142" s="42">
        <f>ROUND(AW142+AX142-AY142-AZ142,2)</f>
        <v/>
      </c>
      <c r="BB142">
        <f>AV142-AZ142</f>
        <v/>
      </c>
      <c r="BC142" s="42">
        <f>BG141</f>
        <v/>
      </c>
      <c r="BD142" s="42">
        <f>ROUND(BC142*BD$6/12,2)</f>
        <v/>
      </c>
      <c r="BE142" s="42">
        <f>MIN(BE$6,BC142+BD142)</f>
        <v/>
      </c>
      <c r="BF142" s="42">
        <f>MAX(0,MIN(BC142+BD142-BE142,BB142))</f>
        <v/>
      </c>
      <c r="BG142" s="42">
        <f>ROUND(BC142+BD142-BE142-BF142,2)</f>
        <v/>
      </c>
      <c r="BH142">
        <f>BB142-BF142</f>
        <v/>
      </c>
      <c r="BI142" s="42">
        <f>BM141</f>
        <v/>
      </c>
      <c r="BJ142" s="42">
        <f>ROUND(BI142*BJ$6/12,2)</f>
        <v/>
      </c>
      <c r="BK142" s="42">
        <f>MIN(BK$6,BI142+BJ142)</f>
        <v/>
      </c>
      <c r="BL142" s="42">
        <f>MAX(0,MIN(BI142+BJ142-BK142,BH142))</f>
        <v/>
      </c>
      <c r="BM142" s="42">
        <f>ROUND(BI142+BJ142-BK142-BL142,2)</f>
        <v/>
      </c>
      <c r="BN142">
        <f>BH142-BL142</f>
        <v/>
      </c>
    </row>
    <row r="143">
      <c r="A143" s="43" t="n">
        <v>136</v>
      </c>
      <c r="B143" s="44">
        <f>EDATE('My Debts'!$C$6,A143-1)</f>
        <v/>
      </c>
      <c r="C143" s="45">
        <f>K143+Q143+W143+AC143+AI143+AO143+AU143+BA143+BG143+BM143</f>
        <v/>
      </c>
      <c r="D143" s="46">
        <f>I143+O143+U143+AA143+AG143+AM143+AS143+AY143+BE143+BK143+J143+P143+V143+AB143+AH143+AN143+AT143+AZ143+BF143+BL143</f>
        <v/>
      </c>
      <c r="E143" s="46">
        <f>H143+N143+T143+Z143+AF143+AL143+AR143+AX143+BD143+BJ143</f>
        <v/>
      </c>
      <c r="F143">
        <f>MAX(0,'My Debts'!$E$21-(I143+O143+U143+AA143+AG143+AM143+AS143+AY143+BE143+BK143))</f>
        <v/>
      </c>
      <c r="G143" s="42">
        <f>K142</f>
        <v/>
      </c>
      <c r="H143" s="42">
        <f>ROUND(G143*H$6/12,2)</f>
        <v/>
      </c>
      <c r="I143" s="42">
        <f>MIN(I$6,G143+H143)</f>
        <v/>
      </c>
      <c r="J143" s="42">
        <f>MAX(0,MIN(G143+H143-I143,$F143))</f>
        <v/>
      </c>
      <c r="K143" s="42">
        <f>ROUND(G143+H143-I143-J143,2)</f>
        <v/>
      </c>
      <c r="L143">
        <f>$F143-J143</f>
        <v/>
      </c>
      <c r="M143" s="42">
        <f>Q142</f>
        <v/>
      </c>
      <c r="N143" s="42">
        <f>ROUND(M143*N$6/12,2)</f>
        <v/>
      </c>
      <c r="O143" s="42">
        <f>MIN(O$6,M143+N143)</f>
        <v/>
      </c>
      <c r="P143" s="42">
        <f>MAX(0,MIN(M143+N143-O143,L143))</f>
        <v/>
      </c>
      <c r="Q143" s="42">
        <f>ROUND(M143+N143-O143-P143,2)</f>
        <v/>
      </c>
      <c r="R143">
        <f>L143-P143</f>
        <v/>
      </c>
      <c r="S143" s="42">
        <f>W142</f>
        <v/>
      </c>
      <c r="T143" s="42">
        <f>ROUND(S143*T$6/12,2)</f>
        <v/>
      </c>
      <c r="U143" s="42">
        <f>MIN(U$6,S143+T143)</f>
        <v/>
      </c>
      <c r="V143" s="42">
        <f>MAX(0,MIN(S143+T143-U143,R143))</f>
        <v/>
      </c>
      <c r="W143" s="42">
        <f>ROUND(S143+T143-U143-V143,2)</f>
        <v/>
      </c>
      <c r="X143">
        <f>R143-V143</f>
        <v/>
      </c>
      <c r="Y143" s="42">
        <f>AC142</f>
        <v/>
      </c>
      <c r="Z143" s="42">
        <f>ROUND(Y143*Z$6/12,2)</f>
        <v/>
      </c>
      <c r="AA143" s="42">
        <f>MIN(AA$6,Y143+Z143)</f>
        <v/>
      </c>
      <c r="AB143" s="42">
        <f>MAX(0,MIN(Y143+Z143-AA143,X143))</f>
        <v/>
      </c>
      <c r="AC143" s="42">
        <f>ROUND(Y143+Z143-AA143-AB143,2)</f>
        <v/>
      </c>
      <c r="AD143">
        <f>X143-AB143</f>
        <v/>
      </c>
      <c r="AE143" s="42">
        <f>AI142</f>
        <v/>
      </c>
      <c r="AF143" s="42">
        <f>ROUND(AE143*AF$6/12,2)</f>
        <v/>
      </c>
      <c r="AG143" s="42">
        <f>MIN(AG$6,AE143+AF143)</f>
        <v/>
      </c>
      <c r="AH143" s="42">
        <f>MAX(0,MIN(AE143+AF143-AG143,AD143))</f>
        <v/>
      </c>
      <c r="AI143" s="42">
        <f>ROUND(AE143+AF143-AG143-AH143,2)</f>
        <v/>
      </c>
      <c r="AJ143">
        <f>AD143-AH143</f>
        <v/>
      </c>
      <c r="AK143" s="42">
        <f>AO142</f>
        <v/>
      </c>
      <c r="AL143" s="42">
        <f>ROUND(AK143*AL$6/12,2)</f>
        <v/>
      </c>
      <c r="AM143" s="42">
        <f>MIN(AM$6,AK143+AL143)</f>
        <v/>
      </c>
      <c r="AN143" s="42">
        <f>MAX(0,MIN(AK143+AL143-AM143,AJ143))</f>
        <v/>
      </c>
      <c r="AO143" s="42">
        <f>ROUND(AK143+AL143-AM143-AN143,2)</f>
        <v/>
      </c>
      <c r="AP143">
        <f>AJ143-AN143</f>
        <v/>
      </c>
      <c r="AQ143" s="42">
        <f>AU142</f>
        <v/>
      </c>
      <c r="AR143" s="42">
        <f>ROUND(AQ143*AR$6/12,2)</f>
        <v/>
      </c>
      <c r="AS143" s="42">
        <f>MIN(AS$6,AQ143+AR143)</f>
        <v/>
      </c>
      <c r="AT143" s="42">
        <f>MAX(0,MIN(AQ143+AR143-AS143,AP143))</f>
        <v/>
      </c>
      <c r="AU143" s="42">
        <f>ROUND(AQ143+AR143-AS143-AT143,2)</f>
        <v/>
      </c>
      <c r="AV143">
        <f>AP143-AT143</f>
        <v/>
      </c>
      <c r="AW143" s="42">
        <f>BA142</f>
        <v/>
      </c>
      <c r="AX143" s="42">
        <f>ROUND(AW143*AX$6/12,2)</f>
        <v/>
      </c>
      <c r="AY143" s="42">
        <f>MIN(AY$6,AW143+AX143)</f>
        <v/>
      </c>
      <c r="AZ143" s="42">
        <f>MAX(0,MIN(AW143+AX143-AY143,AV143))</f>
        <v/>
      </c>
      <c r="BA143" s="42">
        <f>ROUND(AW143+AX143-AY143-AZ143,2)</f>
        <v/>
      </c>
      <c r="BB143">
        <f>AV143-AZ143</f>
        <v/>
      </c>
      <c r="BC143" s="42">
        <f>BG142</f>
        <v/>
      </c>
      <c r="BD143" s="42">
        <f>ROUND(BC143*BD$6/12,2)</f>
        <v/>
      </c>
      <c r="BE143" s="42">
        <f>MIN(BE$6,BC143+BD143)</f>
        <v/>
      </c>
      <c r="BF143" s="42">
        <f>MAX(0,MIN(BC143+BD143-BE143,BB143))</f>
        <v/>
      </c>
      <c r="BG143" s="42">
        <f>ROUND(BC143+BD143-BE143-BF143,2)</f>
        <v/>
      </c>
      <c r="BH143">
        <f>BB143-BF143</f>
        <v/>
      </c>
      <c r="BI143" s="42">
        <f>BM142</f>
        <v/>
      </c>
      <c r="BJ143" s="42">
        <f>ROUND(BI143*BJ$6/12,2)</f>
        <v/>
      </c>
      <c r="BK143" s="42">
        <f>MIN(BK$6,BI143+BJ143)</f>
        <v/>
      </c>
      <c r="BL143" s="42">
        <f>MAX(0,MIN(BI143+BJ143-BK143,BH143))</f>
        <v/>
      </c>
      <c r="BM143" s="42">
        <f>ROUND(BI143+BJ143-BK143-BL143,2)</f>
        <v/>
      </c>
      <c r="BN143">
        <f>BH143-BL143</f>
        <v/>
      </c>
    </row>
    <row r="144">
      <c r="A144" s="39" t="n">
        <v>137</v>
      </c>
      <c r="B144" s="40">
        <f>EDATE('My Debts'!$C$6,A144-1)</f>
        <v/>
      </c>
      <c r="C144" s="41">
        <f>K144+Q144+W144+AC144+AI144+AO144+AU144+BA144+BG144+BM144</f>
        <v/>
      </c>
      <c r="D144" s="42">
        <f>I144+O144+U144+AA144+AG144+AM144+AS144+AY144+BE144+BK144+J144+P144+V144+AB144+AH144+AN144+AT144+AZ144+BF144+BL144</f>
        <v/>
      </c>
      <c r="E144" s="42">
        <f>H144+N144+T144+Z144+AF144+AL144+AR144+AX144+BD144+BJ144</f>
        <v/>
      </c>
      <c r="F144">
        <f>MAX(0,'My Debts'!$E$21-(I144+O144+U144+AA144+AG144+AM144+AS144+AY144+BE144+BK144))</f>
        <v/>
      </c>
      <c r="G144" s="42">
        <f>K143</f>
        <v/>
      </c>
      <c r="H144" s="42">
        <f>ROUND(G144*H$6/12,2)</f>
        <v/>
      </c>
      <c r="I144" s="42">
        <f>MIN(I$6,G144+H144)</f>
        <v/>
      </c>
      <c r="J144" s="42">
        <f>MAX(0,MIN(G144+H144-I144,$F144))</f>
        <v/>
      </c>
      <c r="K144" s="42">
        <f>ROUND(G144+H144-I144-J144,2)</f>
        <v/>
      </c>
      <c r="L144">
        <f>$F144-J144</f>
        <v/>
      </c>
      <c r="M144" s="42">
        <f>Q143</f>
        <v/>
      </c>
      <c r="N144" s="42">
        <f>ROUND(M144*N$6/12,2)</f>
        <v/>
      </c>
      <c r="O144" s="42">
        <f>MIN(O$6,M144+N144)</f>
        <v/>
      </c>
      <c r="P144" s="42">
        <f>MAX(0,MIN(M144+N144-O144,L144))</f>
        <v/>
      </c>
      <c r="Q144" s="42">
        <f>ROUND(M144+N144-O144-P144,2)</f>
        <v/>
      </c>
      <c r="R144">
        <f>L144-P144</f>
        <v/>
      </c>
      <c r="S144" s="42">
        <f>W143</f>
        <v/>
      </c>
      <c r="T144" s="42">
        <f>ROUND(S144*T$6/12,2)</f>
        <v/>
      </c>
      <c r="U144" s="42">
        <f>MIN(U$6,S144+T144)</f>
        <v/>
      </c>
      <c r="V144" s="42">
        <f>MAX(0,MIN(S144+T144-U144,R144))</f>
        <v/>
      </c>
      <c r="W144" s="42">
        <f>ROUND(S144+T144-U144-V144,2)</f>
        <v/>
      </c>
      <c r="X144">
        <f>R144-V144</f>
        <v/>
      </c>
      <c r="Y144" s="42">
        <f>AC143</f>
        <v/>
      </c>
      <c r="Z144" s="42">
        <f>ROUND(Y144*Z$6/12,2)</f>
        <v/>
      </c>
      <c r="AA144" s="42">
        <f>MIN(AA$6,Y144+Z144)</f>
        <v/>
      </c>
      <c r="AB144" s="42">
        <f>MAX(0,MIN(Y144+Z144-AA144,X144))</f>
        <v/>
      </c>
      <c r="AC144" s="42">
        <f>ROUND(Y144+Z144-AA144-AB144,2)</f>
        <v/>
      </c>
      <c r="AD144">
        <f>X144-AB144</f>
        <v/>
      </c>
      <c r="AE144" s="42">
        <f>AI143</f>
        <v/>
      </c>
      <c r="AF144" s="42">
        <f>ROUND(AE144*AF$6/12,2)</f>
        <v/>
      </c>
      <c r="AG144" s="42">
        <f>MIN(AG$6,AE144+AF144)</f>
        <v/>
      </c>
      <c r="AH144" s="42">
        <f>MAX(0,MIN(AE144+AF144-AG144,AD144))</f>
        <v/>
      </c>
      <c r="AI144" s="42">
        <f>ROUND(AE144+AF144-AG144-AH144,2)</f>
        <v/>
      </c>
      <c r="AJ144">
        <f>AD144-AH144</f>
        <v/>
      </c>
      <c r="AK144" s="42">
        <f>AO143</f>
        <v/>
      </c>
      <c r="AL144" s="42">
        <f>ROUND(AK144*AL$6/12,2)</f>
        <v/>
      </c>
      <c r="AM144" s="42">
        <f>MIN(AM$6,AK144+AL144)</f>
        <v/>
      </c>
      <c r="AN144" s="42">
        <f>MAX(0,MIN(AK144+AL144-AM144,AJ144))</f>
        <v/>
      </c>
      <c r="AO144" s="42">
        <f>ROUND(AK144+AL144-AM144-AN144,2)</f>
        <v/>
      </c>
      <c r="AP144">
        <f>AJ144-AN144</f>
        <v/>
      </c>
      <c r="AQ144" s="42">
        <f>AU143</f>
        <v/>
      </c>
      <c r="AR144" s="42">
        <f>ROUND(AQ144*AR$6/12,2)</f>
        <v/>
      </c>
      <c r="AS144" s="42">
        <f>MIN(AS$6,AQ144+AR144)</f>
        <v/>
      </c>
      <c r="AT144" s="42">
        <f>MAX(0,MIN(AQ144+AR144-AS144,AP144))</f>
        <v/>
      </c>
      <c r="AU144" s="42">
        <f>ROUND(AQ144+AR144-AS144-AT144,2)</f>
        <v/>
      </c>
      <c r="AV144">
        <f>AP144-AT144</f>
        <v/>
      </c>
      <c r="AW144" s="42">
        <f>BA143</f>
        <v/>
      </c>
      <c r="AX144" s="42">
        <f>ROUND(AW144*AX$6/12,2)</f>
        <v/>
      </c>
      <c r="AY144" s="42">
        <f>MIN(AY$6,AW144+AX144)</f>
        <v/>
      </c>
      <c r="AZ144" s="42">
        <f>MAX(0,MIN(AW144+AX144-AY144,AV144))</f>
        <v/>
      </c>
      <c r="BA144" s="42">
        <f>ROUND(AW144+AX144-AY144-AZ144,2)</f>
        <v/>
      </c>
      <c r="BB144">
        <f>AV144-AZ144</f>
        <v/>
      </c>
      <c r="BC144" s="42">
        <f>BG143</f>
        <v/>
      </c>
      <c r="BD144" s="42">
        <f>ROUND(BC144*BD$6/12,2)</f>
        <v/>
      </c>
      <c r="BE144" s="42">
        <f>MIN(BE$6,BC144+BD144)</f>
        <v/>
      </c>
      <c r="BF144" s="42">
        <f>MAX(0,MIN(BC144+BD144-BE144,BB144))</f>
        <v/>
      </c>
      <c r="BG144" s="42">
        <f>ROUND(BC144+BD144-BE144-BF144,2)</f>
        <v/>
      </c>
      <c r="BH144">
        <f>BB144-BF144</f>
        <v/>
      </c>
      <c r="BI144" s="42">
        <f>BM143</f>
        <v/>
      </c>
      <c r="BJ144" s="42">
        <f>ROUND(BI144*BJ$6/12,2)</f>
        <v/>
      </c>
      <c r="BK144" s="42">
        <f>MIN(BK$6,BI144+BJ144)</f>
        <v/>
      </c>
      <c r="BL144" s="42">
        <f>MAX(0,MIN(BI144+BJ144-BK144,BH144))</f>
        <v/>
      </c>
      <c r="BM144" s="42">
        <f>ROUND(BI144+BJ144-BK144-BL144,2)</f>
        <v/>
      </c>
      <c r="BN144">
        <f>BH144-BL144</f>
        <v/>
      </c>
    </row>
    <row r="145">
      <c r="A145" s="43" t="n">
        <v>138</v>
      </c>
      <c r="B145" s="44">
        <f>EDATE('My Debts'!$C$6,A145-1)</f>
        <v/>
      </c>
      <c r="C145" s="45">
        <f>K145+Q145+W145+AC145+AI145+AO145+AU145+BA145+BG145+BM145</f>
        <v/>
      </c>
      <c r="D145" s="46">
        <f>I145+O145+U145+AA145+AG145+AM145+AS145+AY145+BE145+BK145+J145+P145+V145+AB145+AH145+AN145+AT145+AZ145+BF145+BL145</f>
        <v/>
      </c>
      <c r="E145" s="46">
        <f>H145+N145+T145+Z145+AF145+AL145+AR145+AX145+BD145+BJ145</f>
        <v/>
      </c>
      <c r="F145">
        <f>MAX(0,'My Debts'!$E$21-(I145+O145+U145+AA145+AG145+AM145+AS145+AY145+BE145+BK145))</f>
        <v/>
      </c>
      <c r="G145" s="42">
        <f>K144</f>
        <v/>
      </c>
      <c r="H145" s="42">
        <f>ROUND(G145*H$6/12,2)</f>
        <v/>
      </c>
      <c r="I145" s="42">
        <f>MIN(I$6,G145+H145)</f>
        <v/>
      </c>
      <c r="J145" s="42">
        <f>MAX(0,MIN(G145+H145-I145,$F145))</f>
        <v/>
      </c>
      <c r="K145" s="42">
        <f>ROUND(G145+H145-I145-J145,2)</f>
        <v/>
      </c>
      <c r="L145">
        <f>$F145-J145</f>
        <v/>
      </c>
      <c r="M145" s="42">
        <f>Q144</f>
        <v/>
      </c>
      <c r="N145" s="42">
        <f>ROUND(M145*N$6/12,2)</f>
        <v/>
      </c>
      <c r="O145" s="42">
        <f>MIN(O$6,M145+N145)</f>
        <v/>
      </c>
      <c r="P145" s="42">
        <f>MAX(0,MIN(M145+N145-O145,L145))</f>
        <v/>
      </c>
      <c r="Q145" s="42">
        <f>ROUND(M145+N145-O145-P145,2)</f>
        <v/>
      </c>
      <c r="R145">
        <f>L145-P145</f>
        <v/>
      </c>
      <c r="S145" s="42">
        <f>W144</f>
        <v/>
      </c>
      <c r="T145" s="42">
        <f>ROUND(S145*T$6/12,2)</f>
        <v/>
      </c>
      <c r="U145" s="42">
        <f>MIN(U$6,S145+T145)</f>
        <v/>
      </c>
      <c r="V145" s="42">
        <f>MAX(0,MIN(S145+T145-U145,R145))</f>
        <v/>
      </c>
      <c r="W145" s="42">
        <f>ROUND(S145+T145-U145-V145,2)</f>
        <v/>
      </c>
      <c r="X145">
        <f>R145-V145</f>
        <v/>
      </c>
      <c r="Y145" s="42">
        <f>AC144</f>
        <v/>
      </c>
      <c r="Z145" s="42">
        <f>ROUND(Y145*Z$6/12,2)</f>
        <v/>
      </c>
      <c r="AA145" s="42">
        <f>MIN(AA$6,Y145+Z145)</f>
        <v/>
      </c>
      <c r="AB145" s="42">
        <f>MAX(0,MIN(Y145+Z145-AA145,X145))</f>
        <v/>
      </c>
      <c r="AC145" s="42">
        <f>ROUND(Y145+Z145-AA145-AB145,2)</f>
        <v/>
      </c>
      <c r="AD145">
        <f>X145-AB145</f>
        <v/>
      </c>
      <c r="AE145" s="42">
        <f>AI144</f>
        <v/>
      </c>
      <c r="AF145" s="42">
        <f>ROUND(AE145*AF$6/12,2)</f>
        <v/>
      </c>
      <c r="AG145" s="42">
        <f>MIN(AG$6,AE145+AF145)</f>
        <v/>
      </c>
      <c r="AH145" s="42">
        <f>MAX(0,MIN(AE145+AF145-AG145,AD145))</f>
        <v/>
      </c>
      <c r="AI145" s="42">
        <f>ROUND(AE145+AF145-AG145-AH145,2)</f>
        <v/>
      </c>
      <c r="AJ145">
        <f>AD145-AH145</f>
        <v/>
      </c>
      <c r="AK145" s="42">
        <f>AO144</f>
        <v/>
      </c>
      <c r="AL145" s="42">
        <f>ROUND(AK145*AL$6/12,2)</f>
        <v/>
      </c>
      <c r="AM145" s="42">
        <f>MIN(AM$6,AK145+AL145)</f>
        <v/>
      </c>
      <c r="AN145" s="42">
        <f>MAX(0,MIN(AK145+AL145-AM145,AJ145))</f>
        <v/>
      </c>
      <c r="AO145" s="42">
        <f>ROUND(AK145+AL145-AM145-AN145,2)</f>
        <v/>
      </c>
      <c r="AP145">
        <f>AJ145-AN145</f>
        <v/>
      </c>
      <c r="AQ145" s="42">
        <f>AU144</f>
        <v/>
      </c>
      <c r="AR145" s="42">
        <f>ROUND(AQ145*AR$6/12,2)</f>
        <v/>
      </c>
      <c r="AS145" s="42">
        <f>MIN(AS$6,AQ145+AR145)</f>
        <v/>
      </c>
      <c r="AT145" s="42">
        <f>MAX(0,MIN(AQ145+AR145-AS145,AP145))</f>
        <v/>
      </c>
      <c r="AU145" s="42">
        <f>ROUND(AQ145+AR145-AS145-AT145,2)</f>
        <v/>
      </c>
      <c r="AV145">
        <f>AP145-AT145</f>
        <v/>
      </c>
      <c r="AW145" s="42">
        <f>BA144</f>
        <v/>
      </c>
      <c r="AX145" s="42">
        <f>ROUND(AW145*AX$6/12,2)</f>
        <v/>
      </c>
      <c r="AY145" s="42">
        <f>MIN(AY$6,AW145+AX145)</f>
        <v/>
      </c>
      <c r="AZ145" s="42">
        <f>MAX(0,MIN(AW145+AX145-AY145,AV145))</f>
        <v/>
      </c>
      <c r="BA145" s="42">
        <f>ROUND(AW145+AX145-AY145-AZ145,2)</f>
        <v/>
      </c>
      <c r="BB145">
        <f>AV145-AZ145</f>
        <v/>
      </c>
      <c r="BC145" s="42">
        <f>BG144</f>
        <v/>
      </c>
      <c r="BD145" s="42">
        <f>ROUND(BC145*BD$6/12,2)</f>
        <v/>
      </c>
      <c r="BE145" s="42">
        <f>MIN(BE$6,BC145+BD145)</f>
        <v/>
      </c>
      <c r="BF145" s="42">
        <f>MAX(0,MIN(BC145+BD145-BE145,BB145))</f>
        <v/>
      </c>
      <c r="BG145" s="42">
        <f>ROUND(BC145+BD145-BE145-BF145,2)</f>
        <v/>
      </c>
      <c r="BH145">
        <f>BB145-BF145</f>
        <v/>
      </c>
      <c r="BI145" s="42">
        <f>BM144</f>
        <v/>
      </c>
      <c r="BJ145" s="42">
        <f>ROUND(BI145*BJ$6/12,2)</f>
        <v/>
      </c>
      <c r="BK145" s="42">
        <f>MIN(BK$6,BI145+BJ145)</f>
        <v/>
      </c>
      <c r="BL145" s="42">
        <f>MAX(0,MIN(BI145+BJ145-BK145,BH145))</f>
        <v/>
      </c>
      <c r="BM145" s="42">
        <f>ROUND(BI145+BJ145-BK145-BL145,2)</f>
        <v/>
      </c>
      <c r="BN145">
        <f>BH145-BL145</f>
        <v/>
      </c>
    </row>
    <row r="146">
      <c r="A146" s="39" t="n">
        <v>139</v>
      </c>
      <c r="B146" s="40">
        <f>EDATE('My Debts'!$C$6,A146-1)</f>
        <v/>
      </c>
      <c r="C146" s="41">
        <f>K146+Q146+W146+AC146+AI146+AO146+AU146+BA146+BG146+BM146</f>
        <v/>
      </c>
      <c r="D146" s="42">
        <f>I146+O146+U146+AA146+AG146+AM146+AS146+AY146+BE146+BK146+J146+P146+V146+AB146+AH146+AN146+AT146+AZ146+BF146+BL146</f>
        <v/>
      </c>
      <c r="E146" s="42">
        <f>H146+N146+T146+Z146+AF146+AL146+AR146+AX146+BD146+BJ146</f>
        <v/>
      </c>
      <c r="F146">
        <f>MAX(0,'My Debts'!$E$21-(I146+O146+U146+AA146+AG146+AM146+AS146+AY146+BE146+BK146))</f>
        <v/>
      </c>
      <c r="G146" s="42">
        <f>K145</f>
        <v/>
      </c>
      <c r="H146" s="42">
        <f>ROUND(G146*H$6/12,2)</f>
        <v/>
      </c>
      <c r="I146" s="42">
        <f>MIN(I$6,G146+H146)</f>
        <v/>
      </c>
      <c r="J146" s="42">
        <f>MAX(0,MIN(G146+H146-I146,$F146))</f>
        <v/>
      </c>
      <c r="K146" s="42">
        <f>ROUND(G146+H146-I146-J146,2)</f>
        <v/>
      </c>
      <c r="L146">
        <f>$F146-J146</f>
        <v/>
      </c>
      <c r="M146" s="42">
        <f>Q145</f>
        <v/>
      </c>
      <c r="N146" s="42">
        <f>ROUND(M146*N$6/12,2)</f>
        <v/>
      </c>
      <c r="O146" s="42">
        <f>MIN(O$6,M146+N146)</f>
        <v/>
      </c>
      <c r="P146" s="42">
        <f>MAX(0,MIN(M146+N146-O146,L146))</f>
        <v/>
      </c>
      <c r="Q146" s="42">
        <f>ROUND(M146+N146-O146-P146,2)</f>
        <v/>
      </c>
      <c r="R146">
        <f>L146-P146</f>
        <v/>
      </c>
      <c r="S146" s="42">
        <f>W145</f>
        <v/>
      </c>
      <c r="T146" s="42">
        <f>ROUND(S146*T$6/12,2)</f>
        <v/>
      </c>
      <c r="U146" s="42">
        <f>MIN(U$6,S146+T146)</f>
        <v/>
      </c>
      <c r="V146" s="42">
        <f>MAX(0,MIN(S146+T146-U146,R146))</f>
        <v/>
      </c>
      <c r="W146" s="42">
        <f>ROUND(S146+T146-U146-V146,2)</f>
        <v/>
      </c>
      <c r="X146">
        <f>R146-V146</f>
        <v/>
      </c>
      <c r="Y146" s="42">
        <f>AC145</f>
        <v/>
      </c>
      <c r="Z146" s="42">
        <f>ROUND(Y146*Z$6/12,2)</f>
        <v/>
      </c>
      <c r="AA146" s="42">
        <f>MIN(AA$6,Y146+Z146)</f>
        <v/>
      </c>
      <c r="AB146" s="42">
        <f>MAX(0,MIN(Y146+Z146-AA146,X146))</f>
        <v/>
      </c>
      <c r="AC146" s="42">
        <f>ROUND(Y146+Z146-AA146-AB146,2)</f>
        <v/>
      </c>
      <c r="AD146">
        <f>X146-AB146</f>
        <v/>
      </c>
      <c r="AE146" s="42">
        <f>AI145</f>
        <v/>
      </c>
      <c r="AF146" s="42">
        <f>ROUND(AE146*AF$6/12,2)</f>
        <v/>
      </c>
      <c r="AG146" s="42">
        <f>MIN(AG$6,AE146+AF146)</f>
        <v/>
      </c>
      <c r="AH146" s="42">
        <f>MAX(0,MIN(AE146+AF146-AG146,AD146))</f>
        <v/>
      </c>
      <c r="AI146" s="42">
        <f>ROUND(AE146+AF146-AG146-AH146,2)</f>
        <v/>
      </c>
      <c r="AJ146">
        <f>AD146-AH146</f>
        <v/>
      </c>
      <c r="AK146" s="42">
        <f>AO145</f>
        <v/>
      </c>
      <c r="AL146" s="42">
        <f>ROUND(AK146*AL$6/12,2)</f>
        <v/>
      </c>
      <c r="AM146" s="42">
        <f>MIN(AM$6,AK146+AL146)</f>
        <v/>
      </c>
      <c r="AN146" s="42">
        <f>MAX(0,MIN(AK146+AL146-AM146,AJ146))</f>
        <v/>
      </c>
      <c r="AO146" s="42">
        <f>ROUND(AK146+AL146-AM146-AN146,2)</f>
        <v/>
      </c>
      <c r="AP146">
        <f>AJ146-AN146</f>
        <v/>
      </c>
      <c r="AQ146" s="42">
        <f>AU145</f>
        <v/>
      </c>
      <c r="AR146" s="42">
        <f>ROUND(AQ146*AR$6/12,2)</f>
        <v/>
      </c>
      <c r="AS146" s="42">
        <f>MIN(AS$6,AQ146+AR146)</f>
        <v/>
      </c>
      <c r="AT146" s="42">
        <f>MAX(0,MIN(AQ146+AR146-AS146,AP146))</f>
        <v/>
      </c>
      <c r="AU146" s="42">
        <f>ROUND(AQ146+AR146-AS146-AT146,2)</f>
        <v/>
      </c>
      <c r="AV146">
        <f>AP146-AT146</f>
        <v/>
      </c>
      <c r="AW146" s="42">
        <f>BA145</f>
        <v/>
      </c>
      <c r="AX146" s="42">
        <f>ROUND(AW146*AX$6/12,2)</f>
        <v/>
      </c>
      <c r="AY146" s="42">
        <f>MIN(AY$6,AW146+AX146)</f>
        <v/>
      </c>
      <c r="AZ146" s="42">
        <f>MAX(0,MIN(AW146+AX146-AY146,AV146))</f>
        <v/>
      </c>
      <c r="BA146" s="42">
        <f>ROUND(AW146+AX146-AY146-AZ146,2)</f>
        <v/>
      </c>
      <c r="BB146">
        <f>AV146-AZ146</f>
        <v/>
      </c>
      <c r="BC146" s="42">
        <f>BG145</f>
        <v/>
      </c>
      <c r="BD146" s="42">
        <f>ROUND(BC146*BD$6/12,2)</f>
        <v/>
      </c>
      <c r="BE146" s="42">
        <f>MIN(BE$6,BC146+BD146)</f>
        <v/>
      </c>
      <c r="BF146" s="42">
        <f>MAX(0,MIN(BC146+BD146-BE146,BB146))</f>
        <v/>
      </c>
      <c r="BG146" s="42">
        <f>ROUND(BC146+BD146-BE146-BF146,2)</f>
        <v/>
      </c>
      <c r="BH146">
        <f>BB146-BF146</f>
        <v/>
      </c>
      <c r="BI146" s="42">
        <f>BM145</f>
        <v/>
      </c>
      <c r="BJ146" s="42">
        <f>ROUND(BI146*BJ$6/12,2)</f>
        <v/>
      </c>
      <c r="BK146" s="42">
        <f>MIN(BK$6,BI146+BJ146)</f>
        <v/>
      </c>
      <c r="BL146" s="42">
        <f>MAX(0,MIN(BI146+BJ146-BK146,BH146))</f>
        <v/>
      </c>
      <c r="BM146" s="42">
        <f>ROUND(BI146+BJ146-BK146-BL146,2)</f>
        <v/>
      </c>
      <c r="BN146">
        <f>BH146-BL146</f>
        <v/>
      </c>
    </row>
    <row r="147">
      <c r="A147" s="43" t="n">
        <v>140</v>
      </c>
      <c r="B147" s="44">
        <f>EDATE('My Debts'!$C$6,A147-1)</f>
        <v/>
      </c>
      <c r="C147" s="45">
        <f>K147+Q147+W147+AC147+AI147+AO147+AU147+BA147+BG147+BM147</f>
        <v/>
      </c>
      <c r="D147" s="46">
        <f>I147+O147+U147+AA147+AG147+AM147+AS147+AY147+BE147+BK147+J147+P147+V147+AB147+AH147+AN147+AT147+AZ147+BF147+BL147</f>
        <v/>
      </c>
      <c r="E147" s="46">
        <f>H147+N147+T147+Z147+AF147+AL147+AR147+AX147+BD147+BJ147</f>
        <v/>
      </c>
      <c r="F147">
        <f>MAX(0,'My Debts'!$E$21-(I147+O147+U147+AA147+AG147+AM147+AS147+AY147+BE147+BK147))</f>
        <v/>
      </c>
      <c r="G147" s="42">
        <f>K146</f>
        <v/>
      </c>
      <c r="H147" s="42">
        <f>ROUND(G147*H$6/12,2)</f>
        <v/>
      </c>
      <c r="I147" s="42">
        <f>MIN(I$6,G147+H147)</f>
        <v/>
      </c>
      <c r="J147" s="42">
        <f>MAX(0,MIN(G147+H147-I147,$F147))</f>
        <v/>
      </c>
      <c r="K147" s="42">
        <f>ROUND(G147+H147-I147-J147,2)</f>
        <v/>
      </c>
      <c r="L147">
        <f>$F147-J147</f>
        <v/>
      </c>
      <c r="M147" s="42">
        <f>Q146</f>
        <v/>
      </c>
      <c r="N147" s="42">
        <f>ROUND(M147*N$6/12,2)</f>
        <v/>
      </c>
      <c r="O147" s="42">
        <f>MIN(O$6,M147+N147)</f>
        <v/>
      </c>
      <c r="P147" s="42">
        <f>MAX(0,MIN(M147+N147-O147,L147))</f>
        <v/>
      </c>
      <c r="Q147" s="42">
        <f>ROUND(M147+N147-O147-P147,2)</f>
        <v/>
      </c>
      <c r="R147">
        <f>L147-P147</f>
        <v/>
      </c>
      <c r="S147" s="42">
        <f>W146</f>
        <v/>
      </c>
      <c r="T147" s="42">
        <f>ROUND(S147*T$6/12,2)</f>
        <v/>
      </c>
      <c r="U147" s="42">
        <f>MIN(U$6,S147+T147)</f>
        <v/>
      </c>
      <c r="V147" s="42">
        <f>MAX(0,MIN(S147+T147-U147,R147))</f>
        <v/>
      </c>
      <c r="W147" s="42">
        <f>ROUND(S147+T147-U147-V147,2)</f>
        <v/>
      </c>
      <c r="X147">
        <f>R147-V147</f>
        <v/>
      </c>
      <c r="Y147" s="42">
        <f>AC146</f>
        <v/>
      </c>
      <c r="Z147" s="42">
        <f>ROUND(Y147*Z$6/12,2)</f>
        <v/>
      </c>
      <c r="AA147" s="42">
        <f>MIN(AA$6,Y147+Z147)</f>
        <v/>
      </c>
      <c r="AB147" s="42">
        <f>MAX(0,MIN(Y147+Z147-AA147,X147))</f>
        <v/>
      </c>
      <c r="AC147" s="42">
        <f>ROUND(Y147+Z147-AA147-AB147,2)</f>
        <v/>
      </c>
      <c r="AD147">
        <f>X147-AB147</f>
        <v/>
      </c>
      <c r="AE147" s="42">
        <f>AI146</f>
        <v/>
      </c>
      <c r="AF147" s="42">
        <f>ROUND(AE147*AF$6/12,2)</f>
        <v/>
      </c>
      <c r="AG147" s="42">
        <f>MIN(AG$6,AE147+AF147)</f>
        <v/>
      </c>
      <c r="AH147" s="42">
        <f>MAX(0,MIN(AE147+AF147-AG147,AD147))</f>
        <v/>
      </c>
      <c r="AI147" s="42">
        <f>ROUND(AE147+AF147-AG147-AH147,2)</f>
        <v/>
      </c>
      <c r="AJ147">
        <f>AD147-AH147</f>
        <v/>
      </c>
      <c r="AK147" s="42">
        <f>AO146</f>
        <v/>
      </c>
      <c r="AL147" s="42">
        <f>ROUND(AK147*AL$6/12,2)</f>
        <v/>
      </c>
      <c r="AM147" s="42">
        <f>MIN(AM$6,AK147+AL147)</f>
        <v/>
      </c>
      <c r="AN147" s="42">
        <f>MAX(0,MIN(AK147+AL147-AM147,AJ147))</f>
        <v/>
      </c>
      <c r="AO147" s="42">
        <f>ROUND(AK147+AL147-AM147-AN147,2)</f>
        <v/>
      </c>
      <c r="AP147">
        <f>AJ147-AN147</f>
        <v/>
      </c>
      <c r="AQ147" s="42">
        <f>AU146</f>
        <v/>
      </c>
      <c r="AR147" s="42">
        <f>ROUND(AQ147*AR$6/12,2)</f>
        <v/>
      </c>
      <c r="AS147" s="42">
        <f>MIN(AS$6,AQ147+AR147)</f>
        <v/>
      </c>
      <c r="AT147" s="42">
        <f>MAX(0,MIN(AQ147+AR147-AS147,AP147))</f>
        <v/>
      </c>
      <c r="AU147" s="42">
        <f>ROUND(AQ147+AR147-AS147-AT147,2)</f>
        <v/>
      </c>
      <c r="AV147">
        <f>AP147-AT147</f>
        <v/>
      </c>
      <c r="AW147" s="42">
        <f>BA146</f>
        <v/>
      </c>
      <c r="AX147" s="42">
        <f>ROUND(AW147*AX$6/12,2)</f>
        <v/>
      </c>
      <c r="AY147" s="42">
        <f>MIN(AY$6,AW147+AX147)</f>
        <v/>
      </c>
      <c r="AZ147" s="42">
        <f>MAX(0,MIN(AW147+AX147-AY147,AV147))</f>
        <v/>
      </c>
      <c r="BA147" s="42">
        <f>ROUND(AW147+AX147-AY147-AZ147,2)</f>
        <v/>
      </c>
      <c r="BB147">
        <f>AV147-AZ147</f>
        <v/>
      </c>
      <c r="BC147" s="42">
        <f>BG146</f>
        <v/>
      </c>
      <c r="BD147" s="42">
        <f>ROUND(BC147*BD$6/12,2)</f>
        <v/>
      </c>
      <c r="BE147" s="42">
        <f>MIN(BE$6,BC147+BD147)</f>
        <v/>
      </c>
      <c r="BF147" s="42">
        <f>MAX(0,MIN(BC147+BD147-BE147,BB147))</f>
        <v/>
      </c>
      <c r="BG147" s="42">
        <f>ROUND(BC147+BD147-BE147-BF147,2)</f>
        <v/>
      </c>
      <c r="BH147">
        <f>BB147-BF147</f>
        <v/>
      </c>
      <c r="BI147" s="42">
        <f>BM146</f>
        <v/>
      </c>
      <c r="BJ147" s="42">
        <f>ROUND(BI147*BJ$6/12,2)</f>
        <v/>
      </c>
      <c r="BK147" s="42">
        <f>MIN(BK$6,BI147+BJ147)</f>
        <v/>
      </c>
      <c r="BL147" s="42">
        <f>MAX(0,MIN(BI147+BJ147-BK147,BH147))</f>
        <v/>
      </c>
      <c r="BM147" s="42">
        <f>ROUND(BI147+BJ147-BK147-BL147,2)</f>
        <v/>
      </c>
      <c r="BN147">
        <f>BH147-BL147</f>
        <v/>
      </c>
    </row>
    <row r="148">
      <c r="A148" s="39" t="n">
        <v>141</v>
      </c>
      <c r="B148" s="40">
        <f>EDATE('My Debts'!$C$6,A148-1)</f>
        <v/>
      </c>
      <c r="C148" s="41">
        <f>K148+Q148+W148+AC148+AI148+AO148+AU148+BA148+BG148+BM148</f>
        <v/>
      </c>
      <c r="D148" s="42">
        <f>I148+O148+U148+AA148+AG148+AM148+AS148+AY148+BE148+BK148+J148+P148+V148+AB148+AH148+AN148+AT148+AZ148+BF148+BL148</f>
        <v/>
      </c>
      <c r="E148" s="42">
        <f>H148+N148+T148+Z148+AF148+AL148+AR148+AX148+BD148+BJ148</f>
        <v/>
      </c>
      <c r="F148">
        <f>MAX(0,'My Debts'!$E$21-(I148+O148+U148+AA148+AG148+AM148+AS148+AY148+BE148+BK148))</f>
        <v/>
      </c>
      <c r="G148" s="42">
        <f>K147</f>
        <v/>
      </c>
      <c r="H148" s="42">
        <f>ROUND(G148*H$6/12,2)</f>
        <v/>
      </c>
      <c r="I148" s="42">
        <f>MIN(I$6,G148+H148)</f>
        <v/>
      </c>
      <c r="J148" s="42">
        <f>MAX(0,MIN(G148+H148-I148,$F148))</f>
        <v/>
      </c>
      <c r="K148" s="42">
        <f>ROUND(G148+H148-I148-J148,2)</f>
        <v/>
      </c>
      <c r="L148">
        <f>$F148-J148</f>
        <v/>
      </c>
      <c r="M148" s="42">
        <f>Q147</f>
        <v/>
      </c>
      <c r="N148" s="42">
        <f>ROUND(M148*N$6/12,2)</f>
        <v/>
      </c>
      <c r="O148" s="42">
        <f>MIN(O$6,M148+N148)</f>
        <v/>
      </c>
      <c r="P148" s="42">
        <f>MAX(0,MIN(M148+N148-O148,L148))</f>
        <v/>
      </c>
      <c r="Q148" s="42">
        <f>ROUND(M148+N148-O148-P148,2)</f>
        <v/>
      </c>
      <c r="R148">
        <f>L148-P148</f>
        <v/>
      </c>
      <c r="S148" s="42">
        <f>W147</f>
        <v/>
      </c>
      <c r="T148" s="42">
        <f>ROUND(S148*T$6/12,2)</f>
        <v/>
      </c>
      <c r="U148" s="42">
        <f>MIN(U$6,S148+T148)</f>
        <v/>
      </c>
      <c r="V148" s="42">
        <f>MAX(0,MIN(S148+T148-U148,R148))</f>
        <v/>
      </c>
      <c r="W148" s="42">
        <f>ROUND(S148+T148-U148-V148,2)</f>
        <v/>
      </c>
      <c r="X148">
        <f>R148-V148</f>
        <v/>
      </c>
      <c r="Y148" s="42">
        <f>AC147</f>
        <v/>
      </c>
      <c r="Z148" s="42">
        <f>ROUND(Y148*Z$6/12,2)</f>
        <v/>
      </c>
      <c r="AA148" s="42">
        <f>MIN(AA$6,Y148+Z148)</f>
        <v/>
      </c>
      <c r="AB148" s="42">
        <f>MAX(0,MIN(Y148+Z148-AA148,X148))</f>
        <v/>
      </c>
      <c r="AC148" s="42">
        <f>ROUND(Y148+Z148-AA148-AB148,2)</f>
        <v/>
      </c>
      <c r="AD148">
        <f>X148-AB148</f>
        <v/>
      </c>
      <c r="AE148" s="42">
        <f>AI147</f>
        <v/>
      </c>
      <c r="AF148" s="42">
        <f>ROUND(AE148*AF$6/12,2)</f>
        <v/>
      </c>
      <c r="AG148" s="42">
        <f>MIN(AG$6,AE148+AF148)</f>
        <v/>
      </c>
      <c r="AH148" s="42">
        <f>MAX(0,MIN(AE148+AF148-AG148,AD148))</f>
        <v/>
      </c>
      <c r="AI148" s="42">
        <f>ROUND(AE148+AF148-AG148-AH148,2)</f>
        <v/>
      </c>
      <c r="AJ148">
        <f>AD148-AH148</f>
        <v/>
      </c>
      <c r="AK148" s="42">
        <f>AO147</f>
        <v/>
      </c>
      <c r="AL148" s="42">
        <f>ROUND(AK148*AL$6/12,2)</f>
        <v/>
      </c>
      <c r="AM148" s="42">
        <f>MIN(AM$6,AK148+AL148)</f>
        <v/>
      </c>
      <c r="AN148" s="42">
        <f>MAX(0,MIN(AK148+AL148-AM148,AJ148))</f>
        <v/>
      </c>
      <c r="AO148" s="42">
        <f>ROUND(AK148+AL148-AM148-AN148,2)</f>
        <v/>
      </c>
      <c r="AP148">
        <f>AJ148-AN148</f>
        <v/>
      </c>
      <c r="AQ148" s="42">
        <f>AU147</f>
        <v/>
      </c>
      <c r="AR148" s="42">
        <f>ROUND(AQ148*AR$6/12,2)</f>
        <v/>
      </c>
      <c r="AS148" s="42">
        <f>MIN(AS$6,AQ148+AR148)</f>
        <v/>
      </c>
      <c r="AT148" s="42">
        <f>MAX(0,MIN(AQ148+AR148-AS148,AP148))</f>
        <v/>
      </c>
      <c r="AU148" s="42">
        <f>ROUND(AQ148+AR148-AS148-AT148,2)</f>
        <v/>
      </c>
      <c r="AV148">
        <f>AP148-AT148</f>
        <v/>
      </c>
      <c r="AW148" s="42">
        <f>BA147</f>
        <v/>
      </c>
      <c r="AX148" s="42">
        <f>ROUND(AW148*AX$6/12,2)</f>
        <v/>
      </c>
      <c r="AY148" s="42">
        <f>MIN(AY$6,AW148+AX148)</f>
        <v/>
      </c>
      <c r="AZ148" s="42">
        <f>MAX(0,MIN(AW148+AX148-AY148,AV148))</f>
        <v/>
      </c>
      <c r="BA148" s="42">
        <f>ROUND(AW148+AX148-AY148-AZ148,2)</f>
        <v/>
      </c>
      <c r="BB148">
        <f>AV148-AZ148</f>
        <v/>
      </c>
      <c r="BC148" s="42">
        <f>BG147</f>
        <v/>
      </c>
      <c r="BD148" s="42">
        <f>ROUND(BC148*BD$6/12,2)</f>
        <v/>
      </c>
      <c r="BE148" s="42">
        <f>MIN(BE$6,BC148+BD148)</f>
        <v/>
      </c>
      <c r="BF148" s="42">
        <f>MAX(0,MIN(BC148+BD148-BE148,BB148))</f>
        <v/>
      </c>
      <c r="BG148" s="42">
        <f>ROUND(BC148+BD148-BE148-BF148,2)</f>
        <v/>
      </c>
      <c r="BH148">
        <f>BB148-BF148</f>
        <v/>
      </c>
      <c r="BI148" s="42">
        <f>BM147</f>
        <v/>
      </c>
      <c r="BJ148" s="42">
        <f>ROUND(BI148*BJ$6/12,2)</f>
        <v/>
      </c>
      <c r="BK148" s="42">
        <f>MIN(BK$6,BI148+BJ148)</f>
        <v/>
      </c>
      <c r="BL148" s="42">
        <f>MAX(0,MIN(BI148+BJ148-BK148,BH148))</f>
        <v/>
      </c>
      <c r="BM148" s="42">
        <f>ROUND(BI148+BJ148-BK148-BL148,2)</f>
        <v/>
      </c>
      <c r="BN148">
        <f>BH148-BL148</f>
        <v/>
      </c>
    </row>
    <row r="149">
      <c r="A149" s="43" t="n">
        <v>142</v>
      </c>
      <c r="B149" s="44">
        <f>EDATE('My Debts'!$C$6,A149-1)</f>
        <v/>
      </c>
      <c r="C149" s="45">
        <f>K149+Q149+W149+AC149+AI149+AO149+AU149+BA149+BG149+BM149</f>
        <v/>
      </c>
      <c r="D149" s="46">
        <f>I149+O149+U149+AA149+AG149+AM149+AS149+AY149+BE149+BK149+J149+P149+V149+AB149+AH149+AN149+AT149+AZ149+BF149+BL149</f>
        <v/>
      </c>
      <c r="E149" s="46">
        <f>H149+N149+T149+Z149+AF149+AL149+AR149+AX149+BD149+BJ149</f>
        <v/>
      </c>
      <c r="F149">
        <f>MAX(0,'My Debts'!$E$21-(I149+O149+U149+AA149+AG149+AM149+AS149+AY149+BE149+BK149))</f>
        <v/>
      </c>
      <c r="G149" s="42">
        <f>K148</f>
        <v/>
      </c>
      <c r="H149" s="42">
        <f>ROUND(G149*H$6/12,2)</f>
        <v/>
      </c>
      <c r="I149" s="42">
        <f>MIN(I$6,G149+H149)</f>
        <v/>
      </c>
      <c r="J149" s="42">
        <f>MAX(0,MIN(G149+H149-I149,$F149))</f>
        <v/>
      </c>
      <c r="K149" s="42">
        <f>ROUND(G149+H149-I149-J149,2)</f>
        <v/>
      </c>
      <c r="L149">
        <f>$F149-J149</f>
        <v/>
      </c>
      <c r="M149" s="42">
        <f>Q148</f>
        <v/>
      </c>
      <c r="N149" s="42">
        <f>ROUND(M149*N$6/12,2)</f>
        <v/>
      </c>
      <c r="O149" s="42">
        <f>MIN(O$6,M149+N149)</f>
        <v/>
      </c>
      <c r="P149" s="42">
        <f>MAX(0,MIN(M149+N149-O149,L149))</f>
        <v/>
      </c>
      <c r="Q149" s="42">
        <f>ROUND(M149+N149-O149-P149,2)</f>
        <v/>
      </c>
      <c r="R149">
        <f>L149-P149</f>
        <v/>
      </c>
      <c r="S149" s="42">
        <f>W148</f>
        <v/>
      </c>
      <c r="T149" s="42">
        <f>ROUND(S149*T$6/12,2)</f>
        <v/>
      </c>
      <c r="U149" s="42">
        <f>MIN(U$6,S149+T149)</f>
        <v/>
      </c>
      <c r="V149" s="42">
        <f>MAX(0,MIN(S149+T149-U149,R149))</f>
        <v/>
      </c>
      <c r="W149" s="42">
        <f>ROUND(S149+T149-U149-V149,2)</f>
        <v/>
      </c>
      <c r="X149">
        <f>R149-V149</f>
        <v/>
      </c>
      <c r="Y149" s="42">
        <f>AC148</f>
        <v/>
      </c>
      <c r="Z149" s="42">
        <f>ROUND(Y149*Z$6/12,2)</f>
        <v/>
      </c>
      <c r="AA149" s="42">
        <f>MIN(AA$6,Y149+Z149)</f>
        <v/>
      </c>
      <c r="AB149" s="42">
        <f>MAX(0,MIN(Y149+Z149-AA149,X149))</f>
        <v/>
      </c>
      <c r="AC149" s="42">
        <f>ROUND(Y149+Z149-AA149-AB149,2)</f>
        <v/>
      </c>
      <c r="AD149">
        <f>X149-AB149</f>
        <v/>
      </c>
      <c r="AE149" s="42">
        <f>AI148</f>
        <v/>
      </c>
      <c r="AF149" s="42">
        <f>ROUND(AE149*AF$6/12,2)</f>
        <v/>
      </c>
      <c r="AG149" s="42">
        <f>MIN(AG$6,AE149+AF149)</f>
        <v/>
      </c>
      <c r="AH149" s="42">
        <f>MAX(0,MIN(AE149+AF149-AG149,AD149))</f>
        <v/>
      </c>
      <c r="AI149" s="42">
        <f>ROUND(AE149+AF149-AG149-AH149,2)</f>
        <v/>
      </c>
      <c r="AJ149">
        <f>AD149-AH149</f>
        <v/>
      </c>
      <c r="AK149" s="42">
        <f>AO148</f>
        <v/>
      </c>
      <c r="AL149" s="42">
        <f>ROUND(AK149*AL$6/12,2)</f>
        <v/>
      </c>
      <c r="AM149" s="42">
        <f>MIN(AM$6,AK149+AL149)</f>
        <v/>
      </c>
      <c r="AN149" s="42">
        <f>MAX(0,MIN(AK149+AL149-AM149,AJ149))</f>
        <v/>
      </c>
      <c r="AO149" s="42">
        <f>ROUND(AK149+AL149-AM149-AN149,2)</f>
        <v/>
      </c>
      <c r="AP149">
        <f>AJ149-AN149</f>
        <v/>
      </c>
      <c r="AQ149" s="42">
        <f>AU148</f>
        <v/>
      </c>
      <c r="AR149" s="42">
        <f>ROUND(AQ149*AR$6/12,2)</f>
        <v/>
      </c>
      <c r="AS149" s="42">
        <f>MIN(AS$6,AQ149+AR149)</f>
        <v/>
      </c>
      <c r="AT149" s="42">
        <f>MAX(0,MIN(AQ149+AR149-AS149,AP149))</f>
        <v/>
      </c>
      <c r="AU149" s="42">
        <f>ROUND(AQ149+AR149-AS149-AT149,2)</f>
        <v/>
      </c>
      <c r="AV149">
        <f>AP149-AT149</f>
        <v/>
      </c>
      <c r="AW149" s="42">
        <f>BA148</f>
        <v/>
      </c>
      <c r="AX149" s="42">
        <f>ROUND(AW149*AX$6/12,2)</f>
        <v/>
      </c>
      <c r="AY149" s="42">
        <f>MIN(AY$6,AW149+AX149)</f>
        <v/>
      </c>
      <c r="AZ149" s="42">
        <f>MAX(0,MIN(AW149+AX149-AY149,AV149))</f>
        <v/>
      </c>
      <c r="BA149" s="42">
        <f>ROUND(AW149+AX149-AY149-AZ149,2)</f>
        <v/>
      </c>
      <c r="BB149">
        <f>AV149-AZ149</f>
        <v/>
      </c>
      <c r="BC149" s="42">
        <f>BG148</f>
        <v/>
      </c>
      <c r="BD149" s="42">
        <f>ROUND(BC149*BD$6/12,2)</f>
        <v/>
      </c>
      <c r="BE149" s="42">
        <f>MIN(BE$6,BC149+BD149)</f>
        <v/>
      </c>
      <c r="BF149" s="42">
        <f>MAX(0,MIN(BC149+BD149-BE149,BB149))</f>
        <v/>
      </c>
      <c r="BG149" s="42">
        <f>ROUND(BC149+BD149-BE149-BF149,2)</f>
        <v/>
      </c>
      <c r="BH149">
        <f>BB149-BF149</f>
        <v/>
      </c>
      <c r="BI149" s="42">
        <f>BM148</f>
        <v/>
      </c>
      <c r="BJ149" s="42">
        <f>ROUND(BI149*BJ$6/12,2)</f>
        <v/>
      </c>
      <c r="BK149" s="42">
        <f>MIN(BK$6,BI149+BJ149)</f>
        <v/>
      </c>
      <c r="BL149" s="42">
        <f>MAX(0,MIN(BI149+BJ149-BK149,BH149))</f>
        <v/>
      </c>
      <c r="BM149" s="42">
        <f>ROUND(BI149+BJ149-BK149-BL149,2)</f>
        <v/>
      </c>
      <c r="BN149">
        <f>BH149-BL149</f>
        <v/>
      </c>
    </row>
    <row r="150">
      <c r="A150" s="39" t="n">
        <v>143</v>
      </c>
      <c r="B150" s="40">
        <f>EDATE('My Debts'!$C$6,A150-1)</f>
        <v/>
      </c>
      <c r="C150" s="41">
        <f>K150+Q150+W150+AC150+AI150+AO150+AU150+BA150+BG150+BM150</f>
        <v/>
      </c>
      <c r="D150" s="42">
        <f>I150+O150+U150+AA150+AG150+AM150+AS150+AY150+BE150+BK150+J150+P150+V150+AB150+AH150+AN150+AT150+AZ150+BF150+BL150</f>
        <v/>
      </c>
      <c r="E150" s="42">
        <f>H150+N150+T150+Z150+AF150+AL150+AR150+AX150+BD150+BJ150</f>
        <v/>
      </c>
      <c r="F150">
        <f>MAX(0,'My Debts'!$E$21-(I150+O150+U150+AA150+AG150+AM150+AS150+AY150+BE150+BK150))</f>
        <v/>
      </c>
      <c r="G150" s="42">
        <f>K149</f>
        <v/>
      </c>
      <c r="H150" s="42">
        <f>ROUND(G150*H$6/12,2)</f>
        <v/>
      </c>
      <c r="I150" s="42">
        <f>MIN(I$6,G150+H150)</f>
        <v/>
      </c>
      <c r="J150" s="42">
        <f>MAX(0,MIN(G150+H150-I150,$F150))</f>
        <v/>
      </c>
      <c r="K150" s="42">
        <f>ROUND(G150+H150-I150-J150,2)</f>
        <v/>
      </c>
      <c r="L150">
        <f>$F150-J150</f>
        <v/>
      </c>
      <c r="M150" s="42">
        <f>Q149</f>
        <v/>
      </c>
      <c r="N150" s="42">
        <f>ROUND(M150*N$6/12,2)</f>
        <v/>
      </c>
      <c r="O150" s="42">
        <f>MIN(O$6,M150+N150)</f>
        <v/>
      </c>
      <c r="P150" s="42">
        <f>MAX(0,MIN(M150+N150-O150,L150))</f>
        <v/>
      </c>
      <c r="Q150" s="42">
        <f>ROUND(M150+N150-O150-P150,2)</f>
        <v/>
      </c>
      <c r="R150">
        <f>L150-P150</f>
        <v/>
      </c>
      <c r="S150" s="42">
        <f>W149</f>
        <v/>
      </c>
      <c r="T150" s="42">
        <f>ROUND(S150*T$6/12,2)</f>
        <v/>
      </c>
      <c r="U150" s="42">
        <f>MIN(U$6,S150+T150)</f>
        <v/>
      </c>
      <c r="V150" s="42">
        <f>MAX(0,MIN(S150+T150-U150,R150))</f>
        <v/>
      </c>
      <c r="W150" s="42">
        <f>ROUND(S150+T150-U150-V150,2)</f>
        <v/>
      </c>
      <c r="X150">
        <f>R150-V150</f>
        <v/>
      </c>
      <c r="Y150" s="42">
        <f>AC149</f>
        <v/>
      </c>
      <c r="Z150" s="42">
        <f>ROUND(Y150*Z$6/12,2)</f>
        <v/>
      </c>
      <c r="AA150" s="42">
        <f>MIN(AA$6,Y150+Z150)</f>
        <v/>
      </c>
      <c r="AB150" s="42">
        <f>MAX(0,MIN(Y150+Z150-AA150,X150))</f>
        <v/>
      </c>
      <c r="AC150" s="42">
        <f>ROUND(Y150+Z150-AA150-AB150,2)</f>
        <v/>
      </c>
      <c r="AD150">
        <f>X150-AB150</f>
        <v/>
      </c>
      <c r="AE150" s="42">
        <f>AI149</f>
        <v/>
      </c>
      <c r="AF150" s="42">
        <f>ROUND(AE150*AF$6/12,2)</f>
        <v/>
      </c>
      <c r="AG150" s="42">
        <f>MIN(AG$6,AE150+AF150)</f>
        <v/>
      </c>
      <c r="AH150" s="42">
        <f>MAX(0,MIN(AE150+AF150-AG150,AD150))</f>
        <v/>
      </c>
      <c r="AI150" s="42">
        <f>ROUND(AE150+AF150-AG150-AH150,2)</f>
        <v/>
      </c>
      <c r="AJ150">
        <f>AD150-AH150</f>
        <v/>
      </c>
      <c r="AK150" s="42">
        <f>AO149</f>
        <v/>
      </c>
      <c r="AL150" s="42">
        <f>ROUND(AK150*AL$6/12,2)</f>
        <v/>
      </c>
      <c r="AM150" s="42">
        <f>MIN(AM$6,AK150+AL150)</f>
        <v/>
      </c>
      <c r="AN150" s="42">
        <f>MAX(0,MIN(AK150+AL150-AM150,AJ150))</f>
        <v/>
      </c>
      <c r="AO150" s="42">
        <f>ROUND(AK150+AL150-AM150-AN150,2)</f>
        <v/>
      </c>
      <c r="AP150">
        <f>AJ150-AN150</f>
        <v/>
      </c>
      <c r="AQ150" s="42">
        <f>AU149</f>
        <v/>
      </c>
      <c r="AR150" s="42">
        <f>ROUND(AQ150*AR$6/12,2)</f>
        <v/>
      </c>
      <c r="AS150" s="42">
        <f>MIN(AS$6,AQ150+AR150)</f>
        <v/>
      </c>
      <c r="AT150" s="42">
        <f>MAX(0,MIN(AQ150+AR150-AS150,AP150))</f>
        <v/>
      </c>
      <c r="AU150" s="42">
        <f>ROUND(AQ150+AR150-AS150-AT150,2)</f>
        <v/>
      </c>
      <c r="AV150">
        <f>AP150-AT150</f>
        <v/>
      </c>
      <c r="AW150" s="42">
        <f>BA149</f>
        <v/>
      </c>
      <c r="AX150" s="42">
        <f>ROUND(AW150*AX$6/12,2)</f>
        <v/>
      </c>
      <c r="AY150" s="42">
        <f>MIN(AY$6,AW150+AX150)</f>
        <v/>
      </c>
      <c r="AZ150" s="42">
        <f>MAX(0,MIN(AW150+AX150-AY150,AV150))</f>
        <v/>
      </c>
      <c r="BA150" s="42">
        <f>ROUND(AW150+AX150-AY150-AZ150,2)</f>
        <v/>
      </c>
      <c r="BB150">
        <f>AV150-AZ150</f>
        <v/>
      </c>
      <c r="BC150" s="42">
        <f>BG149</f>
        <v/>
      </c>
      <c r="BD150" s="42">
        <f>ROUND(BC150*BD$6/12,2)</f>
        <v/>
      </c>
      <c r="BE150" s="42">
        <f>MIN(BE$6,BC150+BD150)</f>
        <v/>
      </c>
      <c r="BF150" s="42">
        <f>MAX(0,MIN(BC150+BD150-BE150,BB150))</f>
        <v/>
      </c>
      <c r="BG150" s="42">
        <f>ROUND(BC150+BD150-BE150-BF150,2)</f>
        <v/>
      </c>
      <c r="BH150">
        <f>BB150-BF150</f>
        <v/>
      </c>
      <c r="BI150" s="42">
        <f>BM149</f>
        <v/>
      </c>
      <c r="BJ150" s="42">
        <f>ROUND(BI150*BJ$6/12,2)</f>
        <v/>
      </c>
      <c r="BK150" s="42">
        <f>MIN(BK$6,BI150+BJ150)</f>
        <v/>
      </c>
      <c r="BL150" s="42">
        <f>MAX(0,MIN(BI150+BJ150-BK150,BH150))</f>
        <v/>
      </c>
      <c r="BM150" s="42">
        <f>ROUND(BI150+BJ150-BK150-BL150,2)</f>
        <v/>
      </c>
      <c r="BN150">
        <f>BH150-BL150</f>
        <v/>
      </c>
    </row>
    <row r="151">
      <c r="A151" s="43" t="n">
        <v>144</v>
      </c>
      <c r="B151" s="44">
        <f>EDATE('My Debts'!$C$6,A151-1)</f>
        <v/>
      </c>
      <c r="C151" s="45">
        <f>K151+Q151+W151+AC151+AI151+AO151+AU151+BA151+BG151+BM151</f>
        <v/>
      </c>
      <c r="D151" s="46">
        <f>I151+O151+U151+AA151+AG151+AM151+AS151+AY151+BE151+BK151+J151+P151+V151+AB151+AH151+AN151+AT151+AZ151+BF151+BL151</f>
        <v/>
      </c>
      <c r="E151" s="46">
        <f>H151+N151+T151+Z151+AF151+AL151+AR151+AX151+BD151+BJ151</f>
        <v/>
      </c>
      <c r="F151">
        <f>MAX(0,'My Debts'!$E$21-(I151+O151+U151+AA151+AG151+AM151+AS151+AY151+BE151+BK151))</f>
        <v/>
      </c>
      <c r="G151" s="42">
        <f>K150</f>
        <v/>
      </c>
      <c r="H151" s="42">
        <f>ROUND(G151*H$6/12,2)</f>
        <v/>
      </c>
      <c r="I151" s="42">
        <f>MIN(I$6,G151+H151)</f>
        <v/>
      </c>
      <c r="J151" s="42">
        <f>MAX(0,MIN(G151+H151-I151,$F151))</f>
        <v/>
      </c>
      <c r="K151" s="42">
        <f>ROUND(G151+H151-I151-J151,2)</f>
        <v/>
      </c>
      <c r="L151">
        <f>$F151-J151</f>
        <v/>
      </c>
      <c r="M151" s="42">
        <f>Q150</f>
        <v/>
      </c>
      <c r="N151" s="42">
        <f>ROUND(M151*N$6/12,2)</f>
        <v/>
      </c>
      <c r="O151" s="42">
        <f>MIN(O$6,M151+N151)</f>
        <v/>
      </c>
      <c r="P151" s="42">
        <f>MAX(0,MIN(M151+N151-O151,L151))</f>
        <v/>
      </c>
      <c r="Q151" s="42">
        <f>ROUND(M151+N151-O151-P151,2)</f>
        <v/>
      </c>
      <c r="R151">
        <f>L151-P151</f>
        <v/>
      </c>
      <c r="S151" s="42">
        <f>W150</f>
        <v/>
      </c>
      <c r="T151" s="42">
        <f>ROUND(S151*T$6/12,2)</f>
        <v/>
      </c>
      <c r="U151" s="42">
        <f>MIN(U$6,S151+T151)</f>
        <v/>
      </c>
      <c r="V151" s="42">
        <f>MAX(0,MIN(S151+T151-U151,R151))</f>
        <v/>
      </c>
      <c r="W151" s="42">
        <f>ROUND(S151+T151-U151-V151,2)</f>
        <v/>
      </c>
      <c r="X151">
        <f>R151-V151</f>
        <v/>
      </c>
      <c r="Y151" s="42">
        <f>AC150</f>
        <v/>
      </c>
      <c r="Z151" s="42">
        <f>ROUND(Y151*Z$6/12,2)</f>
        <v/>
      </c>
      <c r="AA151" s="42">
        <f>MIN(AA$6,Y151+Z151)</f>
        <v/>
      </c>
      <c r="AB151" s="42">
        <f>MAX(0,MIN(Y151+Z151-AA151,X151))</f>
        <v/>
      </c>
      <c r="AC151" s="42">
        <f>ROUND(Y151+Z151-AA151-AB151,2)</f>
        <v/>
      </c>
      <c r="AD151">
        <f>X151-AB151</f>
        <v/>
      </c>
      <c r="AE151" s="42">
        <f>AI150</f>
        <v/>
      </c>
      <c r="AF151" s="42">
        <f>ROUND(AE151*AF$6/12,2)</f>
        <v/>
      </c>
      <c r="AG151" s="42">
        <f>MIN(AG$6,AE151+AF151)</f>
        <v/>
      </c>
      <c r="AH151" s="42">
        <f>MAX(0,MIN(AE151+AF151-AG151,AD151))</f>
        <v/>
      </c>
      <c r="AI151" s="42">
        <f>ROUND(AE151+AF151-AG151-AH151,2)</f>
        <v/>
      </c>
      <c r="AJ151">
        <f>AD151-AH151</f>
        <v/>
      </c>
      <c r="AK151" s="42">
        <f>AO150</f>
        <v/>
      </c>
      <c r="AL151" s="42">
        <f>ROUND(AK151*AL$6/12,2)</f>
        <v/>
      </c>
      <c r="AM151" s="42">
        <f>MIN(AM$6,AK151+AL151)</f>
        <v/>
      </c>
      <c r="AN151" s="42">
        <f>MAX(0,MIN(AK151+AL151-AM151,AJ151))</f>
        <v/>
      </c>
      <c r="AO151" s="42">
        <f>ROUND(AK151+AL151-AM151-AN151,2)</f>
        <v/>
      </c>
      <c r="AP151">
        <f>AJ151-AN151</f>
        <v/>
      </c>
      <c r="AQ151" s="42">
        <f>AU150</f>
        <v/>
      </c>
      <c r="AR151" s="42">
        <f>ROUND(AQ151*AR$6/12,2)</f>
        <v/>
      </c>
      <c r="AS151" s="42">
        <f>MIN(AS$6,AQ151+AR151)</f>
        <v/>
      </c>
      <c r="AT151" s="42">
        <f>MAX(0,MIN(AQ151+AR151-AS151,AP151))</f>
        <v/>
      </c>
      <c r="AU151" s="42">
        <f>ROUND(AQ151+AR151-AS151-AT151,2)</f>
        <v/>
      </c>
      <c r="AV151">
        <f>AP151-AT151</f>
        <v/>
      </c>
      <c r="AW151" s="42">
        <f>BA150</f>
        <v/>
      </c>
      <c r="AX151" s="42">
        <f>ROUND(AW151*AX$6/12,2)</f>
        <v/>
      </c>
      <c r="AY151" s="42">
        <f>MIN(AY$6,AW151+AX151)</f>
        <v/>
      </c>
      <c r="AZ151" s="42">
        <f>MAX(0,MIN(AW151+AX151-AY151,AV151))</f>
        <v/>
      </c>
      <c r="BA151" s="42">
        <f>ROUND(AW151+AX151-AY151-AZ151,2)</f>
        <v/>
      </c>
      <c r="BB151">
        <f>AV151-AZ151</f>
        <v/>
      </c>
      <c r="BC151" s="42">
        <f>BG150</f>
        <v/>
      </c>
      <c r="BD151" s="42">
        <f>ROUND(BC151*BD$6/12,2)</f>
        <v/>
      </c>
      <c r="BE151" s="42">
        <f>MIN(BE$6,BC151+BD151)</f>
        <v/>
      </c>
      <c r="BF151" s="42">
        <f>MAX(0,MIN(BC151+BD151-BE151,BB151))</f>
        <v/>
      </c>
      <c r="BG151" s="42">
        <f>ROUND(BC151+BD151-BE151-BF151,2)</f>
        <v/>
      </c>
      <c r="BH151">
        <f>BB151-BF151</f>
        <v/>
      </c>
      <c r="BI151" s="42">
        <f>BM150</f>
        <v/>
      </c>
      <c r="BJ151" s="42">
        <f>ROUND(BI151*BJ$6/12,2)</f>
        <v/>
      </c>
      <c r="BK151" s="42">
        <f>MIN(BK$6,BI151+BJ151)</f>
        <v/>
      </c>
      <c r="BL151" s="42">
        <f>MAX(0,MIN(BI151+BJ151-BK151,BH151))</f>
        <v/>
      </c>
      <c r="BM151" s="42">
        <f>ROUND(BI151+BJ151-BK151-BL151,2)</f>
        <v/>
      </c>
      <c r="BN151">
        <f>BH151-BL151</f>
        <v/>
      </c>
    </row>
    <row r="152">
      <c r="A152" s="39" t="n">
        <v>145</v>
      </c>
      <c r="B152" s="40">
        <f>EDATE('My Debts'!$C$6,A152-1)</f>
        <v/>
      </c>
      <c r="C152" s="41">
        <f>K152+Q152+W152+AC152+AI152+AO152+AU152+BA152+BG152+BM152</f>
        <v/>
      </c>
      <c r="D152" s="42">
        <f>I152+O152+U152+AA152+AG152+AM152+AS152+AY152+BE152+BK152+J152+P152+V152+AB152+AH152+AN152+AT152+AZ152+BF152+BL152</f>
        <v/>
      </c>
      <c r="E152" s="42">
        <f>H152+N152+T152+Z152+AF152+AL152+AR152+AX152+BD152+BJ152</f>
        <v/>
      </c>
      <c r="F152">
        <f>MAX(0,'My Debts'!$E$21-(I152+O152+U152+AA152+AG152+AM152+AS152+AY152+BE152+BK152))</f>
        <v/>
      </c>
      <c r="G152" s="42">
        <f>K151</f>
        <v/>
      </c>
      <c r="H152" s="42">
        <f>ROUND(G152*H$6/12,2)</f>
        <v/>
      </c>
      <c r="I152" s="42">
        <f>MIN(I$6,G152+H152)</f>
        <v/>
      </c>
      <c r="J152" s="42">
        <f>MAX(0,MIN(G152+H152-I152,$F152))</f>
        <v/>
      </c>
      <c r="K152" s="42">
        <f>ROUND(G152+H152-I152-J152,2)</f>
        <v/>
      </c>
      <c r="L152">
        <f>$F152-J152</f>
        <v/>
      </c>
      <c r="M152" s="42">
        <f>Q151</f>
        <v/>
      </c>
      <c r="N152" s="42">
        <f>ROUND(M152*N$6/12,2)</f>
        <v/>
      </c>
      <c r="O152" s="42">
        <f>MIN(O$6,M152+N152)</f>
        <v/>
      </c>
      <c r="P152" s="42">
        <f>MAX(0,MIN(M152+N152-O152,L152))</f>
        <v/>
      </c>
      <c r="Q152" s="42">
        <f>ROUND(M152+N152-O152-P152,2)</f>
        <v/>
      </c>
      <c r="R152">
        <f>L152-P152</f>
        <v/>
      </c>
      <c r="S152" s="42">
        <f>W151</f>
        <v/>
      </c>
      <c r="T152" s="42">
        <f>ROUND(S152*T$6/12,2)</f>
        <v/>
      </c>
      <c r="U152" s="42">
        <f>MIN(U$6,S152+T152)</f>
        <v/>
      </c>
      <c r="V152" s="42">
        <f>MAX(0,MIN(S152+T152-U152,R152))</f>
        <v/>
      </c>
      <c r="W152" s="42">
        <f>ROUND(S152+T152-U152-V152,2)</f>
        <v/>
      </c>
      <c r="X152">
        <f>R152-V152</f>
        <v/>
      </c>
      <c r="Y152" s="42">
        <f>AC151</f>
        <v/>
      </c>
      <c r="Z152" s="42">
        <f>ROUND(Y152*Z$6/12,2)</f>
        <v/>
      </c>
      <c r="AA152" s="42">
        <f>MIN(AA$6,Y152+Z152)</f>
        <v/>
      </c>
      <c r="AB152" s="42">
        <f>MAX(0,MIN(Y152+Z152-AA152,X152))</f>
        <v/>
      </c>
      <c r="AC152" s="42">
        <f>ROUND(Y152+Z152-AA152-AB152,2)</f>
        <v/>
      </c>
      <c r="AD152">
        <f>X152-AB152</f>
        <v/>
      </c>
      <c r="AE152" s="42">
        <f>AI151</f>
        <v/>
      </c>
      <c r="AF152" s="42">
        <f>ROUND(AE152*AF$6/12,2)</f>
        <v/>
      </c>
      <c r="AG152" s="42">
        <f>MIN(AG$6,AE152+AF152)</f>
        <v/>
      </c>
      <c r="AH152" s="42">
        <f>MAX(0,MIN(AE152+AF152-AG152,AD152))</f>
        <v/>
      </c>
      <c r="AI152" s="42">
        <f>ROUND(AE152+AF152-AG152-AH152,2)</f>
        <v/>
      </c>
      <c r="AJ152">
        <f>AD152-AH152</f>
        <v/>
      </c>
      <c r="AK152" s="42">
        <f>AO151</f>
        <v/>
      </c>
      <c r="AL152" s="42">
        <f>ROUND(AK152*AL$6/12,2)</f>
        <v/>
      </c>
      <c r="AM152" s="42">
        <f>MIN(AM$6,AK152+AL152)</f>
        <v/>
      </c>
      <c r="AN152" s="42">
        <f>MAX(0,MIN(AK152+AL152-AM152,AJ152))</f>
        <v/>
      </c>
      <c r="AO152" s="42">
        <f>ROUND(AK152+AL152-AM152-AN152,2)</f>
        <v/>
      </c>
      <c r="AP152">
        <f>AJ152-AN152</f>
        <v/>
      </c>
      <c r="AQ152" s="42">
        <f>AU151</f>
        <v/>
      </c>
      <c r="AR152" s="42">
        <f>ROUND(AQ152*AR$6/12,2)</f>
        <v/>
      </c>
      <c r="AS152" s="42">
        <f>MIN(AS$6,AQ152+AR152)</f>
        <v/>
      </c>
      <c r="AT152" s="42">
        <f>MAX(0,MIN(AQ152+AR152-AS152,AP152))</f>
        <v/>
      </c>
      <c r="AU152" s="42">
        <f>ROUND(AQ152+AR152-AS152-AT152,2)</f>
        <v/>
      </c>
      <c r="AV152">
        <f>AP152-AT152</f>
        <v/>
      </c>
      <c r="AW152" s="42">
        <f>BA151</f>
        <v/>
      </c>
      <c r="AX152" s="42">
        <f>ROUND(AW152*AX$6/12,2)</f>
        <v/>
      </c>
      <c r="AY152" s="42">
        <f>MIN(AY$6,AW152+AX152)</f>
        <v/>
      </c>
      <c r="AZ152" s="42">
        <f>MAX(0,MIN(AW152+AX152-AY152,AV152))</f>
        <v/>
      </c>
      <c r="BA152" s="42">
        <f>ROUND(AW152+AX152-AY152-AZ152,2)</f>
        <v/>
      </c>
      <c r="BB152">
        <f>AV152-AZ152</f>
        <v/>
      </c>
      <c r="BC152" s="42">
        <f>BG151</f>
        <v/>
      </c>
      <c r="BD152" s="42">
        <f>ROUND(BC152*BD$6/12,2)</f>
        <v/>
      </c>
      <c r="BE152" s="42">
        <f>MIN(BE$6,BC152+BD152)</f>
        <v/>
      </c>
      <c r="BF152" s="42">
        <f>MAX(0,MIN(BC152+BD152-BE152,BB152))</f>
        <v/>
      </c>
      <c r="BG152" s="42">
        <f>ROUND(BC152+BD152-BE152-BF152,2)</f>
        <v/>
      </c>
      <c r="BH152">
        <f>BB152-BF152</f>
        <v/>
      </c>
      <c r="BI152" s="42">
        <f>BM151</f>
        <v/>
      </c>
      <c r="BJ152" s="42">
        <f>ROUND(BI152*BJ$6/12,2)</f>
        <v/>
      </c>
      <c r="BK152" s="42">
        <f>MIN(BK$6,BI152+BJ152)</f>
        <v/>
      </c>
      <c r="BL152" s="42">
        <f>MAX(0,MIN(BI152+BJ152-BK152,BH152))</f>
        <v/>
      </c>
      <c r="BM152" s="42">
        <f>ROUND(BI152+BJ152-BK152-BL152,2)</f>
        <v/>
      </c>
      <c r="BN152">
        <f>BH152-BL152</f>
        <v/>
      </c>
    </row>
    <row r="153">
      <c r="A153" s="43" t="n">
        <v>146</v>
      </c>
      <c r="B153" s="44">
        <f>EDATE('My Debts'!$C$6,A153-1)</f>
        <v/>
      </c>
      <c r="C153" s="45">
        <f>K153+Q153+W153+AC153+AI153+AO153+AU153+BA153+BG153+BM153</f>
        <v/>
      </c>
      <c r="D153" s="46">
        <f>I153+O153+U153+AA153+AG153+AM153+AS153+AY153+BE153+BK153+J153+P153+V153+AB153+AH153+AN153+AT153+AZ153+BF153+BL153</f>
        <v/>
      </c>
      <c r="E153" s="46">
        <f>H153+N153+T153+Z153+AF153+AL153+AR153+AX153+BD153+BJ153</f>
        <v/>
      </c>
      <c r="F153">
        <f>MAX(0,'My Debts'!$E$21-(I153+O153+U153+AA153+AG153+AM153+AS153+AY153+BE153+BK153))</f>
        <v/>
      </c>
      <c r="G153" s="42">
        <f>K152</f>
        <v/>
      </c>
      <c r="H153" s="42">
        <f>ROUND(G153*H$6/12,2)</f>
        <v/>
      </c>
      <c r="I153" s="42">
        <f>MIN(I$6,G153+H153)</f>
        <v/>
      </c>
      <c r="J153" s="42">
        <f>MAX(0,MIN(G153+H153-I153,$F153))</f>
        <v/>
      </c>
      <c r="K153" s="42">
        <f>ROUND(G153+H153-I153-J153,2)</f>
        <v/>
      </c>
      <c r="L153">
        <f>$F153-J153</f>
        <v/>
      </c>
      <c r="M153" s="42">
        <f>Q152</f>
        <v/>
      </c>
      <c r="N153" s="42">
        <f>ROUND(M153*N$6/12,2)</f>
        <v/>
      </c>
      <c r="O153" s="42">
        <f>MIN(O$6,M153+N153)</f>
        <v/>
      </c>
      <c r="P153" s="42">
        <f>MAX(0,MIN(M153+N153-O153,L153))</f>
        <v/>
      </c>
      <c r="Q153" s="42">
        <f>ROUND(M153+N153-O153-P153,2)</f>
        <v/>
      </c>
      <c r="R153">
        <f>L153-P153</f>
        <v/>
      </c>
      <c r="S153" s="42">
        <f>W152</f>
        <v/>
      </c>
      <c r="T153" s="42">
        <f>ROUND(S153*T$6/12,2)</f>
        <v/>
      </c>
      <c r="U153" s="42">
        <f>MIN(U$6,S153+T153)</f>
        <v/>
      </c>
      <c r="V153" s="42">
        <f>MAX(0,MIN(S153+T153-U153,R153))</f>
        <v/>
      </c>
      <c r="W153" s="42">
        <f>ROUND(S153+T153-U153-V153,2)</f>
        <v/>
      </c>
      <c r="X153">
        <f>R153-V153</f>
        <v/>
      </c>
      <c r="Y153" s="42">
        <f>AC152</f>
        <v/>
      </c>
      <c r="Z153" s="42">
        <f>ROUND(Y153*Z$6/12,2)</f>
        <v/>
      </c>
      <c r="AA153" s="42">
        <f>MIN(AA$6,Y153+Z153)</f>
        <v/>
      </c>
      <c r="AB153" s="42">
        <f>MAX(0,MIN(Y153+Z153-AA153,X153))</f>
        <v/>
      </c>
      <c r="AC153" s="42">
        <f>ROUND(Y153+Z153-AA153-AB153,2)</f>
        <v/>
      </c>
      <c r="AD153">
        <f>X153-AB153</f>
        <v/>
      </c>
      <c r="AE153" s="42">
        <f>AI152</f>
        <v/>
      </c>
      <c r="AF153" s="42">
        <f>ROUND(AE153*AF$6/12,2)</f>
        <v/>
      </c>
      <c r="AG153" s="42">
        <f>MIN(AG$6,AE153+AF153)</f>
        <v/>
      </c>
      <c r="AH153" s="42">
        <f>MAX(0,MIN(AE153+AF153-AG153,AD153))</f>
        <v/>
      </c>
      <c r="AI153" s="42">
        <f>ROUND(AE153+AF153-AG153-AH153,2)</f>
        <v/>
      </c>
      <c r="AJ153">
        <f>AD153-AH153</f>
        <v/>
      </c>
      <c r="AK153" s="42">
        <f>AO152</f>
        <v/>
      </c>
      <c r="AL153" s="42">
        <f>ROUND(AK153*AL$6/12,2)</f>
        <v/>
      </c>
      <c r="AM153" s="42">
        <f>MIN(AM$6,AK153+AL153)</f>
        <v/>
      </c>
      <c r="AN153" s="42">
        <f>MAX(0,MIN(AK153+AL153-AM153,AJ153))</f>
        <v/>
      </c>
      <c r="AO153" s="42">
        <f>ROUND(AK153+AL153-AM153-AN153,2)</f>
        <v/>
      </c>
      <c r="AP153">
        <f>AJ153-AN153</f>
        <v/>
      </c>
      <c r="AQ153" s="42">
        <f>AU152</f>
        <v/>
      </c>
      <c r="AR153" s="42">
        <f>ROUND(AQ153*AR$6/12,2)</f>
        <v/>
      </c>
      <c r="AS153" s="42">
        <f>MIN(AS$6,AQ153+AR153)</f>
        <v/>
      </c>
      <c r="AT153" s="42">
        <f>MAX(0,MIN(AQ153+AR153-AS153,AP153))</f>
        <v/>
      </c>
      <c r="AU153" s="42">
        <f>ROUND(AQ153+AR153-AS153-AT153,2)</f>
        <v/>
      </c>
      <c r="AV153">
        <f>AP153-AT153</f>
        <v/>
      </c>
      <c r="AW153" s="42">
        <f>BA152</f>
        <v/>
      </c>
      <c r="AX153" s="42">
        <f>ROUND(AW153*AX$6/12,2)</f>
        <v/>
      </c>
      <c r="AY153" s="42">
        <f>MIN(AY$6,AW153+AX153)</f>
        <v/>
      </c>
      <c r="AZ153" s="42">
        <f>MAX(0,MIN(AW153+AX153-AY153,AV153))</f>
        <v/>
      </c>
      <c r="BA153" s="42">
        <f>ROUND(AW153+AX153-AY153-AZ153,2)</f>
        <v/>
      </c>
      <c r="BB153">
        <f>AV153-AZ153</f>
        <v/>
      </c>
      <c r="BC153" s="42">
        <f>BG152</f>
        <v/>
      </c>
      <c r="BD153" s="42">
        <f>ROUND(BC153*BD$6/12,2)</f>
        <v/>
      </c>
      <c r="BE153" s="42">
        <f>MIN(BE$6,BC153+BD153)</f>
        <v/>
      </c>
      <c r="BF153" s="42">
        <f>MAX(0,MIN(BC153+BD153-BE153,BB153))</f>
        <v/>
      </c>
      <c r="BG153" s="42">
        <f>ROUND(BC153+BD153-BE153-BF153,2)</f>
        <v/>
      </c>
      <c r="BH153">
        <f>BB153-BF153</f>
        <v/>
      </c>
      <c r="BI153" s="42">
        <f>BM152</f>
        <v/>
      </c>
      <c r="BJ153" s="42">
        <f>ROUND(BI153*BJ$6/12,2)</f>
        <v/>
      </c>
      <c r="BK153" s="42">
        <f>MIN(BK$6,BI153+BJ153)</f>
        <v/>
      </c>
      <c r="BL153" s="42">
        <f>MAX(0,MIN(BI153+BJ153-BK153,BH153))</f>
        <v/>
      </c>
      <c r="BM153" s="42">
        <f>ROUND(BI153+BJ153-BK153-BL153,2)</f>
        <v/>
      </c>
      <c r="BN153">
        <f>BH153-BL153</f>
        <v/>
      </c>
    </row>
    <row r="154">
      <c r="A154" s="39" t="n">
        <v>147</v>
      </c>
      <c r="B154" s="40">
        <f>EDATE('My Debts'!$C$6,A154-1)</f>
        <v/>
      </c>
      <c r="C154" s="41">
        <f>K154+Q154+W154+AC154+AI154+AO154+AU154+BA154+BG154+BM154</f>
        <v/>
      </c>
      <c r="D154" s="42">
        <f>I154+O154+U154+AA154+AG154+AM154+AS154+AY154+BE154+BK154+J154+P154+V154+AB154+AH154+AN154+AT154+AZ154+BF154+BL154</f>
        <v/>
      </c>
      <c r="E154" s="42">
        <f>H154+N154+T154+Z154+AF154+AL154+AR154+AX154+BD154+BJ154</f>
        <v/>
      </c>
      <c r="F154">
        <f>MAX(0,'My Debts'!$E$21-(I154+O154+U154+AA154+AG154+AM154+AS154+AY154+BE154+BK154))</f>
        <v/>
      </c>
      <c r="G154" s="42">
        <f>K153</f>
        <v/>
      </c>
      <c r="H154" s="42">
        <f>ROUND(G154*H$6/12,2)</f>
        <v/>
      </c>
      <c r="I154" s="42">
        <f>MIN(I$6,G154+H154)</f>
        <v/>
      </c>
      <c r="J154" s="42">
        <f>MAX(0,MIN(G154+H154-I154,$F154))</f>
        <v/>
      </c>
      <c r="K154" s="42">
        <f>ROUND(G154+H154-I154-J154,2)</f>
        <v/>
      </c>
      <c r="L154">
        <f>$F154-J154</f>
        <v/>
      </c>
      <c r="M154" s="42">
        <f>Q153</f>
        <v/>
      </c>
      <c r="N154" s="42">
        <f>ROUND(M154*N$6/12,2)</f>
        <v/>
      </c>
      <c r="O154" s="42">
        <f>MIN(O$6,M154+N154)</f>
        <v/>
      </c>
      <c r="P154" s="42">
        <f>MAX(0,MIN(M154+N154-O154,L154))</f>
        <v/>
      </c>
      <c r="Q154" s="42">
        <f>ROUND(M154+N154-O154-P154,2)</f>
        <v/>
      </c>
      <c r="R154">
        <f>L154-P154</f>
        <v/>
      </c>
      <c r="S154" s="42">
        <f>W153</f>
        <v/>
      </c>
      <c r="T154" s="42">
        <f>ROUND(S154*T$6/12,2)</f>
        <v/>
      </c>
      <c r="U154" s="42">
        <f>MIN(U$6,S154+T154)</f>
        <v/>
      </c>
      <c r="V154" s="42">
        <f>MAX(0,MIN(S154+T154-U154,R154))</f>
        <v/>
      </c>
      <c r="W154" s="42">
        <f>ROUND(S154+T154-U154-V154,2)</f>
        <v/>
      </c>
      <c r="X154">
        <f>R154-V154</f>
        <v/>
      </c>
      <c r="Y154" s="42">
        <f>AC153</f>
        <v/>
      </c>
      <c r="Z154" s="42">
        <f>ROUND(Y154*Z$6/12,2)</f>
        <v/>
      </c>
      <c r="AA154" s="42">
        <f>MIN(AA$6,Y154+Z154)</f>
        <v/>
      </c>
      <c r="AB154" s="42">
        <f>MAX(0,MIN(Y154+Z154-AA154,X154))</f>
        <v/>
      </c>
      <c r="AC154" s="42">
        <f>ROUND(Y154+Z154-AA154-AB154,2)</f>
        <v/>
      </c>
      <c r="AD154">
        <f>X154-AB154</f>
        <v/>
      </c>
      <c r="AE154" s="42">
        <f>AI153</f>
        <v/>
      </c>
      <c r="AF154" s="42">
        <f>ROUND(AE154*AF$6/12,2)</f>
        <v/>
      </c>
      <c r="AG154" s="42">
        <f>MIN(AG$6,AE154+AF154)</f>
        <v/>
      </c>
      <c r="AH154" s="42">
        <f>MAX(0,MIN(AE154+AF154-AG154,AD154))</f>
        <v/>
      </c>
      <c r="AI154" s="42">
        <f>ROUND(AE154+AF154-AG154-AH154,2)</f>
        <v/>
      </c>
      <c r="AJ154">
        <f>AD154-AH154</f>
        <v/>
      </c>
      <c r="AK154" s="42">
        <f>AO153</f>
        <v/>
      </c>
      <c r="AL154" s="42">
        <f>ROUND(AK154*AL$6/12,2)</f>
        <v/>
      </c>
      <c r="AM154" s="42">
        <f>MIN(AM$6,AK154+AL154)</f>
        <v/>
      </c>
      <c r="AN154" s="42">
        <f>MAX(0,MIN(AK154+AL154-AM154,AJ154))</f>
        <v/>
      </c>
      <c r="AO154" s="42">
        <f>ROUND(AK154+AL154-AM154-AN154,2)</f>
        <v/>
      </c>
      <c r="AP154">
        <f>AJ154-AN154</f>
        <v/>
      </c>
      <c r="AQ154" s="42">
        <f>AU153</f>
        <v/>
      </c>
      <c r="AR154" s="42">
        <f>ROUND(AQ154*AR$6/12,2)</f>
        <v/>
      </c>
      <c r="AS154" s="42">
        <f>MIN(AS$6,AQ154+AR154)</f>
        <v/>
      </c>
      <c r="AT154" s="42">
        <f>MAX(0,MIN(AQ154+AR154-AS154,AP154))</f>
        <v/>
      </c>
      <c r="AU154" s="42">
        <f>ROUND(AQ154+AR154-AS154-AT154,2)</f>
        <v/>
      </c>
      <c r="AV154">
        <f>AP154-AT154</f>
        <v/>
      </c>
      <c r="AW154" s="42">
        <f>BA153</f>
        <v/>
      </c>
      <c r="AX154" s="42">
        <f>ROUND(AW154*AX$6/12,2)</f>
        <v/>
      </c>
      <c r="AY154" s="42">
        <f>MIN(AY$6,AW154+AX154)</f>
        <v/>
      </c>
      <c r="AZ154" s="42">
        <f>MAX(0,MIN(AW154+AX154-AY154,AV154))</f>
        <v/>
      </c>
      <c r="BA154" s="42">
        <f>ROUND(AW154+AX154-AY154-AZ154,2)</f>
        <v/>
      </c>
      <c r="BB154">
        <f>AV154-AZ154</f>
        <v/>
      </c>
      <c r="BC154" s="42">
        <f>BG153</f>
        <v/>
      </c>
      <c r="BD154" s="42">
        <f>ROUND(BC154*BD$6/12,2)</f>
        <v/>
      </c>
      <c r="BE154" s="42">
        <f>MIN(BE$6,BC154+BD154)</f>
        <v/>
      </c>
      <c r="BF154" s="42">
        <f>MAX(0,MIN(BC154+BD154-BE154,BB154))</f>
        <v/>
      </c>
      <c r="BG154" s="42">
        <f>ROUND(BC154+BD154-BE154-BF154,2)</f>
        <v/>
      </c>
      <c r="BH154">
        <f>BB154-BF154</f>
        <v/>
      </c>
      <c r="BI154" s="42">
        <f>BM153</f>
        <v/>
      </c>
      <c r="BJ154" s="42">
        <f>ROUND(BI154*BJ$6/12,2)</f>
        <v/>
      </c>
      <c r="BK154" s="42">
        <f>MIN(BK$6,BI154+BJ154)</f>
        <v/>
      </c>
      <c r="BL154" s="42">
        <f>MAX(0,MIN(BI154+BJ154-BK154,BH154))</f>
        <v/>
      </c>
      <c r="BM154" s="42">
        <f>ROUND(BI154+BJ154-BK154-BL154,2)</f>
        <v/>
      </c>
      <c r="BN154">
        <f>BH154-BL154</f>
        <v/>
      </c>
    </row>
    <row r="155">
      <c r="A155" s="43" t="n">
        <v>148</v>
      </c>
      <c r="B155" s="44">
        <f>EDATE('My Debts'!$C$6,A155-1)</f>
        <v/>
      </c>
      <c r="C155" s="45">
        <f>K155+Q155+W155+AC155+AI155+AO155+AU155+BA155+BG155+BM155</f>
        <v/>
      </c>
      <c r="D155" s="46">
        <f>I155+O155+U155+AA155+AG155+AM155+AS155+AY155+BE155+BK155+J155+P155+V155+AB155+AH155+AN155+AT155+AZ155+BF155+BL155</f>
        <v/>
      </c>
      <c r="E155" s="46">
        <f>H155+N155+T155+Z155+AF155+AL155+AR155+AX155+BD155+BJ155</f>
        <v/>
      </c>
      <c r="F155">
        <f>MAX(0,'My Debts'!$E$21-(I155+O155+U155+AA155+AG155+AM155+AS155+AY155+BE155+BK155))</f>
        <v/>
      </c>
      <c r="G155" s="42">
        <f>K154</f>
        <v/>
      </c>
      <c r="H155" s="42">
        <f>ROUND(G155*H$6/12,2)</f>
        <v/>
      </c>
      <c r="I155" s="42">
        <f>MIN(I$6,G155+H155)</f>
        <v/>
      </c>
      <c r="J155" s="42">
        <f>MAX(0,MIN(G155+H155-I155,$F155))</f>
        <v/>
      </c>
      <c r="K155" s="42">
        <f>ROUND(G155+H155-I155-J155,2)</f>
        <v/>
      </c>
      <c r="L155">
        <f>$F155-J155</f>
        <v/>
      </c>
      <c r="M155" s="42">
        <f>Q154</f>
        <v/>
      </c>
      <c r="N155" s="42">
        <f>ROUND(M155*N$6/12,2)</f>
        <v/>
      </c>
      <c r="O155" s="42">
        <f>MIN(O$6,M155+N155)</f>
        <v/>
      </c>
      <c r="P155" s="42">
        <f>MAX(0,MIN(M155+N155-O155,L155))</f>
        <v/>
      </c>
      <c r="Q155" s="42">
        <f>ROUND(M155+N155-O155-P155,2)</f>
        <v/>
      </c>
      <c r="R155">
        <f>L155-P155</f>
        <v/>
      </c>
      <c r="S155" s="42">
        <f>W154</f>
        <v/>
      </c>
      <c r="T155" s="42">
        <f>ROUND(S155*T$6/12,2)</f>
        <v/>
      </c>
      <c r="U155" s="42">
        <f>MIN(U$6,S155+T155)</f>
        <v/>
      </c>
      <c r="V155" s="42">
        <f>MAX(0,MIN(S155+T155-U155,R155))</f>
        <v/>
      </c>
      <c r="W155" s="42">
        <f>ROUND(S155+T155-U155-V155,2)</f>
        <v/>
      </c>
      <c r="X155">
        <f>R155-V155</f>
        <v/>
      </c>
      <c r="Y155" s="42">
        <f>AC154</f>
        <v/>
      </c>
      <c r="Z155" s="42">
        <f>ROUND(Y155*Z$6/12,2)</f>
        <v/>
      </c>
      <c r="AA155" s="42">
        <f>MIN(AA$6,Y155+Z155)</f>
        <v/>
      </c>
      <c r="AB155" s="42">
        <f>MAX(0,MIN(Y155+Z155-AA155,X155))</f>
        <v/>
      </c>
      <c r="AC155" s="42">
        <f>ROUND(Y155+Z155-AA155-AB155,2)</f>
        <v/>
      </c>
      <c r="AD155">
        <f>X155-AB155</f>
        <v/>
      </c>
      <c r="AE155" s="42">
        <f>AI154</f>
        <v/>
      </c>
      <c r="AF155" s="42">
        <f>ROUND(AE155*AF$6/12,2)</f>
        <v/>
      </c>
      <c r="AG155" s="42">
        <f>MIN(AG$6,AE155+AF155)</f>
        <v/>
      </c>
      <c r="AH155" s="42">
        <f>MAX(0,MIN(AE155+AF155-AG155,AD155))</f>
        <v/>
      </c>
      <c r="AI155" s="42">
        <f>ROUND(AE155+AF155-AG155-AH155,2)</f>
        <v/>
      </c>
      <c r="AJ155">
        <f>AD155-AH155</f>
        <v/>
      </c>
      <c r="AK155" s="42">
        <f>AO154</f>
        <v/>
      </c>
      <c r="AL155" s="42">
        <f>ROUND(AK155*AL$6/12,2)</f>
        <v/>
      </c>
      <c r="AM155" s="42">
        <f>MIN(AM$6,AK155+AL155)</f>
        <v/>
      </c>
      <c r="AN155" s="42">
        <f>MAX(0,MIN(AK155+AL155-AM155,AJ155))</f>
        <v/>
      </c>
      <c r="AO155" s="42">
        <f>ROUND(AK155+AL155-AM155-AN155,2)</f>
        <v/>
      </c>
      <c r="AP155">
        <f>AJ155-AN155</f>
        <v/>
      </c>
      <c r="AQ155" s="42">
        <f>AU154</f>
        <v/>
      </c>
      <c r="AR155" s="42">
        <f>ROUND(AQ155*AR$6/12,2)</f>
        <v/>
      </c>
      <c r="AS155" s="42">
        <f>MIN(AS$6,AQ155+AR155)</f>
        <v/>
      </c>
      <c r="AT155" s="42">
        <f>MAX(0,MIN(AQ155+AR155-AS155,AP155))</f>
        <v/>
      </c>
      <c r="AU155" s="42">
        <f>ROUND(AQ155+AR155-AS155-AT155,2)</f>
        <v/>
      </c>
      <c r="AV155">
        <f>AP155-AT155</f>
        <v/>
      </c>
      <c r="AW155" s="42">
        <f>BA154</f>
        <v/>
      </c>
      <c r="AX155" s="42">
        <f>ROUND(AW155*AX$6/12,2)</f>
        <v/>
      </c>
      <c r="AY155" s="42">
        <f>MIN(AY$6,AW155+AX155)</f>
        <v/>
      </c>
      <c r="AZ155" s="42">
        <f>MAX(0,MIN(AW155+AX155-AY155,AV155))</f>
        <v/>
      </c>
      <c r="BA155" s="42">
        <f>ROUND(AW155+AX155-AY155-AZ155,2)</f>
        <v/>
      </c>
      <c r="BB155">
        <f>AV155-AZ155</f>
        <v/>
      </c>
      <c r="BC155" s="42">
        <f>BG154</f>
        <v/>
      </c>
      <c r="BD155" s="42">
        <f>ROUND(BC155*BD$6/12,2)</f>
        <v/>
      </c>
      <c r="BE155" s="42">
        <f>MIN(BE$6,BC155+BD155)</f>
        <v/>
      </c>
      <c r="BF155" s="42">
        <f>MAX(0,MIN(BC155+BD155-BE155,BB155))</f>
        <v/>
      </c>
      <c r="BG155" s="42">
        <f>ROUND(BC155+BD155-BE155-BF155,2)</f>
        <v/>
      </c>
      <c r="BH155">
        <f>BB155-BF155</f>
        <v/>
      </c>
      <c r="BI155" s="42">
        <f>BM154</f>
        <v/>
      </c>
      <c r="BJ155" s="42">
        <f>ROUND(BI155*BJ$6/12,2)</f>
        <v/>
      </c>
      <c r="BK155" s="42">
        <f>MIN(BK$6,BI155+BJ155)</f>
        <v/>
      </c>
      <c r="BL155" s="42">
        <f>MAX(0,MIN(BI155+BJ155-BK155,BH155))</f>
        <v/>
      </c>
      <c r="BM155" s="42">
        <f>ROUND(BI155+BJ155-BK155-BL155,2)</f>
        <v/>
      </c>
      <c r="BN155">
        <f>BH155-BL155</f>
        <v/>
      </c>
    </row>
    <row r="156">
      <c r="A156" s="39" t="n">
        <v>149</v>
      </c>
      <c r="B156" s="40">
        <f>EDATE('My Debts'!$C$6,A156-1)</f>
        <v/>
      </c>
      <c r="C156" s="41">
        <f>K156+Q156+W156+AC156+AI156+AO156+AU156+BA156+BG156+BM156</f>
        <v/>
      </c>
      <c r="D156" s="42">
        <f>I156+O156+U156+AA156+AG156+AM156+AS156+AY156+BE156+BK156+J156+P156+V156+AB156+AH156+AN156+AT156+AZ156+BF156+BL156</f>
        <v/>
      </c>
      <c r="E156" s="42">
        <f>H156+N156+T156+Z156+AF156+AL156+AR156+AX156+BD156+BJ156</f>
        <v/>
      </c>
      <c r="F156">
        <f>MAX(0,'My Debts'!$E$21-(I156+O156+U156+AA156+AG156+AM156+AS156+AY156+BE156+BK156))</f>
        <v/>
      </c>
      <c r="G156" s="42">
        <f>K155</f>
        <v/>
      </c>
      <c r="H156" s="42">
        <f>ROUND(G156*H$6/12,2)</f>
        <v/>
      </c>
      <c r="I156" s="42">
        <f>MIN(I$6,G156+H156)</f>
        <v/>
      </c>
      <c r="J156" s="42">
        <f>MAX(0,MIN(G156+H156-I156,$F156))</f>
        <v/>
      </c>
      <c r="K156" s="42">
        <f>ROUND(G156+H156-I156-J156,2)</f>
        <v/>
      </c>
      <c r="L156">
        <f>$F156-J156</f>
        <v/>
      </c>
      <c r="M156" s="42">
        <f>Q155</f>
        <v/>
      </c>
      <c r="N156" s="42">
        <f>ROUND(M156*N$6/12,2)</f>
        <v/>
      </c>
      <c r="O156" s="42">
        <f>MIN(O$6,M156+N156)</f>
        <v/>
      </c>
      <c r="P156" s="42">
        <f>MAX(0,MIN(M156+N156-O156,L156))</f>
        <v/>
      </c>
      <c r="Q156" s="42">
        <f>ROUND(M156+N156-O156-P156,2)</f>
        <v/>
      </c>
      <c r="R156">
        <f>L156-P156</f>
        <v/>
      </c>
      <c r="S156" s="42">
        <f>W155</f>
        <v/>
      </c>
      <c r="T156" s="42">
        <f>ROUND(S156*T$6/12,2)</f>
        <v/>
      </c>
      <c r="U156" s="42">
        <f>MIN(U$6,S156+T156)</f>
        <v/>
      </c>
      <c r="V156" s="42">
        <f>MAX(0,MIN(S156+T156-U156,R156))</f>
        <v/>
      </c>
      <c r="W156" s="42">
        <f>ROUND(S156+T156-U156-V156,2)</f>
        <v/>
      </c>
      <c r="X156">
        <f>R156-V156</f>
        <v/>
      </c>
      <c r="Y156" s="42">
        <f>AC155</f>
        <v/>
      </c>
      <c r="Z156" s="42">
        <f>ROUND(Y156*Z$6/12,2)</f>
        <v/>
      </c>
      <c r="AA156" s="42">
        <f>MIN(AA$6,Y156+Z156)</f>
        <v/>
      </c>
      <c r="AB156" s="42">
        <f>MAX(0,MIN(Y156+Z156-AA156,X156))</f>
        <v/>
      </c>
      <c r="AC156" s="42">
        <f>ROUND(Y156+Z156-AA156-AB156,2)</f>
        <v/>
      </c>
      <c r="AD156">
        <f>X156-AB156</f>
        <v/>
      </c>
      <c r="AE156" s="42">
        <f>AI155</f>
        <v/>
      </c>
      <c r="AF156" s="42">
        <f>ROUND(AE156*AF$6/12,2)</f>
        <v/>
      </c>
      <c r="AG156" s="42">
        <f>MIN(AG$6,AE156+AF156)</f>
        <v/>
      </c>
      <c r="AH156" s="42">
        <f>MAX(0,MIN(AE156+AF156-AG156,AD156))</f>
        <v/>
      </c>
      <c r="AI156" s="42">
        <f>ROUND(AE156+AF156-AG156-AH156,2)</f>
        <v/>
      </c>
      <c r="AJ156">
        <f>AD156-AH156</f>
        <v/>
      </c>
      <c r="AK156" s="42">
        <f>AO155</f>
        <v/>
      </c>
      <c r="AL156" s="42">
        <f>ROUND(AK156*AL$6/12,2)</f>
        <v/>
      </c>
      <c r="AM156" s="42">
        <f>MIN(AM$6,AK156+AL156)</f>
        <v/>
      </c>
      <c r="AN156" s="42">
        <f>MAX(0,MIN(AK156+AL156-AM156,AJ156))</f>
        <v/>
      </c>
      <c r="AO156" s="42">
        <f>ROUND(AK156+AL156-AM156-AN156,2)</f>
        <v/>
      </c>
      <c r="AP156">
        <f>AJ156-AN156</f>
        <v/>
      </c>
      <c r="AQ156" s="42">
        <f>AU155</f>
        <v/>
      </c>
      <c r="AR156" s="42">
        <f>ROUND(AQ156*AR$6/12,2)</f>
        <v/>
      </c>
      <c r="AS156" s="42">
        <f>MIN(AS$6,AQ156+AR156)</f>
        <v/>
      </c>
      <c r="AT156" s="42">
        <f>MAX(0,MIN(AQ156+AR156-AS156,AP156))</f>
        <v/>
      </c>
      <c r="AU156" s="42">
        <f>ROUND(AQ156+AR156-AS156-AT156,2)</f>
        <v/>
      </c>
      <c r="AV156">
        <f>AP156-AT156</f>
        <v/>
      </c>
      <c r="AW156" s="42">
        <f>BA155</f>
        <v/>
      </c>
      <c r="AX156" s="42">
        <f>ROUND(AW156*AX$6/12,2)</f>
        <v/>
      </c>
      <c r="AY156" s="42">
        <f>MIN(AY$6,AW156+AX156)</f>
        <v/>
      </c>
      <c r="AZ156" s="42">
        <f>MAX(0,MIN(AW156+AX156-AY156,AV156))</f>
        <v/>
      </c>
      <c r="BA156" s="42">
        <f>ROUND(AW156+AX156-AY156-AZ156,2)</f>
        <v/>
      </c>
      <c r="BB156">
        <f>AV156-AZ156</f>
        <v/>
      </c>
      <c r="BC156" s="42">
        <f>BG155</f>
        <v/>
      </c>
      <c r="BD156" s="42">
        <f>ROUND(BC156*BD$6/12,2)</f>
        <v/>
      </c>
      <c r="BE156" s="42">
        <f>MIN(BE$6,BC156+BD156)</f>
        <v/>
      </c>
      <c r="BF156" s="42">
        <f>MAX(0,MIN(BC156+BD156-BE156,BB156))</f>
        <v/>
      </c>
      <c r="BG156" s="42">
        <f>ROUND(BC156+BD156-BE156-BF156,2)</f>
        <v/>
      </c>
      <c r="BH156">
        <f>BB156-BF156</f>
        <v/>
      </c>
      <c r="BI156" s="42">
        <f>BM155</f>
        <v/>
      </c>
      <c r="BJ156" s="42">
        <f>ROUND(BI156*BJ$6/12,2)</f>
        <v/>
      </c>
      <c r="BK156" s="42">
        <f>MIN(BK$6,BI156+BJ156)</f>
        <v/>
      </c>
      <c r="BL156" s="42">
        <f>MAX(0,MIN(BI156+BJ156-BK156,BH156))</f>
        <v/>
      </c>
      <c r="BM156" s="42">
        <f>ROUND(BI156+BJ156-BK156-BL156,2)</f>
        <v/>
      </c>
      <c r="BN156">
        <f>BH156-BL156</f>
        <v/>
      </c>
    </row>
    <row r="157">
      <c r="A157" s="43" t="n">
        <v>150</v>
      </c>
      <c r="B157" s="44">
        <f>EDATE('My Debts'!$C$6,A157-1)</f>
        <v/>
      </c>
      <c r="C157" s="45">
        <f>K157+Q157+W157+AC157+AI157+AO157+AU157+BA157+BG157+BM157</f>
        <v/>
      </c>
      <c r="D157" s="46">
        <f>I157+O157+U157+AA157+AG157+AM157+AS157+AY157+BE157+BK157+J157+P157+V157+AB157+AH157+AN157+AT157+AZ157+BF157+BL157</f>
        <v/>
      </c>
      <c r="E157" s="46">
        <f>H157+N157+T157+Z157+AF157+AL157+AR157+AX157+BD157+BJ157</f>
        <v/>
      </c>
      <c r="F157">
        <f>MAX(0,'My Debts'!$E$21-(I157+O157+U157+AA157+AG157+AM157+AS157+AY157+BE157+BK157))</f>
        <v/>
      </c>
      <c r="G157" s="42">
        <f>K156</f>
        <v/>
      </c>
      <c r="H157" s="42">
        <f>ROUND(G157*H$6/12,2)</f>
        <v/>
      </c>
      <c r="I157" s="42">
        <f>MIN(I$6,G157+H157)</f>
        <v/>
      </c>
      <c r="J157" s="42">
        <f>MAX(0,MIN(G157+H157-I157,$F157))</f>
        <v/>
      </c>
      <c r="K157" s="42">
        <f>ROUND(G157+H157-I157-J157,2)</f>
        <v/>
      </c>
      <c r="L157">
        <f>$F157-J157</f>
        <v/>
      </c>
      <c r="M157" s="42">
        <f>Q156</f>
        <v/>
      </c>
      <c r="N157" s="42">
        <f>ROUND(M157*N$6/12,2)</f>
        <v/>
      </c>
      <c r="O157" s="42">
        <f>MIN(O$6,M157+N157)</f>
        <v/>
      </c>
      <c r="P157" s="42">
        <f>MAX(0,MIN(M157+N157-O157,L157))</f>
        <v/>
      </c>
      <c r="Q157" s="42">
        <f>ROUND(M157+N157-O157-P157,2)</f>
        <v/>
      </c>
      <c r="R157">
        <f>L157-P157</f>
        <v/>
      </c>
      <c r="S157" s="42">
        <f>W156</f>
        <v/>
      </c>
      <c r="T157" s="42">
        <f>ROUND(S157*T$6/12,2)</f>
        <v/>
      </c>
      <c r="U157" s="42">
        <f>MIN(U$6,S157+T157)</f>
        <v/>
      </c>
      <c r="V157" s="42">
        <f>MAX(0,MIN(S157+T157-U157,R157))</f>
        <v/>
      </c>
      <c r="W157" s="42">
        <f>ROUND(S157+T157-U157-V157,2)</f>
        <v/>
      </c>
      <c r="X157">
        <f>R157-V157</f>
        <v/>
      </c>
      <c r="Y157" s="42">
        <f>AC156</f>
        <v/>
      </c>
      <c r="Z157" s="42">
        <f>ROUND(Y157*Z$6/12,2)</f>
        <v/>
      </c>
      <c r="AA157" s="42">
        <f>MIN(AA$6,Y157+Z157)</f>
        <v/>
      </c>
      <c r="AB157" s="42">
        <f>MAX(0,MIN(Y157+Z157-AA157,X157))</f>
        <v/>
      </c>
      <c r="AC157" s="42">
        <f>ROUND(Y157+Z157-AA157-AB157,2)</f>
        <v/>
      </c>
      <c r="AD157">
        <f>X157-AB157</f>
        <v/>
      </c>
      <c r="AE157" s="42">
        <f>AI156</f>
        <v/>
      </c>
      <c r="AF157" s="42">
        <f>ROUND(AE157*AF$6/12,2)</f>
        <v/>
      </c>
      <c r="AG157" s="42">
        <f>MIN(AG$6,AE157+AF157)</f>
        <v/>
      </c>
      <c r="AH157" s="42">
        <f>MAX(0,MIN(AE157+AF157-AG157,AD157))</f>
        <v/>
      </c>
      <c r="AI157" s="42">
        <f>ROUND(AE157+AF157-AG157-AH157,2)</f>
        <v/>
      </c>
      <c r="AJ157">
        <f>AD157-AH157</f>
        <v/>
      </c>
      <c r="AK157" s="42">
        <f>AO156</f>
        <v/>
      </c>
      <c r="AL157" s="42">
        <f>ROUND(AK157*AL$6/12,2)</f>
        <v/>
      </c>
      <c r="AM157" s="42">
        <f>MIN(AM$6,AK157+AL157)</f>
        <v/>
      </c>
      <c r="AN157" s="42">
        <f>MAX(0,MIN(AK157+AL157-AM157,AJ157))</f>
        <v/>
      </c>
      <c r="AO157" s="42">
        <f>ROUND(AK157+AL157-AM157-AN157,2)</f>
        <v/>
      </c>
      <c r="AP157">
        <f>AJ157-AN157</f>
        <v/>
      </c>
      <c r="AQ157" s="42">
        <f>AU156</f>
        <v/>
      </c>
      <c r="AR157" s="42">
        <f>ROUND(AQ157*AR$6/12,2)</f>
        <v/>
      </c>
      <c r="AS157" s="42">
        <f>MIN(AS$6,AQ157+AR157)</f>
        <v/>
      </c>
      <c r="AT157" s="42">
        <f>MAX(0,MIN(AQ157+AR157-AS157,AP157))</f>
        <v/>
      </c>
      <c r="AU157" s="42">
        <f>ROUND(AQ157+AR157-AS157-AT157,2)</f>
        <v/>
      </c>
      <c r="AV157">
        <f>AP157-AT157</f>
        <v/>
      </c>
      <c r="AW157" s="42">
        <f>BA156</f>
        <v/>
      </c>
      <c r="AX157" s="42">
        <f>ROUND(AW157*AX$6/12,2)</f>
        <v/>
      </c>
      <c r="AY157" s="42">
        <f>MIN(AY$6,AW157+AX157)</f>
        <v/>
      </c>
      <c r="AZ157" s="42">
        <f>MAX(0,MIN(AW157+AX157-AY157,AV157))</f>
        <v/>
      </c>
      <c r="BA157" s="42">
        <f>ROUND(AW157+AX157-AY157-AZ157,2)</f>
        <v/>
      </c>
      <c r="BB157">
        <f>AV157-AZ157</f>
        <v/>
      </c>
      <c r="BC157" s="42">
        <f>BG156</f>
        <v/>
      </c>
      <c r="BD157" s="42">
        <f>ROUND(BC157*BD$6/12,2)</f>
        <v/>
      </c>
      <c r="BE157" s="42">
        <f>MIN(BE$6,BC157+BD157)</f>
        <v/>
      </c>
      <c r="BF157" s="42">
        <f>MAX(0,MIN(BC157+BD157-BE157,BB157))</f>
        <v/>
      </c>
      <c r="BG157" s="42">
        <f>ROUND(BC157+BD157-BE157-BF157,2)</f>
        <v/>
      </c>
      <c r="BH157">
        <f>BB157-BF157</f>
        <v/>
      </c>
      <c r="BI157" s="42">
        <f>BM156</f>
        <v/>
      </c>
      <c r="BJ157" s="42">
        <f>ROUND(BI157*BJ$6/12,2)</f>
        <v/>
      </c>
      <c r="BK157" s="42">
        <f>MIN(BK$6,BI157+BJ157)</f>
        <v/>
      </c>
      <c r="BL157" s="42">
        <f>MAX(0,MIN(BI157+BJ157-BK157,BH157))</f>
        <v/>
      </c>
      <c r="BM157" s="42">
        <f>ROUND(BI157+BJ157-BK157-BL157,2)</f>
        <v/>
      </c>
      <c r="BN157">
        <f>BH157-BL157</f>
        <v/>
      </c>
    </row>
    <row r="158">
      <c r="A158" s="39" t="n">
        <v>151</v>
      </c>
      <c r="B158" s="40">
        <f>EDATE('My Debts'!$C$6,A158-1)</f>
        <v/>
      </c>
      <c r="C158" s="41">
        <f>K158+Q158+W158+AC158+AI158+AO158+AU158+BA158+BG158+BM158</f>
        <v/>
      </c>
      <c r="D158" s="42">
        <f>I158+O158+U158+AA158+AG158+AM158+AS158+AY158+BE158+BK158+J158+P158+V158+AB158+AH158+AN158+AT158+AZ158+BF158+BL158</f>
        <v/>
      </c>
      <c r="E158" s="42">
        <f>H158+N158+T158+Z158+AF158+AL158+AR158+AX158+BD158+BJ158</f>
        <v/>
      </c>
      <c r="F158">
        <f>MAX(0,'My Debts'!$E$21-(I158+O158+U158+AA158+AG158+AM158+AS158+AY158+BE158+BK158))</f>
        <v/>
      </c>
      <c r="G158" s="42">
        <f>K157</f>
        <v/>
      </c>
      <c r="H158" s="42">
        <f>ROUND(G158*H$6/12,2)</f>
        <v/>
      </c>
      <c r="I158" s="42">
        <f>MIN(I$6,G158+H158)</f>
        <v/>
      </c>
      <c r="J158" s="42">
        <f>MAX(0,MIN(G158+H158-I158,$F158))</f>
        <v/>
      </c>
      <c r="K158" s="42">
        <f>ROUND(G158+H158-I158-J158,2)</f>
        <v/>
      </c>
      <c r="L158">
        <f>$F158-J158</f>
        <v/>
      </c>
      <c r="M158" s="42">
        <f>Q157</f>
        <v/>
      </c>
      <c r="N158" s="42">
        <f>ROUND(M158*N$6/12,2)</f>
        <v/>
      </c>
      <c r="O158" s="42">
        <f>MIN(O$6,M158+N158)</f>
        <v/>
      </c>
      <c r="P158" s="42">
        <f>MAX(0,MIN(M158+N158-O158,L158))</f>
        <v/>
      </c>
      <c r="Q158" s="42">
        <f>ROUND(M158+N158-O158-P158,2)</f>
        <v/>
      </c>
      <c r="R158">
        <f>L158-P158</f>
        <v/>
      </c>
      <c r="S158" s="42">
        <f>W157</f>
        <v/>
      </c>
      <c r="T158" s="42">
        <f>ROUND(S158*T$6/12,2)</f>
        <v/>
      </c>
      <c r="U158" s="42">
        <f>MIN(U$6,S158+T158)</f>
        <v/>
      </c>
      <c r="V158" s="42">
        <f>MAX(0,MIN(S158+T158-U158,R158))</f>
        <v/>
      </c>
      <c r="W158" s="42">
        <f>ROUND(S158+T158-U158-V158,2)</f>
        <v/>
      </c>
      <c r="X158">
        <f>R158-V158</f>
        <v/>
      </c>
      <c r="Y158" s="42">
        <f>AC157</f>
        <v/>
      </c>
      <c r="Z158" s="42">
        <f>ROUND(Y158*Z$6/12,2)</f>
        <v/>
      </c>
      <c r="AA158" s="42">
        <f>MIN(AA$6,Y158+Z158)</f>
        <v/>
      </c>
      <c r="AB158" s="42">
        <f>MAX(0,MIN(Y158+Z158-AA158,X158))</f>
        <v/>
      </c>
      <c r="AC158" s="42">
        <f>ROUND(Y158+Z158-AA158-AB158,2)</f>
        <v/>
      </c>
      <c r="AD158">
        <f>X158-AB158</f>
        <v/>
      </c>
      <c r="AE158" s="42">
        <f>AI157</f>
        <v/>
      </c>
      <c r="AF158" s="42">
        <f>ROUND(AE158*AF$6/12,2)</f>
        <v/>
      </c>
      <c r="AG158" s="42">
        <f>MIN(AG$6,AE158+AF158)</f>
        <v/>
      </c>
      <c r="AH158" s="42">
        <f>MAX(0,MIN(AE158+AF158-AG158,AD158))</f>
        <v/>
      </c>
      <c r="AI158" s="42">
        <f>ROUND(AE158+AF158-AG158-AH158,2)</f>
        <v/>
      </c>
      <c r="AJ158">
        <f>AD158-AH158</f>
        <v/>
      </c>
      <c r="AK158" s="42">
        <f>AO157</f>
        <v/>
      </c>
      <c r="AL158" s="42">
        <f>ROUND(AK158*AL$6/12,2)</f>
        <v/>
      </c>
      <c r="AM158" s="42">
        <f>MIN(AM$6,AK158+AL158)</f>
        <v/>
      </c>
      <c r="AN158" s="42">
        <f>MAX(0,MIN(AK158+AL158-AM158,AJ158))</f>
        <v/>
      </c>
      <c r="AO158" s="42">
        <f>ROUND(AK158+AL158-AM158-AN158,2)</f>
        <v/>
      </c>
      <c r="AP158">
        <f>AJ158-AN158</f>
        <v/>
      </c>
      <c r="AQ158" s="42">
        <f>AU157</f>
        <v/>
      </c>
      <c r="AR158" s="42">
        <f>ROUND(AQ158*AR$6/12,2)</f>
        <v/>
      </c>
      <c r="AS158" s="42">
        <f>MIN(AS$6,AQ158+AR158)</f>
        <v/>
      </c>
      <c r="AT158" s="42">
        <f>MAX(0,MIN(AQ158+AR158-AS158,AP158))</f>
        <v/>
      </c>
      <c r="AU158" s="42">
        <f>ROUND(AQ158+AR158-AS158-AT158,2)</f>
        <v/>
      </c>
      <c r="AV158">
        <f>AP158-AT158</f>
        <v/>
      </c>
      <c r="AW158" s="42">
        <f>BA157</f>
        <v/>
      </c>
      <c r="AX158" s="42">
        <f>ROUND(AW158*AX$6/12,2)</f>
        <v/>
      </c>
      <c r="AY158" s="42">
        <f>MIN(AY$6,AW158+AX158)</f>
        <v/>
      </c>
      <c r="AZ158" s="42">
        <f>MAX(0,MIN(AW158+AX158-AY158,AV158))</f>
        <v/>
      </c>
      <c r="BA158" s="42">
        <f>ROUND(AW158+AX158-AY158-AZ158,2)</f>
        <v/>
      </c>
      <c r="BB158">
        <f>AV158-AZ158</f>
        <v/>
      </c>
      <c r="BC158" s="42">
        <f>BG157</f>
        <v/>
      </c>
      <c r="BD158" s="42">
        <f>ROUND(BC158*BD$6/12,2)</f>
        <v/>
      </c>
      <c r="BE158" s="42">
        <f>MIN(BE$6,BC158+BD158)</f>
        <v/>
      </c>
      <c r="BF158" s="42">
        <f>MAX(0,MIN(BC158+BD158-BE158,BB158))</f>
        <v/>
      </c>
      <c r="BG158" s="42">
        <f>ROUND(BC158+BD158-BE158-BF158,2)</f>
        <v/>
      </c>
      <c r="BH158">
        <f>BB158-BF158</f>
        <v/>
      </c>
      <c r="BI158" s="42">
        <f>BM157</f>
        <v/>
      </c>
      <c r="BJ158" s="42">
        <f>ROUND(BI158*BJ$6/12,2)</f>
        <v/>
      </c>
      <c r="BK158" s="42">
        <f>MIN(BK$6,BI158+BJ158)</f>
        <v/>
      </c>
      <c r="BL158" s="42">
        <f>MAX(0,MIN(BI158+BJ158-BK158,BH158))</f>
        <v/>
      </c>
      <c r="BM158" s="42">
        <f>ROUND(BI158+BJ158-BK158-BL158,2)</f>
        <v/>
      </c>
      <c r="BN158">
        <f>BH158-BL158</f>
        <v/>
      </c>
    </row>
    <row r="159">
      <c r="A159" s="43" t="n">
        <v>152</v>
      </c>
      <c r="B159" s="44">
        <f>EDATE('My Debts'!$C$6,A159-1)</f>
        <v/>
      </c>
      <c r="C159" s="45">
        <f>K159+Q159+W159+AC159+AI159+AO159+AU159+BA159+BG159+BM159</f>
        <v/>
      </c>
      <c r="D159" s="46">
        <f>I159+O159+U159+AA159+AG159+AM159+AS159+AY159+BE159+BK159+J159+P159+V159+AB159+AH159+AN159+AT159+AZ159+BF159+BL159</f>
        <v/>
      </c>
      <c r="E159" s="46">
        <f>H159+N159+T159+Z159+AF159+AL159+AR159+AX159+BD159+BJ159</f>
        <v/>
      </c>
      <c r="F159">
        <f>MAX(0,'My Debts'!$E$21-(I159+O159+U159+AA159+AG159+AM159+AS159+AY159+BE159+BK159))</f>
        <v/>
      </c>
      <c r="G159" s="42">
        <f>K158</f>
        <v/>
      </c>
      <c r="H159" s="42">
        <f>ROUND(G159*H$6/12,2)</f>
        <v/>
      </c>
      <c r="I159" s="42">
        <f>MIN(I$6,G159+H159)</f>
        <v/>
      </c>
      <c r="J159" s="42">
        <f>MAX(0,MIN(G159+H159-I159,$F159))</f>
        <v/>
      </c>
      <c r="K159" s="42">
        <f>ROUND(G159+H159-I159-J159,2)</f>
        <v/>
      </c>
      <c r="L159">
        <f>$F159-J159</f>
        <v/>
      </c>
      <c r="M159" s="42">
        <f>Q158</f>
        <v/>
      </c>
      <c r="N159" s="42">
        <f>ROUND(M159*N$6/12,2)</f>
        <v/>
      </c>
      <c r="O159" s="42">
        <f>MIN(O$6,M159+N159)</f>
        <v/>
      </c>
      <c r="P159" s="42">
        <f>MAX(0,MIN(M159+N159-O159,L159))</f>
        <v/>
      </c>
      <c r="Q159" s="42">
        <f>ROUND(M159+N159-O159-P159,2)</f>
        <v/>
      </c>
      <c r="R159">
        <f>L159-P159</f>
        <v/>
      </c>
      <c r="S159" s="42">
        <f>W158</f>
        <v/>
      </c>
      <c r="T159" s="42">
        <f>ROUND(S159*T$6/12,2)</f>
        <v/>
      </c>
      <c r="U159" s="42">
        <f>MIN(U$6,S159+T159)</f>
        <v/>
      </c>
      <c r="V159" s="42">
        <f>MAX(0,MIN(S159+T159-U159,R159))</f>
        <v/>
      </c>
      <c r="W159" s="42">
        <f>ROUND(S159+T159-U159-V159,2)</f>
        <v/>
      </c>
      <c r="X159">
        <f>R159-V159</f>
        <v/>
      </c>
      <c r="Y159" s="42">
        <f>AC158</f>
        <v/>
      </c>
      <c r="Z159" s="42">
        <f>ROUND(Y159*Z$6/12,2)</f>
        <v/>
      </c>
      <c r="AA159" s="42">
        <f>MIN(AA$6,Y159+Z159)</f>
        <v/>
      </c>
      <c r="AB159" s="42">
        <f>MAX(0,MIN(Y159+Z159-AA159,X159))</f>
        <v/>
      </c>
      <c r="AC159" s="42">
        <f>ROUND(Y159+Z159-AA159-AB159,2)</f>
        <v/>
      </c>
      <c r="AD159">
        <f>X159-AB159</f>
        <v/>
      </c>
      <c r="AE159" s="42">
        <f>AI158</f>
        <v/>
      </c>
      <c r="AF159" s="42">
        <f>ROUND(AE159*AF$6/12,2)</f>
        <v/>
      </c>
      <c r="AG159" s="42">
        <f>MIN(AG$6,AE159+AF159)</f>
        <v/>
      </c>
      <c r="AH159" s="42">
        <f>MAX(0,MIN(AE159+AF159-AG159,AD159))</f>
        <v/>
      </c>
      <c r="AI159" s="42">
        <f>ROUND(AE159+AF159-AG159-AH159,2)</f>
        <v/>
      </c>
      <c r="AJ159">
        <f>AD159-AH159</f>
        <v/>
      </c>
      <c r="AK159" s="42">
        <f>AO158</f>
        <v/>
      </c>
      <c r="AL159" s="42">
        <f>ROUND(AK159*AL$6/12,2)</f>
        <v/>
      </c>
      <c r="AM159" s="42">
        <f>MIN(AM$6,AK159+AL159)</f>
        <v/>
      </c>
      <c r="AN159" s="42">
        <f>MAX(0,MIN(AK159+AL159-AM159,AJ159))</f>
        <v/>
      </c>
      <c r="AO159" s="42">
        <f>ROUND(AK159+AL159-AM159-AN159,2)</f>
        <v/>
      </c>
      <c r="AP159">
        <f>AJ159-AN159</f>
        <v/>
      </c>
      <c r="AQ159" s="42">
        <f>AU158</f>
        <v/>
      </c>
      <c r="AR159" s="42">
        <f>ROUND(AQ159*AR$6/12,2)</f>
        <v/>
      </c>
      <c r="AS159" s="42">
        <f>MIN(AS$6,AQ159+AR159)</f>
        <v/>
      </c>
      <c r="AT159" s="42">
        <f>MAX(0,MIN(AQ159+AR159-AS159,AP159))</f>
        <v/>
      </c>
      <c r="AU159" s="42">
        <f>ROUND(AQ159+AR159-AS159-AT159,2)</f>
        <v/>
      </c>
      <c r="AV159">
        <f>AP159-AT159</f>
        <v/>
      </c>
      <c r="AW159" s="42">
        <f>BA158</f>
        <v/>
      </c>
      <c r="AX159" s="42">
        <f>ROUND(AW159*AX$6/12,2)</f>
        <v/>
      </c>
      <c r="AY159" s="42">
        <f>MIN(AY$6,AW159+AX159)</f>
        <v/>
      </c>
      <c r="AZ159" s="42">
        <f>MAX(0,MIN(AW159+AX159-AY159,AV159))</f>
        <v/>
      </c>
      <c r="BA159" s="42">
        <f>ROUND(AW159+AX159-AY159-AZ159,2)</f>
        <v/>
      </c>
      <c r="BB159">
        <f>AV159-AZ159</f>
        <v/>
      </c>
      <c r="BC159" s="42">
        <f>BG158</f>
        <v/>
      </c>
      <c r="BD159" s="42">
        <f>ROUND(BC159*BD$6/12,2)</f>
        <v/>
      </c>
      <c r="BE159" s="42">
        <f>MIN(BE$6,BC159+BD159)</f>
        <v/>
      </c>
      <c r="BF159" s="42">
        <f>MAX(0,MIN(BC159+BD159-BE159,BB159))</f>
        <v/>
      </c>
      <c r="BG159" s="42">
        <f>ROUND(BC159+BD159-BE159-BF159,2)</f>
        <v/>
      </c>
      <c r="BH159">
        <f>BB159-BF159</f>
        <v/>
      </c>
      <c r="BI159" s="42">
        <f>BM158</f>
        <v/>
      </c>
      <c r="BJ159" s="42">
        <f>ROUND(BI159*BJ$6/12,2)</f>
        <v/>
      </c>
      <c r="BK159" s="42">
        <f>MIN(BK$6,BI159+BJ159)</f>
        <v/>
      </c>
      <c r="BL159" s="42">
        <f>MAX(0,MIN(BI159+BJ159-BK159,BH159))</f>
        <v/>
      </c>
      <c r="BM159" s="42">
        <f>ROUND(BI159+BJ159-BK159-BL159,2)</f>
        <v/>
      </c>
      <c r="BN159">
        <f>BH159-BL159</f>
        <v/>
      </c>
    </row>
    <row r="160">
      <c r="A160" s="39" t="n">
        <v>153</v>
      </c>
      <c r="B160" s="40">
        <f>EDATE('My Debts'!$C$6,A160-1)</f>
        <v/>
      </c>
      <c r="C160" s="41">
        <f>K160+Q160+W160+AC160+AI160+AO160+AU160+BA160+BG160+BM160</f>
        <v/>
      </c>
      <c r="D160" s="42">
        <f>I160+O160+U160+AA160+AG160+AM160+AS160+AY160+BE160+BK160+J160+P160+V160+AB160+AH160+AN160+AT160+AZ160+BF160+BL160</f>
        <v/>
      </c>
      <c r="E160" s="42">
        <f>H160+N160+T160+Z160+AF160+AL160+AR160+AX160+BD160+BJ160</f>
        <v/>
      </c>
      <c r="F160">
        <f>MAX(0,'My Debts'!$E$21-(I160+O160+U160+AA160+AG160+AM160+AS160+AY160+BE160+BK160))</f>
        <v/>
      </c>
      <c r="G160" s="42">
        <f>K159</f>
        <v/>
      </c>
      <c r="H160" s="42">
        <f>ROUND(G160*H$6/12,2)</f>
        <v/>
      </c>
      <c r="I160" s="42">
        <f>MIN(I$6,G160+H160)</f>
        <v/>
      </c>
      <c r="J160" s="42">
        <f>MAX(0,MIN(G160+H160-I160,$F160))</f>
        <v/>
      </c>
      <c r="K160" s="42">
        <f>ROUND(G160+H160-I160-J160,2)</f>
        <v/>
      </c>
      <c r="L160">
        <f>$F160-J160</f>
        <v/>
      </c>
      <c r="M160" s="42">
        <f>Q159</f>
        <v/>
      </c>
      <c r="N160" s="42">
        <f>ROUND(M160*N$6/12,2)</f>
        <v/>
      </c>
      <c r="O160" s="42">
        <f>MIN(O$6,M160+N160)</f>
        <v/>
      </c>
      <c r="P160" s="42">
        <f>MAX(0,MIN(M160+N160-O160,L160))</f>
        <v/>
      </c>
      <c r="Q160" s="42">
        <f>ROUND(M160+N160-O160-P160,2)</f>
        <v/>
      </c>
      <c r="R160">
        <f>L160-P160</f>
        <v/>
      </c>
      <c r="S160" s="42">
        <f>W159</f>
        <v/>
      </c>
      <c r="T160" s="42">
        <f>ROUND(S160*T$6/12,2)</f>
        <v/>
      </c>
      <c r="U160" s="42">
        <f>MIN(U$6,S160+T160)</f>
        <v/>
      </c>
      <c r="V160" s="42">
        <f>MAX(0,MIN(S160+T160-U160,R160))</f>
        <v/>
      </c>
      <c r="W160" s="42">
        <f>ROUND(S160+T160-U160-V160,2)</f>
        <v/>
      </c>
      <c r="X160">
        <f>R160-V160</f>
        <v/>
      </c>
      <c r="Y160" s="42">
        <f>AC159</f>
        <v/>
      </c>
      <c r="Z160" s="42">
        <f>ROUND(Y160*Z$6/12,2)</f>
        <v/>
      </c>
      <c r="AA160" s="42">
        <f>MIN(AA$6,Y160+Z160)</f>
        <v/>
      </c>
      <c r="AB160" s="42">
        <f>MAX(0,MIN(Y160+Z160-AA160,X160))</f>
        <v/>
      </c>
      <c r="AC160" s="42">
        <f>ROUND(Y160+Z160-AA160-AB160,2)</f>
        <v/>
      </c>
      <c r="AD160">
        <f>X160-AB160</f>
        <v/>
      </c>
      <c r="AE160" s="42">
        <f>AI159</f>
        <v/>
      </c>
      <c r="AF160" s="42">
        <f>ROUND(AE160*AF$6/12,2)</f>
        <v/>
      </c>
      <c r="AG160" s="42">
        <f>MIN(AG$6,AE160+AF160)</f>
        <v/>
      </c>
      <c r="AH160" s="42">
        <f>MAX(0,MIN(AE160+AF160-AG160,AD160))</f>
        <v/>
      </c>
      <c r="AI160" s="42">
        <f>ROUND(AE160+AF160-AG160-AH160,2)</f>
        <v/>
      </c>
      <c r="AJ160">
        <f>AD160-AH160</f>
        <v/>
      </c>
      <c r="AK160" s="42">
        <f>AO159</f>
        <v/>
      </c>
      <c r="AL160" s="42">
        <f>ROUND(AK160*AL$6/12,2)</f>
        <v/>
      </c>
      <c r="AM160" s="42">
        <f>MIN(AM$6,AK160+AL160)</f>
        <v/>
      </c>
      <c r="AN160" s="42">
        <f>MAX(0,MIN(AK160+AL160-AM160,AJ160))</f>
        <v/>
      </c>
      <c r="AO160" s="42">
        <f>ROUND(AK160+AL160-AM160-AN160,2)</f>
        <v/>
      </c>
      <c r="AP160">
        <f>AJ160-AN160</f>
        <v/>
      </c>
      <c r="AQ160" s="42">
        <f>AU159</f>
        <v/>
      </c>
      <c r="AR160" s="42">
        <f>ROUND(AQ160*AR$6/12,2)</f>
        <v/>
      </c>
      <c r="AS160" s="42">
        <f>MIN(AS$6,AQ160+AR160)</f>
        <v/>
      </c>
      <c r="AT160" s="42">
        <f>MAX(0,MIN(AQ160+AR160-AS160,AP160))</f>
        <v/>
      </c>
      <c r="AU160" s="42">
        <f>ROUND(AQ160+AR160-AS160-AT160,2)</f>
        <v/>
      </c>
      <c r="AV160">
        <f>AP160-AT160</f>
        <v/>
      </c>
      <c r="AW160" s="42">
        <f>BA159</f>
        <v/>
      </c>
      <c r="AX160" s="42">
        <f>ROUND(AW160*AX$6/12,2)</f>
        <v/>
      </c>
      <c r="AY160" s="42">
        <f>MIN(AY$6,AW160+AX160)</f>
        <v/>
      </c>
      <c r="AZ160" s="42">
        <f>MAX(0,MIN(AW160+AX160-AY160,AV160))</f>
        <v/>
      </c>
      <c r="BA160" s="42">
        <f>ROUND(AW160+AX160-AY160-AZ160,2)</f>
        <v/>
      </c>
      <c r="BB160">
        <f>AV160-AZ160</f>
        <v/>
      </c>
      <c r="BC160" s="42">
        <f>BG159</f>
        <v/>
      </c>
      <c r="BD160" s="42">
        <f>ROUND(BC160*BD$6/12,2)</f>
        <v/>
      </c>
      <c r="BE160" s="42">
        <f>MIN(BE$6,BC160+BD160)</f>
        <v/>
      </c>
      <c r="BF160" s="42">
        <f>MAX(0,MIN(BC160+BD160-BE160,BB160))</f>
        <v/>
      </c>
      <c r="BG160" s="42">
        <f>ROUND(BC160+BD160-BE160-BF160,2)</f>
        <v/>
      </c>
      <c r="BH160">
        <f>BB160-BF160</f>
        <v/>
      </c>
      <c r="BI160" s="42">
        <f>BM159</f>
        <v/>
      </c>
      <c r="BJ160" s="42">
        <f>ROUND(BI160*BJ$6/12,2)</f>
        <v/>
      </c>
      <c r="BK160" s="42">
        <f>MIN(BK$6,BI160+BJ160)</f>
        <v/>
      </c>
      <c r="BL160" s="42">
        <f>MAX(0,MIN(BI160+BJ160-BK160,BH160))</f>
        <v/>
      </c>
      <c r="BM160" s="42">
        <f>ROUND(BI160+BJ160-BK160-BL160,2)</f>
        <v/>
      </c>
      <c r="BN160">
        <f>BH160-BL160</f>
        <v/>
      </c>
    </row>
    <row r="161">
      <c r="A161" s="43" t="n">
        <v>154</v>
      </c>
      <c r="B161" s="44">
        <f>EDATE('My Debts'!$C$6,A161-1)</f>
        <v/>
      </c>
      <c r="C161" s="45">
        <f>K161+Q161+W161+AC161+AI161+AO161+AU161+BA161+BG161+BM161</f>
        <v/>
      </c>
      <c r="D161" s="46">
        <f>I161+O161+U161+AA161+AG161+AM161+AS161+AY161+BE161+BK161+J161+P161+V161+AB161+AH161+AN161+AT161+AZ161+BF161+BL161</f>
        <v/>
      </c>
      <c r="E161" s="46">
        <f>H161+N161+T161+Z161+AF161+AL161+AR161+AX161+BD161+BJ161</f>
        <v/>
      </c>
      <c r="F161">
        <f>MAX(0,'My Debts'!$E$21-(I161+O161+U161+AA161+AG161+AM161+AS161+AY161+BE161+BK161))</f>
        <v/>
      </c>
      <c r="G161" s="42">
        <f>K160</f>
        <v/>
      </c>
      <c r="H161" s="42">
        <f>ROUND(G161*H$6/12,2)</f>
        <v/>
      </c>
      <c r="I161" s="42">
        <f>MIN(I$6,G161+H161)</f>
        <v/>
      </c>
      <c r="J161" s="42">
        <f>MAX(0,MIN(G161+H161-I161,$F161))</f>
        <v/>
      </c>
      <c r="K161" s="42">
        <f>ROUND(G161+H161-I161-J161,2)</f>
        <v/>
      </c>
      <c r="L161">
        <f>$F161-J161</f>
        <v/>
      </c>
      <c r="M161" s="42">
        <f>Q160</f>
        <v/>
      </c>
      <c r="N161" s="42">
        <f>ROUND(M161*N$6/12,2)</f>
        <v/>
      </c>
      <c r="O161" s="42">
        <f>MIN(O$6,M161+N161)</f>
        <v/>
      </c>
      <c r="P161" s="42">
        <f>MAX(0,MIN(M161+N161-O161,L161))</f>
        <v/>
      </c>
      <c r="Q161" s="42">
        <f>ROUND(M161+N161-O161-P161,2)</f>
        <v/>
      </c>
      <c r="R161">
        <f>L161-P161</f>
        <v/>
      </c>
      <c r="S161" s="42">
        <f>W160</f>
        <v/>
      </c>
      <c r="T161" s="42">
        <f>ROUND(S161*T$6/12,2)</f>
        <v/>
      </c>
      <c r="U161" s="42">
        <f>MIN(U$6,S161+T161)</f>
        <v/>
      </c>
      <c r="V161" s="42">
        <f>MAX(0,MIN(S161+T161-U161,R161))</f>
        <v/>
      </c>
      <c r="W161" s="42">
        <f>ROUND(S161+T161-U161-V161,2)</f>
        <v/>
      </c>
      <c r="X161">
        <f>R161-V161</f>
        <v/>
      </c>
      <c r="Y161" s="42">
        <f>AC160</f>
        <v/>
      </c>
      <c r="Z161" s="42">
        <f>ROUND(Y161*Z$6/12,2)</f>
        <v/>
      </c>
      <c r="AA161" s="42">
        <f>MIN(AA$6,Y161+Z161)</f>
        <v/>
      </c>
      <c r="AB161" s="42">
        <f>MAX(0,MIN(Y161+Z161-AA161,X161))</f>
        <v/>
      </c>
      <c r="AC161" s="42">
        <f>ROUND(Y161+Z161-AA161-AB161,2)</f>
        <v/>
      </c>
      <c r="AD161">
        <f>X161-AB161</f>
        <v/>
      </c>
      <c r="AE161" s="42">
        <f>AI160</f>
        <v/>
      </c>
      <c r="AF161" s="42">
        <f>ROUND(AE161*AF$6/12,2)</f>
        <v/>
      </c>
      <c r="AG161" s="42">
        <f>MIN(AG$6,AE161+AF161)</f>
        <v/>
      </c>
      <c r="AH161" s="42">
        <f>MAX(0,MIN(AE161+AF161-AG161,AD161))</f>
        <v/>
      </c>
      <c r="AI161" s="42">
        <f>ROUND(AE161+AF161-AG161-AH161,2)</f>
        <v/>
      </c>
      <c r="AJ161">
        <f>AD161-AH161</f>
        <v/>
      </c>
      <c r="AK161" s="42">
        <f>AO160</f>
        <v/>
      </c>
      <c r="AL161" s="42">
        <f>ROUND(AK161*AL$6/12,2)</f>
        <v/>
      </c>
      <c r="AM161" s="42">
        <f>MIN(AM$6,AK161+AL161)</f>
        <v/>
      </c>
      <c r="AN161" s="42">
        <f>MAX(0,MIN(AK161+AL161-AM161,AJ161))</f>
        <v/>
      </c>
      <c r="AO161" s="42">
        <f>ROUND(AK161+AL161-AM161-AN161,2)</f>
        <v/>
      </c>
      <c r="AP161">
        <f>AJ161-AN161</f>
        <v/>
      </c>
      <c r="AQ161" s="42">
        <f>AU160</f>
        <v/>
      </c>
      <c r="AR161" s="42">
        <f>ROUND(AQ161*AR$6/12,2)</f>
        <v/>
      </c>
      <c r="AS161" s="42">
        <f>MIN(AS$6,AQ161+AR161)</f>
        <v/>
      </c>
      <c r="AT161" s="42">
        <f>MAX(0,MIN(AQ161+AR161-AS161,AP161))</f>
        <v/>
      </c>
      <c r="AU161" s="42">
        <f>ROUND(AQ161+AR161-AS161-AT161,2)</f>
        <v/>
      </c>
      <c r="AV161">
        <f>AP161-AT161</f>
        <v/>
      </c>
      <c r="AW161" s="42">
        <f>BA160</f>
        <v/>
      </c>
      <c r="AX161" s="42">
        <f>ROUND(AW161*AX$6/12,2)</f>
        <v/>
      </c>
      <c r="AY161" s="42">
        <f>MIN(AY$6,AW161+AX161)</f>
        <v/>
      </c>
      <c r="AZ161" s="42">
        <f>MAX(0,MIN(AW161+AX161-AY161,AV161))</f>
        <v/>
      </c>
      <c r="BA161" s="42">
        <f>ROUND(AW161+AX161-AY161-AZ161,2)</f>
        <v/>
      </c>
      <c r="BB161">
        <f>AV161-AZ161</f>
        <v/>
      </c>
      <c r="BC161" s="42">
        <f>BG160</f>
        <v/>
      </c>
      <c r="BD161" s="42">
        <f>ROUND(BC161*BD$6/12,2)</f>
        <v/>
      </c>
      <c r="BE161" s="42">
        <f>MIN(BE$6,BC161+BD161)</f>
        <v/>
      </c>
      <c r="BF161" s="42">
        <f>MAX(0,MIN(BC161+BD161-BE161,BB161))</f>
        <v/>
      </c>
      <c r="BG161" s="42">
        <f>ROUND(BC161+BD161-BE161-BF161,2)</f>
        <v/>
      </c>
      <c r="BH161">
        <f>BB161-BF161</f>
        <v/>
      </c>
      <c r="BI161" s="42">
        <f>BM160</f>
        <v/>
      </c>
      <c r="BJ161" s="42">
        <f>ROUND(BI161*BJ$6/12,2)</f>
        <v/>
      </c>
      <c r="BK161" s="42">
        <f>MIN(BK$6,BI161+BJ161)</f>
        <v/>
      </c>
      <c r="BL161" s="42">
        <f>MAX(0,MIN(BI161+BJ161-BK161,BH161))</f>
        <v/>
      </c>
      <c r="BM161" s="42">
        <f>ROUND(BI161+BJ161-BK161-BL161,2)</f>
        <v/>
      </c>
      <c r="BN161">
        <f>BH161-BL161</f>
        <v/>
      </c>
    </row>
    <row r="162">
      <c r="A162" s="39" t="n">
        <v>155</v>
      </c>
      <c r="B162" s="40">
        <f>EDATE('My Debts'!$C$6,A162-1)</f>
        <v/>
      </c>
      <c r="C162" s="41">
        <f>K162+Q162+W162+AC162+AI162+AO162+AU162+BA162+BG162+BM162</f>
        <v/>
      </c>
      <c r="D162" s="42">
        <f>I162+O162+U162+AA162+AG162+AM162+AS162+AY162+BE162+BK162+J162+P162+V162+AB162+AH162+AN162+AT162+AZ162+BF162+BL162</f>
        <v/>
      </c>
      <c r="E162" s="42">
        <f>H162+N162+T162+Z162+AF162+AL162+AR162+AX162+BD162+BJ162</f>
        <v/>
      </c>
      <c r="F162">
        <f>MAX(0,'My Debts'!$E$21-(I162+O162+U162+AA162+AG162+AM162+AS162+AY162+BE162+BK162))</f>
        <v/>
      </c>
      <c r="G162" s="42">
        <f>K161</f>
        <v/>
      </c>
      <c r="H162" s="42">
        <f>ROUND(G162*H$6/12,2)</f>
        <v/>
      </c>
      <c r="I162" s="42">
        <f>MIN(I$6,G162+H162)</f>
        <v/>
      </c>
      <c r="J162" s="42">
        <f>MAX(0,MIN(G162+H162-I162,$F162))</f>
        <v/>
      </c>
      <c r="K162" s="42">
        <f>ROUND(G162+H162-I162-J162,2)</f>
        <v/>
      </c>
      <c r="L162">
        <f>$F162-J162</f>
        <v/>
      </c>
      <c r="M162" s="42">
        <f>Q161</f>
        <v/>
      </c>
      <c r="N162" s="42">
        <f>ROUND(M162*N$6/12,2)</f>
        <v/>
      </c>
      <c r="O162" s="42">
        <f>MIN(O$6,M162+N162)</f>
        <v/>
      </c>
      <c r="P162" s="42">
        <f>MAX(0,MIN(M162+N162-O162,L162))</f>
        <v/>
      </c>
      <c r="Q162" s="42">
        <f>ROUND(M162+N162-O162-P162,2)</f>
        <v/>
      </c>
      <c r="R162">
        <f>L162-P162</f>
        <v/>
      </c>
      <c r="S162" s="42">
        <f>W161</f>
        <v/>
      </c>
      <c r="T162" s="42">
        <f>ROUND(S162*T$6/12,2)</f>
        <v/>
      </c>
      <c r="U162" s="42">
        <f>MIN(U$6,S162+T162)</f>
        <v/>
      </c>
      <c r="V162" s="42">
        <f>MAX(0,MIN(S162+T162-U162,R162))</f>
        <v/>
      </c>
      <c r="W162" s="42">
        <f>ROUND(S162+T162-U162-V162,2)</f>
        <v/>
      </c>
      <c r="X162">
        <f>R162-V162</f>
        <v/>
      </c>
      <c r="Y162" s="42">
        <f>AC161</f>
        <v/>
      </c>
      <c r="Z162" s="42">
        <f>ROUND(Y162*Z$6/12,2)</f>
        <v/>
      </c>
      <c r="AA162" s="42">
        <f>MIN(AA$6,Y162+Z162)</f>
        <v/>
      </c>
      <c r="AB162" s="42">
        <f>MAX(0,MIN(Y162+Z162-AA162,X162))</f>
        <v/>
      </c>
      <c r="AC162" s="42">
        <f>ROUND(Y162+Z162-AA162-AB162,2)</f>
        <v/>
      </c>
      <c r="AD162">
        <f>X162-AB162</f>
        <v/>
      </c>
      <c r="AE162" s="42">
        <f>AI161</f>
        <v/>
      </c>
      <c r="AF162" s="42">
        <f>ROUND(AE162*AF$6/12,2)</f>
        <v/>
      </c>
      <c r="AG162" s="42">
        <f>MIN(AG$6,AE162+AF162)</f>
        <v/>
      </c>
      <c r="AH162" s="42">
        <f>MAX(0,MIN(AE162+AF162-AG162,AD162))</f>
        <v/>
      </c>
      <c r="AI162" s="42">
        <f>ROUND(AE162+AF162-AG162-AH162,2)</f>
        <v/>
      </c>
      <c r="AJ162">
        <f>AD162-AH162</f>
        <v/>
      </c>
      <c r="AK162" s="42">
        <f>AO161</f>
        <v/>
      </c>
      <c r="AL162" s="42">
        <f>ROUND(AK162*AL$6/12,2)</f>
        <v/>
      </c>
      <c r="AM162" s="42">
        <f>MIN(AM$6,AK162+AL162)</f>
        <v/>
      </c>
      <c r="AN162" s="42">
        <f>MAX(0,MIN(AK162+AL162-AM162,AJ162))</f>
        <v/>
      </c>
      <c r="AO162" s="42">
        <f>ROUND(AK162+AL162-AM162-AN162,2)</f>
        <v/>
      </c>
      <c r="AP162">
        <f>AJ162-AN162</f>
        <v/>
      </c>
      <c r="AQ162" s="42">
        <f>AU161</f>
        <v/>
      </c>
      <c r="AR162" s="42">
        <f>ROUND(AQ162*AR$6/12,2)</f>
        <v/>
      </c>
      <c r="AS162" s="42">
        <f>MIN(AS$6,AQ162+AR162)</f>
        <v/>
      </c>
      <c r="AT162" s="42">
        <f>MAX(0,MIN(AQ162+AR162-AS162,AP162))</f>
        <v/>
      </c>
      <c r="AU162" s="42">
        <f>ROUND(AQ162+AR162-AS162-AT162,2)</f>
        <v/>
      </c>
      <c r="AV162">
        <f>AP162-AT162</f>
        <v/>
      </c>
      <c r="AW162" s="42">
        <f>BA161</f>
        <v/>
      </c>
      <c r="AX162" s="42">
        <f>ROUND(AW162*AX$6/12,2)</f>
        <v/>
      </c>
      <c r="AY162" s="42">
        <f>MIN(AY$6,AW162+AX162)</f>
        <v/>
      </c>
      <c r="AZ162" s="42">
        <f>MAX(0,MIN(AW162+AX162-AY162,AV162))</f>
        <v/>
      </c>
      <c r="BA162" s="42">
        <f>ROUND(AW162+AX162-AY162-AZ162,2)</f>
        <v/>
      </c>
      <c r="BB162">
        <f>AV162-AZ162</f>
        <v/>
      </c>
      <c r="BC162" s="42">
        <f>BG161</f>
        <v/>
      </c>
      <c r="BD162" s="42">
        <f>ROUND(BC162*BD$6/12,2)</f>
        <v/>
      </c>
      <c r="BE162" s="42">
        <f>MIN(BE$6,BC162+BD162)</f>
        <v/>
      </c>
      <c r="BF162" s="42">
        <f>MAX(0,MIN(BC162+BD162-BE162,BB162))</f>
        <v/>
      </c>
      <c r="BG162" s="42">
        <f>ROUND(BC162+BD162-BE162-BF162,2)</f>
        <v/>
      </c>
      <c r="BH162">
        <f>BB162-BF162</f>
        <v/>
      </c>
      <c r="BI162" s="42">
        <f>BM161</f>
        <v/>
      </c>
      <c r="BJ162" s="42">
        <f>ROUND(BI162*BJ$6/12,2)</f>
        <v/>
      </c>
      <c r="BK162" s="42">
        <f>MIN(BK$6,BI162+BJ162)</f>
        <v/>
      </c>
      <c r="BL162" s="42">
        <f>MAX(0,MIN(BI162+BJ162-BK162,BH162))</f>
        <v/>
      </c>
      <c r="BM162" s="42">
        <f>ROUND(BI162+BJ162-BK162-BL162,2)</f>
        <v/>
      </c>
      <c r="BN162">
        <f>BH162-BL162</f>
        <v/>
      </c>
    </row>
    <row r="163">
      <c r="A163" s="43" t="n">
        <v>156</v>
      </c>
      <c r="B163" s="44">
        <f>EDATE('My Debts'!$C$6,A163-1)</f>
        <v/>
      </c>
      <c r="C163" s="45">
        <f>K163+Q163+W163+AC163+AI163+AO163+AU163+BA163+BG163+BM163</f>
        <v/>
      </c>
      <c r="D163" s="46">
        <f>I163+O163+U163+AA163+AG163+AM163+AS163+AY163+BE163+BK163+J163+P163+V163+AB163+AH163+AN163+AT163+AZ163+BF163+BL163</f>
        <v/>
      </c>
      <c r="E163" s="46">
        <f>H163+N163+T163+Z163+AF163+AL163+AR163+AX163+BD163+BJ163</f>
        <v/>
      </c>
      <c r="F163">
        <f>MAX(0,'My Debts'!$E$21-(I163+O163+U163+AA163+AG163+AM163+AS163+AY163+BE163+BK163))</f>
        <v/>
      </c>
      <c r="G163" s="42">
        <f>K162</f>
        <v/>
      </c>
      <c r="H163" s="42">
        <f>ROUND(G163*H$6/12,2)</f>
        <v/>
      </c>
      <c r="I163" s="42">
        <f>MIN(I$6,G163+H163)</f>
        <v/>
      </c>
      <c r="J163" s="42">
        <f>MAX(0,MIN(G163+H163-I163,$F163))</f>
        <v/>
      </c>
      <c r="K163" s="42">
        <f>ROUND(G163+H163-I163-J163,2)</f>
        <v/>
      </c>
      <c r="L163">
        <f>$F163-J163</f>
        <v/>
      </c>
      <c r="M163" s="42">
        <f>Q162</f>
        <v/>
      </c>
      <c r="N163" s="42">
        <f>ROUND(M163*N$6/12,2)</f>
        <v/>
      </c>
      <c r="O163" s="42">
        <f>MIN(O$6,M163+N163)</f>
        <v/>
      </c>
      <c r="P163" s="42">
        <f>MAX(0,MIN(M163+N163-O163,L163))</f>
        <v/>
      </c>
      <c r="Q163" s="42">
        <f>ROUND(M163+N163-O163-P163,2)</f>
        <v/>
      </c>
      <c r="R163">
        <f>L163-P163</f>
        <v/>
      </c>
      <c r="S163" s="42">
        <f>W162</f>
        <v/>
      </c>
      <c r="T163" s="42">
        <f>ROUND(S163*T$6/12,2)</f>
        <v/>
      </c>
      <c r="U163" s="42">
        <f>MIN(U$6,S163+T163)</f>
        <v/>
      </c>
      <c r="V163" s="42">
        <f>MAX(0,MIN(S163+T163-U163,R163))</f>
        <v/>
      </c>
      <c r="W163" s="42">
        <f>ROUND(S163+T163-U163-V163,2)</f>
        <v/>
      </c>
      <c r="X163">
        <f>R163-V163</f>
        <v/>
      </c>
      <c r="Y163" s="42">
        <f>AC162</f>
        <v/>
      </c>
      <c r="Z163" s="42">
        <f>ROUND(Y163*Z$6/12,2)</f>
        <v/>
      </c>
      <c r="AA163" s="42">
        <f>MIN(AA$6,Y163+Z163)</f>
        <v/>
      </c>
      <c r="AB163" s="42">
        <f>MAX(0,MIN(Y163+Z163-AA163,X163))</f>
        <v/>
      </c>
      <c r="AC163" s="42">
        <f>ROUND(Y163+Z163-AA163-AB163,2)</f>
        <v/>
      </c>
      <c r="AD163">
        <f>X163-AB163</f>
        <v/>
      </c>
      <c r="AE163" s="42">
        <f>AI162</f>
        <v/>
      </c>
      <c r="AF163" s="42">
        <f>ROUND(AE163*AF$6/12,2)</f>
        <v/>
      </c>
      <c r="AG163" s="42">
        <f>MIN(AG$6,AE163+AF163)</f>
        <v/>
      </c>
      <c r="AH163" s="42">
        <f>MAX(0,MIN(AE163+AF163-AG163,AD163))</f>
        <v/>
      </c>
      <c r="AI163" s="42">
        <f>ROUND(AE163+AF163-AG163-AH163,2)</f>
        <v/>
      </c>
      <c r="AJ163">
        <f>AD163-AH163</f>
        <v/>
      </c>
      <c r="AK163" s="42">
        <f>AO162</f>
        <v/>
      </c>
      <c r="AL163" s="42">
        <f>ROUND(AK163*AL$6/12,2)</f>
        <v/>
      </c>
      <c r="AM163" s="42">
        <f>MIN(AM$6,AK163+AL163)</f>
        <v/>
      </c>
      <c r="AN163" s="42">
        <f>MAX(0,MIN(AK163+AL163-AM163,AJ163))</f>
        <v/>
      </c>
      <c r="AO163" s="42">
        <f>ROUND(AK163+AL163-AM163-AN163,2)</f>
        <v/>
      </c>
      <c r="AP163">
        <f>AJ163-AN163</f>
        <v/>
      </c>
      <c r="AQ163" s="42">
        <f>AU162</f>
        <v/>
      </c>
      <c r="AR163" s="42">
        <f>ROUND(AQ163*AR$6/12,2)</f>
        <v/>
      </c>
      <c r="AS163" s="42">
        <f>MIN(AS$6,AQ163+AR163)</f>
        <v/>
      </c>
      <c r="AT163" s="42">
        <f>MAX(0,MIN(AQ163+AR163-AS163,AP163))</f>
        <v/>
      </c>
      <c r="AU163" s="42">
        <f>ROUND(AQ163+AR163-AS163-AT163,2)</f>
        <v/>
      </c>
      <c r="AV163">
        <f>AP163-AT163</f>
        <v/>
      </c>
      <c r="AW163" s="42">
        <f>BA162</f>
        <v/>
      </c>
      <c r="AX163" s="42">
        <f>ROUND(AW163*AX$6/12,2)</f>
        <v/>
      </c>
      <c r="AY163" s="42">
        <f>MIN(AY$6,AW163+AX163)</f>
        <v/>
      </c>
      <c r="AZ163" s="42">
        <f>MAX(0,MIN(AW163+AX163-AY163,AV163))</f>
        <v/>
      </c>
      <c r="BA163" s="42">
        <f>ROUND(AW163+AX163-AY163-AZ163,2)</f>
        <v/>
      </c>
      <c r="BB163">
        <f>AV163-AZ163</f>
        <v/>
      </c>
      <c r="BC163" s="42">
        <f>BG162</f>
        <v/>
      </c>
      <c r="BD163" s="42">
        <f>ROUND(BC163*BD$6/12,2)</f>
        <v/>
      </c>
      <c r="BE163" s="42">
        <f>MIN(BE$6,BC163+BD163)</f>
        <v/>
      </c>
      <c r="BF163" s="42">
        <f>MAX(0,MIN(BC163+BD163-BE163,BB163))</f>
        <v/>
      </c>
      <c r="BG163" s="42">
        <f>ROUND(BC163+BD163-BE163-BF163,2)</f>
        <v/>
      </c>
      <c r="BH163">
        <f>BB163-BF163</f>
        <v/>
      </c>
      <c r="BI163" s="42">
        <f>BM162</f>
        <v/>
      </c>
      <c r="BJ163" s="42">
        <f>ROUND(BI163*BJ$6/12,2)</f>
        <v/>
      </c>
      <c r="BK163" s="42">
        <f>MIN(BK$6,BI163+BJ163)</f>
        <v/>
      </c>
      <c r="BL163" s="42">
        <f>MAX(0,MIN(BI163+BJ163-BK163,BH163))</f>
        <v/>
      </c>
      <c r="BM163" s="42">
        <f>ROUND(BI163+BJ163-BK163-BL163,2)</f>
        <v/>
      </c>
      <c r="BN163">
        <f>BH163-BL163</f>
        <v/>
      </c>
    </row>
    <row r="164">
      <c r="A164" s="39" t="n">
        <v>157</v>
      </c>
      <c r="B164" s="40">
        <f>EDATE('My Debts'!$C$6,A164-1)</f>
        <v/>
      </c>
      <c r="C164" s="41">
        <f>K164+Q164+W164+AC164+AI164+AO164+AU164+BA164+BG164+BM164</f>
        <v/>
      </c>
      <c r="D164" s="42">
        <f>I164+O164+U164+AA164+AG164+AM164+AS164+AY164+BE164+BK164+J164+P164+V164+AB164+AH164+AN164+AT164+AZ164+BF164+BL164</f>
        <v/>
      </c>
      <c r="E164" s="42">
        <f>H164+N164+T164+Z164+AF164+AL164+AR164+AX164+BD164+BJ164</f>
        <v/>
      </c>
      <c r="F164">
        <f>MAX(0,'My Debts'!$E$21-(I164+O164+U164+AA164+AG164+AM164+AS164+AY164+BE164+BK164))</f>
        <v/>
      </c>
      <c r="G164" s="42">
        <f>K163</f>
        <v/>
      </c>
      <c r="H164" s="42">
        <f>ROUND(G164*H$6/12,2)</f>
        <v/>
      </c>
      <c r="I164" s="42">
        <f>MIN(I$6,G164+H164)</f>
        <v/>
      </c>
      <c r="J164" s="42">
        <f>MAX(0,MIN(G164+H164-I164,$F164))</f>
        <v/>
      </c>
      <c r="K164" s="42">
        <f>ROUND(G164+H164-I164-J164,2)</f>
        <v/>
      </c>
      <c r="L164">
        <f>$F164-J164</f>
        <v/>
      </c>
      <c r="M164" s="42">
        <f>Q163</f>
        <v/>
      </c>
      <c r="N164" s="42">
        <f>ROUND(M164*N$6/12,2)</f>
        <v/>
      </c>
      <c r="O164" s="42">
        <f>MIN(O$6,M164+N164)</f>
        <v/>
      </c>
      <c r="P164" s="42">
        <f>MAX(0,MIN(M164+N164-O164,L164))</f>
        <v/>
      </c>
      <c r="Q164" s="42">
        <f>ROUND(M164+N164-O164-P164,2)</f>
        <v/>
      </c>
      <c r="R164">
        <f>L164-P164</f>
        <v/>
      </c>
      <c r="S164" s="42">
        <f>W163</f>
        <v/>
      </c>
      <c r="T164" s="42">
        <f>ROUND(S164*T$6/12,2)</f>
        <v/>
      </c>
      <c r="U164" s="42">
        <f>MIN(U$6,S164+T164)</f>
        <v/>
      </c>
      <c r="V164" s="42">
        <f>MAX(0,MIN(S164+T164-U164,R164))</f>
        <v/>
      </c>
      <c r="W164" s="42">
        <f>ROUND(S164+T164-U164-V164,2)</f>
        <v/>
      </c>
      <c r="X164">
        <f>R164-V164</f>
        <v/>
      </c>
      <c r="Y164" s="42">
        <f>AC163</f>
        <v/>
      </c>
      <c r="Z164" s="42">
        <f>ROUND(Y164*Z$6/12,2)</f>
        <v/>
      </c>
      <c r="AA164" s="42">
        <f>MIN(AA$6,Y164+Z164)</f>
        <v/>
      </c>
      <c r="AB164" s="42">
        <f>MAX(0,MIN(Y164+Z164-AA164,X164))</f>
        <v/>
      </c>
      <c r="AC164" s="42">
        <f>ROUND(Y164+Z164-AA164-AB164,2)</f>
        <v/>
      </c>
      <c r="AD164">
        <f>X164-AB164</f>
        <v/>
      </c>
      <c r="AE164" s="42">
        <f>AI163</f>
        <v/>
      </c>
      <c r="AF164" s="42">
        <f>ROUND(AE164*AF$6/12,2)</f>
        <v/>
      </c>
      <c r="AG164" s="42">
        <f>MIN(AG$6,AE164+AF164)</f>
        <v/>
      </c>
      <c r="AH164" s="42">
        <f>MAX(0,MIN(AE164+AF164-AG164,AD164))</f>
        <v/>
      </c>
      <c r="AI164" s="42">
        <f>ROUND(AE164+AF164-AG164-AH164,2)</f>
        <v/>
      </c>
      <c r="AJ164">
        <f>AD164-AH164</f>
        <v/>
      </c>
      <c r="AK164" s="42">
        <f>AO163</f>
        <v/>
      </c>
      <c r="AL164" s="42">
        <f>ROUND(AK164*AL$6/12,2)</f>
        <v/>
      </c>
      <c r="AM164" s="42">
        <f>MIN(AM$6,AK164+AL164)</f>
        <v/>
      </c>
      <c r="AN164" s="42">
        <f>MAX(0,MIN(AK164+AL164-AM164,AJ164))</f>
        <v/>
      </c>
      <c r="AO164" s="42">
        <f>ROUND(AK164+AL164-AM164-AN164,2)</f>
        <v/>
      </c>
      <c r="AP164">
        <f>AJ164-AN164</f>
        <v/>
      </c>
      <c r="AQ164" s="42">
        <f>AU163</f>
        <v/>
      </c>
      <c r="AR164" s="42">
        <f>ROUND(AQ164*AR$6/12,2)</f>
        <v/>
      </c>
      <c r="AS164" s="42">
        <f>MIN(AS$6,AQ164+AR164)</f>
        <v/>
      </c>
      <c r="AT164" s="42">
        <f>MAX(0,MIN(AQ164+AR164-AS164,AP164))</f>
        <v/>
      </c>
      <c r="AU164" s="42">
        <f>ROUND(AQ164+AR164-AS164-AT164,2)</f>
        <v/>
      </c>
      <c r="AV164">
        <f>AP164-AT164</f>
        <v/>
      </c>
      <c r="AW164" s="42">
        <f>BA163</f>
        <v/>
      </c>
      <c r="AX164" s="42">
        <f>ROUND(AW164*AX$6/12,2)</f>
        <v/>
      </c>
      <c r="AY164" s="42">
        <f>MIN(AY$6,AW164+AX164)</f>
        <v/>
      </c>
      <c r="AZ164" s="42">
        <f>MAX(0,MIN(AW164+AX164-AY164,AV164))</f>
        <v/>
      </c>
      <c r="BA164" s="42">
        <f>ROUND(AW164+AX164-AY164-AZ164,2)</f>
        <v/>
      </c>
      <c r="BB164">
        <f>AV164-AZ164</f>
        <v/>
      </c>
      <c r="BC164" s="42">
        <f>BG163</f>
        <v/>
      </c>
      <c r="BD164" s="42">
        <f>ROUND(BC164*BD$6/12,2)</f>
        <v/>
      </c>
      <c r="BE164" s="42">
        <f>MIN(BE$6,BC164+BD164)</f>
        <v/>
      </c>
      <c r="BF164" s="42">
        <f>MAX(0,MIN(BC164+BD164-BE164,BB164))</f>
        <v/>
      </c>
      <c r="BG164" s="42">
        <f>ROUND(BC164+BD164-BE164-BF164,2)</f>
        <v/>
      </c>
      <c r="BH164">
        <f>BB164-BF164</f>
        <v/>
      </c>
      <c r="BI164" s="42">
        <f>BM163</f>
        <v/>
      </c>
      <c r="BJ164" s="42">
        <f>ROUND(BI164*BJ$6/12,2)</f>
        <v/>
      </c>
      <c r="BK164" s="42">
        <f>MIN(BK$6,BI164+BJ164)</f>
        <v/>
      </c>
      <c r="BL164" s="42">
        <f>MAX(0,MIN(BI164+BJ164-BK164,BH164))</f>
        <v/>
      </c>
      <c r="BM164" s="42">
        <f>ROUND(BI164+BJ164-BK164-BL164,2)</f>
        <v/>
      </c>
      <c r="BN164">
        <f>BH164-BL164</f>
        <v/>
      </c>
    </row>
    <row r="165">
      <c r="A165" s="43" t="n">
        <v>158</v>
      </c>
      <c r="B165" s="44">
        <f>EDATE('My Debts'!$C$6,A165-1)</f>
        <v/>
      </c>
      <c r="C165" s="45">
        <f>K165+Q165+W165+AC165+AI165+AO165+AU165+BA165+BG165+BM165</f>
        <v/>
      </c>
      <c r="D165" s="46">
        <f>I165+O165+U165+AA165+AG165+AM165+AS165+AY165+BE165+BK165+J165+P165+V165+AB165+AH165+AN165+AT165+AZ165+BF165+BL165</f>
        <v/>
      </c>
      <c r="E165" s="46">
        <f>H165+N165+T165+Z165+AF165+AL165+AR165+AX165+BD165+BJ165</f>
        <v/>
      </c>
      <c r="F165">
        <f>MAX(0,'My Debts'!$E$21-(I165+O165+U165+AA165+AG165+AM165+AS165+AY165+BE165+BK165))</f>
        <v/>
      </c>
      <c r="G165" s="42">
        <f>K164</f>
        <v/>
      </c>
      <c r="H165" s="42">
        <f>ROUND(G165*H$6/12,2)</f>
        <v/>
      </c>
      <c r="I165" s="42">
        <f>MIN(I$6,G165+H165)</f>
        <v/>
      </c>
      <c r="J165" s="42">
        <f>MAX(0,MIN(G165+H165-I165,$F165))</f>
        <v/>
      </c>
      <c r="K165" s="42">
        <f>ROUND(G165+H165-I165-J165,2)</f>
        <v/>
      </c>
      <c r="L165">
        <f>$F165-J165</f>
        <v/>
      </c>
      <c r="M165" s="42">
        <f>Q164</f>
        <v/>
      </c>
      <c r="N165" s="42">
        <f>ROUND(M165*N$6/12,2)</f>
        <v/>
      </c>
      <c r="O165" s="42">
        <f>MIN(O$6,M165+N165)</f>
        <v/>
      </c>
      <c r="P165" s="42">
        <f>MAX(0,MIN(M165+N165-O165,L165))</f>
        <v/>
      </c>
      <c r="Q165" s="42">
        <f>ROUND(M165+N165-O165-P165,2)</f>
        <v/>
      </c>
      <c r="R165">
        <f>L165-P165</f>
        <v/>
      </c>
      <c r="S165" s="42">
        <f>W164</f>
        <v/>
      </c>
      <c r="T165" s="42">
        <f>ROUND(S165*T$6/12,2)</f>
        <v/>
      </c>
      <c r="U165" s="42">
        <f>MIN(U$6,S165+T165)</f>
        <v/>
      </c>
      <c r="V165" s="42">
        <f>MAX(0,MIN(S165+T165-U165,R165))</f>
        <v/>
      </c>
      <c r="W165" s="42">
        <f>ROUND(S165+T165-U165-V165,2)</f>
        <v/>
      </c>
      <c r="X165">
        <f>R165-V165</f>
        <v/>
      </c>
      <c r="Y165" s="42">
        <f>AC164</f>
        <v/>
      </c>
      <c r="Z165" s="42">
        <f>ROUND(Y165*Z$6/12,2)</f>
        <v/>
      </c>
      <c r="AA165" s="42">
        <f>MIN(AA$6,Y165+Z165)</f>
        <v/>
      </c>
      <c r="AB165" s="42">
        <f>MAX(0,MIN(Y165+Z165-AA165,X165))</f>
        <v/>
      </c>
      <c r="AC165" s="42">
        <f>ROUND(Y165+Z165-AA165-AB165,2)</f>
        <v/>
      </c>
      <c r="AD165">
        <f>X165-AB165</f>
        <v/>
      </c>
      <c r="AE165" s="42">
        <f>AI164</f>
        <v/>
      </c>
      <c r="AF165" s="42">
        <f>ROUND(AE165*AF$6/12,2)</f>
        <v/>
      </c>
      <c r="AG165" s="42">
        <f>MIN(AG$6,AE165+AF165)</f>
        <v/>
      </c>
      <c r="AH165" s="42">
        <f>MAX(0,MIN(AE165+AF165-AG165,AD165))</f>
        <v/>
      </c>
      <c r="AI165" s="42">
        <f>ROUND(AE165+AF165-AG165-AH165,2)</f>
        <v/>
      </c>
      <c r="AJ165">
        <f>AD165-AH165</f>
        <v/>
      </c>
      <c r="AK165" s="42">
        <f>AO164</f>
        <v/>
      </c>
      <c r="AL165" s="42">
        <f>ROUND(AK165*AL$6/12,2)</f>
        <v/>
      </c>
      <c r="AM165" s="42">
        <f>MIN(AM$6,AK165+AL165)</f>
        <v/>
      </c>
      <c r="AN165" s="42">
        <f>MAX(0,MIN(AK165+AL165-AM165,AJ165))</f>
        <v/>
      </c>
      <c r="AO165" s="42">
        <f>ROUND(AK165+AL165-AM165-AN165,2)</f>
        <v/>
      </c>
      <c r="AP165">
        <f>AJ165-AN165</f>
        <v/>
      </c>
      <c r="AQ165" s="42">
        <f>AU164</f>
        <v/>
      </c>
      <c r="AR165" s="42">
        <f>ROUND(AQ165*AR$6/12,2)</f>
        <v/>
      </c>
      <c r="AS165" s="42">
        <f>MIN(AS$6,AQ165+AR165)</f>
        <v/>
      </c>
      <c r="AT165" s="42">
        <f>MAX(0,MIN(AQ165+AR165-AS165,AP165))</f>
        <v/>
      </c>
      <c r="AU165" s="42">
        <f>ROUND(AQ165+AR165-AS165-AT165,2)</f>
        <v/>
      </c>
      <c r="AV165">
        <f>AP165-AT165</f>
        <v/>
      </c>
      <c r="AW165" s="42">
        <f>BA164</f>
        <v/>
      </c>
      <c r="AX165" s="42">
        <f>ROUND(AW165*AX$6/12,2)</f>
        <v/>
      </c>
      <c r="AY165" s="42">
        <f>MIN(AY$6,AW165+AX165)</f>
        <v/>
      </c>
      <c r="AZ165" s="42">
        <f>MAX(0,MIN(AW165+AX165-AY165,AV165))</f>
        <v/>
      </c>
      <c r="BA165" s="42">
        <f>ROUND(AW165+AX165-AY165-AZ165,2)</f>
        <v/>
      </c>
      <c r="BB165">
        <f>AV165-AZ165</f>
        <v/>
      </c>
      <c r="BC165" s="42">
        <f>BG164</f>
        <v/>
      </c>
      <c r="BD165" s="42">
        <f>ROUND(BC165*BD$6/12,2)</f>
        <v/>
      </c>
      <c r="BE165" s="42">
        <f>MIN(BE$6,BC165+BD165)</f>
        <v/>
      </c>
      <c r="BF165" s="42">
        <f>MAX(0,MIN(BC165+BD165-BE165,BB165))</f>
        <v/>
      </c>
      <c r="BG165" s="42">
        <f>ROUND(BC165+BD165-BE165-BF165,2)</f>
        <v/>
      </c>
      <c r="BH165">
        <f>BB165-BF165</f>
        <v/>
      </c>
      <c r="BI165" s="42">
        <f>BM164</f>
        <v/>
      </c>
      <c r="BJ165" s="42">
        <f>ROUND(BI165*BJ$6/12,2)</f>
        <v/>
      </c>
      <c r="BK165" s="42">
        <f>MIN(BK$6,BI165+BJ165)</f>
        <v/>
      </c>
      <c r="BL165" s="42">
        <f>MAX(0,MIN(BI165+BJ165-BK165,BH165))</f>
        <v/>
      </c>
      <c r="BM165" s="42">
        <f>ROUND(BI165+BJ165-BK165-BL165,2)</f>
        <v/>
      </c>
      <c r="BN165">
        <f>BH165-BL165</f>
        <v/>
      </c>
    </row>
    <row r="166">
      <c r="A166" s="39" t="n">
        <v>159</v>
      </c>
      <c r="B166" s="40">
        <f>EDATE('My Debts'!$C$6,A166-1)</f>
        <v/>
      </c>
      <c r="C166" s="41">
        <f>K166+Q166+W166+AC166+AI166+AO166+AU166+BA166+BG166+BM166</f>
        <v/>
      </c>
      <c r="D166" s="42">
        <f>I166+O166+U166+AA166+AG166+AM166+AS166+AY166+BE166+BK166+J166+P166+V166+AB166+AH166+AN166+AT166+AZ166+BF166+BL166</f>
        <v/>
      </c>
      <c r="E166" s="42">
        <f>H166+N166+T166+Z166+AF166+AL166+AR166+AX166+BD166+BJ166</f>
        <v/>
      </c>
      <c r="F166">
        <f>MAX(0,'My Debts'!$E$21-(I166+O166+U166+AA166+AG166+AM166+AS166+AY166+BE166+BK166))</f>
        <v/>
      </c>
      <c r="G166" s="42">
        <f>K165</f>
        <v/>
      </c>
      <c r="H166" s="42">
        <f>ROUND(G166*H$6/12,2)</f>
        <v/>
      </c>
      <c r="I166" s="42">
        <f>MIN(I$6,G166+H166)</f>
        <v/>
      </c>
      <c r="J166" s="42">
        <f>MAX(0,MIN(G166+H166-I166,$F166))</f>
        <v/>
      </c>
      <c r="K166" s="42">
        <f>ROUND(G166+H166-I166-J166,2)</f>
        <v/>
      </c>
      <c r="L166">
        <f>$F166-J166</f>
        <v/>
      </c>
      <c r="M166" s="42">
        <f>Q165</f>
        <v/>
      </c>
      <c r="N166" s="42">
        <f>ROUND(M166*N$6/12,2)</f>
        <v/>
      </c>
      <c r="O166" s="42">
        <f>MIN(O$6,M166+N166)</f>
        <v/>
      </c>
      <c r="P166" s="42">
        <f>MAX(0,MIN(M166+N166-O166,L166))</f>
        <v/>
      </c>
      <c r="Q166" s="42">
        <f>ROUND(M166+N166-O166-P166,2)</f>
        <v/>
      </c>
      <c r="R166">
        <f>L166-P166</f>
        <v/>
      </c>
      <c r="S166" s="42">
        <f>W165</f>
        <v/>
      </c>
      <c r="T166" s="42">
        <f>ROUND(S166*T$6/12,2)</f>
        <v/>
      </c>
      <c r="U166" s="42">
        <f>MIN(U$6,S166+T166)</f>
        <v/>
      </c>
      <c r="V166" s="42">
        <f>MAX(0,MIN(S166+T166-U166,R166))</f>
        <v/>
      </c>
      <c r="W166" s="42">
        <f>ROUND(S166+T166-U166-V166,2)</f>
        <v/>
      </c>
      <c r="X166">
        <f>R166-V166</f>
        <v/>
      </c>
      <c r="Y166" s="42">
        <f>AC165</f>
        <v/>
      </c>
      <c r="Z166" s="42">
        <f>ROUND(Y166*Z$6/12,2)</f>
        <v/>
      </c>
      <c r="AA166" s="42">
        <f>MIN(AA$6,Y166+Z166)</f>
        <v/>
      </c>
      <c r="AB166" s="42">
        <f>MAX(0,MIN(Y166+Z166-AA166,X166))</f>
        <v/>
      </c>
      <c r="AC166" s="42">
        <f>ROUND(Y166+Z166-AA166-AB166,2)</f>
        <v/>
      </c>
      <c r="AD166">
        <f>X166-AB166</f>
        <v/>
      </c>
      <c r="AE166" s="42">
        <f>AI165</f>
        <v/>
      </c>
      <c r="AF166" s="42">
        <f>ROUND(AE166*AF$6/12,2)</f>
        <v/>
      </c>
      <c r="AG166" s="42">
        <f>MIN(AG$6,AE166+AF166)</f>
        <v/>
      </c>
      <c r="AH166" s="42">
        <f>MAX(0,MIN(AE166+AF166-AG166,AD166))</f>
        <v/>
      </c>
      <c r="AI166" s="42">
        <f>ROUND(AE166+AF166-AG166-AH166,2)</f>
        <v/>
      </c>
      <c r="AJ166">
        <f>AD166-AH166</f>
        <v/>
      </c>
      <c r="AK166" s="42">
        <f>AO165</f>
        <v/>
      </c>
      <c r="AL166" s="42">
        <f>ROUND(AK166*AL$6/12,2)</f>
        <v/>
      </c>
      <c r="AM166" s="42">
        <f>MIN(AM$6,AK166+AL166)</f>
        <v/>
      </c>
      <c r="AN166" s="42">
        <f>MAX(0,MIN(AK166+AL166-AM166,AJ166))</f>
        <v/>
      </c>
      <c r="AO166" s="42">
        <f>ROUND(AK166+AL166-AM166-AN166,2)</f>
        <v/>
      </c>
      <c r="AP166">
        <f>AJ166-AN166</f>
        <v/>
      </c>
      <c r="AQ166" s="42">
        <f>AU165</f>
        <v/>
      </c>
      <c r="AR166" s="42">
        <f>ROUND(AQ166*AR$6/12,2)</f>
        <v/>
      </c>
      <c r="AS166" s="42">
        <f>MIN(AS$6,AQ166+AR166)</f>
        <v/>
      </c>
      <c r="AT166" s="42">
        <f>MAX(0,MIN(AQ166+AR166-AS166,AP166))</f>
        <v/>
      </c>
      <c r="AU166" s="42">
        <f>ROUND(AQ166+AR166-AS166-AT166,2)</f>
        <v/>
      </c>
      <c r="AV166">
        <f>AP166-AT166</f>
        <v/>
      </c>
      <c r="AW166" s="42">
        <f>BA165</f>
        <v/>
      </c>
      <c r="AX166" s="42">
        <f>ROUND(AW166*AX$6/12,2)</f>
        <v/>
      </c>
      <c r="AY166" s="42">
        <f>MIN(AY$6,AW166+AX166)</f>
        <v/>
      </c>
      <c r="AZ166" s="42">
        <f>MAX(0,MIN(AW166+AX166-AY166,AV166))</f>
        <v/>
      </c>
      <c r="BA166" s="42">
        <f>ROUND(AW166+AX166-AY166-AZ166,2)</f>
        <v/>
      </c>
      <c r="BB166">
        <f>AV166-AZ166</f>
        <v/>
      </c>
      <c r="BC166" s="42">
        <f>BG165</f>
        <v/>
      </c>
      <c r="BD166" s="42">
        <f>ROUND(BC166*BD$6/12,2)</f>
        <v/>
      </c>
      <c r="BE166" s="42">
        <f>MIN(BE$6,BC166+BD166)</f>
        <v/>
      </c>
      <c r="BF166" s="42">
        <f>MAX(0,MIN(BC166+BD166-BE166,BB166))</f>
        <v/>
      </c>
      <c r="BG166" s="42">
        <f>ROUND(BC166+BD166-BE166-BF166,2)</f>
        <v/>
      </c>
      <c r="BH166">
        <f>BB166-BF166</f>
        <v/>
      </c>
      <c r="BI166" s="42">
        <f>BM165</f>
        <v/>
      </c>
      <c r="BJ166" s="42">
        <f>ROUND(BI166*BJ$6/12,2)</f>
        <v/>
      </c>
      <c r="BK166" s="42">
        <f>MIN(BK$6,BI166+BJ166)</f>
        <v/>
      </c>
      <c r="BL166" s="42">
        <f>MAX(0,MIN(BI166+BJ166-BK166,BH166))</f>
        <v/>
      </c>
      <c r="BM166" s="42">
        <f>ROUND(BI166+BJ166-BK166-BL166,2)</f>
        <v/>
      </c>
      <c r="BN166">
        <f>BH166-BL166</f>
        <v/>
      </c>
    </row>
    <row r="167">
      <c r="A167" s="43" t="n">
        <v>160</v>
      </c>
      <c r="B167" s="44">
        <f>EDATE('My Debts'!$C$6,A167-1)</f>
        <v/>
      </c>
      <c r="C167" s="45">
        <f>K167+Q167+W167+AC167+AI167+AO167+AU167+BA167+BG167+BM167</f>
        <v/>
      </c>
      <c r="D167" s="46">
        <f>I167+O167+U167+AA167+AG167+AM167+AS167+AY167+BE167+BK167+J167+P167+V167+AB167+AH167+AN167+AT167+AZ167+BF167+BL167</f>
        <v/>
      </c>
      <c r="E167" s="46">
        <f>H167+N167+T167+Z167+AF167+AL167+AR167+AX167+BD167+BJ167</f>
        <v/>
      </c>
      <c r="F167">
        <f>MAX(0,'My Debts'!$E$21-(I167+O167+U167+AA167+AG167+AM167+AS167+AY167+BE167+BK167))</f>
        <v/>
      </c>
      <c r="G167" s="42">
        <f>K166</f>
        <v/>
      </c>
      <c r="H167" s="42">
        <f>ROUND(G167*H$6/12,2)</f>
        <v/>
      </c>
      <c r="I167" s="42">
        <f>MIN(I$6,G167+H167)</f>
        <v/>
      </c>
      <c r="J167" s="42">
        <f>MAX(0,MIN(G167+H167-I167,$F167))</f>
        <v/>
      </c>
      <c r="K167" s="42">
        <f>ROUND(G167+H167-I167-J167,2)</f>
        <v/>
      </c>
      <c r="L167">
        <f>$F167-J167</f>
        <v/>
      </c>
      <c r="M167" s="42">
        <f>Q166</f>
        <v/>
      </c>
      <c r="N167" s="42">
        <f>ROUND(M167*N$6/12,2)</f>
        <v/>
      </c>
      <c r="O167" s="42">
        <f>MIN(O$6,M167+N167)</f>
        <v/>
      </c>
      <c r="P167" s="42">
        <f>MAX(0,MIN(M167+N167-O167,L167))</f>
        <v/>
      </c>
      <c r="Q167" s="42">
        <f>ROUND(M167+N167-O167-P167,2)</f>
        <v/>
      </c>
      <c r="R167">
        <f>L167-P167</f>
        <v/>
      </c>
      <c r="S167" s="42">
        <f>W166</f>
        <v/>
      </c>
      <c r="T167" s="42">
        <f>ROUND(S167*T$6/12,2)</f>
        <v/>
      </c>
      <c r="U167" s="42">
        <f>MIN(U$6,S167+T167)</f>
        <v/>
      </c>
      <c r="V167" s="42">
        <f>MAX(0,MIN(S167+T167-U167,R167))</f>
        <v/>
      </c>
      <c r="W167" s="42">
        <f>ROUND(S167+T167-U167-V167,2)</f>
        <v/>
      </c>
      <c r="X167">
        <f>R167-V167</f>
        <v/>
      </c>
      <c r="Y167" s="42">
        <f>AC166</f>
        <v/>
      </c>
      <c r="Z167" s="42">
        <f>ROUND(Y167*Z$6/12,2)</f>
        <v/>
      </c>
      <c r="AA167" s="42">
        <f>MIN(AA$6,Y167+Z167)</f>
        <v/>
      </c>
      <c r="AB167" s="42">
        <f>MAX(0,MIN(Y167+Z167-AA167,X167))</f>
        <v/>
      </c>
      <c r="AC167" s="42">
        <f>ROUND(Y167+Z167-AA167-AB167,2)</f>
        <v/>
      </c>
      <c r="AD167">
        <f>X167-AB167</f>
        <v/>
      </c>
      <c r="AE167" s="42">
        <f>AI166</f>
        <v/>
      </c>
      <c r="AF167" s="42">
        <f>ROUND(AE167*AF$6/12,2)</f>
        <v/>
      </c>
      <c r="AG167" s="42">
        <f>MIN(AG$6,AE167+AF167)</f>
        <v/>
      </c>
      <c r="AH167" s="42">
        <f>MAX(0,MIN(AE167+AF167-AG167,AD167))</f>
        <v/>
      </c>
      <c r="AI167" s="42">
        <f>ROUND(AE167+AF167-AG167-AH167,2)</f>
        <v/>
      </c>
      <c r="AJ167">
        <f>AD167-AH167</f>
        <v/>
      </c>
      <c r="AK167" s="42">
        <f>AO166</f>
        <v/>
      </c>
      <c r="AL167" s="42">
        <f>ROUND(AK167*AL$6/12,2)</f>
        <v/>
      </c>
      <c r="AM167" s="42">
        <f>MIN(AM$6,AK167+AL167)</f>
        <v/>
      </c>
      <c r="AN167" s="42">
        <f>MAX(0,MIN(AK167+AL167-AM167,AJ167))</f>
        <v/>
      </c>
      <c r="AO167" s="42">
        <f>ROUND(AK167+AL167-AM167-AN167,2)</f>
        <v/>
      </c>
      <c r="AP167">
        <f>AJ167-AN167</f>
        <v/>
      </c>
      <c r="AQ167" s="42">
        <f>AU166</f>
        <v/>
      </c>
      <c r="AR167" s="42">
        <f>ROUND(AQ167*AR$6/12,2)</f>
        <v/>
      </c>
      <c r="AS167" s="42">
        <f>MIN(AS$6,AQ167+AR167)</f>
        <v/>
      </c>
      <c r="AT167" s="42">
        <f>MAX(0,MIN(AQ167+AR167-AS167,AP167))</f>
        <v/>
      </c>
      <c r="AU167" s="42">
        <f>ROUND(AQ167+AR167-AS167-AT167,2)</f>
        <v/>
      </c>
      <c r="AV167">
        <f>AP167-AT167</f>
        <v/>
      </c>
      <c r="AW167" s="42">
        <f>BA166</f>
        <v/>
      </c>
      <c r="AX167" s="42">
        <f>ROUND(AW167*AX$6/12,2)</f>
        <v/>
      </c>
      <c r="AY167" s="42">
        <f>MIN(AY$6,AW167+AX167)</f>
        <v/>
      </c>
      <c r="AZ167" s="42">
        <f>MAX(0,MIN(AW167+AX167-AY167,AV167))</f>
        <v/>
      </c>
      <c r="BA167" s="42">
        <f>ROUND(AW167+AX167-AY167-AZ167,2)</f>
        <v/>
      </c>
      <c r="BB167">
        <f>AV167-AZ167</f>
        <v/>
      </c>
      <c r="BC167" s="42">
        <f>BG166</f>
        <v/>
      </c>
      <c r="BD167" s="42">
        <f>ROUND(BC167*BD$6/12,2)</f>
        <v/>
      </c>
      <c r="BE167" s="42">
        <f>MIN(BE$6,BC167+BD167)</f>
        <v/>
      </c>
      <c r="BF167" s="42">
        <f>MAX(0,MIN(BC167+BD167-BE167,BB167))</f>
        <v/>
      </c>
      <c r="BG167" s="42">
        <f>ROUND(BC167+BD167-BE167-BF167,2)</f>
        <v/>
      </c>
      <c r="BH167">
        <f>BB167-BF167</f>
        <v/>
      </c>
      <c r="BI167" s="42">
        <f>BM166</f>
        <v/>
      </c>
      <c r="BJ167" s="42">
        <f>ROUND(BI167*BJ$6/12,2)</f>
        <v/>
      </c>
      <c r="BK167" s="42">
        <f>MIN(BK$6,BI167+BJ167)</f>
        <v/>
      </c>
      <c r="BL167" s="42">
        <f>MAX(0,MIN(BI167+BJ167-BK167,BH167))</f>
        <v/>
      </c>
      <c r="BM167" s="42">
        <f>ROUND(BI167+BJ167-BK167-BL167,2)</f>
        <v/>
      </c>
      <c r="BN167">
        <f>BH167-BL167</f>
        <v/>
      </c>
    </row>
    <row r="168">
      <c r="A168" s="39" t="n">
        <v>161</v>
      </c>
      <c r="B168" s="40">
        <f>EDATE('My Debts'!$C$6,A168-1)</f>
        <v/>
      </c>
      <c r="C168" s="41">
        <f>K168+Q168+W168+AC168+AI168+AO168+AU168+BA168+BG168+BM168</f>
        <v/>
      </c>
      <c r="D168" s="42">
        <f>I168+O168+U168+AA168+AG168+AM168+AS168+AY168+BE168+BK168+J168+P168+V168+AB168+AH168+AN168+AT168+AZ168+BF168+BL168</f>
        <v/>
      </c>
      <c r="E168" s="42">
        <f>H168+N168+T168+Z168+AF168+AL168+AR168+AX168+BD168+BJ168</f>
        <v/>
      </c>
      <c r="F168">
        <f>MAX(0,'My Debts'!$E$21-(I168+O168+U168+AA168+AG168+AM168+AS168+AY168+BE168+BK168))</f>
        <v/>
      </c>
      <c r="G168" s="42">
        <f>K167</f>
        <v/>
      </c>
      <c r="H168" s="42">
        <f>ROUND(G168*H$6/12,2)</f>
        <v/>
      </c>
      <c r="I168" s="42">
        <f>MIN(I$6,G168+H168)</f>
        <v/>
      </c>
      <c r="J168" s="42">
        <f>MAX(0,MIN(G168+H168-I168,$F168))</f>
        <v/>
      </c>
      <c r="K168" s="42">
        <f>ROUND(G168+H168-I168-J168,2)</f>
        <v/>
      </c>
      <c r="L168">
        <f>$F168-J168</f>
        <v/>
      </c>
      <c r="M168" s="42">
        <f>Q167</f>
        <v/>
      </c>
      <c r="N168" s="42">
        <f>ROUND(M168*N$6/12,2)</f>
        <v/>
      </c>
      <c r="O168" s="42">
        <f>MIN(O$6,M168+N168)</f>
        <v/>
      </c>
      <c r="P168" s="42">
        <f>MAX(0,MIN(M168+N168-O168,L168))</f>
        <v/>
      </c>
      <c r="Q168" s="42">
        <f>ROUND(M168+N168-O168-P168,2)</f>
        <v/>
      </c>
      <c r="R168">
        <f>L168-P168</f>
        <v/>
      </c>
      <c r="S168" s="42">
        <f>W167</f>
        <v/>
      </c>
      <c r="T168" s="42">
        <f>ROUND(S168*T$6/12,2)</f>
        <v/>
      </c>
      <c r="U168" s="42">
        <f>MIN(U$6,S168+T168)</f>
        <v/>
      </c>
      <c r="V168" s="42">
        <f>MAX(0,MIN(S168+T168-U168,R168))</f>
        <v/>
      </c>
      <c r="W168" s="42">
        <f>ROUND(S168+T168-U168-V168,2)</f>
        <v/>
      </c>
      <c r="X168">
        <f>R168-V168</f>
        <v/>
      </c>
      <c r="Y168" s="42">
        <f>AC167</f>
        <v/>
      </c>
      <c r="Z168" s="42">
        <f>ROUND(Y168*Z$6/12,2)</f>
        <v/>
      </c>
      <c r="AA168" s="42">
        <f>MIN(AA$6,Y168+Z168)</f>
        <v/>
      </c>
      <c r="AB168" s="42">
        <f>MAX(0,MIN(Y168+Z168-AA168,X168))</f>
        <v/>
      </c>
      <c r="AC168" s="42">
        <f>ROUND(Y168+Z168-AA168-AB168,2)</f>
        <v/>
      </c>
      <c r="AD168">
        <f>X168-AB168</f>
        <v/>
      </c>
      <c r="AE168" s="42">
        <f>AI167</f>
        <v/>
      </c>
      <c r="AF168" s="42">
        <f>ROUND(AE168*AF$6/12,2)</f>
        <v/>
      </c>
      <c r="AG168" s="42">
        <f>MIN(AG$6,AE168+AF168)</f>
        <v/>
      </c>
      <c r="AH168" s="42">
        <f>MAX(0,MIN(AE168+AF168-AG168,AD168))</f>
        <v/>
      </c>
      <c r="AI168" s="42">
        <f>ROUND(AE168+AF168-AG168-AH168,2)</f>
        <v/>
      </c>
      <c r="AJ168">
        <f>AD168-AH168</f>
        <v/>
      </c>
      <c r="AK168" s="42">
        <f>AO167</f>
        <v/>
      </c>
      <c r="AL168" s="42">
        <f>ROUND(AK168*AL$6/12,2)</f>
        <v/>
      </c>
      <c r="AM168" s="42">
        <f>MIN(AM$6,AK168+AL168)</f>
        <v/>
      </c>
      <c r="AN168" s="42">
        <f>MAX(0,MIN(AK168+AL168-AM168,AJ168))</f>
        <v/>
      </c>
      <c r="AO168" s="42">
        <f>ROUND(AK168+AL168-AM168-AN168,2)</f>
        <v/>
      </c>
      <c r="AP168">
        <f>AJ168-AN168</f>
        <v/>
      </c>
      <c r="AQ168" s="42">
        <f>AU167</f>
        <v/>
      </c>
      <c r="AR168" s="42">
        <f>ROUND(AQ168*AR$6/12,2)</f>
        <v/>
      </c>
      <c r="AS168" s="42">
        <f>MIN(AS$6,AQ168+AR168)</f>
        <v/>
      </c>
      <c r="AT168" s="42">
        <f>MAX(0,MIN(AQ168+AR168-AS168,AP168))</f>
        <v/>
      </c>
      <c r="AU168" s="42">
        <f>ROUND(AQ168+AR168-AS168-AT168,2)</f>
        <v/>
      </c>
      <c r="AV168">
        <f>AP168-AT168</f>
        <v/>
      </c>
      <c r="AW168" s="42">
        <f>BA167</f>
        <v/>
      </c>
      <c r="AX168" s="42">
        <f>ROUND(AW168*AX$6/12,2)</f>
        <v/>
      </c>
      <c r="AY168" s="42">
        <f>MIN(AY$6,AW168+AX168)</f>
        <v/>
      </c>
      <c r="AZ168" s="42">
        <f>MAX(0,MIN(AW168+AX168-AY168,AV168))</f>
        <v/>
      </c>
      <c r="BA168" s="42">
        <f>ROUND(AW168+AX168-AY168-AZ168,2)</f>
        <v/>
      </c>
      <c r="BB168">
        <f>AV168-AZ168</f>
        <v/>
      </c>
      <c r="BC168" s="42">
        <f>BG167</f>
        <v/>
      </c>
      <c r="BD168" s="42">
        <f>ROUND(BC168*BD$6/12,2)</f>
        <v/>
      </c>
      <c r="BE168" s="42">
        <f>MIN(BE$6,BC168+BD168)</f>
        <v/>
      </c>
      <c r="BF168" s="42">
        <f>MAX(0,MIN(BC168+BD168-BE168,BB168))</f>
        <v/>
      </c>
      <c r="BG168" s="42">
        <f>ROUND(BC168+BD168-BE168-BF168,2)</f>
        <v/>
      </c>
      <c r="BH168">
        <f>BB168-BF168</f>
        <v/>
      </c>
      <c r="BI168" s="42">
        <f>BM167</f>
        <v/>
      </c>
      <c r="BJ168" s="42">
        <f>ROUND(BI168*BJ$6/12,2)</f>
        <v/>
      </c>
      <c r="BK168" s="42">
        <f>MIN(BK$6,BI168+BJ168)</f>
        <v/>
      </c>
      <c r="BL168" s="42">
        <f>MAX(0,MIN(BI168+BJ168-BK168,BH168))</f>
        <v/>
      </c>
      <c r="BM168" s="42">
        <f>ROUND(BI168+BJ168-BK168-BL168,2)</f>
        <v/>
      </c>
      <c r="BN168">
        <f>BH168-BL168</f>
        <v/>
      </c>
    </row>
    <row r="169">
      <c r="A169" s="43" t="n">
        <v>162</v>
      </c>
      <c r="B169" s="44">
        <f>EDATE('My Debts'!$C$6,A169-1)</f>
        <v/>
      </c>
      <c r="C169" s="45">
        <f>K169+Q169+W169+AC169+AI169+AO169+AU169+BA169+BG169+BM169</f>
        <v/>
      </c>
      <c r="D169" s="46">
        <f>I169+O169+U169+AA169+AG169+AM169+AS169+AY169+BE169+BK169+J169+P169+V169+AB169+AH169+AN169+AT169+AZ169+BF169+BL169</f>
        <v/>
      </c>
      <c r="E169" s="46">
        <f>H169+N169+T169+Z169+AF169+AL169+AR169+AX169+BD169+BJ169</f>
        <v/>
      </c>
      <c r="F169">
        <f>MAX(0,'My Debts'!$E$21-(I169+O169+U169+AA169+AG169+AM169+AS169+AY169+BE169+BK169))</f>
        <v/>
      </c>
      <c r="G169" s="42">
        <f>K168</f>
        <v/>
      </c>
      <c r="H169" s="42">
        <f>ROUND(G169*H$6/12,2)</f>
        <v/>
      </c>
      <c r="I169" s="42">
        <f>MIN(I$6,G169+H169)</f>
        <v/>
      </c>
      <c r="J169" s="42">
        <f>MAX(0,MIN(G169+H169-I169,$F169))</f>
        <v/>
      </c>
      <c r="K169" s="42">
        <f>ROUND(G169+H169-I169-J169,2)</f>
        <v/>
      </c>
      <c r="L169">
        <f>$F169-J169</f>
        <v/>
      </c>
      <c r="M169" s="42">
        <f>Q168</f>
        <v/>
      </c>
      <c r="N169" s="42">
        <f>ROUND(M169*N$6/12,2)</f>
        <v/>
      </c>
      <c r="O169" s="42">
        <f>MIN(O$6,M169+N169)</f>
        <v/>
      </c>
      <c r="P169" s="42">
        <f>MAX(0,MIN(M169+N169-O169,L169))</f>
        <v/>
      </c>
      <c r="Q169" s="42">
        <f>ROUND(M169+N169-O169-P169,2)</f>
        <v/>
      </c>
      <c r="R169">
        <f>L169-P169</f>
        <v/>
      </c>
      <c r="S169" s="42">
        <f>W168</f>
        <v/>
      </c>
      <c r="T169" s="42">
        <f>ROUND(S169*T$6/12,2)</f>
        <v/>
      </c>
      <c r="U169" s="42">
        <f>MIN(U$6,S169+T169)</f>
        <v/>
      </c>
      <c r="V169" s="42">
        <f>MAX(0,MIN(S169+T169-U169,R169))</f>
        <v/>
      </c>
      <c r="W169" s="42">
        <f>ROUND(S169+T169-U169-V169,2)</f>
        <v/>
      </c>
      <c r="X169">
        <f>R169-V169</f>
        <v/>
      </c>
      <c r="Y169" s="42">
        <f>AC168</f>
        <v/>
      </c>
      <c r="Z169" s="42">
        <f>ROUND(Y169*Z$6/12,2)</f>
        <v/>
      </c>
      <c r="AA169" s="42">
        <f>MIN(AA$6,Y169+Z169)</f>
        <v/>
      </c>
      <c r="AB169" s="42">
        <f>MAX(0,MIN(Y169+Z169-AA169,X169))</f>
        <v/>
      </c>
      <c r="AC169" s="42">
        <f>ROUND(Y169+Z169-AA169-AB169,2)</f>
        <v/>
      </c>
      <c r="AD169">
        <f>X169-AB169</f>
        <v/>
      </c>
      <c r="AE169" s="42">
        <f>AI168</f>
        <v/>
      </c>
      <c r="AF169" s="42">
        <f>ROUND(AE169*AF$6/12,2)</f>
        <v/>
      </c>
      <c r="AG169" s="42">
        <f>MIN(AG$6,AE169+AF169)</f>
        <v/>
      </c>
      <c r="AH169" s="42">
        <f>MAX(0,MIN(AE169+AF169-AG169,AD169))</f>
        <v/>
      </c>
      <c r="AI169" s="42">
        <f>ROUND(AE169+AF169-AG169-AH169,2)</f>
        <v/>
      </c>
      <c r="AJ169">
        <f>AD169-AH169</f>
        <v/>
      </c>
      <c r="AK169" s="42">
        <f>AO168</f>
        <v/>
      </c>
      <c r="AL169" s="42">
        <f>ROUND(AK169*AL$6/12,2)</f>
        <v/>
      </c>
      <c r="AM169" s="42">
        <f>MIN(AM$6,AK169+AL169)</f>
        <v/>
      </c>
      <c r="AN169" s="42">
        <f>MAX(0,MIN(AK169+AL169-AM169,AJ169))</f>
        <v/>
      </c>
      <c r="AO169" s="42">
        <f>ROUND(AK169+AL169-AM169-AN169,2)</f>
        <v/>
      </c>
      <c r="AP169">
        <f>AJ169-AN169</f>
        <v/>
      </c>
      <c r="AQ169" s="42">
        <f>AU168</f>
        <v/>
      </c>
      <c r="AR169" s="42">
        <f>ROUND(AQ169*AR$6/12,2)</f>
        <v/>
      </c>
      <c r="AS169" s="42">
        <f>MIN(AS$6,AQ169+AR169)</f>
        <v/>
      </c>
      <c r="AT169" s="42">
        <f>MAX(0,MIN(AQ169+AR169-AS169,AP169))</f>
        <v/>
      </c>
      <c r="AU169" s="42">
        <f>ROUND(AQ169+AR169-AS169-AT169,2)</f>
        <v/>
      </c>
      <c r="AV169">
        <f>AP169-AT169</f>
        <v/>
      </c>
      <c r="AW169" s="42">
        <f>BA168</f>
        <v/>
      </c>
      <c r="AX169" s="42">
        <f>ROUND(AW169*AX$6/12,2)</f>
        <v/>
      </c>
      <c r="AY169" s="42">
        <f>MIN(AY$6,AW169+AX169)</f>
        <v/>
      </c>
      <c r="AZ169" s="42">
        <f>MAX(0,MIN(AW169+AX169-AY169,AV169))</f>
        <v/>
      </c>
      <c r="BA169" s="42">
        <f>ROUND(AW169+AX169-AY169-AZ169,2)</f>
        <v/>
      </c>
      <c r="BB169">
        <f>AV169-AZ169</f>
        <v/>
      </c>
      <c r="BC169" s="42">
        <f>BG168</f>
        <v/>
      </c>
      <c r="BD169" s="42">
        <f>ROUND(BC169*BD$6/12,2)</f>
        <v/>
      </c>
      <c r="BE169" s="42">
        <f>MIN(BE$6,BC169+BD169)</f>
        <v/>
      </c>
      <c r="BF169" s="42">
        <f>MAX(0,MIN(BC169+BD169-BE169,BB169))</f>
        <v/>
      </c>
      <c r="BG169" s="42">
        <f>ROUND(BC169+BD169-BE169-BF169,2)</f>
        <v/>
      </c>
      <c r="BH169">
        <f>BB169-BF169</f>
        <v/>
      </c>
      <c r="BI169" s="42">
        <f>BM168</f>
        <v/>
      </c>
      <c r="BJ169" s="42">
        <f>ROUND(BI169*BJ$6/12,2)</f>
        <v/>
      </c>
      <c r="BK169" s="42">
        <f>MIN(BK$6,BI169+BJ169)</f>
        <v/>
      </c>
      <c r="BL169" s="42">
        <f>MAX(0,MIN(BI169+BJ169-BK169,BH169))</f>
        <v/>
      </c>
      <c r="BM169" s="42">
        <f>ROUND(BI169+BJ169-BK169-BL169,2)</f>
        <v/>
      </c>
      <c r="BN169">
        <f>BH169-BL169</f>
        <v/>
      </c>
    </row>
    <row r="170">
      <c r="A170" s="39" t="n">
        <v>163</v>
      </c>
      <c r="B170" s="40">
        <f>EDATE('My Debts'!$C$6,A170-1)</f>
        <v/>
      </c>
      <c r="C170" s="41">
        <f>K170+Q170+W170+AC170+AI170+AO170+AU170+BA170+BG170+BM170</f>
        <v/>
      </c>
      <c r="D170" s="42">
        <f>I170+O170+U170+AA170+AG170+AM170+AS170+AY170+BE170+BK170+J170+P170+V170+AB170+AH170+AN170+AT170+AZ170+BF170+BL170</f>
        <v/>
      </c>
      <c r="E170" s="42">
        <f>H170+N170+T170+Z170+AF170+AL170+AR170+AX170+BD170+BJ170</f>
        <v/>
      </c>
      <c r="F170">
        <f>MAX(0,'My Debts'!$E$21-(I170+O170+U170+AA170+AG170+AM170+AS170+AY170+BE170+BK170))</f>
        <v/>
      </c>
      <c r="G170" s="42">
        <f>K169</f>
        <v/>
      </c>
      <c r="H170" s="42">
        <f>ROUND(G170*H$6/12,2)</f>
        <v/>
      </c>
      <c r="I170" s="42">
        <f>MIN(I$6,G170+H170)</f>
        <v/>
      </c>
      <c r="J170" s="42">
        <f>MAX(0,MIN(G170+H170-I170,$F170))</f>
        <v/>
      </c>
      <c r="K170" s="42">
        <f>ROUND(G170+H170-I170-J170,2)</f>
        <v/>
      </c>
      <c r="L170">
        <f>$F170-J170</f>
        <v/>
      </c>
      <c r="M170" s="42">
        <f>Q169</f>
        <v/>
      </c>
      <c r="N170" s="42">
        <f>ROUND(M170*N$6/12,2)</f>
        <v/>
      </c>
      <c r="O170" s="42">
        <f>MIN(O$6,M170+N170)</f>
        <v/>
      </c>
      <c r="P170" s="42">
        <f>MAX(0,MIN(M170+N170-O170,L170))</f>
        <v/>
      </c>
      <c r="Q170" s="42">
        <f>ROUND(M170+N170-O170-P170,2)</f>
        <v/>
      </c>
      <c r="R170">
        <f>L170-P170</f>
        <v/>
      </c>
      <c r="S170" s="42">
        <f>W169</f>
        <v/>
      </c>
      <c r="T170" s="42">
        <f>ROUND(S170*T$6/12,2)</f>
        <v/>
      </c>
      <c r="U170" s="42">
        <f>MIN(U$6,S170+T170)</f>
        <v/>
      </c>
      <c r="V170" s="42">
        <f>MAX(0,MIN(S170+T170-U170,R170))</f>
        <v/>
      </c>
      <c r="W170" s="42">
        <f>ROUND(S170+T170-U170-V170,2)</f>
        <v/>
      </c>
      <c r="X170">
        <f>R170-V170</f>
        <v/>
      </c>
      <c r="Y170" s="42">
        <f>AC169</f>
        <v/>
      </c>
      <c r="Z170" s="42">
        <f>ROUND(Y170*Z$6/12,2)</f>
        <v/>
      </c>
      <c r="AA170" s="42">
        <f>MIN(AA$6,Y170+Z170)</f>
        <v/>
      </c>
      <c r="AB170" s="42">
        <f>MAX(0,MIN(Y170+Z170-AA170,X170))</f>
        <v/>
      </c>
      <c r="AC170" s="42">
        <f>ROUND(Y170+Z170-AA170-AB170,2)</f>
        <v/>
      </c>
      <c r="AD170">
        <f>X170-AB170</f>
        <v/>
      </c>
      <c r="AE170" s="42">
        <f>AI169</f>
        <v/>
      </c>
      <c r="AF170" s="42">
        <f>ROUND(AE170*AF$6/12,2)</f>
        <v/>
      </c>
      <c r="AG170" s="42">
        <f>MIN(AG$6,AE170+AF170)</f>
        <v/>
      </c>
      <c r="AH170" s="42">
        <f>MAX(0,MIN(AE170+AF170-AG170,AD170))</f>
        <v/>
      </c>
      <c r="AI170" s="42">
        <f>ROUND(AE170+AF170-AG170-AH170,2)</f>
        <v/>
      </c>
      <c r="AJ170">
        <f>AD170-AH170</f>
        <v/>
      </c>
      <c r="AK170" s="42">
        <f>AO169</f>
        <v/>
      </c>
      <c r="AL170" s="42">
        <f>ROUND(AK170*AL$6/12,2)</f>
        <v/>
      </c>
      <c r="AM170" s="42">
        <f>MIN(AM$6,AK170+AL170)</f>
        <v/>
      </c>
      <c r="AN170" s="42">
        <f>MAX(0,MIN(AK170+AL170-AM170,AJ170))</f>
        <v/>
      </c>
      <c r="AO170" s="42">
        <f>ROUND(AK170+AL170-AM170-AN170,2)</f>
        <v/>
      </c>
      <c r="AP170">
        <f>AJ170-AN170</f>
        <v/>
      </c>
      <c r="AQ170" s="42">
        <f>AU169</f>
        <v/>
      </c>
      <c r="AR170" s="42">
        <f>ROUND(AQ170*AR$6/12,2)</f>
        <v/>
      </c>
      <c r="AS170" s="42">
        <f>MIN(AS$6,AQ170+AR170)</f>
        <v/>
      </c>
      <c r="AT170" s="42">
        <f>MAX(0,MIN(AQ170+AR170-AS170,AP170))</f>
        <v/>
      </c>
      <c r="AU170" s="42">
        <f>ROUND(AQ170+AR170-AS170-AT170,2)</f>
        <v/>
      </c>
      <c r="AV170">
        <f>AP170-AT170</f>
        <v/>
      </c>
      <c r="AW170" s="42">
        <f>BA169</f>
        <v/>
      </c>
      <c r="AX170" s="42">
        <f>ROUND(AW170*AX$6/12,2)</f>
        <v/>
      </c>
      <c r="AY170" s="42">
        <f>MIN(AY$6,AW170+AX170)</f>
        <v/>
      </c>
      <c r="AZ170" s="42">
        <f>MAX(0,MIN(AW170+AX170-AY170,AV170))</f>
        <v/>
      </c>
      <c r="BA170" s="42">
        <f>ROUND(AW170+AX170-AY170-AZ170,2)</f>
        <v/>
      </c>
      <c r="BB170">
        <f>AV170-AZ170</f>
        <v/>
      </c>
      <c r="BC170" s="42">
        <f>BG169</f>
        <v/>
      </c>
      <c r="BD170" s="42">
        <f>ROUND(BC170*BD$6/12,2)</f>
        <v/>
      </c>
      <c r="BE170" s="42">
        <f>MIN(BE$6,BC170+BD170)</f>
        <v/>
      </c>
      <c r="BF170" s="42">
        <f>MAX(0,MIN(BC170+BD170-BE170,BB170))</f>
        <v/>
      </c>
      <c r="BG170" s="42">
        <f>ROUND(BC170+BD170-BE170-BF170,2)</f>
        <v/>
      </c>
      <c r="BH170">
        <f>BB170-BF170</f>
        <v/>
      </c>
      <c r="BI170" s="42">
        <f>BM169</f>
        <v/>
      </c>
      <c r="BJ170" s="42">
        <f>ROUND(BI170*BJ$6/12,2)</f>
        <v/>
      </c>
      <c r="BK170" s="42">
        <f>MIN(BK$6,BI170+BJ170)</f>
        <v/>
      </c>
      <c r="BL170" s="42">
        <f>MAX(0,MIN(BI170+BJ170-BK170,BH170))</f>
        <v/>
      </c>
      <c r="BM170" s="42">
        <f>ROUND(BI170+BJ170-BK170-BL170,2)</f>
        <v/>
      </c>
      <c r="BN170">
        <f>BH170-BL170</f>
        <v/>
      </c>
    </row>
    <row r="171">
      <c r="A171" s="43" t="n">
        <v>164</v>
      </c>
      <c r="B171" s="44">
        <f>EDATE('My Debts'!$C$6,A171-1)</f>
        <v/>
      </c>
      <c r="C171" s="45">
        <f>K171+Q171+W171+AC171+AI171+AO171+AU171+BA171+BG171+BM171</f>
        <v/>
      </c>
      <c r="D171" s="46">
        <f>I171+O171+U171+AA171+AG171+AM171+AS171+AY171+BE171+BK171+J171+P171+V171+AB171+AH171+AN171+AT171+AZ171+BF171+BL171</f>
        <v/>
      </c>
      <c r="E171" s="46">
        <f>H171+N171+T171+Z171+AF171+AL171+AR171+AX171+BD171+BJ171</f>
        <v/>
      </c>
      <c r="F171">
        <f>MAX(0,'My Debts'!$E$21-(I171+O171+U171+AA171+AG171+AM171+AS171+AY171+BE171+BK171))</f>
        <v/>
      </c>
      <c r="G171" s="42">
        <f>K170</f>
        <v/>
      </c>
      <c r="H171" s="42">
        <f>ROUND(G171*H$6/12,2)</f>
        <v/>
      </c>
      <c r="I171" s="42">
        <f>MIN(I$6,G171+H171)</f>
        <v/>
      </c>
      <c r="J171" s="42">
        <f>MAX(0,MIN(G171+H171-I171,$F171))</f>
        <v/>
      </c>
      <c r="K171" s="42">
        <f>ROUND(G171+H171-I171-J171,2)</f>
        <v/>
      </c>
      <c r="L171">
        <f>$F171-J171</f>
        <v/>
      </c>
      <c r="M171" s="42">
        <f>Q170</f>
        <v/>
      </c>
      <c r="N171" s="42">
        <f>ROUND(M171*N$6/12,2)</f>
        <v/>
      </c>
      <c r="O171" s="42">
        <f>MIN(O$6,M171+N171)</f>
        <v/>
      </c>
      <c r="P171" s="42">
        <f>MAX(0,MIN(M171+N171-O171,L171))</f>
        <v/>
      </c>
      <c r="Q171" s="42">
        <f>ROUND(M171+N171-O171-P171,2)</f>
        <v/>
      </c>
      <c r="R171">
        <f>L171-P171</f>
        <v/>
      </c>
      <c r="S171" s="42">
        <f>W170</f>
        <v/>
      </c>
      <c r="T171" s="42">
        <f>ROUND(S171*T$6/12,2)</f>
        <v/>
      </c>
      <c r="U171" s="42">
        <f>MIN(U$6,S171+T171)</f>
        <v/>
      </c>
      <c r="V171" s="42">
        <f>MAX(0,MIN(S171+T171-U171,R171))</f>
        <v/>
      </c>
      <c r="W171" s="42">
        <f>ROUND(S171+T171-U171-V171,2)</f>
        <v/>
      </c>
      <c r="X171">
        <f>R171-V171</f>
        <v/>
      </c>
      <c r="Y171" s="42">
        <f>AC170</f>
        <v/>
      </c>
      <c r="Z171" s="42">
        <f>ROUND(Y171*Z$6/12,2)</f>
        <v/>
      </c>
      <c r="AA171" s="42">
        <f>MIN(AA$6,Y171+Z171)</f>
        <v/>
      </c>
      <c r="AB171" s="42">
        <f>MAX(0,MIN(Y171+Z171-AA171,X171))</f>
        <v/>
      </c>
      <c r="AC171" s="42">
        <f>ROUND(Y171+Z171-AA171-AB171,2)</f>
        <v/>
      </c>
      <c r="AD171">
        <f>X171-AB171</f>
        <v/>
      </c>
      <c r="AE171" s="42">
        <f>AI170</f>
        <v/>
      </c>
      <c r="AF171" s="42">
        <f>ROUND(AE171*AF$6/12,2)</f>
        <v/>
      </c>
      <c r="AG171" s="42">
        <f>MIN(AG$6,AE171+AF171)</f>
        <v/>
      </c>
      <c r="AH171" s="42">
        <f>MAX(0,MIN(AE171+AF171-AG171,AD171))</f>
        <v/>
      </c>
      <c r="AI171" s="42">
        <f>ROUND(AE171+AF171-AG171-AH171,2)</f>
        <v/>
      </c>
      <c r="AJ171">
        <f>AD171-AH171</f>
        <v/>
      </c>
      <c r="AK171" s="42">
        <f>AO170</f>
        <v/>
      </c>
      <c r="AL171" s="42">
        <f>ROUND(AK171*AL$6/12,2)</f>
        <v/>
      </c>
      <c r="AM171" s="42">
        <f>MIN(AM$6,AK171+AL171)</f>
        <v/>
      </c>
      <c r="AN171" s="42">
        <f>MAX(0,MIN(AK171+AL171-AM171,AJ171))</f>
        <v/>
      </c>
      <c r="AO171" s="42">
        <f>ROUND(AK171+AL171-AM171-AN171,2)</f>
        <v/>
      </c>
      <c r="AP171">
        <f>AJ171-AN171</f>
        <v/>
      </c>
      <c r="AQ171" s="42">
        <f>AU170</f>
        <v/>
      </c>
      <c r="AR171" s="42">
        <f>ROUND(AQ171*AR$6/12,2)</f>
        <v/>
      </c>
      <c r="AS171" s="42">
        <f>MIN(AS$6,AQ171+AR171)</f>
        <v/>
      </c>
      <c r="AT171" s="42">
        <f>MAX(0,MIN(AQ171+AR171-AS171,AP171))</f>
        <v/>
      </c>
      <c r="AU171" s="42">
        <f>ROUND(AQ171+AR171-AS171-AT171,2)</f>
        <v/>
      </c>
      <c r="AV171">
        <f>AP171-AT171</f>
        <v/>
      </c>
      <c r="AW171" s="42">
        <f>BA170</f>
        <v/>
      </c>
      <c r="AX171" s="42">
        <f>ROUND(AW171*AX$6/12,2)</f>
        <v/>
      </c>
      <c r="AY171" s="42">
        <f>MIN(AY$6,AW171+AX171)</f>
        <v/>
      </c>
      <c r="AZ171" s="42">
        <f>MAX(0,MIN(AW171+AX171-AY171,AV171))</f>
        <v/>
      </c>
      <c r="BA171" s="42">
        <f>ROUND(AW171+AX171-AY171-AZ171,2)</f>
        <v/>
      </c>
      <c r="BB171">
        <f>AV171-AZ171</f>
        <v/>
      </c>
      <c r="BC171" s="42">
        <f>BG170</f>
        <v/>
      </c>
      <c r="BD171" s="42">
        <f>ROUND(BC171*BD$6/12,2)</f>
        <v/>
      </c>
      <c r="BE171" s="42">
        <f>MIN(BE$6,BC171+BD171)</f>
        <v/>
      </c>
      <c r="BF171" s="42">
        <f>MAX(0,MIN(BC171+BD171-BE171,BB171))</f>
        <v/>
      </c>
      <c r="BG171" s="42">
        <f>ROUND(BC171+BD171-BE171-BF171,2)</f>
        <v/>
      </c>
      <c r="BH171">
        <f>BB171-BF171</f>
        <v/>
      </c>
      <c r="BI171" s="42">
        <f>BM170</f>
        <v/>
      </c>
      <c r="BJ171" s="42">
        <f>ROUND(BI171*BJ$6/12,2)</f>
        <v/>
      </c>
      <c r="BK171" s="42">
        <f>MIN(BK$6,BI171+BJ171)</f>
        <v/>
      </c>
      <c r="BL171" s="42">
        <f>MAX(0,MIN(BI171+BJ171-BK171,BH171))</f>
        <v/>
      </c>
      <c r="BM171" s="42">
        <f>ROUND(BI171+BJ171-BK171-BL171,2)</f>
        <v/>
      </c>
      <c r="BN171">
        <f>BH171-BL171</f>
        <v/>
      </c>
    </row>
    <row r="172">
      <c r="A172" s="39" t="n">
        <v>165</v>
      </c>
      <c r="B172" s="40">
        <f>EDATE('My Debts'!$C$6,A172-1)</f>
        <v/>
      </c>
      <c r="C172" s="41">
        <f>K172+Q172+W172+AC172+AI172+AO172+AU172+BA172+BG172+BM172</f>
        <v/>
      </c>
      <c r="D172" s="42">
        <f>I172+O172+U172+AA172+AG172+AM172+AS172+AY172+BE172+BK172+J172+P172+V172+AB172+AH172+AN172+AT172+AZ172+BF172+BL172</f>
        <v/>
      </c>
      <c r="E172" s="42">
        <f>H172+N172+T172+Z172+AF172+AL172+AR172+AX172+BD172+BJ172</f>
        <v/>
      </c>
      <c r="F172">
        <f>MAX(0,'My Debts'!$E$21-(I172+O172+U172+AA172+AG172+AM172+AS172+AY172+BE172+BK172))</f>
        <v/>
      </c>
      <c r="G172" s="42">
        <f>K171</f>
        <v/>
      </c>
      <c r="H172" s="42">
        <f>ROUND(G172*H$6/12,2)</f>
        <v/>
      </c>
      <c r="I172" s="42">
        <f>MIN(I$6,G172+H172)</f>
        <v/>
      </c>
      <c r="J172" s="42">
        <f>MAX(0,MIN(G172+H172-I172,$F172))</f>
        <v/>
      </c>
      <c r="K172" s="42">
        <f>ROUND(G172+H172-I172-J172,2)</f>
        <v/>
      </c>
      <c r="L172">
        <f>$F172-J172</f>
        <v/>
      </c>
      <c r="M172" s="42">
        <f>Q171</f>
        <v/>
      </c>
      <c r="N172" s="42">
        <f>ROUND(M172*N$6/12,2)</f>
        <v/>
      </c>
      <c r="O172" s="42">
        <f>MIN(O$6,M172+N172)</f>
        <v/>
      </c>
      <c r="P172" s="42">
        <f>MAX(0,MIN(M172+N172-O172,L172))</f>
        <v/>
      </c>
      <c r="Q172" s="42">
        <f>ROUND(M172+N172-O172-P172,2)</f>
        <v/>
      </c>
      <c r="R172">
        <f>L172-P172</f>
        <v/>
      </c>
      <c r="S172" s="42">
        <f>W171</f>
        <v/>
      </c>
      <c r="T172" s="42">
        <f>ROUND(S172*T$6/12,2)</f>
        <v/>
      </c>
      <c r="U172" s="42">
        <f>MIN(U$6,S172+T172)</f>
        <v/>
      </c>
      <c r="V172" s="42">
        <f>MAX(0,MIN(S172+T172-U172,R172))</f>
        <v/>
      </c>
      <c r="W172" s="42">
        <f>ROUND(S172+T172-U172-V172,2)</f>
        <v/>
      </c>
      <c r="X172">
        <f>R172-V172</f>
        <v/>
      </c>
      <c r="Y172" s="42">
        <f>AC171</f>
        <v/>
      </c>
      <c r="Z172" s="42">
        <f>ROUND(Y172*Z$6/12,2)</f>
        <v/>
      </c>
      <c r="AA172" s="42">
        <f>MIN(AA$6,Y172+Z172)</f>
        <v/>
      </c>
      <c r="AB172" s="42">
        <f>MAX(0,MIN(Y172+Z172-AA172,X172))</f>
        <v/>
      </c>
      <c r="AC172" s="42">
        <f>ROUND(Y172+Z172-AA172-AB172,2)</f>
        <v/>
      </c>
      <c r="AD172">
        <f>X172-AB172</f>
        <v/>
      </c>
      <c r="AE172" s="42">
        <f>AI171</f>
        <v/>
      </c>
      <c r="AF172" s="42">
        <f>ROUND(AE172*AF$6/12,2)</f>
        <v/>
      </c>
      <c r="AG172" s="42">
        <f>MIN(AG$6,AE172+AF172)</f>
        <v/>
      </c>
      <c r="AH172" s="42">
        <f>MAX(0,MIN(AE172+AF172-AG172,AD172))</f>
        <v/>
      </c>
      <c r="AI172" s="42">
        <f>ROUND(AE172+AF172-AG172-AH172,2)</f>
        <v/>
      </c>
      <c r="AJ172">
        <f>AD172-AH172</f>
        <v/>
      </c>
      <c r="AK172" s="42">
        <f>AO171</f>
        <v/>
      </c>
      <c r="AL172" s="42">
        <f>ROUND(AK172*AL$6/12,2)</f>
        <v/>
      </c>
      <c r="AM172" s="42">
        <f>MIN(AM$6,AK172+AL172)</f>
        <v/>
      </c>
      <c r="AN172" s="42">
        <f>MAX(0,MIN(AK172+AL172-AM172,AJ172))</f>
        <v/>
      </c>
      <c r="AO172" s="42">
        <f>ROUND(AK172+AL172-AM172-AN172,2)</f>
        <v/>
      </c>
      <c r="AP172">
        <f>AJ172-AN172</f>
        <v/>
      </c>
      <c r="AQ172" s="42">
        <f>AU171</f>
        <v/>
      </c>
      <c r="AR172" s="42">
        <f>ROUND(AQ172*AR$6/12,2)</f>
        <v/>
      </c>
      <c r="AS172" s="42">
        <f>MIN(AS$6,AQ172+AR172)</f>
        <v/>
      </c>
      <c r="AT172" s="42">
        <f>MAX(0,MIN(AQ172+AR172-AS172,AP172))</f>
        <v/>
      </c>
      <c r="AU172" s="42">
        <f>ROUND(AQ172+AR172-AS172-AT172,2)</f>
        <v/>
      </c>
      <c r="AV172">
        <f>AP172-AT172</f>
        <v/>
      </c>
      <c r="AW172" s="42">
        <f>BA171</f>
        <v/>
      </c>
      <c r="AX172" s="42">
        <f>ROUND(AW172*AX$6/12,2)</f>
        <v/>
      </c>
      <c r="AY172" s="42">
        <f>MIN(AY$6,AW172+AX172)</f>
        <v/>
      </c>
      <c r="AZ172" s="42">
        <f>MAX(0,MIN(AW172+AX172-AY172,AV172))</f>
        <v/>
      </c>
      <c r="BA172" s="42">
        <f>ROUND(AW172+AX172-AY172-AZ172,2)</f>
        <v/>
      </c>
      <c r="BB172">
        <f>AV172-AZ172</f>
        <v/>
      </c>
      <c r="BC172" s="42">
        <f>BG171</f>
        <v/>
      </c>
      <c r="BD172" s="42">
        <f>ROUND(BC172*BD$6/12,2)</f>
        <v/>
      </c>
      <c r="BE172" s="42">
        <f>MIN(BE$6,BC172+BD172)</f>
        <v/>
      </c>
      <c r="BF172" s="42">
        <f>MAX(0,MIN(BC172+BD172-BE172,BB172))</f>
        <v/>
      </c>
      <c r="BG172" s="42">
        <f>ROUND(BC172+BD172-BE172-BF172,2)</f>
        <v/>
      </c>
      <c r="BH172">
        <f>BB172-BF172</f>
        <v/>
      </c>
      <c r="BI172" s="42">
        <f>BM171</f>
        <v/>
      </c>
      <c r="BJ172" s="42">
        <f>ROUND(BI172*BJ$6/12,2)</f>
        <v/>
      </c>
      <c r="BK172" s="42">
        <f>MIN(BK$6,BI172+BJ172)</f>
        <v/>
      </c>
      <c r="BL172" s="42">
        <f>MAX(0,MIN(BI172+BJ172-BK172,BH172))</f>
        <v/>
      </c>
      <c r="BM172" s="42">
        <f>ROUND(BI172+BJ172-BK172-BL172,2)</f>
        <v/>
      </c>
      <c r="BN172">
        <f>BH172-BL172</f>
        <v/>
      </c>
    </row>
    <row r="173">
      <c r="A173" s="43" t="n">
        <v>166</v>
      </c>
      <c r="B173" s="44">
        <f>EDATE('My Debts'!$C$6,A173-1)</f>
        <v/>
      </c>
      <c r="C173" s="45">
        <f>K173+Q173+W173+AC173+AI173+AO173+AU173+BA173+BG173+BM173</f>
        <v/>
      </c>
      <c r="D173" s="46">
        <f>I173+O173+U173+AA173+AG173+AM173+AS173+AY173+BE173+BK173+J173+P173+V173+AB173+AH173+AN173+AT173+AZ173+BF173+BL173</f>
        <v/>
      </c>
      <c r="E173" s="46">
        <f>H173+N173+T173+Z173+AF173+AL173+AR173+AX173+BD173+BJ173</f>
        <v/>
      </c>
      <c r="F173">
        <f>MAX(0,'My Debts'!$E$21-(I173+O173+U173+AA173+AG173+AM173+AS173+AY173+BE173+BK173))</f>
        <v/>
      </c>
      <c r="G173" s="42">
        <f>K172</f>
        <v/>
      </c>
      <c r="H173" s="42">
        <f>ROUND(G173*H$6/12,2)</f>
        <v/>
      </c>
      <c r="I173" s="42">
        <f>MIN(I$6,G173+H173)</f>
        <v/>
      </c>
      <c r="J173" s="42">
        <f>MAX(0,MIN(G173+H173-I173,$F173))</f>
        <v/>
      </c>
      <c r="K173" s="42">
        <f>ROUND(G173+H173-I173-J173,2)</f>
        <v/>
      </c>
      <c r="L173">
        <f>$F173-J173</f>
        <v/>
      </c>
      <c r="M173" s="42">
        <f>Q172</f>
        <v/>
      </c>
      <c r="N173" s="42">
        <f>ROUND(M173*N$6/12,2)</f>
        <v/>
      </c>
      <c r="O173" s="42">
        <f>MIN(O$6,M173+N173)</f>
        <v/>
      </c>
      <c r="P173" s="42">
        <f>MAX(0,MIN(M173+N173-O173,L173))</f>
        <v/>
      </c>
      <c r="Q173" s="42">
        <f>ROUND(M173+N173-O173-P173,2)</f>
        <v/>
      </c>
      <c r="R173">
        <f>L173-P173</f>
        <v/>
      </c>
      <c r="S173" s="42">
        <f>W172</f>
        <v/>
      </c>
      <c r="T173" s="42">
        <f>ROUND(S173*T$6/12,2)</f>
        <v/>
      </c>
      <c r="U173" s="42">
        <f>MIN(U$6,S173+T173)</f>
        <v/>
      </c>
      <c r="V173" s="42">
        <f>MAX(0,MIN(S173+T173-U173,R173))</f>
        <v/>
      </c>
      <c r="W173" s="42">
        <f>ROUND(S173+T173-U173-V173,2)</f>
        <v/>
      </c>
      <c r="X173">
        <f>R173-V173</f>
        <v/>
      </c>
      <c r="Y173" s="42">
        <f>AC172</f>
        <v/>
      </c>
      <c r="Z173" s="42">
        <f>ROUND(Y173*Z$6/12,2)</f>
        <v/>
      </c>
      <c r="AA173" s="42">
        <f>MIN(AA$6,Y173+Z173)</f>
        <v/>
      </c>
      <c r="AB173" s="42">
        <f>MAX(0,MIN(Y173+Z173-AA173,X173))</f>
        <v/>
      </c>
      <c r="AC173" s="42">
        <f>ROUND(Y173+Z173-AA173-AB173,2)</f>
        <v/>
      </c>
      <c r="AD173">
        <f>X173-AB173</f>
        <v/>
      </c>
      <c r="AE173" s="42">
        <f>AI172</f>
        <v/>
      </c>
      <c r="AF173" s="42">
        <f>ROUND(AE173*AF$6/12,2)</f>
        <v/>
      </c>
      <c r="AG173" s="42">
        <f>MIN(AG$6,AE173+AF173)</f>
        <v/>
      </c>
      <c r="AH173" s="42">
        <f>MAX(0,MIN(AE173+AF173-AG173,AD173))</f>
        <v/>
      </c>
      <c r="AI173" s="42">
        <f>ROUND(AE173+AF173-AG173-AH173,2)</f>
        <v/>
      </c>
      <c r="AJ173">
        <f>AD173-AH173</f>
        <v/>
      </c>
      <c r="AK173" s="42">
        <f>AO172</f>
        <v/>
      </c>
      <c r="AL173" s="42">
        <f>ROUND(AK173*AL$6/12,2)</f>
        <v/>
      </c>
      <c r="AM173" s="42">
        <f>MIN(AM$6,AK173+AL173)</f>
        <v/>
      </c>
      <c r="AN173" s="42">
        <f>MAX(0,MIN(AK173+AL173-AM173,AJ173))</f>
        <v/>
      </c>
      <c r="AO173" s="42">
        <f>ROUND(AK173+AL173-AM173-AN173,2)</f>
        <v/>
      </c>
      <c r="AP173">
        <f>AJ173-AN173</f>
        <v/>
      </c>
      <c r="AQ173" s="42">
        <f>AU172</f>
        <v/>
      </c>
      <c r="AR173" s="42">
        <f>ROUND(AQ173*AR$6/12,2)</f>
        <v/>
      </c>
      <c r="AS173" s="42">
        <f>MIN(AS$6,AQ173+AR173)</f>
        <v/>
      </c>
      <c r="AT173" s="42">
        <f>MAX(0,MIN(AQ173+AR173-AS173,AP173))</f>
        <v/>
      </c>
      <c r="AU173" s="42">
        <f>ROUND(AQ173+AR173-AS173-AT173,2)</f>
        <v/>
      </c>
      <c r="AV173">
        <f>AP173-AT173</f>
        <v/>
      </c>
      <c r="AW173" s="42">
        <f>BA172</f>
        <v/>
      </c>
      <c r="AX173" s="42">
        <f>ROUND(AW173*AX$6/12,2)</f>
        <v/>
      </c>
      <c r="AY173" s="42">
        <f>MIN(AY$6,AW173+AX173)</f>
        <v/>
      </c>
      <c r="AZ173" s="42">
        <f>MAX(0,MIN(AW173+AX173-AY173,AV173))</f>
        <v/>
      </c>
      <c r="BA173" s="42">
        <f>ROUND(AW173+AX173-AY173-AZ173,2)</f>
        <v/>
      </c>
      <c r="BB173">
        <f>AV173-AZ173</f>
        <v/>
      </c>
      <c r="BC173" s="42">
        <f>BG172</f>
        <v/>
      </c>
      <c r="BD173" s="42">
        <f>ROUND(BC173*BD$6/12,2)</f>
        <v/>
      </c>
      <c r="BE173" s="42">
        <f>MIN(BE$6,BC173+BD173)</f>
        <v/>
      </c>
      <c r="BF173" s="42">
        <f>MAX(0,MIN(BC173+BD173-BE173,BB173))</f>
        <v/>
      </c>
      <c r="BG173" s="42">
        <f>ROUND(BC173+BD173-BE173-BF173,2)</f>
        <v/>
      </c>
      <c r="BH173">
        <f>BB173-BF173</f>
        <v/>
      </c>
      <c r="BI173" s="42">
        <f>BM172</f>
        <v/>
      </c>
      <c r="BJ173" s="42">
        <f>ROUND(BI173*BJ$6/12,2)</f>
        <v/>
      </c>
      <c r="BK173" s="42">
        <f>MIN(BK$6,BI173+BJ173)</f>
        <v/>
      </c>
      <c r="BL173" s="42">
        <f>MAX(0,MIN(BI173+BJ173-BK173,BH173))</f>
        <v/>
      </c>
      <c r="BM173" s="42">
        <f>ROUND(BI173+BJ173-BK173-BL173,2)</f>
        <v/>
      </c>
      <c r="BN173">
        <f>BH173-BL173</f>
        <v/>
      </c>
    </row>
    <row r="174">
      <c r="A174" s="39" t="n">
        <v>167</v>
      </c>
      <c r="B174" s="40">
        <f>EDATE('My Debts'!$C$6,A174-1)</f>
        <v/>
      </c>
      <c r="C174" s="41">
        <f>K174+Q174+W174+AC174+AI174+AO174+AU174+BA174+BG174+BM174</f>
        <v/>
      </c>
      <c r="D174" s="42">
        <f>I174+O174+U174+AA174+AG174+AM174+AS174+AY174+BE174+BK174+J174+P174+V174+AB174+AH174+AN174+AT174+AZ174+BF174+BL174</f>
        <v/>
      </c>
      <c r="E174" s="42">
        <f>H174+N174+T174+Z174+AF174+AL174+AR174+AX174+BD174+BJ174</f>
        <v/>
      </c>
      <c r="F174">
        <f>MAX(0,'My Debts'!$E$21-(I174+O174+U174+AA174+AG174+AM174+AS174+AY174+BE174+BK174))</f>
        <v/>
      </c>
      <c r="G174" s="42">
        <f>K173</f>
        <v/>
      </c>
      <c r="H174" s="42">
        <f>ROUND(G174*H$6/12,2)</f>
        <v/>
      </c>
      <c r="I174" s="42">
        <f>MIN(I$6,G174+H174)</f>
        <v/>
      </c>
      <c r="J174" s="42">
        <f>MAX(0,MIN(G174+H174-I174,$F174))</f>
        <v/>
      </c>
      <c r="K174" s="42">
        <f>ROUND(G174+H174-I174-J174,2)</f>
        <v/>
      </c>
      <c r="L174">
        <f>$F174-J174</f>
        <v/>
      </c>
      <c r="M174" s="42">
        <f>Q173</f>
        <v/>
      </c>
      <c r="N174" s="42">
        <f>ROUND(M174*N$6/12,2)</f>
        <v/>
      </c>
      <c r="O174" s="42">
        <f>MIN(O$6,M174+N174)</f>
        <v/>
      </c>
      <c r="P174" s="42">
        <f>MAX(0,MIN(M174+N174-O174,L174))</f>
        <v/>
      </c>
      <c r="Q174" s="42">
        <f>ROUND(M174+N174-O174-P174,2)</f>
        <v/>
      </c>
      <c r="R174">
        <f>L174-P174</f>
        <v/>
      </c>
      <c r="S174" s="42">
        <f>W173</f>
        <v/>
      </c>
      <c r="T174" s="42">
        <f>ROUND(S174*T$6/12,2)</f>
        <v/>
      </c>
      <c r="U174" s="42">
        <f>MIN(U$6,S174+T174)</f>
        <v/>
      </c>
      <c r="V174" s="42">
        <f>MAX(0,MIN(S174+T174-U174,R174))</f>
        <v/>
      </c>
      <c r="W174" s="42">
        <f>ROUND(S174+T174-U174-V174,2)</f>
        <v/>
      </c>
      <c r="X174">
        <f>R174-V174</f>
        <v/>
      </c>
      <c r="Y174" s="42">
        <f>AC173</f>
        <v/>
      </c>
      <c r="Z174" s="42">
        <f>ROUND(Y174*Z$6/12,2)</f>
        <v/>
      </c>
      <c r="AA174" s="42">
        <f>MIN(AA$6,Y174+Z174)</f>
        <v/>
      </c>
      <c r="AB174" s="42">
        <f>MAX(0,MIN(Y174+Z174-AA174,X174))</f>
        <v/>
      </c>
      <c r="AC174" s="42">
        <f>ROUND(Y174+Z174-AA174-AB174,2)</f>
        <v/>
      </c>
      <c r="AD174">
        <f>X174-AB174</f>
        <v/>
      </c>
      <c r="AE174" s="42">
        <f>AI173</f>
        <v/>
      </c>
      <c r="AF174" s="42">
        <f>ROUND(AE174*AF$6/12,2)</f>
        <v/>
      </c>
      <c r="AG174" s="42">
        <f>MIN(AG$6,AE174+AF174)</f>
        <v/>
      </c>
      <c r="AH174" s="42">
        <f>MAX(0,MIN(AE174+AF174-AG174,AD174))</f>
        <v/>
      </c>
      <c r="AI174" s="42">
        <f>ROUND(AE174+AF174-AG174-AH174,2)</f>
        <v/>
      </c>
      <c r="AJ174">
        <f>AD174-AH174</f>
        <v/>
      </c>
      <c r="AK174" s="42">
        <f>AO173</f>
        <v/>
      </c>
      <c r="AL174" s="42">
        <f>ROUND(AK174*AL$6/12,2)</f>
        <v/>
      </c>
      <c r="AM174" s="42">
        <f>MIN(AM$6,AK174+AL174)</f>
        <v/>
      </c>
      <c r="AN174" s="42">
        <f>MAX(0,MIN(AK174+AL174-AM174,AJ174))</f>
        <v/>
      </c>
      <c r="AO174" s="42">
        <f>ROUND(AK174+AL174-AM174-AN174,2)</f>
        <v/>
      </c>
      <c r="AP174">
        <f>AJ174-AN174</f>
        <v/>
      </c>
      <c r="AQ174" s="42">
        <f>AU173</f>
        <v/>
      </c>
      <c r="AR174" s="42">
        <f>ROUND(AQ174*AR$6/12,2)</f>
        <v/>
      </c>
      <c r="AS174" s="42">
        <f>MIN(AS$6,AQ174+AR174)</f>
        <v/>
      </c>
      <c r="AT174" s="42">
        <f>MAX(0,MIN(AQ174+AR174-AS174,AP174))</f>
        <v/>
      </c>
      <c r="AU174" s="42">
        <f>ROUND(AQ174+AR174-AS174-AT174,2)</f>
        <v/>
      </c>
      <c r="AV174">
        <f>AP174-AT174</f>
        <v/>
      </c>
      <c r="AW174" s="42">
        <f>BA173</f>
        <v/>
      </c>
      <c r="AX174" s="42">
        <f>ROUND(AW174*AX$6/12,2)</f>
        <v/>
      </c>
      <c r="AY174" s="42">
        <f>MIN(AY$6,AW174+AX174)</f>
        <v/>
      </c>
      <c r="AZ174" s="42">
        <f>MAX(0,MIN(AW174+AX174-AY174,AV174))</f>
        <v/>
      </c>
      <c r="BA174" s="42">
        <f>ROUND(AW174+AX174-AY174-AZ174,2)</f>
        <v/>
      </c>
      <c r="BB174">
        <f>AV174-AZ174</f>
        <v/>
      </c>
      <c r="BC174" s="42">
        <f>BG173</f>
        <v/>
      </c>
      <c r="BD174" s="42">
        <f>ROUND(BC174*BD$6/12,2)</f>
        <v/>
      </c>
      <c r="BE174" s="42">
        <f>MIN(BE$6,BC174+BD174)</f>
        <v/>
      </c>
      <c r="BF174" s="42">
        <f>MAX(0,MIN(BC174+BD174-BE174,BB174))</f>
        <v/>
      </c>
      <c r="BG174" s="42">
        <f>ROUND(BC174+BD174-BE174-BF174,2)</f>
        <v/>
      </c>
      <c r="BH174">
        <f>BB174-BF174</f>
        <v/>
      </c>
      <c r="BI174" s="42">
        <f>BM173</f>
        <v/>
      </c>
      <c r="BJ174" s="42">
        <f>ROUND(BI174*BJ$6/12,2)</f>
        <v/>
      </c>
      <c r="BK174" s="42">
        <f>MIN(BK$6,BI174+BJ174)</f>
        <v/>
      </c>
      <c r="BL174" s="42">
        <f>MAX(0,MIN(BI174+BJ174-BK174,BH174))</f>
        <v/>
      </c>
      <c r="BM174" s="42">
        <f>ROUND(BI174+BJ174-BK174-BL174,2)</f>
        <v/>
      </c>
      <c r="BN174">
        <f>BH174-BL174</f>
        <v/>
      </c>
    </row>
    <row r="175">
      <c r="A175" s="43" t="n">
        <v>168</v>
      </c>
      <c r="B175" s="44">
        <f>EDATE('My Debts'!$C$6,A175-1)</f>
        <v/>
      </c>
      <c r="C175" s="45">
        <f>K175+Q175+W175+AC175+AI175+AO175+AU175+BA175+BG175+BM175</f>
        <v/>
      </c>
      <c r="D175" s="46">
        <f>I175+O175+U175+AA175+AG175+AM175+AS175+AY175+BE175+BK175+J175+P175+V175+AB175+AH175+AN175+AT175+AZ175+BF175+BL175</f>
        <v/>
      </c>
      <c r="E175" s="46">
        <f>H175+N175+T175+Z175+AF175+AL175+AR175+AX175+BD175+BJ175</f>
        <v/>
      </c>
      <c r="F175">
        <f>MAX(0,'My Debts'!$E$21-(I175+O175+U175+AA175+AG175+AM175+AS175+AY175+BE175+BK175))</f>
        <v/>
      </c>
      <c r="G175" s="42">
        <f>K174</f>
        <v/>
      </c>
      <c r="H175" s="42">
        <f>ROUND(G175*H$6/12,2)</f>
        <v/>
      </c>
      <c r="I175" s="42">
        <f>MIN(I$6,G175+H175)</f>
        <v/>
      </c>
      <c r="J175" s="42">
        <f>MAX(0,MIN(G175+H175-I175,$F175))</f>
        <v/>
      </c>
      <c r="K175" s="42">
        <f>ROUND(G175+H175-I175-J175,2)</f>
        <v/>
      </c>
      <c r="L175">
        <f>$F175-J175</f>
        <v/>
      </c>
      <c r="M175" s="42">
        <f>Q174</f>
        <v/>
      </c>
      <c r="N175" s="42">
        <f>ROUND(M175*N$6/12,2)</f>
        <v/>
      </c>
      <c r="O175" s="42">
        <f>MIN(O$6,M175+N175)</f>
        <v/>
      </c>
      <c r="P175" s="42">
        <f>MAX(0,MIN(M175+N175-O175,L175))</f>
        <v/>
      </c>
      <c r="Q175" s="42">
        <f>ROUND(M175+N175-O175-P175,2)</f>
        <v/>
      </c>
      <c r="R175">
        <f>L175-P175</f>
        <v/>
      </c>
      <c r="S175" s="42">
        <f>W174</f>
        <v/>
      </c>
      <c r="T175" s="42">
        <f>ROUND(S175*T$6/12,2)</f>
        <v/>
      </c>
      <c r="U175" s="42">
        <f>MIN(U$6,S175+T175)</f>
        <v/>
      </c>
      <c r="V175" s="42">
        <f>MAX(0,MIN(S175+T175-U175,R175))</f>
        <v/>
      </c>
      <c r="W175" s="42">
        <f>ROUND(S175+T175-U175-V175,2)</f>
        <v/>
      </c>
      <c r="X175">
        <f>R175-V175</f>
        <v/>
      </c>
      <c r="Y175" s="42">
        <f>AC174</f>
        <v/>
      </c>
      <c r="Z175" s="42">
        <f>ROUND(Y175*Z$6/12,2)</f>
        <v/>
      </c>
      <c r="AA175" s="42">
        <f>MIN(AA$6,Y175+Z175)</f>
        <v/>
      </c>
      <c r="AB175" s="42">
        <f>MAX(0,MIN(Y175+Z175-AA175,X175))</f>
        <v/>
      </c>
      <c r="AC175" s="42">
        <f>ROUND(Y175+Z175-AA175-AB175,2)</f>
        <v/>
      </c>
      <c r="AD175">
        <f>X175-AB175</f>
        <v/>
      </c>
      <c r="AE175" s="42">
        <f>AI174</f>
        <v/>
      </c>
      <c r="AF175" s="42">
        <f>ROUND(AE175*AF$6/12,2)</f>
        <v/>
      </c>
      <c r="AG175" s="42">
        <f>MIN(AG$6,AE175+AF175)</f>
        <v/>
      </c>
      <c r="AH175" s="42">
        <f>MAX(0,MIN(AE175+AF175-AG175,AD175))</f>
        <v/>
      </c>
      <c r="AI175" s="42">
        <f>ROUND(AE175+AF175-AG175-AH175,2)</f>
        <v/>
      </c>
      <c r="AJ175">
        <f>AD175-AH175</f>
        <v/>
      </c>
      <c r="AK175" s="42">
        <f>AO174</f>
        <v/>
      </c>
      <c r="AL175" s="42">
        <f>ROUND(AK175*AL$6/12,2)</f>
        <v/>
      </c>
      <c r="AM175" s="42">
        <f>MIN(AM$6,AK175+AL175)</f>
        <v/>
      </c>
      <c r="AN175" s="42">
        <f>MAX(0,MIN(AK175+AL175-AM175,AJ175))</f>
        <v/>
      </c>
      <c r="AO175" s="42">
        <f>ROUND(AK175+AL175-AM175-AN175,2)</f>
        <v/>
      </c>
      <c r="AP175">
        <f>AJ175-AN175</f>
        <v/>
      </c>
      <c r="AQ175" s="42">
        <f>AU174</f>
        <v/>
      </c>
      <c r="AR175" s="42">
        <f>ROUND(AQ175*AR$6/12,2)</f>
        <v/>
      </c>
      <c r="AS175" s="42">
        <f>MIN(AS$6,AQ175+AR175)</f>
        <v/>
      </c>
      <c r="AT175" s="42">
        <f>MAX(0,MIN(AQ175+AR175-AS175,AP175))</f>
        <v/>
      </c>
      <c r="AU175" s="42">
        <f>ROUND(AQ175+AR175-AS175-AT175,2)</f>
        <v/>
      </c>
      <c r="AV175">
        <f>AP175-AT175</f>
        <v/>
      </c>
      <c r="AW175" s="42">
        <f>BA174</f>
        <v/>
      </c>
      <c r="AX175" s="42">
        <f>ROUND(AW175*AX$6/12,2)</f>
        <v/>
      </c>
      <c r="AY175" s="42">
        <f>MIN(AY$6,AW175+AX175)</f>
        <v/>
      </c>
      <c r="AZ175" s="42">
        <f>MAX(0,MIN(AW175+AX175-AY175,AV175))</f>
        <v/>
      </c>
      <c r="BA175" s="42">
        <f>ROUND(AW175+AX175-AY175-AZ175,2)</f>
        <v/>
      </c>
      <c r="BB175">
        <f>AV175-AZ175</f>
        <v/>
      </c>
      <c r="BC175" s="42">
        <f>BG174</f>
        <v/>
      </c>
      <c r="BD175" s="42">
        <f>ROUND(BC175*BD$6/12,2)</f>
        <v/>
      </c>
      <c r="BE175" s="42">
        <f>MIN(BE$6,BC175+BD175)</f>
        <v/>
      </c>
      <c r="BF175" s="42">
        <f>MAX(0,MIN(BC175+BD175-BE175,BB175))</f>
        <v/>
      </c>
      <c r="BG175" s="42">
        <f>ROUND(BC175+BD175-BE175-BF175,2)</f>
        <v/>
      </c>
      <c r="BH175">
        <f>BB175-BF175</f>
        <v/>
      </c>
      <c r="BI175" s="42">
        <f>BM174</f>
        <v/>
      </c>
      <c r="BJ175" s="42">
        <f>ROUND(BI175*BJ$6/12,2)</f>
        <v/>
      </c>
      <c r="BK175" s="42">
        <f>MIN(BK$6,BI175+BJ175)</f>
        <v/>
      </c>
      <c r="BL175" s="42">
        <f>MAX(0,MIN(BI175+BJ175-BK175,BH175))</f>
        <v/>
      </c>
      <c r="BM175" s="42">
        <f>ROUND(BI175+BJ175-BK175-BL175,2)</f>
        <v/>
      </c>
      <c r="BN175">
        <f>BH175-BL175</f>
        <v/>
      </c>
    </row>
    <row r="176">
      <c r="A176" s="39" t="n">
        <v>169</v>
      </c>
      <c r="B176" s="40">
        <f>EDATE('My Debts'!$C$6,A176-1)</f>
        <v/>
      </c>
      <c r="C176" s="41">
        <f>K176+Q176+W176+AC176+AI176+AO176+AU176+BA176+BG176+BM176</f>
        <v/>
      </c>
      <c r="D176" s="42">
        <f>I176+O176+U176+AA176+AG176+AM176+AS176+AY176+BE176+BK176+J176+P176+V176+AB176+AH176+AN176+AT176+AZ176+BF176+BL176</f>
        <v/>
      </c>
      <c r="E176" s="42">
        <f>H176+N176+T176+Z176+AF176+AL176+AR176+AX176+BD176+BJ176</f>
        <v/>
      </c>
      <c r="F176">
        <f>MAX(0,'My Debts'!$E$21-(I176+O176+U176+AA176+AG176+AM176+AS176+AY176+BE176+BK176))</f>
        <v/>
      </c>
      <c r="G176" s="42">
        <f>K175</f>
        <v/>
      </c>
      <c r="H176" s="42">
        <f>ROUND(G176*H$6/12,2)</f>
        <v/>
      </c>
      <c r="I176" s="42">
        <f>MIN(I$6,G176+H176)</f>
        <v/>
      </c>
      <c r="J176" s="42">
        <f>MAX(0,MIN(G176+H176-I176,$F176))</f>
        <v/>
      </c>
      <c r="K176" s="42">
        <f>ROUND(G176+H176-I176-J176,2)</f>
        <v/>
      </c>
      <c r="L176">
        <f>$F176-J176</f>
        <v/>
      </c>
      <c r="M176" s="42">
        <f>Q175</f>
        <v/>
      </c>
      <c r="N176" s="42">
        <f>ROUND(M176*N$6/12,2)</f>
        <v/>
      </c>
      <c r="O176" s="42">
        <f>MIN(O$6,M176+N176)</f>
        <v/>
      </c>
      <c r="P176" s="42">
        <f>MAX(0,MIN(M176+N176-O176,L176))</f>
        <v/>
      </c>
      <c r="Q176" s="42">
        <f>ROUND(M176+N176-O176-P176,2)</f>
        <v/>
      </c>
      <c r="R176">
        <f>L176-P176</f>
        <v/>
      </c>
      <c r="S176" s="42">
        <f>W175</f>
        <v/>
      </c>
      <c r="T176" s="42">
        <f>ROUND(S176*T$6/12,2)</f>
        <v/>
      </c>
      <c r="U176" s="42">
        <f>MIN(U$6,S176+T176)</f>
        <v/>
      </c>
      <c r="V176" s="42">
        <f>MAX(0,MIN(S176+T176-U176,R176))</f>
        <v/>
      </c>
      <c r="W176" s="42">
        <f>ROUND(S176+T176-U176-V176,2)</f>
        <v/>
      </c>
      <c r="X176">
        <f>R176-V176</f>
        <v/>
      </c>
      <c r="Y176" s="42">
        <f>AC175</f>
        <v/>
      </c>
      <c r="Z176" s="42">
        <f>ROUND(Y176*Z$6/12,2)</f>
        <v/>
      </c>
      <c r="AA176" s="42">
        <f>MIN(AA$6,Y176+Z176)</f>
        <v/>
      </c>
      <c r="AB176" s="42">
        <f>MAX(0,MIN(Y176+Z176-AA176,X176))</f>
        <v/>
      </c>
      <c r="AC176" s="42">
        <f>ROUND(Y176+Z176-AA176-AB176,2)</f>
        <v/>
      </c>
      <c r="AD176">
        <f>X176-AB176</f>
        <v/>
      </c>
      <c r="AE176" s="42">
        <f>AI175</f>
        <v/>
      </c>
      <c r="AF176" s="42">
        <f>ROUND(AE176*AF$6/12,2)</f>
        <v/>
      </c>
      <c r="AG176" s="42">
        <f>MIN(AG$6,AE176+AF176)</f>
        <v/>
      </c>
      <c r="AH176" s="42">
        <f>MAX(0,MIN(AE176+AF176-AG176,AD176))</f>
        <v/>
      </c>
      <c r="AI176" s="42">
        <f>ROUND(AE176+AF176-AG176-AH176,2)</f>
        <v/>
      </c>
      <c r="AJ176">
        <f>AD176-AH176</f>
        <v/>
      </c>
      <c r="AK176" s="42">
        <f>AO175</f>
        <v/>
      </c>
      <c r="AL176" s="42">
        <f>ROUND(AK176*AL$6/12,2)</f>
        <v/>
      </c>
      <c r="AM176" s="42">
        <f>MIN(AM$6,AK176+AL176)</f>
        <v/>
      </c>
      <c r="AN176" s="42">
        <f>MAX(0,MIN(AK176+AL176-AM176,AJ176))</f>
        <v/>
      </c>
      <c r="AO176" s="42">
        <f>ROUND(AK176+AL176-AM176-AN176,2)</f>
        <v/>
      </c>
      <c r="AP176">
        <f>AJ176-AN176</f>
        <v/>
      </c>
      <c r="AQ176" s="42">
        <f>AU175</f>
        <v/>
      </c>
      <c r="AR176" s="42">
        <f>ROUND(AQ176*AR$6/12,2)</f>
        <v/>
      </c>
      <c r="AS176" s="42">
        <f>MIN(AS$6,AQ176+AR176)</f>
        <v/>
      </c>
      <c r="AT176" s="42">
        <f>MAX(0,MIN(AQ176+AR176-AS176,AP176))</f>
        <v/>
      </c>
      <c r="AU176" s="42">
        <f>ROUND(AQ176+AR176-AS176-AT176,2)</f>
        <v/>
      </c>
      <c r="AV176">
        <f>AP176-AT176</f>
        <v/>
      </c>
      <c r="AW176" s="42">
        <f>BA175</f>
        <v/>
      </c>
      <c r="AX176" s="42">
        <f>ROUND(AW176*AX$6/12,2)</f>
        <v/>
      </c>
      <c r="AY176" s="42">
        <f>MIN(AY$6,AW176+AX176)</f>
        <v/>
      </c>
      <c r="AZ176" s="42">
        <f>MAX(0,MIN(AW176+AX176-AY176,AV176))</f>
        <v/>
      </c>
      <c r="BA176" s="42">
        <f>ROUND(AW176+AX176-AY176-AZ176,2)</f>
        <v/>
      </c>
      <c r="BB176">
        <f>AV176-AZ176</f>
        <v/>
      </c>
      <c r="BC176" s="42">
        <f>BG175</f>
        <v/>
      </c>
      <c r="BD176" s="42">
        <f>ROUND(BC176*BD$6/12,2)</f>
        <v/>
      </c>
      <c r="BE176" s="42">
        <f>MIN(BE$6,BC176+BD176)</f>
        <v/>
      </c>
      <c r="BF176" s="42">
        <f>MAX(0,MIN(BC176+BD176-BE176,BB176))</f>
        <v/>
      </c>
      <c r="BG176" s="42">
        <f>ROUND(BC176+BD176-BE176-BF176,2)</f>
        <v/>
      </c>
      <c r="BH176">
        <f>BB176-BF176</f>
        <v/>
      </c>
      <c r="BI176" s="42">
        <f>BM175</f>
        <v/>
      </c>
      <c r="BJ176" s="42">
        <f>ROUND(BI176*BJ$6/12,2)</f>
        <v/>
      </c>
      <c r="BK176" s="42">
        <f>MIN(BK$6,BI176+BJ176)</f>
        <v/>
      </c>
      <c r="BL176" s="42">
        <f>MAX(0,MIN(BI176+BJ176-BK176,BH176))</f>
        <v/>
      </c>
      <c r="BM176" s="42">
        <f>ROUND(BI176+BJ176-BK176-BL176,2)</f>
        <v/>
      </c>
      <c r="BN176">
        <f>BH176-BL176</f>
        <v/>
      </c>
    </row>
    <row r="177">
      <c r="A177" s="43" t="n">
        <v>170</v>
      </c>
      <c r="B177" s="44">
        <f>EDATE('My Debts'!$C$6,A177-1)</f>
        <v/>
      </c>
      <c r="C177" s="45">
        <f>K177+Q177+W177+AC177+AI177+AO177+AU177+BA177+BG177+BM177</f>
        <v/>
      </c>
      <c r="D177" s="46">
        <f>I177+O177+U177+AA177+AG177+AM177+AS177+AY177+BE177+BK177+J177+P177+V177+AB177+AH177+AN177+AT177+AZ177+BF177+BL177</f>
        <v/>
      </c>
      <c r="E177" s="46">
        <f>H177+N177+T177+Z177+AF177+AL177+AR177+AX177+BD177+BJ177</f>
        <v/>
      </c>
      <c r="F177">
        <f>MAX(0,'My Debts'!$E$21-(I177+O177+U177+AA177+AG177+AM177+AS177+AY177+BE177+BK177))</f>
        <v/>
      </c>
      <c r="G177" s="42">
        <f>K176</f>
        <v/>
      </c>
      <c r="H177" s="42">
        <f>ROUND(G177*H$6/12,2)</f>
        <v/>
      </c>
      <c r="I177" s="42">
        <f>MIN(I$6,G177+H177)</f>
        <v/>
      </c>
      <c r="J177" s="42">
        <f>MAX(0,MIN(G177+H177-I177,$F177))</f>
        <v/>
      </c>
      <c r="K177" s="42">
        <f>ROUND(G177+H177-I177-J177,2)</f>
        <v/>
      </c>
      <c r="L177">
        <f>$F177-J177</f>
        <v/>
      </c>
      <c r="M177" s="42">
        <f>Q176</f>
        <v/>
      </c>
      <c r="N177" s="42">
        <f>ROUND(M177*N$6/12,2)</f>
        <v/>
      </c>
      <c r="O177" s="42">
        <f>MIN(O$6,M177+N177)</f>
        <v/>
      </c>
      <c r="P177" s="42">
        <f>MAX(0,MIN(M177+N177-O177,L177))</f>
        <v/>
      </c>
      <c r="Q177" s="42">
        <f>ROUND(M177+N177-O177-P177,2)</f>
        <v/>
      </c>
      <c r="R177">
        <f>L177-P177</f>
        <v/>
      </c>
      <c r="S177" s="42">
        <f>W176</f>
        <v/>
      </c>
      <c r="T177" s="42">
        <f>ROUND(S177*T$6/12,2)</f>
        <v/>
      </c>
      <c r="U177" s="42">
        <f>MIN(U$6,S177+T177)</f>
        <v/>
      </c>
      <c r="V177" s="42">
        <f>MAX(0,MIN(S177+T177-U177,R177))</f>
        <v/>
      </c>
      <c r="W177" s="42">
        <f>ROUND(S177+T177-U177-V177,2)</f>
        <v/>
      </c>
      <c r="X177">
        <f>R177-V177</f>
        <v/>
      </c>
      <c r="Y177" s="42">
        <f>AC176</f>
        <v/>
      </c>
      <c r="Z177" s="42">
        <f>ROUND(Y177*Z$6/12,2)</f>
        <v/>
      </c>
      <c r="AA177" s="42">
        <f>MIN(AA$6,Y177+Z177)</f>
        <v/>
      </c>
      <c r="AB177" s="42">
        <f>MAX(0,MIN(Y177+Z177-AA177,X177))</f>
        <v/>
      </c>
      <c r="AC177" s="42">
        <f>ROUND(Y177+Z177-AA177-AB177,2)</f>
        <v/>
      </c>
      <c r="AD177">
        <f>X177-AB177</f>
        <v/>
      </c>
      <c r="AE177" s="42">
        <f>AI176</f>
        <v/>
      </c>
      <c r="AF177" s="42">
        <f>ROUND(AE177*AF$6/12,2)</f>
        <v/>
      </c>
      <c r="AG177" s="42">
        <f>MIN(AG$6,AE177+AF177)</f>
        <v/>
      </c>
      <c r="AH177" s="42">
        <f>MAX(0,MIN(AE177+AF177-AG177,AD177))</f>
        <v/>
      </c>
      <c r="AI177" s="42">
        <f>ROUND(AE177+AF177-AG177-AH177,2)</f>
        <v/>
      </c>
      <c r="AJ177">
        <f>AD177-AH177</f>
        <v/>
      </c>
      <c r="AK177" s="42">
        <f>AO176</f>
        <v/>
      </c>
      <c r="AL177" s="42">
        <f>ROUND(AK177*AL$6/12,2)</f>
        <v/>
      </c>
      <c r="AM177" s="42">
        <f>MIN(AM$6,AK177+AL177)</f>
        <v/>
      </c>
      <c r="AN177" s="42">
        <f>MAX(0,MIN(AK177+AL177-AM177,AJ177))</f>
        <v/>
      </c>
      <c r="AO177" s="42">
        <f>ROUND(AK177+AL177-AM177-AN177,2)</f>
        <v/>
      </c>
      <c r="AP177">
        <f>AJ177-AN177</f>
        <v/>
      </c>
      <c r="AQ177" s="42">
        <f>AU176</f>
        <v/>
      </c>
      <c r="AR177" s="42">
        <f>ROUND(AQ177*AR$6/12,2)</f>
        <v/>
      </c>
      <c r="AS177" s="42">
        <f>MIN(AS$6,AQ177+AR177)</f>
        <v/>
      </c>
      <c r="AT177" s="42">
        <f>MAX(0,MIN(AQ177+AR177-AS177,AP177))</f>
        <v/>
      </c>
      <c r="AU177" s="42">
        <f>ROUND(AQ177+AR177-AS177-AT177,2)</f>
        <v/>
      </c>
      <c r="AV177">
        <f>AP177-AT177</f>
        <v/>
      </c>
      <c r="AW177" s="42">
        <f>BA176</f>
        <v/>
      </c>
      <c r="AX177" s="42">
        <f>ROUND(AW177*AX$6/12,2)</f>
        <v/>
      </c>
      <c r="AY177" s="42">
        <f>MIN(AY$6,AW177+AX177)</f>
        <v/>
      </c>
      <c r="AZ177" s="42">
        <f>MAX(0,MIN(AW177+AX177-AY177,AV177))</f>
        <v/>
      </c>
      <c r="BA177" s="42">
        <f>ROUND(AW177+AX177-AY177-AZ177,2)</f>
        <v/>
      </c>
      <c r="BB177">
        <f>AV177-AZ177</f>
        <v/>
      </c>
      <c r="BC177" s="42">
        <f>BG176</f>
        <v/>
      </c>
      <c r="BD177" s="42">
        <f>ROUND(BC177*BD$6/12,2)</f>
        <v/>
      </c>
      <c r="BE177" s="42">
        <f>MIN(BE$6,BC177+BD177)</f>
        <v/>
      </c>
      <c r="BF177" s="42">
        <f>MAX(0,MIN(BC177+BD177-BE177,BB177))</f>
        <v/>
      </c>
      <c r="BG177" s="42">
        <f>ROUND(BC177+BD177-BE177-BF177,2)</f>
        <v/>
      </c>
      <c r="BH177">
        <f>BB177-BF177</f>
        <v/>
      </c>
      <c r="BI177" s="42">
        <f>BM176</f>
        <v/>
      </c>
      <c r="BJ177" s="42">
        <f>ROUND(BI177*BJ$6/12,2)</f>
        <v/>
      </c>
      <c r="BK177" s="42">
        <f>MIN(BK$6,BI177+BJ177)</f>
        <v/>
      </c>
      <c r="BL177" s="42">
        <f>MAX(0,MIN(BI177+BJ177-BK177,BH177))</f>
        <v/>
      </c>
      <c r="BM177" s="42">
        <f>ROUND(BI177+BJ177-BK177-BL177,2)</f>
        <v/>
      </c>
      <c r="BN177">
        <f>BH177-BL177</f>
        <v/>
      </c>
    </row>
    <row r="178">
      <c r="A178" s="39" t="n">
        <v>171</v>
      </c>
      <c r="B178" s="40">
        <f>EDATE('My Debts'!$C$6,A178-1)</f>
        <v/>
      </c>
      <c r="C178" s="41">
        <f>K178+Q178+W178+AC178+AI178+AO178+AU178+BA178+BG178+BM178</f>
        <v/>
      </c>
      <c r="D178" s="42">
        <f>I178+O178+U178+AA178+AG178+AM178+AS178+AY178+BE178+BK178+J178+P178+V178+AB178+AH178+AN178+AT178+AZ178+BF178+BL178</f>
        <v/>
      </c>
      <c r="E178" s="42">
        <f>H178+N178+T178+Z178+AF178+AL178+AR178+AX178+BD178+BJ178</f>
        <v/>
      </c>
      <c r="F178">
        <f>MAX(0,'My Debts'!$E$21-(I178+O178+U178+AA178+AG178+AM178+AS178+AY178+BE178+BK178))</f>
        <v/>
      </c>
      <c r="G178" s="42">
        <f>K177</f>
        <v/>
      </c>
      <c r="H178" s="42">
        <f>ROUND(G178*H$6/12,2)</f>
        <v/>
      </c>
      <c r="I178" s="42">
        <f>MIN(I$6,G178+H178)</f>
        <v/>
      </c>
      <c r="J178" s="42">
        <f>MAX(0,MIN(G178+H178-I178,$F178))</f>
        <v/>
      </c>
      <c r="K178" s="42">
        <f>ROUND(G178+H178-I178-J178,2)</f>
        <v/>
      </c>
      <c r="L178">
        <f>$F178-J178</f>
        <v/>
      </c>
      <c r="M178" s="42">
        <f>Q177</f>
        <v/>
      </c>
      <c r="N178" s="42">
        <f>ROUND(M178*N$6/12,2)</f>
        <v/>
      </c>
      <c r="O178" s="42">
        <f>MIN(O$6,M178+N178)</f>
        <v/>
      </c>
      <c r="P178" s="42">
        <f>MAX(0,MIN(M178+N178-O178,L178))</f>
        <v/>
      </c>
      <c r="Q178" s="42">
        <f>ROUND(M178+N178-O178-P178,2)</f>
        <v/>
      </c>
      <c r="R178">
        <f>L178-P178</f>
        <v/>
      </c>
      <c r="S178" s="42">
        <f>W177</f>
        <v/>
      </c>
      <c r="T178" s="42">
        <f>ROUND(S178*T$6/12,2)</f>
        <v/>
      </c>
      <c r="U178" s="42">
        <f>MIN(U$6,S178+T178)</f>
        <v/>
      </c>
      <c r="V178" s="42">
        <f>MAX(0,MIN(S178+T178-U178,R178))</f>
        <v/>
      </c>
      <c r="W178" s="42">
        <f>ROUND(S178+T178-U178-V178,2)</f>
        <v/>
      </c>
      <c r="X178">
        <f>R178-V178</f>
        <v/>
      </c>
      <c r="Y178" s="42">
        <f>AC177</f>
        <v/>
      </c>
      <c r="Z178" s="42">
        <f>ROUND(Y178*Z$6/12,2)</f>
        <v/>
      </c>
      <c r="AA178" s="42">
        <f>MIN(AA$6,Y178+Z178)</f>
        <v/>
      </c>
      <c r="AB178" s="42">
        <f>MAX(0,MIN(Y178+Z178-AA178,X178))</f>
        <v/>
      </c>
      <c r="AC178" s="42">
        <f>ROUND(Y178+Z178-AA178-AB178,2)</f>
        <v/>
      </c>
      <c r="AD178">
        <f>X178-AB178</f>
        <v/>
      </c>
      <c r="AE178" s="42">
        <f>AI177</f>
        <v/>
      </c>
      <c r="AF178" s="42">
        <f>ROUND(AE178*AF$6/12,2)</f>
        <v/>
      </c>
      <c r="AG178" s="42">
        <f>MIN(AG$6,AE178+AF178)</f>
        <v/>
      </c>
      <c r="AH178" s="42">
        <f>MAX(0,MIN(AE178+AF178-AG178,AD178))</f>
        <v/>
      </c>
      <c r="AI178" s="42">
        <f>ROUND(AE178+AF178-AG178-AH178,2)</f>
        <v/>
      </c>
      <c r="AJ178">
        <f>AD178-AH178</f>
        <v/>
      </c>
      <c r="AK178" s="42">
        <f>AO177</f>
        <v/>
      </c>
      <c r="AL178" s="42">
        <f>ROUND(AK178*AL$6/12,2)</f>
        <v/>
      </c>
      <c r="AM178" s="42">
        <f>MIN(AM$6,AK178+AL178)</f>
        <v/>
      </c>
      <c r="AN178" s="42">
        <f>MAX(0,MIN(AK178+AL178-AM178,AJ178))</f>
        <v/>
      </c>
      <c r="AO178" s="42">
        <f>ROUND(AK178+AL178-AM178-AN178,2)</f>
        <v/>
      </c>
      <c r="AP178">
        <f>AJ178-AN178</f>
        <v/>
      </c>
      <c r="AQ178" s="42">
        <f>AU177</f>
        <v/>
      </c>
      <c r="AR178" s="42">
        <f>ROUND(AQ178*AR$6/12,2)</f>
        <v/>
      </c>
      <c r="AS178" s="42">
        <f>MIN(AS$6,AQ178+AR178)</f>
        <v/>
      </c>
      <c r="AT178" s="42">
        <f>MAX(0,MIN(AQ178+AR178-AS178,AP178))</f>
        <v/>
      </c>
      <c r="AU178" s="42">
        <f>ROUND(AQ178+AR178-AS178-AT178,2)</f>
        <v/>
      </c>
      <c r="AV178">
        <f>AP178-AT178</f>
        <v/>
      </c>
      <c r="AW178" s="42">
        <f>BA177</f>
        <v/>
      </c>
      <c r="AX178" s="42">
        <f>ROUND(AW178*AX$6/12,2)</f>
        <v/>
      </c>
      <c r="AY178" s="42">
        <f>MIN(AY$6,AW178+AX178)</f>
        <v/>
      </c>
      <c r="AZ178" s="42">
        <f>MAX(0,MIN(AW178+AX178-AY178,AV178))</f>
        <v/>
      </c>
      <c r="BA178" s="42">
        <f>ROUND(AW178+AX178-AY178-AZ178,2)</f>
        <v/>
      </c>
      <c r="BB178">
        <f>AV178-AZ178</f>
        <v/>
      </c>
      <c r="BC178" s="42">
        <f>BG177</f>
        <v/>
      </c>
      <c r="BD178" s="42">
        <f>ROUND(BC178*BD$6/12,2)</f>
        <v/>
      </c>
      <c r="BE178" s="42">
        <f>MIN(BE$6,BC178+BD178)</f>
        <v/>
      </c>
      <c r="BF178" s="42">
        <f>MAX(0,MIN(BC178+BD178-BE178,BB178))</f>
        <v/>
      </c>
      <c r="BG178" s="42">
        <f>ROUND(BC178+BD178-BE178-BF178,2)</f>
        <v/>
      </c>
      <c r="BH178">
        <f>BB178-BF178</f>
        <v/>
      </c>
      <c r="BI178" s="42">
        <f>BM177</f>
        <v/>
      </c>
      <c r="BJ178" s="42">
        <f>ROUND(BI178*BJ$6/12,2)</f>
        <v/>
      </c>
      <c r="BK178" s="42">
        <f>MIN(BK$6,BI178+BJ178)</f>
        <v/>
      </c>
      <c r="BL178" s="42">
        <f>MAX(0,MIN(BI178+BJ178-BK178,BH178))</f>
        <v/>
      </c>
      <c r="BM178" s="42">
        <f>ROUND(BI178+BJ178-BK178-BL178,2)</f>
        <v/>
      </c>
      <c r="BN178">
        <f>BH178-BL178</f>
        <v/>
      </c>
    </row>
    <row r="179">
      <c r="A179" s="43" t="n">
        <v>172</v>
      </c>
      <c r="B179" s="44">
        <f>EDATE('My Debts'!$C$6,A179-1)</f>
        <v/>
      </c>
      <c r="C179" s="45">
        <f>K179+Q179+W179+AC179+AI179+AO179+AU179+BA179+BG179+BM179</f>
        <v/>
      </c>
      <c r="D179" s="46">
        <f>I179+O179+U179+AA179+AG179+AM179+AS179+AY179+BE179+BK179+J179+P179+V179+AB179+AH179+AN179+AT179+AZ179+BF179+BL179</f>
        <v/>
      </c>
      <c r="E179" s="46">
        <f>H179+N179+T179+Z179+AF179+AL179+AR179+AX179+BD179+BJ179</f>
        <v/>
      </c>
      <c r="F179">
        <f>MAX(0,'My Debts'!$E$21-(I179+O179+U179+AA179+AG179+AM179+AS179+AY179+BE179+BK179))</f>
        <v/>
      </c>
      <c r="G179" s="42">
        <f>K178</f>
        <v/>
      </c>
      <c r="H179" s="42">
        <f>ROUND(G179*H$6/12,2)</f>
        <v/>
      </c>
      <c r="I179" s="42">
        <f>MIN(I$6,G179+H179)</f>
        <v/>
      </c>
      <c r="J179" s="42">
        <f>MAX(0,MIN(G179+H179-I179,$F179))</f>
        <v/>
      </c>
      <c r="K179" s="42">
        <f>ROUND(G179+H179-I179-J179,2)</f>
        <v/>
      </c>
      <c r="L179">
        <f>$F179-J179</f>
        <v/>
      </c>
      <c r="M179" s="42">
        <f>Q178</f>
        <v/>
      </c>
      <c r="N179" s="42">
        <f>ROUND(M179*N$6/12,2)</f>
        <v/>
      </c>
      <c r="O179" s="42">
        <f>MIN(O$6,M179+N179)</f>
        <v/>
      </c>
      <c r="P179" s="42">
        <f>MAX(0,MIN(M179+N179-O179,L179))</f>
        <v/>
      </c>
      <c r="Q179" s="42">
        <f>ROUND(M179+N179-O179-P179,2)</f>
        <v/>
      </c>
      <c r="R179">
        <f>L179-P179</f>
        <v/>
      </c>
      <c r="S179" s="42">
        <f>W178</f>
        <v/>
      </c>
      <c r="T179" s="42">
        <f>ROUND(S179*T$6/12,2)</f>
        <v/>
      </c>
      <c r="U179" s="42">
        <f>MIN(U$6,S179+T179)</f>
        <v/>
      </c>
      <c r="V179" s="42">
        <f>MAX(0,MIN(S179+T179-U179,R179))</f>
        <v/>
      </c>
      <c r="W179" s="42">
        <f>ROUND(S179+T179-U179-V179,2)</f>
        <v/>
      </c>
      <c r="X179">
        <f>R179-V179</f>
        <v/>
      </c>
      <c r="Y179" s="42">
        <f>AC178</f>
        <v/>
      </c>
      <c r="Z179" s="42">
        <f>ROUND(Y179*Z$6/12,2)</f>
        <v/>
      </c>
      <c r="AA179" s="42">
        <f>MIN(AA$6,Y179+Z179)</f>
        <v/>
      </c>
      <c r="AB179" s="42">
        <f>MAX(0,MIN(Y179+Z179-AA179,X179))</f>
        <v/>
      </c>
      <c r="AC179" s="42">
        <f>ROUND(Y179+Z179-AA179-AB179,2)</f>
        <v/>
      </c>
      <c r="AD179">
        <f>X179-AB179</f>
        <v/>
      </c>
      <c r="AE179" s="42">
        <f>AI178</f>
        <v/>
      </c>
      <c r="AF179" s="42">
        <f>ROUND(AE179*AF$6/12,2)</f>
        <v/>
      </c>
      <c r="AG179" s="42">
        <f>MIN(AG$6,AE179+AF179)</f>
        <v/>
      </c>
      <c r="AH179" s="42">
        <f>MAX(0,MIN(AE179+AF179-AG179,AD179))</f>
        <v/>
      </c>
      <c r="AI179" s="42">
        <f>ROUND(AE179+AF179-AG179-AH179,2)</f>
        <v/>
      </c>
      <c r="AJ179">
        <f>AD179-AH179</f>
        <v/>
      </c>
      <c r="AK179" s="42">
        <f>AO178</f>
        <v/>
      </c>
      <c r="AL179" s="42">
        <f>ROUND(AK179*AL$6/12,2)</f>
        <v/>
      </c>
      <c r="AM179" s="42">
        <f>MIN(AM$6,AK179+AL179)</f>
        <v/>
      </c>
      <c r="AN179" s="42">
        <f>MAX(0,MIN(AK179+AL179-AM179,AJ179))</f>
        <v/>
      </c>
      <c r="AO179" s="42">
        <f>ROUND(AK179+AL179-AM179-AN179,2)</f>
        <v/>
      </c>
      <c r="AP179">
        <f>AJ179-AN179</f>
        <v/>
      </c>
      <c r="AQ179" s="42">
        <f>AU178</f>
        <v/>
      </c>
      <c r="AR179" s="42">
        <f>ROUND(AQ179*AR$6/12,2)</f>
        <v/>
      </c>
      <c r="AS179" s="42">
        <f>MIN(AS$6,AQ179+AR179)</f>
        <v/>
      </c>
      <c r="AT179" s="42">
        <f>MAX(0,MIN(AQ179+AR179-AS179,AP179))</f>
        <v/>
      </c>
      <c r="AU179" s="42">
        <f>ROUND(AQ179+AR179-AS179-AT179,2)</f>
        <v/>
      </c>
      <c r="AV179">
        <f>AP179-AT179</f>
        <v/>
      </c>
      <c r="AW179" s="42">
        <f>BA178</f>
        <v/>
      </c>
      <c r="AX179" s="42">
        <f>ROUND(AW179*AX$6/12,2)</f>
        <v/>
      </c>
      <c r="AY179" s="42">
        <f>MIN(AY$6,AW179+AX179)</f>
        <v/>
      </c>
      <c r="AZ179" s="42">
        <f>MAX(0,MIN(AW179+AX179-AY179,AV179))</f>
        <v/>
      </c>
      <c r="BA179" s="42">
        <f>ROUND(AW179+AX179-AY179-AZ179,2)</f>
        <v/>
      </c>
      <c r="BB179">
        <f>AV179-AZ179</f>
        <v/>
      </c>
      <c r="BC179" s="42">
        <f>BG178</f>
        <v/>
      </c>
      <c r="BD179" s="42">
        <f>ROUND(BC179*BD$6/12,2)</f>
        <v/>
      </c>
      <c r="BE179" s="42">
        <f>MIN(BE$6,BC179+BD179)</f>
        <v/>
      </c>
      <c r="BF179" s="42">
        <f>MAX(0,MIN(BC179+BD179-BE179,BB179))</f>
        <v/>
      </c>
      <c r="BG179" s="42">
        <f>ROUND(BC179+BD179-BE179-BF179,2)</f>
        <v/>
      </c>
      <c r="BH179">
        <f>BB179-BF179</f>
        <v/>
      </c>
      <c r="BI179" s="42">
        <f>BM178</f>
        <v/>
      </c>
      <c r="BJ179" s="42">
        <f>ROUND(BI179*BJ$6/12,2)</f>
        <v/>
      </c>
      <c r="BK179" s="42">
        <f>MIN(BK$6,BI179+BJ179)</f>
        <v/>
      </c>
      <c r="BL179" s="42">
        <f>MAX(0,MIN(BI179+BJ179-BK179,BH179))</f>
        <v/>
      </c>
      <c r="BM179" s="42">
        <f>ROUND(BI179+BJ179-BK179-BL179,2)</f>
        <v/>
      </c>
      <c r="BN179">
        <f>BH179-BL179</f>
        <v/>
      </c>
    </row>
    <row r="180">
      <c r="A180" s="39" t="n">
        <v>173</v>
      </c>
      <c r="B180" s="40">
        <f>EDATE('My Debts'!$C$6,A180-1)</f>
        <v/>
      </c>
      <c r="C180" s="41">
        <f>K180+Q180+W180+AC180+AI180+AO180+AU180+BA180+BG180+BM180</f>
        <v/>
      </c>
      <c r="D180" s="42">
        <f>I180+O180+U180+AA180+AG180+AM180+AS180+AY180+BE180+BK180+J180+P180+V180+AB180+AH180+AN180+AT180+AZ180+BF180+BL180</f>
        <v/>
      </c>
      <c r="E180" s="42">
        <f>H180+N180+T180+Z180+AF180+AL180+AR180+AX180+BD180+BJ180</f>
        <v/>
      </c>
      <c r="F180">
        <f>MAX(0,'My Debts'!$E$21-(I180+O180+U180+AA180+AG180+AM180+AS180+AY180+BE180+BK180))</f>
        <v/>
      </c>
      <c r="G180" s="42">
        <f>K179</f>
        <v/>
      </c>
      <c r="H180" s="42">
        <f>ROUND(G180*H$6/12,2)</f>
        <v/>
      </c>
      <c r="I180" s="42">
        <f>MIN(I$6,G180+H180)</f>
        <v/>
      </c>
      <c r="J180" s="42">
        <f>MAX(0,MIN(G180+H180-I180,$F180))</f>
        <v/>
      </c>
      <c r="K180" s="42">
        <f>ROUND(G180+H180-I180-J180,2)</f>
        <v/>
      </c>
      <c r="L180">
        <f>$F180-J180</f>
        <v/>
      </c>
      <c r="M180" s="42">
        <f>Q179</f>
        <v/>
      </c>
      <c r="N180" s="42">
        <f>ROUND(M180*N$6/12,2)</f>
        <v/>
      </c>
      <c r="O180" s="42">
        <f>MIN(O$6,M180+N180)</f>
        <v/>
      </c>
      <c r="P180" s="42">
        <f>MAX(0,MIN(M180+N180-O180,L180))</f>
        <v/>
      </c>
      <c r="Q180" s="42">
        <f>ROUND(M180+N180-O180-P180,2)</f>
        <v/>
      </c>
      <c r="R180">
        <f>L180-P180</f>
        <v/>
      </c>
      <c r="S180" s="42">
        <f>W179</f>
        <v/>
      </c>
      <c r="T180" s="42">
        <f>ROUND(S180*T$6/12,2)</f>
        <v/>
      </c>
      <c r="U180" s="42">
        <f>MIN(U$6,S180+T180)</f>
        <v/>
      </c>
      <c r="V180" s="42">
        <f>MAX(0,MIN(S180+T180-U180,R180))</f>
        <v/>
      </c>
      <c r="W180" s="42">
        <f>ROUND(S180+T180-U180-V180,2)</f>
        <v/>
      </c>
      <c r="X180">
        <f>R180-V180</f>
        <v/>
      </c>
      <c r="Y180" s="42">
        <f>AC179</f>
        <v/>
      </c>
      <c r="Z180" s="42">
        <f>ROUND(Y180*Z$6/12,2)</f>
        <v/>
      </c>
      <c r="AA180" s="42">
        <f>MIN(AA$6,Y180+Z180)</f>
        <v/>
      </c>
      <c r="AB180" s="42">
        <f>MAX(0,MIN(Y180+Z180-AA180,X180))</f>
        <v/>
      </c>
      <c r="AC180" s="42">
        <f>ROUND(Y180+Z180-AA180-AB180,2)</f>
        <v/>
      </c>
      <c r="AD180">
        <f>X180-AB180</f>
        <v/>
      </c>
      <c r="AE180" s="42">
        <f>AI179</f>
        <v/>
      </c>
      <c r="AF180" s="42">
        <f>ROUND(AE180*AF$6/12,2)</f>
        <v/>
      </c>
      <c r="AG180" s="42">
        <f>MIN(AG$6,AE180+AF180)</f>
        <v/>
      </c>
      <c r="AH180" s="42">
        <f>MAX(0,MIN(AE180+AF180-AG180,AD180))</f>
        <v/>
      </c>
      <c r="AI180" s="42">
        <f>ROUND(AE180+AF180-AG180-AH180,2)</f>
        <v/>
      </c>
      <c r="AJ180">
        <f>AD180-AH180</f>
        <v/>
      </c>
      <c r="AK180" s="42">
        <f>AO179</f>
        <v/>
      </c>
      <c r="AL180" s="42">
        <f>ROUND(AK180*AL$6/12,2)</f>
        <v/>
      </c>
      <c r="AM180" s="42">
        <f>MIN(AM$6,AK180+AL180)</f>
        <v/>
      </c>
      <c r="AN180" s="42">
        <f>MAX(0,MIN(AK180+AL180-AM180,AJ180))</f>
        <v/>
      </c>
      <c r="AO180" s="42">
        <f>ROUND(AK180+AL180-AM180-AN180,2)</f>
        <v/>
      </c>
      <c r="AP180">
        <f>AJ180-AN180</f>
        <v/>
      </c>
      <c r="AQ180" s="42">
        <f>AU179</f>
        <v/>
      </c>
      <c r="AR180" s="42">
        <f>ROUND(AQ180*AR$6/12,2)</f>
        <v/>
      </c>
      <c r="AS180" s="42">
        <f>MIN(AS$6,AQ180+AR180)</f>
        <v/>
      </c>
      <c r="AT180" s="42">
        <f>MAX(0,MIN(AQ180+AR180-AS180,AP180))</f>
        <v/>
      </c>
      <c r="AU180" s="42">
        <f>ROUND(AQ180+AR180-AS180-AT180,2)</f>
        <v/>
      </c>
      <c r="AV180">
        <f>AP180-AT180</f>
        <v/>
      </c>
      <c r="AW180" s="42">
        <f>BA179</f>
        <v/>
      </c>
      <c r="AX180" s="42">
        <f>ROUND(AW180*AX$6/12,2)</f>
        <v/>
      </c>
      <c r="AY180" s="42">
        <f>MIN(AY$6,AW180+AX180)</f>
        <v/>
      </c>
      <c r="AZ180" s="42">
        <f>MAX(0,MIN(AW180+AX180-AY180,AV180))</f>
        <v/>
      </c>
      <c r="BA180" s="42">
        <f>ROUND(AW180+AX180-AY180-AZ180,2)</f>
        <v/>
      </c>
      <c r="BB180">
        <f>AV180-AZ180</f>
        <v/>
      </c>
      <c r="BC180" s="42">
        <f>BG179</f>
        <v/>
      </c>
      <c r="BD180" s="42">
        <f>ROUND(BC180*BD$6/12,2)</f>
        <v/>
      </c>
      <c r="BE180" s="42">
        <f>MIN(BE$6,BC180+BD180)</f>
        <v/>
      </c>
      <c r="BF180" s="42">
        <f>MAX(0,MIN(BC180+BD180-BE180,BB180))</f>
        <v/>
      </c>
      <c r="BG180" s="42">
        <f>ROUND(BC180+BD180-BE180-BF180,2)</f>
        <v/>
      </c>
      <c r="BH180">
        <f>BB180-BF180</f>
        <v/>
      </c>
      <c r="BI180" s="42">
        <f>BM179</f>
        <v/>
      </c>
      <c r="BJ180" s="42">
        <f>ROUND(BI180*BJ$6/12,2)</f>
        <v/>
      </c>
      <c r="BK180" s="42">
        <f>MIN(BK$6,BI180+BJ180)</f>
        <v/>
      </c>
      <c r="BL180" s="42">
        <f>MAX(0,MIN(BI180+BJ180-BK180,BH180))</f>
        <v/>
      </c>
      <c r="BM180" s="42">
        <f>ROUND(BI180+BJ180-BK180-BL180,2)</f>
        <v/>
      </c>
      <c r="BN180">
        <f>BH180-BL180</f>
        <v/>
      </c>
    </row>
    <row r="181">
      <c r="A181" s="43" t="n">
        <v>174</v>
      </c>
      <c r="B181" s="44">
        <f>EDATE('My Debts'!$C$6,A181-1)</f>
        <v/>
      </c>
      <c r="C181" s="45">
        <f>K181+Q181+W181+AC181+AI181+AO181+AU181+BA181+BG181+BM181</f>
        <v/>
      </c>
      <c r="D181" s="46">
        <f>I181+O181+U181+AA181+AG181+AM181+AS181+AY181+BE181+BK181+J181+P181+V181+AB181+AH181+AN181+AT181+AZ181+BF181+BL181</f>
        <v/>
      </c>
      <c r="E181" s="46">
        <f>H181+N181+T181+Z181+AF181+AL181+AR181+AX181+BD181+BJ181</f>
        <v/>
      </c>
      <c r="F181">
        <f>MAX(0,'My Debts'!$E$21-(I181+O181+U181+AA181+AG181+AM181+AS181+AY181+BE181+BK181))</f>
        <v/>
      </c>
      <c r="G181" s="42">
        <f>K180</f>
        <v/>
      </c>
      <c r="H181" s="42">
        <f>ROUND(G181*H$6/12,2)</f>
        <v/>
      </c>
      <c r="I181" s="42">
        <f>MIN(I$6,G181+H181)</f>
        <v/>
      </c>
      <c r="J181" s="42">
        <f>MAX(0,MIN(G181+H181-I181,$F181))</f>
        <v/>
      </c>
      <c r="K181" s="42">
        <f>ROUND(G181+H181-I181-J181,2)</f>
        <v/>
      </c>
      <c r="L181">
        <f>$F181-J181</f>
        <v/>
      </c>
      <c r="M181" s="42">
        <f>Q180</f>
        <v/>
      </c>
      <c r="N181" s="42">
        <f>ROUND(M181*N$6/12,2)</f>
        <v/>
      </c>
      <c r="O181" s="42">
        <f>MIN(O$6,M181+N181)</f>
        <v/>
      </c>
      <c r="P181" s="42">
        <f>MAX(0,MIN(M181+N181-O181,L181))</f>
        <v/>
      </c>
      <c r="Q181" s="42">
        <f>ROUND(M181+N181-O181-P181,2)</f>
        <v/>
      </c>
      <c r="R181">
        <f>L181-P181</f>
        <v/>
      </c>
      <c r="S181" s="42">
        <f>W180</f>
        <v/>
      </c>
      <c r="T181" s="42">
        <f>ROUND(S181*T$6/12,2)</f>
        <v/>
      </c>
      <c r="U181" s="42">
        <f>MIN(U$6,S181+T181)</f>
        <v/>
      </c>
      <c r="V181" s="42">
        <f>MAX(0,MIN(S181+T181-U181,R181))</f>
        <v/>
      </c>
      <c r="W181" s="42">
        <f>ROUND(S181+T181-U181-V181,2)</f>
        <v/>
      </c>
      <c r="X181">
        <f>R181-V181</f>
        <v/>
      </c>
      <c r="Y181" s="42">
        <f>AC180</f>
        <v/>
      </c>
      <c r="Z181" s="42">
        <f>ROUND(Y181*Z$6/12,2)</f>
        <v/>
      </c>
      <c r="AA181" s="42">
        <f>MIN(AA$6,Y181+Z181)</f>
        <v/>
      </c>
      <c r="AB181" s="42">
        <f>MAX(0,MIN(Y181+Z181-AA181,X181))</f>
        <v/>
      </c>
      <c r="AC181" s="42">
        <f>ROUND(Y181+Z181-AA181-AB181,2)</f>
        <v/>
      </c>
      <c r="AD181">
        <f>X181-AB181</f>
        <v/>
      </c>
      <c r="AE181" s="42">
        <f>AI180</f>
        <v/>
      </c>
      <c r="AF181" s="42">
        <f>ROUND(AE181*AF$6/12,2)</f>
        <v/>
      </c>
      <c r="AG181" s="42">
        <f>MIN(AG$6,AE181+AF181)</f>
        <v/>
      </c>
      <c r="AH181" s="42">
        <f>MAX(0,MIN(AE181+AF181-AG181,AD181))</f>
        <v/>
      </c>
      <c r="AI181" s="42">
        <f>ROUND(AE181+AF181-AG181-AH181,2)</f>
        <v/>
      </c>
      <c r="AJ181">
        <f>AD181-AH181</f>
        <v/>
      </c>
      <c r="AK181" s="42">
        <f>AO180</f>
        <v/>
      </c>
      <c r="AL181" s="42">
        <f>ROUND(AK181*AL$6/12,2)</f>
        <v/>
      </c>
      <c r="AM181" s="42">
        <f>MIN(AM$6,AK181+AL181)</f>
        <v/>
      </c>
      <c r="AN181" s="42">
        <f>MAX(0,MIN(AK181+AL181-AM181,AJ181))</f>
        <v/>
      </c>
      <c r="AO181" s="42">
        <f>ROUND(AK181+AL181-AM181-AN181,2)</f>
        <v/>
      </c>
      <c r="AP181">
        <f>AJ181-AN181</f>
        <v/>
      </c>
      <c r="AQ181" s="42">
        <f>AU180</f>
        <v/>
      </c>
      <c r="AR181" s="42">
        <f>ROUND(AQ181*AR$6/12,2)</f>
        <v/>
      </c>
      <c r="AS181" s="42">
        <f>MIN(AS$6,AQ181+AR181)</f>
        <v/>
      </c>
      <c r="AT181" s="42">
        <f>MAX(0,MIN(AQ181+AR181-AS181,AP181))</f>
        <v/>
      </c>
      <c r="AU181" s="42">
        <f>ROUND(AQ181+AR181-AS181-AT181,2)</f>
        <v/>
      </c>
      <c r="AV181">
        <f>AP181-AT181</f>
        <v/>
      </c>
      <c r="AW181" s="42">
        <f>BA180</f>
        <v/>
      </c>
      <c r="AX181" s="42">
        <f>ROUND(AW181*AX$6/12,2)</f>
        <v/>
      </c>
      <c r="AY181" s="42">
        <f>MIN(AY$6,AW181+AX181)</f>
        <v/>
      </c>
      <c r="AZ181" s="42">
        <f>MAX(0,MIN(AW181+AX181-AY181,AV181))</f>
        <v/>
      </c>
      <c r="BA181" s="42">
        <f>ROUND(AW181+AX181-AY181-AZ181,2)</f>
        <v/>
      </c>
      <c r="BB181">
        <f>AV181-AZ181</f>
        <v/>
      </c>
      <c r="BC181" s="42">
        <f>BG180</f>
        <v/>
      </c>
      <c r="BD181" s="42">
        <f>ROUND(BC181*BD$6/12,2)</f>
        <v/>
      </c>
      <c r="BE181" s="42">
        <f>MIN(BE$6,BC181+BD181)</f>
        <v/>
      </c>
      <c r="BF181" s="42">
        <f>MAX(0,MIN(BC181+BD181-BE181,BB181))</f>
        <v/>
      </c>
      <c r="BG181" s="42">
        <f>ROUND(BC181+BD181-BE181-BF181,2)</f>
        <v/>
      </c>
      <c r="BH181">
        <f>BB181-BF181</f>
        <v/>
      </c>
      <c r="BI181" s="42">
        <f>BM180</f>
        <v/>
      </c>
      <c r="BJ181" s="42">
        <f>ROUND(BI181*BJ$6/12,2)</f>
        <v/>
      </c>
      <c r="BK181" s="42">
        <f>MIN(BK$6,BI181+BJ181)</f>
        <v/>
      </c>
      <c r="BL181" s="42">
        <f>MAX(0,MIN(BI181+BJ181-BK181,BH181))</f>
        <v/>
      </c>
      <c r="BM181" s="42">
        <f>ROUND(BI181+BJ181-BK181-BL181,2)</f>
        <v/>
      </c>
      <c r="BN181">
        <f>BH181-BL181</f>
        <v/>
      </c>
    </row>
    <row r="182">
      <c r="A182" s="39" t="n">
        <v>175</v>
      </c>
      <c r="B182" s="40">
        <f>EDATE('My Debts'!$C$6,A182-1)</f>
        <v/>
      </c>
      <c r="C182" s="41">
        <f>K182+Q182+W182+AC182+AI182+AO182+AU182+BA182+BG182+BM182</f>
        <v/>
      </c>
      <c r="D182" s="42">
        <f>I182+O182+U182+AA182+AG182+AM182+AS182+AY182+BE182+BK182+J182+P182+V182+AB182+AH182+AN182+AT182+AZ182+BF182+BL182</f>
        <v/>
      </c>
      <c r="E182" s="42">
        <f>H182+N182+T182+Z182+AF182+AL182+AR182+AX182+BD182+BJ182</f>
        <v/>
      </c>
      <c r="F182">
        <f>MAX(0,'My Debts'!$E$21-(I182+O182+U182+AA182+AG182+AM182+AS182+AY182+BE182+BK182))</f>
        <v/>
      </c>
      <c r="G182" s="42">
        <f>K181</f>
        <v/>
      </c>
      <c r="H182" s="42">
        <f>ROUND(G182*H$6/12,2)</f>
        <v/>
      </c>
      <c r="I182" s="42">
        <f>MIN(I$6,G182+H182)</f>
        <v/>
      </c>
      <c r="J182" s="42">
        <f>MAX(0,MIN(G182+H182-I182,$F182))</f>
        <v/>
      </c>
      <c r="K182" s="42">
        <f>ROUND(G182+H182-I182-J182,2)</f>
        <v/>
      </c>
      <c r="L182">
        <f>$F182-J182</f>
        <v/>
      </c>
      <c r="M182" s="42">
        <f>Q181</f>
        <v/>
      </c>
      <c r="N182" s="42">
        <f>ROUND(M182*N$6/12,2)</f>
        <v/>
      </c>
      <c r="O182" s="42">
        <f>MIN(O$6,M182+N182)</f>
        <v/>
      </c>
      <c r="P182" s="42">
        <f>MAX(0,MIN(M182+N182-O182,L182))</f>
        <v/>
      </c>
      <c r="Q182" s="42">
        <f>ROUND(M182+N182-O182-P182,2)</f>
        <v/>
      </c>
      <c r="R182">
        <f>L182-P182</f>
        <v/>
      </c>
      <c r="S182" s="42">
        <f>W181</f>
        <v/>
      </c>
      <c r="T182" s="42">
        <f>ROUND(S182*T$6/12,2)</f>
        <v/>
      </c>
      <c r="U182" s="42">
        <f>MIN(U$6,S182+T182)</f>
        <v/>
      </c>
      <c r="V182" s="42">
        <f>MAX(0,MIN(S182+T182-U182,R182))</f>
        <v/>
      </c>
      <c r="W182" s="42">
        <f>ROUND(S182+T182-U182-V182,2)</f>
        <v/>
      </c>
      <c r="X182">
        <f>R182-V182</f>
        <v/>
      </c>
      <c r="Y182" s="42">
        <f>AC181</f>
        <v/>
      </c>
      <c r="Z182" s="42">
        <f>ROUND(Y182*Z$6/12,2)</f>
        <v/>
      </c>
      <c r="AA182" s="42">
        <f>MIN(AA$6,Y182+Z182)</f>
        <v/>
      </c>
      <c r="AB182" s="42">
        <f>MAX(0,MIN(Y182+Z182-AA182,X182))</f>
        <v/>
      </c>
      <c r="AC182" s="42">
        <f>ROUND(Y182+Z182-AA182-AB182,2)</f>
        <v/>
      </c>
      <c r="AD182">
        <f>X182-AB182</f>
        <v/>
      </c>
      <c r="AE182" s="42">
        <f>AI181</f>
        <v/>
      </c>
      <c r="AF182" s="42">
        <f>ROUND(AE182*AF$6/12,2)</f>
        <v/>
      </c>
      <c r="AG182" s="42">
        <f>MIN(AG$6,AE182+AF182)</f>
        <v/>
      </c>
      <c r="AH182" s="42">
        <f>MAX(0,MIN(AE182+AF182-AG182,AD182))</f>
        <v/>
      </c>
      <c r="AI182" s="42">
        <f>ROUND(AE182+AF182-AG182-AH182,2)</f>
        <v/>
      </c>
      <c r="AJ182">
        <f>AD182-AH182</f>
        <v/>
      </c>
      <c r="AK182" s="42">
        <f>AO181</f>
        <v/>
      </c>
      <c r="AL182" s="42">
        <f>ROUND(AK182*AL$6/12,2)</f>
        <v/>
      </c>
      <c r="AM182" s="42">
        <f>MIN(AM$6,AK182+AL182)</f>
        <v/>
      </c>
      <c r="AN182" s="42">
        <f>MAX(0,MIN(AK182+AL182-AM182,AJ182))</f>
        <v/>
      </c>
      <c r="AO182" s="42">
        <f>ROUND(AK182+AL182-AM182-AN182,2)</f>
        <v/>
      </c>
      <c r="AP182">
        <f>AJ182-AN182</f>
        <v/>
      </c>
      <c r="AQ182" s="42">
        <f>AU181</f>
        <v/>
      </c>
      <c r="AR182" s="42">
        <f>ROUND(AQ182*AR$6/12,2)</f>
        <v/>
      </c>
      <c r="AS182" s="42">
        <f>MIN(AS$6,AQ182+AR182)</f>
        <v/>
      </c>
      <c r="AT182" s="42">
        <f>MAX(0,MIN(AQ182+AR182-AS182,AP182))</f>
        <v/>
      </c>
      <c r="AU182" s="42">
        <f>ROUND(AQ182+AR182-AS182-AT182,2)</f>
        <v/>
      </c>
      <c r="AV182">
        <f>AP182-AT182</f>
        <v/>
      </c>
      <c r="AW182" s="42">
        <f>BA181</f>
        <v/>
      </c>
      <c r="AX182" s="42">
        <f>ROUND(AW182*AX$6/12,2)</f>
        <v/>
      </c>
      <c r="AY182" s="42">
        <f>MIN(AY$6,AW182+AX182)</f>
        <v/>
      </c>
      <c r="AZ182" s="42">
        <f>MAX(0,MIN(AW182+AX182-AY182,AV182))</f>
        <v/>
      </c>
      <c r="BA182" s="42">
        <f>ROUND(AW182+AX182-AY182-AZ182,2)</f>
        <v/>
      </c>
      <c r="BB182">
        <f>AV182-AZ182</f>
        <v/>
      </c>
      <c r="BC182" s="42">
        <f>BG181</f>
        <v/>
      </c>
      <c r="BD182" s="42">
        <f>ROUND(BC182*BD$6/12,2)</f>
        <v/>
      </c>
      <c r="BE182" s="42">
        <f>MIN(BE$6,BC182+BD182)</f>
        <v/>
      </c>
      <c r="BF182" s="42">
        <f>MAX(0,MIN(BC182+BD182-BE182,BB182))</f>
        <v/>
      </c>
      <c r="BG182" s="42">
        <f>ROUND(BC182+BD182-BE182-BF182,2)</f>
        <v/>
      </c>
      <c r="BH182">
        <f>BB182-BF182</f>
        <v/>
      </c>
      <c r="BI182" s="42">
        <f>BM181</f>
        <v/>
      </c>
      <c r="BJ182" s="42">
        <f>ROUND(BI182*BJ$6/12,2)</f>
        <v/>
      </c>
      <c r="BK182" s="42">
        <f>MIN(BK$6,BI182+BJ182)</f>
        <v/>
      </c>
      <c r="BL182" s="42">
        <f>MAX(0,MIN(BI182+BJ182-BK182,BH182))</f>
        <v/>
      </c>
      <c r="BM182" s="42">
        <f>ROUND(BI182+BJ182-BK182-BL182,2)</f>
        <v/>
      </c>
      <c r="BN182">
        <f>BH182-BL182</f>
        <v/>
      </c>
    </row>
    <row r="183">
      <c r="A183" s="43" t="n">
        <v>176</v>
      </c>
      <c r="B183" s="44">
        <f>EDATE('My Debts'!$C$6,A183-1)</f>
        <v/>
      </c>
      <c r="C183" s="45">
        <f>K183+Q183+W183+AC183+AI183+AO183+AU183+BA183+BG183+BM183</f>
        <v/>
      </c>
      <c r="D183" s="46">
        <f>I183+O183+U183+AA183+AG183+AM183+AS183+AY183+BE183+BK183+J183+P183+V183+AB183+AH183+AN183+AT183+AZ183+BF183+BL183</f>
        <v/>
      </c>
      <c r="E183" s="46">
        <f>H183+N183+T183+Z183+AF183+AL183+AR183+AX183+BD183+BJ183</f>
        <v/>
      </c>
      <c r="F183">
        <f>MAX(0,'My Debts'!$E$21-(I183+O183+U183+AA183+AG183+AM183+AS183+AY183+BE183+BK183))</f>
        <v/>
      </c>
      <c r="G183" s="42">
        <f>K182</f>
        <v/>
      </c>
      <c r="H183" s="42">
        <f>ROUND(G183*H$6/12,2)</f>
        <v/>
      </c>
      <c r="I183" s="42">
        <f>MIN(I$6,G183+H183)</f>
        <v/>
      </c>
      <c r="J183" s="42">
        <f>MAX(0,MIN(G183+H183-I183,$F183))</f>
        <v/>
      </c>
      <c r="K183" s="42">
        <f>ROUND(G183+H183-I183-J183,2)</f>
        <v/>
      </c>
      <c r="L183">
        <f>$F183-J183</f>
        <v/>
      </c>
      <c r="M183" s="42">
        <f>Q182</f>
        <v/>
      </c>
      <c r="N183" s="42">
        <f>ROUND(M183*N$6/12,2)</f>
        <v/>
      </c>
      <c r="O183" s="42">
        <f>MIN(O$6,M183+N183)</f>
        <v/>
      </c>
      <c r="P183" s="42">
        <f>MAX(0,MIN(M183+N183-O183,L183))</f>
        <v/>
      </c>
      <c r="Q183" s="42">
        <f>ROUND(M183+N183-O183-P183,2)</f>
        <v/>
      </c>
      <c r="R183">
        <f>L183-P183</f>
        <v/>
      </c>
      <c r="S183" s="42">
        <f>W182</f>
        <v/>
      </c>
      <c r="T183" s="42">
        <f>ROUND(S183*T$6/12,2)</f>
        <v/>
      </c>
      <c r="U183" s="42">
        <f>MIN(U$6,S183+T183)</f>
        <v/>
      </c>
      <c r="V183" s="42">
        <f>MAX(0,MIN(S183+T183-U183,R183))</f>
        <v/>
      </c>
      <c r="W183" s="42">
        <f>ROUND(S183+T183-U183-V183,2)</f>
        <v/>
      </c>
      <c r="X183">
        <f>R183-V183</f>
        <v/>
      </c>
      <c r="Y183" s="42">
        <f>AC182</f>
        <v/>
      </c>
      <c r="Z183" s="42">
        <f>ROUND(Y183*Z$6/12,2)</f>
        <v/>
      </c>
      <c r="AA183" s="42">
        <f>MIN(AA$6,Y183+Z183)</f>
        <v/>
      </c>
      <c r="AB183" s="42">
        <f>MAX(0,MIN(Y183+Z183-AA183,X183))</f>
        <v/>
      </c>
      <c r="AC183" s="42">
        <f>ROUND(Y183+Z183-AA183-AB183,2)</f>
        <v/>
      </c>
      <c r="AD183">
        <f>X183-AB183</f>
        <v/>
      </c>
      <c r="AE183" s="42">
        <f>AI182</f>
        <v/>
      </c>
      <c r="AF183" s="42">
        <f>ROUND(AE183*AF$6/12,2)</f>
        <v/>
      </c>
      <c r="AG183" s="42">
        <f>MIN(AG$6,AE183+AF183)</f>
        <v/>
      </c>
      <c r="AH183" s="42">
        <f>MAX(0,MIN(AE183+AF183-AG183,AD183))</f>
        <v/>
      </c>
      <c r="AI183" s="42">
        <f>ROUND(AE183+AF183-AG183-AH183,2)</f>
        <v/>
      </c>
      <c r="AJ183">
        <f>AD183-AH183</f>
        <v/>
      </c>
      <c r="AK183" s="42">
        <f>AO182</f>
        <v/>
      </c>
      <c r="AL183" s="42">
        <f>ROUND(AK183*AL$6/12,2)</f>
        <v/>
      </c>
      <c r="AM183" s="42">
        <f>MIN(AM$6,AK183+AL183)</f>
        <v/>
      </c>
      <c r="AN183" s="42">
        <f>MAX(0,MIN(AK183+AL183-AM183,AJ183))</f>
        <v/>
      </c>
      <c r="AO183" s="42">
        <f>ROUND(AK183+AL183-AM183-AN183,2)</f>
        <v/>
      </c>
      <c r="AP183">
        <f>AJ183-AN183</f>
        <v/>
      </c>
      <c r="AQ183" s="42">
        <f>AU182</f>
        <v/>
      </c>
      <c r="AR183" s="42">
        <f>ROUND(AQ183*AR$6/12,2)</f>
        <v/>
      </c>
      <c r="AS183" s="42">
        <f>MIN(AS$6,AQ183+AR183)</f>
        <v/>
      </c>
      <c r="AT183" s="42">
        <f>MAX(0,MIN(AQ183+AR183-AS183,AP183))</f>
        <v/>
      </c>
      <c r="AU183" s="42">
        <f>ROUND(AQ183+AR183-AS183-AT183,2)</f>
        <v/>
      </c>
      <c r="AV183">
        <f>AP183-AT183</f>
        <v/>
      </c>
      <c r="AW183" s="42">
        <f>BA182</f>
        <v/>
      </c>
      <c r="AX183" s="42">
        <f>ROUND(AW183*AX$6/12,2)</f>
        <v/>
      </c>
      <c r="AY183" s="42">
        <f>MIN(AY$6,AW183+AX183)</f>
        <v/>
      </c>
      <c r="AZ183" s="42">
        <f>MAX(0,MIN(AW183+AX183-AY183,AV183))</f>
        <v/>
      </c>
      <c r="BA183" s="42">
        <f>ROUND(AW183+AX183-AY183-AZ183,2)</f>
        <v/>
      </c>
      <c r="BB183">
        <f>AV183-AZ183</f>
        <v/>
      </c>
      <c r="BC183" s="42">
        <f>BG182</f>
        <v/>
      </c>
      <c r="BD183" s="42">
        <f>ROUND(BC183*BD$6/12,2)</f>
        <v/>
      </c>
      <c r="BE183" s="42">
        <f>MIN(BE$6,BC183+BD183)</f>
        <v/>
      </c>
      <c r="BF183" s="42">
        <f>MAX(0,MIN(BC183+BD183-BE183,BB183))</f>
        <v/>
      </c>
      <c r="BG183" s="42">
        <f>ROUND(BC183+BD183-BE183-BF183,2)</f>
        <v/>
      </c>
      <c r="BH183">
        <f>BB183-BF183</f>
        <v/>
      </c>
      <c r="BI183" s="42">
        <f>BM182</f>
        <v/>
      </c>
      <c r="BJ183" s="42">
        <f>ROUND(BI183*BJ$6/12,2)</f>
        <v/>
      </c>
      <c r="BK183" s="42">
        <f>MIN(BK$6,BI183+BJ183)</f>
        <v/>
      </c>
      <c r="BL183" s="42">
        <f>MAX(0,MIN(BI183+BJ183-BK183,BH183))</f>
        <v/>
      </c>
      <c r="BM183" s="42">
        <f>ROUND(BI183+BJ183-BK183-BL183,2)</f>
        <v/>
      </c>
      <c r="BN183">
        <f>BH183-BL183</f>
        <v/>
      </c>
    </row>
    <row r="184">
      <c r="A184" s="39" t="n">
        <v>177</v>
      </c>
      <c r="B184" s="40">
        <f>EDATE('My Debts'!$C$6,A184-1)</f>
        <v/>
      </c>
      <c r="C184" s="41">
        <f>K184+Q184+W184+AC184+AI184+AO184+AU184+BA184+BG184+BM184</f>
        <v/>
      </c>
      <c r="D184" s="42">
        <f>I184+O184+U184+AA184+AG184+AM184+AS184+AY184+BE184+BK184+J184+P184+V184+AB184+AH184+AN184+AT184+AZ184+BF184+BL184</f>
        <v/>
      </c>
      <c r="E184" s="42">
        <f>H184+N184+T184+Z184+AF184+AL184+AR184+AX184+BD184+BJ184</f>
        <v/>
      </c>
      <c r="F184">
        <f>MAX(0,'My Debts'!$E$21-(I184+O184+U184+AA184+AG184+AM184+AS184+AY184+BE184+BK184))</f>
        <v/>
      </c>
      <c r="G184" s="42">
        <f>K183</f>
        <v/>
      </c>
      <c r="H184" s="42">
        <f>ROUND(G184*H$6/12,2)</f>
        <v/>
      </c>
      <c r="I184" s="42">
        <f>MIN(I$6,G184+H184)</f>
        <v/>
      </c>
      <c r="J184" s="42">
        <f>MAX(0,MIN(G184+H184-I184,$F184))</f>
        <v/>
      </c>
      <c r="K184" s="42">
        <f>ROUND(G184+H184-I184-J184,2)</f>
        <v/>
      </c>
      <c r="L184">
        <f>$F184-J184</f>
        <v/>
      </c>
      <c r="M184" s="42">
        <f>Q183</f>
        <v/>
      </c>
      <c r="N184" s="42">
        <f>ROUND(M184*N$6/12,2)</f>
        <v/>
      </c>
      <c r="O184" s="42">
        <f>MIN(O$6,M184+N184)</f>
        <v/>
      </c>
      <c r="P184" s="42">
        <f>MAX(0,MIN(M184+N184-O184,L184))</f>
        <v/>
      </c>
      <c r="Q184" s="42">
        <f>ROUND(M184+N184-O184-P184,2)</f>
        <v/>
      </c>
      <c r="R184">
        <f>L184-P184</f>
        <v/>
      </c>
      <c r="S184" s="42">
        <f>W183</f>
        <v/>
      </c>
      <c r="T184" s="42">
        <f>ROUND(S184*T$6/12,2)</f>
        <v/>
      </c>
      <c r="U184" s="42">
        <f>MIN(U$6,S184+T184)</f>
        <v/>
      </c>
      <c r="V184" s="42">
        <f>MAX(0,MIN(S184+T184-U184,R184))</f>
        <v/>
      </c>
      <c r="W184" s="42">
        <f>ROUND(S184+T184-U184-V184,2)</f>
        <v/>
      </c>
      <c r="X184">
        <f>R184-V184</f>
        <v/>
      </c>
      <c r="Y184" s="42">
        <f>AC183</f>
        <v/>
      </c>
      <c r="Z184" s="42">
        <f>ROUND(Y184*Z$6/12,2)</f>
        <v/>
      </c>
      <c r="AA184" s="42">
        <f>MIN(AA$6,Y184+Z184)</f>
        <v/>
      </c>
      <c r="AB184" s="42">
        <f>MAX(0,MIN(Y184+Z184-AA184,X184))</f>
        <v/>
      </c>
      <c r="AC184" s="42">
        <f>ROUND(Y184+Z184-AA184-AB184,2)</f>
        <v/>
      </c>
      <c r="AD184">
        <f>X184-AB184</f>
        <v/>
      </c>
      <c r="AE184" s="42">
        <f>AI183</f>
        <v/>
      </c>
      <c r="AF184" s="42">
        <f>ROUND(AE184*AF$6/12,2)</f>
        <v/>
      </c>
      <c r="AG184" s="42">
        <f>MIN(AG$6,AE184+AF184)</f>
        <v/>
      </c>
      <c r="AH184" s="42">
        <f>MAX(0,MIN(AE184+AF184-AG184,AD184))</f>
        <v/>
      </c>
      <c r="AI184" s="42">
        <f>ROUND(AE184+AF184-AG184-AH184,2)</f>
        <v/>
      </c>
      <c r="AJ184">
        <f>AD184-AH184</f>
        <v/>
      </c>
      <c r="AK184" s="42">
        <f>AO183</f>
        <v/>
      </c>
      <c r="AL184" s="42">
        <f>ROUND(AK184*AL$6/12,2)</f>
        <v/>
      </c>
      <c r="AM184" s="42">
        <f>MIN(AM$6,AK184+AL184)</f>
        <v/>
      </c>
      <c r="AN184" s="42">
        <f>MAX(0,MIN(AK184+AL184-AM184,AJ184))</f>
        <v/>
      </c>
      <c r="AO184" s="42">
        <f>ROUND(AK184+AL184-AM184-AN184,2)</f>
        <v/>
      </c>
      <c r="AP184">
        <f>AJ184-AN184</f>
        <v/>
      </c>
      <c r="AQ184" s="42">
        <f>AU183</f>
        <v/>
      </c>
      <c r="AR184" s="42">
        <f>ROUND(AQ184*AR$6/12,2)</f>
        <v/>
      </c>
      <c r="AS184" s="42">
        <f>MIN(AS$6,AQ184+AR184)</f>
        <v/>
      </c>
      <c r="AT184" s="42">
        <f>MAX(0,MIN(AQ184+AR184-AS184,AP184))</f>
        <v/>
      </c>
      <c r="AU184" s="42">
        <f>ROUND(AQ184+AR184-AS184-AT184,2)</f>
        <v/>
      </c>
      <c r="AV184">
        <f>AP184-AT184</f>
        <v/>
      </c>
      <c r="AW184" s="42">
        <f>BA183</f>
        <v/>
      </c>
      <c r="AX184" s="42">
        <f>ROUND(AW184*AX$6/12,2)</f>
        <v/>
      </c>
      <c r="AY184" s="42">
        <f>MIN(AY$6,AW184+AX184)</f>
        <v/>
      </c>
      <c r="AZ184" s="42">
        <f>MAX(0,MIN(AW184+AX184-AY184,AV184))</f>
        <v/>
      </c>
      <c r="BA184" s="42">
        <f>ROUND(AW184+AX184-AY184-AZ184,2)</f>
        <v/>
      </c>
      <c r="BB184">
        <f>AV184-AZ184</f>
        <v/>
      </c>
      <c r="BC184" s="42">
        <f>BG183</f>
        <v/>
      </c>
      <c r="BD184" s="42">
        <f>ROUND(BC184*BD$6/12,2)</f>
        <v/>
      </c>
      <c r="BE184" s="42">
        <f>MIN(BE$6,BC184+BD184)</f>
        <v/>
      </c>
      <c r="BF184" s="42">
        <f>MAX(0,MIN(BC184+BD184-BE184,BB184))</f>
        <v/>
      </c>
      <c r="BG184" s="42">
        <f>ROUND(BC184+BD184-BE184-BF184,2)</f>
        <v/>
      </c>
      <c r="BH184">
        <f>BB184-BF184</f>
        <v/>
      </c>
      <c r="BI184" s="42">
        <f>BM183</f>
        <v/>
      </c>
      <c r="BJ184" s="42">
        <f>ROUND(BI184*BJ$6/12,2)</f>
        <v/>
      </c>
      <c r="BK184" s="42">
        <f>MIN(BK$6,BI184+BJ184)</f>
        <v/>
      </c>
      <c r="BL184" s="42">
        <f>MAX(0,MIN(BI184+BJ184-BK184,BH184))</f>
        <v/>
      </c>
      <c r="BM184" s="42">
        <f>ROUND(BI184+BJ184-BK184-BL184,2)</f>
        <v/>
      </c>
      <c r="BN184">
        <f>BH184-BL184</f>
        <v/>
      </c>
    </row>
    <row r="185">
      <c r="A185" s="43" t="n">
        <v>178</v>
      </c>
      <c r="B185" s="44">
        <f>EDATE('My Debts'!$C$6,A185-1)</f>
        <v/>
      </c>
      <c r="C185" s="45">
        <f>K185+Q185+W185+AC185+AI185+AO185+AU185+BA185+BG185+BM185</f>
        <v/>
      </c>
      <c r="D185" s="46">
        <f>I185+O185+U185+AA185+AG185+AM185+AS185+AY185+BE185+BK185+J185+P185+V185+AB185+AH185+AN185+AT185+AZ185+BF185+BL185</f>
        <v/>
      </c>
      <c r="E185" s="46">
        <f>H185+N185+T185+Z185+AF185+AL185+AR185+AX185+BD185+BJ185</f>
        <v/>
      </c>
      <c r="F185">
        <f>MAX(0,'My Debts'!$E$21-(I185+O185+U185+AA185+AG185+AM185+AS185+AY185+BE185+BK185))</f>
        <v/>
      </c>
      <c r="G185" s="42">
        <f>K184</f>
        <v/>
      </c>
      <c r="H185" s="42">
        <f>ROUND(G185*H$6/12,2)</f>
        <v/>
      </c>
      <c r="I185" s="42">
        <f>MIN(I$6,G185+H185)</f>
        <v/>
      </c>
      <c r="J185" s="42">
        <f>MAX(0,MIN(G185+H185-I185,$F185))</f>
        <v/>
      </c>
      <c r="K185" s="42">
        <f>ROUND(G185+H185-I185-J185,2)</f>
        <v/>
      </c>
      <c r="L185">
        <f>$F185-J185</f>
        <v/>
      </c>
      <c r="M185" s="42">
        <f>Q184</f>
        <v/>
      </c>
      <c r="N185" s="42">
        <f>ROUND(M185*N$6/12,2)</f>
        <v/>
      </c>
      <c r="O185" s="42">
        <f>MIN(O$6,M185+N185)</f>
        <v/>
      </c>
      <c r="P185" s="42">
        <f>MAX(0,MIN(M185+N185-O185,L185))</f>
        <v/>
      </c>
      <c r="Q185" s="42">
        <f>ROUND(M185+N185-O185-P185,2)</f>
        <v/>
      </c>
      <c r="R185">
        <f>L185-P185</f>
        <v/>
      </c>
      <c r="S185" s="42">
        <f>W184</f>
        <v/>
      </c>
      <c r="T185" s="42">
        <f>ROUND(S185*T$6/12,2)</f>
        <v/>
      </c>
      <c r="U185" s="42">
        <f>MIN(U$6,S185+T185)</f>
        <v/>
      </c>
      <c r="V185" s="42">
        <f>MAX(0,MIN(S185+T185-U185,R185))</f>
        <v/>
      </c>
      <c r="W185" s="42">
        <f>ROUND(S185+T185-U185-V185,2)</f>
        <v/>
      </c>
      <c r="X185">
        <f>R185-V185</f>
        <v/>
      </c>
      <c r="Y185" s="42">
        <f>AC184</f>
        <v/>
      </c>
      <c r="Z185" s="42">
        <f>ROUND(Y185*Z$6/12,2)</f>
        <v/>
      </c>
      <c r="AA185" s="42">
        <f>MIN(AA$6,Y185+Z185)</f>
        <v/>
      </c>
      <c r="AB185" s="42">
        <f>MAX(0,MIN(Y185+Z185-AA185,X185))</f>
        <v/>
      </c>
      <c r="AC185" s="42">
        <f>ROUND(Y185+Z185-AA185-AB185,2)</f>
        <v/>
      </c>
      <c r="AD185">
        <f>X185-AB185</f>
        <v/>
      </c>
      <c r="AE185" s="42">
        <f>AI184</f>
        <v/>
      </c>
      <c r="AF185" s="42">
        <f>ROUND(AE185*AF$6/12,2)</f>
        <v/>
      </c>
      <c r="AG185" s="42">
        <f>MIN(AG$6,AE185+AF185)</f>
        <v/>
      </c>
      <c r="AH185" s="42">
        <f>MAX(0,MIN(AE185+AF185-AG185,AD185))</f>
        <v/>
      </c>
      <c r="AI185" s="42">
        <f>ROUND(AE185+AF185-AG185-AH185,2)</f>
        <v/>
      </c>
      <c r="AJ185">
        <f>AD185-AH185</f>
        <v/>
      </c>
      <c r="AK185" s="42">
        <f>AO184</f>
        <v/>
      </c>
      <c r="AL185" s="42">
        <f>ROUND(AK185*AL$6/12,2)</f>
        <v/>
      </c>
      <c r="AM185" s="42">
        <f>MIN(AM$6,AK185+AL185)</f>
        <v/>
      </c>
      <c r="AN185" s="42">
        <f>MAX(0,MIN(AK185+AL185-AM185,AJ185))</f>
        <v/>
      </c>
      <c r="AO185" s="42">
        <f>ROUND(AK185+AL185-AM185-AN185,2)</f>
        <v/>
      </c>
      <c r="AP185">
        <f>AJ185-AN185</f>
        <v/>
      </c>
      <c r="AQ185" s="42">
        <f>AU184</f>
        <v/>
      </c>
      <c r="AR185" s="42">
        <f>ROUND(AQ185*AR$6/12,2)</f>
        <v/>
      </c>
      <c r="AS185" s="42">
        <f>MIN(AS$6,AQ185+AR185)</f>
        <v/>
      </c>
      <c r="AT185" s="42">
        <f>MAX(0,MIN(AQ185+AR185-AS185,AP185))</f>
        <v/>
      </c>
      <c r="AU185" s="42">
        <f>ROUND(AQ185+AR185-AS185-AT185,2)</f>
        <v/>
      </c>
      <c r="AV185">
        <f>AP185-AT185</f>
        <v/>
      </c>
      <c r="AW185" s="42">
        <f>BA184</f>
        <v/>
      </c>
      <c r="AX185" s="42">
        <f>ROUND(AW185*AX$6/12,2)</f>
        <v/>
      </c>
      <c r="AY185" s="42">
        <f>MIN(AY$6,AW185+AX185)</f>
        <v/>
      </c>
      <c r="AZ185" s="42">
        <f>MAX(0,MIN(AW185+AX185-AY185,AV185))</f>
        <v/>
      </c>
      <c r="BA185" s="42">
        <f>ROUND(AW185+AX185-AY185-AZ185,2)</f>
        <v/>
      </c>
      <c r="BB185">
        <f>AV185-AZ185</f>
        <v/>
      </c>
      <c r="BC185" s="42">
        <f>BG184</f>
        <v/>
      </c>
      <c r="BD185" s="42">
        <f>ROUND(BC185*BD$6/12,2)</f>
        <v/>
      </c>
      <c r="BE185" s="42">
        <f>MIN(BE$6,BC185+BD185)</f>
        <v/>
      </c>
      <c r="BF185" s="42">
        <f>MAX(0,MIN(BC185+BD185-BE185,BB185))</f>
        <v/>
      </c>
      <c r="BG185" s="42">
        <f>ROUND(BC185+BD185-BE185-BF185,2)</f>
        <v/>
      </c>
      <c r="BH185">
        <f>BB185-BF185</f>
        <v/>
      </c>
      <c r="BI185" s="42">
        <f>BM184</f>
        <v/>
      </c>
      <c r="BJ185" s="42">
        <f>ROUND(BI185*BJ$6/12,2)</f>
        <v/>
      </c>
      <c r="BK185" s="42">
        <f>MIN(BK$6,BI185+BJ185)</f>
        <v/>
      </c>
      <c r="BL185" s="42">
        <f>MAX(0,MIN(BI185+BJ185-BK185,BH185))</f>
        <v/>
      </c>
      <c r="BM185" s="42">
        <f>ROUND(BI185+BJ185-BK185-BL185,2)</f>
        <v/>
      </c>
      <c r="BN185">
        <f>BH185-BL185</f>
        <v/>
      </c>
    </row>
    <row r="186">
      <c r="A186" s="39" t="n">
        <v>179</v>
      </c>
      <c r="B186" s="40">
        <f>EDATE('My Debts'!$C$6,A186-1)</f>
        <v/>
      </c>
      <c r="C186" s="41">
        <f>K186+Q186+W186+AC186+AI186+AO186+AU186+BA186+BG186+BM186</f>
        <v/>
      </c>
      <c r="D186" s="42">
        <f>I186+O186+U186+AA186+AG186+AM186+AS186+AY186+BE186+BK186+J186+P186+V186+AB186+AH186+AN186+AT186+AZ186+BF186+BL186</f>
        <v/>
      </c>
      <c r="E186" s="42">
        <f>H186+N186+T186+Z186+AF186+AL186+AR186+AX186+BD186+BJ186</f>
        <v/>
      </c>
      <c r="F186">
        <f>MAX(0,'My Debts'!$E$21-(I186+O186+U186+AA186+AG186+AM186+AS186+AY186+BE186+BK186))</f>
        <v/>
      </c>
      <c r="G186" s="42">
        <f>K185</f>
        <v/>
      </c>
      <c r="H186" s="42">
        <f>ROUND(G186*H$6/12,2)</f>
        <v/>
      </c>
      <c r="I186" s="42">
        <f>MIN(I$6,G186+H186)</f>
        <v/>
      </c>
      <c r="J186" s="42">
        <f>MAX(0,MIN(G186+H186-I186,$F186))</f>
        <v/>
      </c>
      <c r="K186" s="42">
        <f>ROUND(G186+H186-I186-J186,2)</f>
        <v/>
      </c>
      <c r="L186">
        <f>$F186-J186</f>
        <v/>
      </c>
      <c r="M186" s="42">
        <f>Q185</f>
        <v/>
      </c>
      <c r="N186" s="42">
        <f>ROUND(M186*N$6/12,2)</f>
        <v/>
      </c>
      <c r="O186" s="42">
        <f>MIN(O$6,M186+N186)</f>
        <v/>
      </c>
      <c r="P186" s="42">
        <f>MAX(0,MIN(M186+N186-O186,L186))</f>
        <v/>
      </c>
      <c r="Q186" s="42">
        <f>ROUND(M186+N186-O186-P186,2)</f>
        <v/>
      </c>
      <c r="R186">
        <f>L186-P186</f>
        <v/>
      </c>
      <c r="S186" s="42">
        <f>W185</f>
        <v/>
      </c>
      <c r="T186" s="42">
        <f>ROUND(S186*T$6/12,2)</f>
        <v/>
      </c>
      <c r="U186" s="42">
        <f>MIN(U$6,S186+T186)</f>
        <v/>
      </c>
      <c r="V186" s="42">
        <f>MAX(0,MIN(S186+T186-U186,R186))</f>
        <v/>
      </c>
      <c r="W186" s="42">
        <f>ROUND(S186+T186-U186-V186,2)</f>
        <v/>
      </c>
      <c r="X186">
        <f>R186-V186</f>
        <v/>
      </c>
      <c r="Y186" s="42">
        <f>AC185</f>
        <v/>
      </c>
      <c r="Z186" s="42">
        <f>ROUND(Y186*Z$6/12,2)</f>
        <v/>
      </c>
      <c r="AA186" s="42">
        <f>MIN(AA$6,Y186+Z186)</f>
        <v/>
      </c>
      <c r="AB186" s="42">
        <f>MAX(0,MIN(Y186+Z186-AA186,X186))</f>
        <v/>
      </c>
      <c r="AC186" s="42">
        <f>ROUND(Y186+Z186-AA186-AB186,2)</f>
        <v/>
      </c>
      <c r="AD186">
        <f>X186-AB186</f>
        <v/>
      </c>
      <c r="AE186" s="42">
        <f>AI185</f>
        <v/>
      </c>
      <c r="AF186" s="42">
        <f>ROUND(AE186*AF$6/12,2)</f>
        <v/>
      </c>
      <c r="AG186" s="42">
        <f>MIN(AG$6,AE186+AF186)</f>
        <v/>
      </c>
      <c r="AH186" s="42">
        <f>MAX(0,MIN(AE186+AF186-AG186,AD186))</f>
        <v/>
      </c>
      <c r="AI186" s="42">
        <f>ROUND(AE186+AF186-AG186-AH186,2)</f>
        <v/>
      </c>
      <c r="AJ186">
        <f>AD186-AH186</f>
        <v/>
      </c>
      <c r="AK186" s="42">
        <f>AO185</f>
        <v/>
      </c>
      <c r="AL186" s="42">
        <f>ROUND(AK186*AL$6/12,2)</f>
        <v/>
      </c>
      <c r="AM186" s="42">
        <f>MIN(AM$6,AK186+AL186)</f>
        <v/>
      </c>
      <c r="AN186" s="42">
        <f>MAX(0,MIN(AK186+AL186-AM186,AJ186))</f>
        <v/>
      </c>
      <c r="AO186" s="42">
        <f>ROUND(AK186+AL186-AM186-AN186,2)</f>
        <v/>
      </c>
      <c r="AP186">
        <f>AJ186-AN186</f>
        <v/>
      </c>
      <c r="AQ186" s="42">
        <f>AU185</f>
        <v/>
      </c>
      <c r="AR186" s="42">
        <f>ROUND(AQ186*AR$6/12,2)</f>
        <v/>
      </c>
      <c r="AS186" s="42">
        <f>MIN(AS$6,AQ186+AR186)</f>
        <v/>
      </c>
      <c r="AT186" s="42">
        <f>MAX(0,MIN(AQ186+AR186-AS186,AP186))</f>
        <v/>
      </c>
      <c r="AU186" s="42">
        <f>ROUND(AQ186+AR186-AS186-AT186,2)</f>
        <v/>
      </c>
      <c r="AV186">
        <f>AP186-AT186</f>
        <v/>
      </c>
      <c r="AW186" s="42">
        <f>BA185</f>
        <v/>
      </c>
      <c r="AX186" s="42">
        <f>ROUND(AW186*AX$6/12,2)</f>
        <v/>
      </c>
      <c r="AY186" s="42">
        <f>MIN(AY$6,AW186+AX186)</f>
        <v/>
      </c>
      <c r="AZ186" s="42">
        <f>MAX(0,MIN(AW186+AX186-AY186,AV186))</f>
        <v/>
      </c>
      <c r="BA186" s="42">
        <f>ROUND(AW186+AX186-AY186-AZ186,2)</f>
        <v/>
      </c>
      <c r="BB186">
        <f>AV186-AZ186</f>
        <v/>
      </c>
      <c r="BC186" s="42">
        <f>BG185</f>
        <v/>
      </c>
      <c r="BD186" s="42">
        <f>ROUND(BC186*BD$6/12,2)</f>
        <v/>
      </c>
      <c r="BE186" s="42">
        <f>MIN(BE$6,BC186+BD186)</f>
        <v/>
      </c>
      <c r="BF186" s="42">
        <f>MAX(0,MIN(BC186+BD186-BE186,BB186))</f>
        <v/>
      </c>
      <c r="BG186" s="42">
        <f>ROUND(BC186+BD186-BE186-BF186,2)</f>
        <v/>
      </c>
      <c r="BH186">
        <f>BB186-BF186</f>
        <v/>
      </c>
      <c r="BI186" s="42">
        <f>BM185</f>
        <v/>
      </c>
      <c r="BJ186" s="42">
        <f>ROUND(BI186*BJ$6/12,2)</f>
        <v/>
      </c>
      <c r="BK186" s="42">
        <f>MIN(BK$6,BI186+BJ186)</f>
        <v/>
      </c>
      <c r="BL186" s="42">
        <f>MAX(0,MIN(BI186+BJ186-BK186,BH186))</f>
        <v/>
      </c>
      <c r="BM186" s="42">
        <f>ROUND(BI186+BJ186-BK186-BL186,2)</f>
        <v/>
      </c>
      <c r="BN186">
        <f>BH186-BL186</f>
        <v/>
      </c>
    </row>
    <row r="187">
      <c r="A187" s="43" t="n">
        <v>180</v>
      </c>
      <c r="B187" s="44">
        <f>EDATE('My Debts'!$C$6,A187-1)</f>
        <v/>
      </c>
      <c r="C187" s="45">
        <f>K187+Q187+W187+AC187+AI187+AO187+AU187+BA187+BG187+BM187</f>
        <v/>
      </c>
      <c r="D187" s="46">
        <f>I187+O187+U187+AA187+AG187+AM187+AS187+AY187+BE187+BK187+J187+P187+V187+AB187+AH187+AN187+AT187+AZ187+BF187+BL187</f>
        <v/>
      </c>
      <c r="E187" s="46">
        <f>H187+N187+T187+Z187+AF187+AL187+AR187+AX187+BD187+BJ187</f>
        <v/>
      </c>
      <c r="F187">
        <f>MAX(0,'My Debts'!$E$21-(I187+O187+U187+AA187+AG187+AM187+AS187+AY187+BE187+BK187))</f>
        <v/>
      </c>
      <c r="G187" s="42">
        <f>K186</f>
        <v/>
      </c>
      <c r="H187" s="42">
        <f>ROUND(G187*H$6/12,2)</f>
        <v/>
      </c>
      <c r="I187" s="42">
        <f>MIN(I$6,G187+H187)</f>
        <v/>
      </c>
      <c r="J187" s="42">
        <f>MAX(0,MIN(G187+H187-I187,$F187))</f>
        <v/>
      </c>
      <c r="K187" s="42">
        <f>ROUND(G187+H187-I187-J187,2)</f>
        <v/>
      </c>
      <c r="L187">
        <f>$F187-J187</f>
        <v/>
      </c>
      <c r="M187" s="42">
        <f>Q186</f>
        <v/>
      </c>
      <c r="N187" s="42">
        <f>ROUND(M187*N$6/12,2)</f>
        <v/>
      </c>
      <c r="O187" s="42">
        <f>MIN(O$6,M187+N187)</f>
        <v/>
      </c>
      <c r="P187" s="42">
        <f>MAX(0,MIN(M187+N187-O187,L187))</f>
        <v/>
      </c>
      <c r="Q187" s="42">
        <f>ROUND(M187+N187-O187-P187,2)</f>
        <v/>
      </c>
      <c r="R187">
        <f>L187-P187</f>
        <v/>
      </c>
      <c r="S187" s="42">
        <f>W186</f>
        <v/>
      </c>
      <c r="T187" s="42">
        <f>ROUND(S187*T$6/12,2)</f>
        <v/>
      </c>
      <c r="U187" s="42">
        <f>MIN(U$6,S187+T187)</f>
        <v/>
      </c>
      <c r="V187" s="42">
        <f>MAX(0,MIN(S187+T187-U187,R187))</f>
        <v/>
      </c>
      <c r="W187" s="42">
        <f>ROUND(S187+T187-U187-V187,2)</f>
        <v/>
      </c>
      <c r="X187">
        <f>R187-V187</f>
        <v/>
      </c>
      <c r="Y187" s="42">
        <f>AC186</f>
        <v/>
      </c>
      <c r="Z187" s="42">
        <f>ROUND(Y187*Z$6/12,2)</f>
        <v/>
      </c>
      <c r="AA187" s="42">
        <f>MIN(AA$6,Y187+Z187)</f>
        <v/>
      </c>
      <c r="AB187" s="42">
        <f>MAX(0,MIN(Y187+Z187-AA187,X187))</f>
        <v/>
      </c>
      <c r="AC187" s="42">
        <f>ROUND(Y187+Z187-AA187-AB187,2)</f>
        <v/>
      </c>
      <c r="AD187">
        <f>X187-AB187</f>
        <v/>
      </c>
      <c r="AE187" s="42">
        <f>AI186</f>
        <v/>
      </c>
      <c r="AF187" s="42">
        <f>ROUND(AE187*AF$6/12,2)</f>
        <v/>
      </c>
      <c r="AG187" s="42">
        <f>MIN(AG$6,AE187+AF187)</f>
        <v/>
      </c>
      <c r="AH187" s="42">
        <f>MAX(0,MIN(AE187+AF187-AG187,AD187))</f>
        <v/>
      </c>
      <c r="AI187" s="42">
        <f>ROUND(AE187+AF187-AG187-AH187,2)</f>
        <v/>
      </c>
      <c r="AJ187">
        <f>AD187-AH187</f>
        <v/>
      </c>
      <c r="AK187" s="42">
        <f>AO186</f>
        <v/>
      </c>
      <c r="AL187" s="42">
        <f>ROUND(AK187*AL$6/12,2)</f>
        <v/>
      </c>
      <c r="AM187" s="42">
        <f>MIN(AM$6,AK187+AL187)</f>
        <v/>
      </c>
      <c r="AN187" s="42">
        <f>MAX(0,MIN(AK187+AL187-AM187,AJ187))</f>
        <v/>
      </c>
      <c r="AO187" s="42">
        <f>ROUND(AK187+AL187-AM187-AN187,2)</f>
        <v/>
      </c>
      <c r="AP187">
        <f>AJ187-AN187</f>
        <v/>
      </c>
      <c r="AQ187" s="42">
        <f>AU186</f>
        <v/>
      </c>
      <c r="AR187" s="42">
        <f>ROUND(AQ187*AR$6/12,2)</f>
        <v/>
      </c>
      <c r="AS187" s="42">
        <f>MIN(AS$6,AQ187+AR187)</f>
        <v/>
      </c>
      <c r="AT187" s="42">
        <f>MAX(0,MIN(AQ187+AR187-AS187,AP187))</f>
        <v/>
      </c>
      <c r="AU187" s="42">
        <f>ROUND(AQ187+AR187-AS187-AT187,2)</f>
        <v/>
      </c>
      <c r="AV187">
        <f>AP187-AT187</f>
        <v/>
      </c>
      <c r="AW187" s="42">
        <f>BA186</f>
        <v/>
      </c>
      <c r="AX187" s="42">
        <f>ROUND(AW187*AX$6/12,2)</f>
        <v/>
      </c>
      <c r="AY187" s="42">
        <f>MIN(AY$6,AW187+AX187)</f>
        <v/>
      </c>
      <c r="AZ187" s="42">
        <f>MAX(0,MIN(AW187+AX187-AY187,AV187))</f>
        <v/>
      </c>
      <c r="BA187" s="42">
        <f>ROUND(AW187+AX187-AY187-AZ187,2)</f>
        <v/>
      </c>
      <c r="BB187">
        <f>AV187-AZ187</f>
        <v/>
      </c>
      <c r="BC187" s="42">
        <f>BG186</f>
        <v/>
      </c>
      <c r="BD187" s="42">
        <f>ROUND(BC187*BD$6/12,2)</f>
        <v/>
      </c>
      <c r="BE187" s="42">
        <f>MIN(BE$6,BC187+BD187)</f>
        <v/>
      </c>
      <c r="BF187" s="42">
        <f>MAX(0,MIN(BC187+BD187-BE187,BB187))</f>
        <v/>
      </c>
      <c r="BG187" s="42">
        <f>ROUND(BC187+BD187-BE187-BF187,2)</f>
        <v/>
      </c>
      <c r="BH187">
        <f>BB187-BF187</f>
        <v/>
      </c>
      <c r="BI187" s="42">
        <f>BM186</f>
        <v/>
      </c>
      <c r="BJ187" s="42">
        <f>ROUND(BI187*BJ$6/12,2)</f>
        <v/>
      </c>
      <c r="BK187" s="42">
        <f>MIN(BK$6,BI187+BJ187)</f>
        <v/>
      </c>
      <c r="BL187" s="42">
        <f>MAX(0,MIN(BI187+BJ187-BK187,BH187))</f>
        <v/>
      </c>
      <c r="BM187" s="42">
        <f>ROUND(BI187+BJ187-BK187-BL187,2)</f>
        <v/>
      </c>
      <c r="BN187">
        <f>BH187-BL187</f>
        <v/>
      </c>
    </row>
    <row r="188">
      <c r="A188" s="39" t="n">
        <v>181</v>
      </c>
      <c r="B188" s="40">
        <f>EDATE('My Debts'!$C$6,A188-1)</f>
        <v/>
      </c>
      <c r="C188" s="41">
        <f>K188+Q188+W188+AC188+AI188+AO188+AU188+BA188+BG188+BM188</f>
        <v/>
      </c>
      <c r="D188" s="42">
        <f>I188+O188+U188+AA188+AG188+AM188+AS188+AY188+BE188+BK188+J188+P188+V188+AB188+AH188+AN188+AT188+AZ188+BF188+BL188</f>
        <v/>
      </c>
      <c r="E188" s="42">
        <f>H188+N188+T188+Z188+AF188+AL188+AR188+AX188+BD188+BJ188</f>
        <v/>
      </c>
      <c r="F188">
        <f>MAX(0,'My Debts'!$E$21-(I188+O188+U188+AA188+AG188+AM188+AS188+AY188+BE188+BK188))</f>
        <v/>
      </c>
      <c r="G188" s="42">
        <f>K187</f>
        <v/>
      </c>
      <c r="H188" s="42">
        <f>ROUND(G188*H$6/12,2)</f>
        <v/>
      </c>
      <c r="I188" s="42">
        <f>MIN(I$6,G188+H188)</f>
        <v/>
      </c>
      <c r="J188" s="42">
        <f>MAX(0,MIN(G188+H188-I188,$F188))</f>
        <v/>
      </c>
      <c r="K188" s="42">
        <f>ROUND(G188+H188-I188-J188,2)</f>
        <v/>
      </c>
      <c r="L188">
        <f>$F188-J188</f>
        <v/>
      </c>
      <c r="M188" s="42">
        <f>Q187</f>
        <v/>
      </c>
      <c r="N188" s="42">
        <f>ROUND(M188*N$6/12,2)</f>
        <v/>
      </c>
      <c r="O188" s="42">
        <f>MIN(O$6,M188+N188)</f>
        <v/>
      </c>
      <c r="P188" s="42">
        <f>MAX(0,MIN(M188+N188-O188,L188))</f>
        <v/>
      </c>
      <c r="Q188" s="42">
        <f>ROUND(M188+N188-O188-P188,2)</f>
        <v/>
      </c>
      <c r="R188">
        <f>L188-P188</f>
        <v/>
      </c>
      <c r="S188" s="42">
        <f>W187</f>
        <v/>
      </c>
      <c r="T188" s="42">
        <f>ROUND(S188*T$6/12,2)</f>
        <v/>
      </c>
      <c r="U188" s="42">
        <f>MIN(U$6,S188+T188)</f>
        <v/>
      </c>
      <c r="V188" s="42">
        <f>MAX(0,MIN(S188+T188-U188,R188))</f>
        <v/>
      </c>
      <c r="W188" s="42">
        <f>ROUND(S188+T188-U188-V188,2)</f>
        <v/>
      </c>
      <c r="X188">
        <f>R188-V188</f>
        <v/>
      </c>
      <c r="Y188" s="42">
        <f>AC187</f>
        <v/>
      </c>
      <c r="Z188" s="42">
        <f>ROUND(Y188*Z$6/12,2)</f>
        <v/>
      </c>
      <c r="AA188" s="42">
        <f>MIN(AA$6,Y188+Z188)</f>
        <v/>
      </c>
      <c r="AB188" s="42">
        <f>MAX(0,MIN(Y188+Z188-AA188,X188))</f>
        <v/>
      </c>
      <c r="AC188" s="42">
        <f>ROUND(Y188+Z188-AA188-AB188,2)</f>
        <v/>
      </c>
      <c r="AD188">
        <f>X188-AB188</f>
        <v/>
      </c>
      <c r="AE188" s="42">
        <f>AI187</f>
        <v/>
      </c>
      <c r="AF188" s="42">
        <f>ROUND(AE188*AF$6/12,2)</f>
        <v/>
      </c>
      <c r="AG188" s="42">
        <f>MIN(AG$6,AE188+AF188)</f>
        <v/>
      </c>
      <c r="AH188" s="42">
        <f>MAX(0,MIN(AE188+AF188-AG188,AD188))</f>
        <v/>
      </c>
      <c r="AI188" s="42">
        <f>ROUND(AE188+AF188-AG188-AH188,2)</f>
        <v/>
      </c>
      <c r="AJ188">
        <f>AD188-AH188</f>
        <v/>
      </c>
      <c r="AK188" s="42">
        <f>AO187</f>
        <v/>
      </c>
      <c r="AL188" s="42">
        <f>ROUND(AK188*AL$6/12,2)</f>
        <v/>
      </c>
      <c r="AM188" s="42">
        <f>MIN(AM$6,AK188+AL188)</f>
        <v/>
      </c>
      <c r="AN188" s="42">
        <f>MAX(0,MIN(AK188+AL188-AM188,AJ188))</f>
        <v/>
      </c>
      <c r="AO188" s="42">
        <f>ROUND(AK188+AL188-AM188-AN188,2)</f>
        <v/>
      </c>
      <c r="AP188">
        <f>AJ188-AN188</f>
        <v/>
      </c>
      <c r="AQ188" s="42">
        <f>AU187</f>
        <v/>
      </c>
      <c r="AR188" s="42">
        <f>ROUND(AQ188*AR$6/12,2)</f>
        <v/>
      </c>
      <c r="AS188" s="42">
        <f>MIN(AS$6,AQ188+AR188)</f>
        <v/>
      </c>
      <c r="AT188" s="42">
        <f>MAX(0,MIN(AQ188+AR188-AS188,AP188))</f>
        <v/>
      </c>
      <c r="AU188" s="42">
        <f>ROUND(AQ188+AR188-AS188-AT188,2)</f>
        <v/>
      </c>
      <c r="AV188">
        <f>AP188-AT188</f>
        <v/>
      </c>
      <c r="AW188" s="42">
        <f>BA187</f>
        <v/>
      </c>
      <c r="AX188" s="42">
        <f>ROUND(AW188*AX$6/12,2)</f>
        <v/>
      </c>
      <c r="AY188" s="42">
        <f>MIN(AY$6,AW188+AX188)</f>
        <v/>
      </c>
      <c r="AZ188" s="42">
        <f>MAX(0,MIN(AW188+AX188-AY188,AV188))</f>
        <v/>
      </c>
      <c r="BA188" s="42">
        <f>ROUND(AW188+AX188-AY188-AZ188,2)</f>
        <v/>
      </c>
      <c r="BB188">
        <f>AV188-AZ188</f>
        <v/>
      </c>
      <c r="BC188" s="42">
        <f>BG187</f>
        <v/>
      </c>
      <c r="BD188" s="42">
        <f>ROUND(BC188*BD$6/12,2)</f>
        <v/>
      </c>
      <c r="BE188" s="42">
        <f>MIN(BE$6,BC188+BD188)</f>
        <v/>
      </c>
      <c r="BF188" s="42">
        <f>MAX(0,MIN(BC188+BD188-BE188,BB188))</f>
        <v/>
      </c>
      <c r="BG188" s="42">
        <f>ROUND(BC188+BD188-BE188-BF188,2)</f>
        <v/>
      </c>
      <c r="BH188">
        <f>BB188-BF188</f>
        <v/>
      </c>
      <c r="BI188" s="42">
        <f>BM187</f>
        <v/>
      </c>
      <c r="BJ188" s="42">
        <f>ROUND(BI188*BJ$6/12,2)</f>
        <v/>
      </c>
      <c r="BK188" s="42">
        <f>MIN(BK$6,BI188+BJ188)</f>
        <v/>
      </c>
      <c r="BL188" s="42">
        <f>MAX(0,MIN(BI188+BJ188-BK188,BH188))</f>
        <v/>
      </c>
      <c r="BM188" s="42">
        <f>ROUND(BI188+BJ188-BK188-BL188,2)</f>
        <v/>
      </c>
      <c r="BN188">
        <f>BH188-BL188</f>
        <v/>
      </c>
    </row>
    <row r="189">
      <c r="A189" s="43" t="n">
        <v>182</v>
      </c>
      <c r="B189" s="44">
        <f>EDATE('My Debts'!$C$6,A189-1)</f>
        <v/>
      </c>
      <c r="C189" s="45">
        <f>K189+Q189+W189+AC189+AI189+AO189+AU189+BA189+BG189+BM189</f>
        <v/>
      </c>
      <c r="D189" s="46">
        <f>I189+O189+U189+AA189+AG189+AM189+AS189+AY189+BE189+BK189+J189+P189+V189+AB189+AH189+AN189+AT189+AZ189+BF189+BL189</f>
        <v/>
      </c>
      <c r="E189" s="46">
        <f>H189+N189+T189+Z189+AF189+AL189+AR189+AX189+BD189+BJ189</f>
        <v/>
      </c>
      <c r="F189">
        <f>MAX(0,'My Debts'!$E$21-(I189+O189+U189+AA189+AG189+AM189+AS189+AY189+BE189+BK189))</f>
        <v/>
      </c>
      <c r="G189" s="42">
        <f>K188</f>
        <v/>
      </c>
      <c r="H189" s="42">
        <f>ROUND(G189*H$6/12,2)</f>
        <v/>
      </c>
      <c r="I189" s="42">
        <f>MIN(I$6,G189+H189)</f>
        <v/>
      </c>
      <c r="J189" s="42">
        <f>MAX(0,MIN(G189+H189-I189,$F189))</f>
        <v/>
      </c>
      <c r="K189" s="42">
        <f>ROUND(G189+H189-I189-J189,2)</f>
        <v/>
      </c>
      <c r="L189">
        <f>$F189-J189</f>
        <v/>
      </c>
      <c r="M189" s="42">
        <f>Q188</f>
        <v/>
      </c>
      <c r="N189" s="42">
        <f>ROUND(M189*N$6/12,2)</f>
        <v/>
      </c>
      <c r="O189" s="42">
        <f>MIN(O$6,M189+N189)</f>
        <v/>
      </c>
      <c r="P189" s="42">
        <f>MAX(0,MIN(M189+N189-O189,L189))</f>
        <v/>
      </c>
      <c r="Q189" s="42">
        <f>ROUND(M189+N189-O189-P189,2)</f>
        <v/>
      </c>
      <c r="R189">
        <f>L189-P189</f>
        <v/>
      </c>
      <c r="S189" s="42">
        <f>W188</f>
        <v/>
      </c>
      <c r="T189" s="42">
        <f>ROUND(S189*T$6/12,2)</f>
        <v/>
      </c>
      <c r="U189" s="42">
        <f>MIN(U$6,S189+T189)</f>
        <v/>
      </c>
      <c r="V189" s="42">
        <f>MAX(0,MIN(S189+T189-U189,R189))</f>
        <v/>
      </c>
      <c r="W189" s="42">
        <f>ROUND(S189+T189-U189-V189,2)</f>
        <v/>
      </c>
      <c r="X189">
        <f>R189-V189</f>
        <v/>
      </c>
      <c r="Y189" s="42">
        <f>AC188</f>
        <v/>
      </c>
      <c r="Z189" s="42">
        <f>ROUND(Y189*Z$6/12,2)</f>
        <v/>
      </c>
      <c r="AA189" s="42">
        <f>MIN(AA$6,Y189+Z189)</f>
        <v/>
      </c>
      <c r="AB189" s="42">
        <f>MAX(0,MIN(Y189+Z189-AA189,X189))</f>
        <v/>
      </c>
      <c r="AC189" s="42">
        <f>ROUND(Y189+Z189-AA189-AB189,2)</f>
        <v/>
      </c>
      <c r="AD189">
        <f>X189-AB189</f>
        <v/>
      </c>
      <c r="AE189" s="42">
        <f>AI188</f>
        <v/>
      </c>
      <c r="AF189" s="42">
        <f>ROUND(AE189*AF$6/12,2)</f>
        <v/>
      </c>
      <c r="AG189" s="42">
        <f>MIN(AG$6,AE189+AF189)</f>
        <v/>
      </c>
      <c r="AH189" s="42">
        <f>MAX(0,MIN(AE189+AF189-AG189,AD189))</f>
        <v/>
      </c>
      <c r="AI189" s="42">
        <f>ROUND(AE189+AF189-AG189-AH189,2)</f>
        <v/>
      </c>
      <c r="AJ189">
        <f>AD189-AH189</f>
        <v/>
      </c>
      <c r="AK189" s="42">
        <f>AO188</f>
        <v/>
      </c>
      <c r="AL189" s="42">
        <f>ROUND(AK189*AL$6/12,2)</f>
        <v/>
      </c>
      <c r="AM189" s="42">
        <f>MIN(AM$6,AK189+AL189)</f>
        <v/>
      </c>
      <c r="AN189" s="42">
        <f>MAX(0,MIN(AK189+AL189-AM189,AJ189))</f>
        <v/>
      </c>
      <c r="AO189" s="42">
        <f>ROUND(AK189+AL189-AM189-AN189,2)</f>
        <v/>
      </c>
      <c r="AP189">
        <f>AJ189-AN189</f>
        <v/>
      </c>
      <c r="AQ189" s="42">
        <f>AU188</f>
        <v/>
      </c>
      <c r="AR189" s="42">
        <f>ROUND(AQ189*AR$6/12,2)</f>
        <v/>
      </c>
      <c r="AS189" s="42">
        <f>MIN(AS$6,AQ189+AR189)</f>
        <v/>
      </c>
      <c r="AT189" s="42">
        <f>MAX(0,MIN(AQ189+AR189-AS189,AP189))</f>
        <v/>
      </c>
      <c r="AU189" s="42">
        <f>ROUND(AQ189+AR189-AS189-AT189,2)</f>
        <v/>
      </c>
      <c r="AV189">
        <f>AP189-AT189</f>
        <v/>
      </c>
      <c r="AW189" s="42">
        <f>BA188</f>
        <v/>
      </c>
      <c r="AX189" s="42">
        <f>ROUND(AW189*AX$6/12,2)</f>
        <v/>
      </c>
      <c r="AY189" s="42">
        <f>MIN(AY$6,AW189+AX189)</f>
        <v/>
      </c>
      <c r="AZ189" s="42">
        <f>MAX(0,MIN(AW189+AX189-AY189,AV189))</f>
        <v/>
      </c>
      <c r="BA189" s="42">
        <f>ROUND(AW189+AX189-AY189-AZ189,2)</f>
        <v/>
      </c>
      <c r="BB189">
        <f>AV189-AZ189</f>
        <v/>
      </c>
      <c r="BC189" s="42">
        <f>BG188</f>
        <v/>
      </c>
      <c r="BD189" s="42">
        <f>ROUND(BC189*BD$6/12,2)</f>
        <v/>
      </c>
      <c r="BE189" s="42">
        <f>MIN(BE$6,BC189+BD189)</f>
        <v/>
      </c>
      <c r="BF189" s="42">
        <f>MAX(0,MIN(BC189+BD189-BE189,BB189))</f>
        <v/>
      </c>
      <c r="BG189" s="42">
        <f>ROUND(BC189+BD189-BE189-BF189,2)</f>
        <v/>
      </c>
      <c r="BH189">
        <f>BB189-BF189</f>
        <v/>
      </c>
      <c r="BI189" s="42">
        <f>BM188</f>
        <v/>
      </c>
      <c r="BJ189" s="42">
        <f>ROUND(BI189*BJ$6/12,2)</f>
        <v/>
      </c>
      <c r="BK189" s="42">
        <f>MIN(BK$6,BI189+BJ189)</f>
        <v/>
      </c>
      <c r="BL189" s="42">
        <f>MAX(0,MIN(BI189+BJ189-BK189,BH189))</f>
        <v/>
      </c>
      <c r="BM189" s="42">
        <f>ROUND(BI189+BJ189-BK189-BL189,2)</f>
        <v/>
      </c>
      <c r="BN189">
        <f>BH189-BL189</f>
        <v/>
      </c>
    </row>
    <row r="190">
      <c r="A190" s="39" t="n">
        <v>183</v>
      </c>
      <c r="B190" s="40">
        <f>EDATE('My Debts'!$C$6,A190-1)</f>
        <v/>
      </c>
      <c r="C190" s="41">
        <f>K190+Q190+W190+AC190+AI190+AO190+AU190+BA190+BG190+BM190</f>
        <v/>
      </c>
      <c r="D190" s="42">
        <f>I190+O190+U190+AA190+AG190+AM190+AS190+AY190+BE190+BK190+J190+P190+V190+AB190+AH190+AN190+AT190+AZ190+BF190+BL190</f>
        <v/>
      </c>
      <c r="E190" s="42">
        <f>H190+N190+T190+Z190+AF190+AL190+AR190+AX190+BD190+BJ190</f>
        <v/>
      </c>
      <c r="F190">
        <f>MAX(0,'My Debts'!$E$21-(I190+O190+U190+AA190+AG190+AM190+AS190+AY190+BE190+BK190))</f>
        <v/>
      </c>
      <c r="G190" s="42">
        <f>K189</f>
        <v/>
      </c>
      <c r="H190" s="42">
        <f>ROUND(G190*H$6/12,2)</f>
        <v/>
      </c>
      <c r="I190" s="42">
        <f>MIN(I$6,G190+H190)</f>
        <v/>
      </c>
      <c r="J190" s="42">
        <f>MAX(0,MIN(G190+H190-I190,$F190))</f>
        <v/>
      </c>
      <c r="K190" s="42">
        <f>ROUND(G190+H190-I190-J190,2)</f>
        <v/>
      </c>
      <c r="L190">
        <f>$F190-J190</f>
        <v/>
      </c>
      <c r="M190" s="42">
        <f>Q189</f>
        <v/>
      </c>
      <c r="N190" s="42">
        <f>ROUND(M190*N$6/12,2)</f>
        <v/>
      </c>
      <c r="O190" s="42">
        <f>MIN(O$6,M190+N190)</f>
        <v/>
      </c>
      <c r="P190" s="42">
        <f>MAX(0,MIN(M190+N190-O190,L190))</f>
        <v/>
      </c>
      <c r="Q190" s="42">
        <f>ROUND(M190+N190-O190-P190,2)</f>
        <v/>
      </c>
      <c r="R190">
        <f>L190-P190</f>
        <v/>
      </c>
      <c r="S190" s="42">
        <f>W189</f>
        <v/>
      </c>
      <c r="T190" s="42">
        <f>ROUND(S190*T$6/12,2)</f>
        <v/>
      </c>
      <c r="U190" s="42">
        <f>MIN(U$6,S190+T190)</f>
        <v/>
      </c>
      <c r="V190" s="42">
        <f>MAX(0,MIN(S190+T190-U190,R190))</f>
        <v/>
      </c>
      <c r="W190" s="42">
        <f>ROUND(S190+T190-U190-V190,2)</f>
        <v/>
      </c>
      <c r="X190">
        <f>R190-V190</f>
        <v/>
      </c>
      <c r="Y190" s="42">
        <f>AC189</f>
        <v/>
      </c>
      <c r="Z190" s="42">
        <f>ROUND(Y190*Z$6/12,2)</f>
        <v/>
      </c>
      <c r="AA190" s="42">
        <f>MIN(AA$6,Y190+Z190)</f>
        <v/>
      </c>
      <c r="AB190" s="42">
        <f>MAX(0,MIN(Y190+Z190-AA190,X190))</f>
        <v/>
      </c>
      <c r="AC190" s="42">
        <f>ROUND(Y190+Z190-AA190-AB190,2)</f>
        <v/>
      </c>
      <c r="AD190">
        <f>X190-AB190</f>
        <v/>
      </c>
      <c r="AE190" s="42">
        <f>AI189</f>
        <v/>
      </c>
      <c r="AF190" s="42">
        <f>ROUND(AE190*AF$6/12,2)</f>
        <v/>
      </c>
      <c r="AG190" s="42">
        <f>MIN(AG$6,AE190+AF190)</f>
        <v/>
      </c>
      <c r="AH190" s="42">
        <f>MAX(0,MIN(AE190+AF190-AG190,AD190))</f>
        <v/>
      </c>
      <c r="AI190" s="42">
        <f>ROUND(AE190+AF190-AG190-AH190,2)</f>
        <v/>
      </c>
      <c r="AJ190">
        <f>AD190-AH190</f>
        <v/>
      </c>
      <c r="AK190" s="42">
        <f>AO189</f>
        <v/>
      </c>
      <c r="AL190" s="42">
        <f>ROUND(AK190*AL$6/12,2)</f>
        <v/>
      </c>
      <c r="AM190" s="42">
        <f>MIN(AM$6,AK190+AL190)</f>
        <v/>
      </c>
      <c r="AN190" s="42">
        <f>MAX(0,MIN(AK190+AL190-AM190,AJ190))</f>
        <v/>
      </c>
      <c r="AO190" s="42">
        <f>ROUND(AK190+AL190-AM190-AN190,2)</f>
        <v/>
      </c>
      <c r="AP190">
        <f>AJ190-AN190</f>
        <v/>
      </c>
      <c r="AQ190" s="42">
        <f>AU189</f>
        <v/>
      </c>
      <c r="AR190" s="42">
        <f>ROUND(AQ190*AR$6/12,2)</f>
        <v/>
      </c>
      <c r="AS190" s="42">
        <f>MIN(AS$6,AQ190+AR190)</f>
        <v/>
      </c>
      <c r="AT190" s="42">
        <f>MAX(0,MIN(AQ190+AR190-AS190,AP190))</f>
        <v/>
      </c>
      <c r="AU190" s="42">
        <f>ROUND(AQ190+AR190-AS190-AT190,2)</f>
        <v/>
      </c>
      <c r="AV190">
        <f>AP190-AT190</f>
        <v/>
      </c>
      <c r="AW190" s="42">
        <f>BA189</f>
        <v/>
      </c>
      <c r="AX190" s="42">
        <f>ROUND(AW190*AX$6/12,2)</f>
        <v/>
      </c>
      <c r="AY190" s="42">
        <f>MIN(AY$6,AW190+AX190)</f>
        <v/>
      </c>
      <c r="AZ190" s="42">
        <f>MAX(0,MIN(AW190+AX190-AY190,AV190))</f>
        <v/>
      </c>
      <c r="BA190" s="42">
        <f>ROUND(AW190+AX190-AY190-AZ190,2)</f>
        <v/>
      </c>
      <c r="BB190">
        <f>AV190-AZ190</f>
        <v/>
      </c>
      <c r="BC190" s="42">
        <f>BG189</f>
        <v/>
      </c>
      <c r="BD190" s="42">
        <f>ROUND(BC190*BD$6/12,2)</f>
        <v/>
      </c>
      <c r="BE190" s="42">
        <f>MIN(BE$6,BC190+BD190)</f>
        <v/>
      </c>
      <c r="BF190" s="42">
        <f>MAX(0,MIN(BC190+BD190-BE190,BB190))</f>
        <v/>
      </c>
      <c r="BG190" s="42">
        <f>ROUND(BC190+BD190-BE190-BF190,2)</f>
        <v/>
      </c>
      <c r="BH190">
        <f>BB190-BF190</f>
        <v/>
      </c>
      <c r="BI190" s="42">
        <f>BM189</f>
        <v/>
      </c>
      <c r="BJ190" s="42">
        <f>ROUND(BI190*BJ$6/12,2)</f>
        <v/>
      </c>
      <c r="BK190" s="42">
        <f>MIN(BK$6,BI190+BJ190)</f>
        <v/>
      </c>
      <c r="BL190" s="42">
        <f>MAX(0,MIN(BI190+BJ190-BK190,BH190))</f>
        <v/>
      </c>
      <c r="BM190" s="42">
        <f>ROUND(BI190+BJ190-BK190-BL190,2)</f>
        <v/>
      </c>
      <c r="BN190">
        <f>BH190-BL190</f>
        <v/>
      </c>
    </row>
    <row r="191">
      <c r="A191" s="43" t="n">
        <v>184</v>
      </c>
      <c r="B191" s="44">
        <f>EDATE('My Debts'!$C$6,A191-1)</f>
        <v/>
      </c>
      <c r="C191" s="45">
        <f>K191+Q191+W191+AC191+AI191+AO191+AU191+BA191+BG191+BM191</f>
        <v/>
      </c>
      <c r="D191" s="46">
        <f>I191+O191+U191+AA191+AG191+AM191+AS191+AY191+BE191+BK191+J191+P191+V191+AB191+AH191+AN191+AT191+AZ191+BF191+BL191</f>
        <v/>
      </c>
      <c r="E191" s="46">
        <f>H191+N191+T191+Z191+AF191+AL191+AR191+AX191+BD191+BJ191</f>
        <v/>
      </c>
      <c r="F191">
        <f>MAX(0,'My Debts'!$E$21-(I191+O191+U191+AA191+AG191+AM191+AS191+AY191+BE191+BK191))</f>
        <v/>
      </c>
      <c r="G191" s="42">
        <f>K190</f>
        <v/>
      </c>
      <c r="H191" s="42">
        <f>ROUND(G191*H$6/12,2)</f>
        <v/>
      </c>
      <c r="I191" s="42">
        <f>MIN(I$6,G191+H191)</f>
        <v/>
      </c>
      <c r="J191" s="42">
        <f>MAX(0,MIN(G191+H191-I191,$F191))</f>
        <v/>
      </c>
      <c r="K191" s="42">
        <f>ROUND(G191+H191-I191-J191,2)</f>
        <v/>
      </c>
      <c r="L191">
        <f>$F191-J191</f>
        <v/>
      </c>
      <c r="M191" s="42">
        <f>Q190</f>
        <v/>
      </c>
      <c r="N191" s="42">
        <f>ROUND(M191*N$6/12,2)</f>
        <v/>
      </c>
      <c r="O191" s="42">
        <f>MIN(O$6,M191+N191)</f>
        <v/>
      </c>
      <c r="P191" s="42">
        <f>MAX(0,MIN(M191+N191-O191,L191))</f>
        <v/>
      </c>
      <c r="Q191" s="42">
        <f>ROUND(M191+N191-O191-P191,2)</f>
        <v/>
      </c>
      <c r="R191">
        <f>L191-P191</f>
        <v/>
      </c>
      <c r="S191" s="42">
        <f>W190</f>
        <v/>
      </c>
      <c r="T191" s="42">
        <f>ROUND(S191*T$6/12,2)</f>
        <v/>
      </c>
      <c r="U191" s="42">
        <f>MIN(U$6,S191+T191)</f>
        <v/>
      </c>
      <c r="V191" s="42">
        <f>MAX(0,MIN(S191+T191-U191,R191))</f>
        <v/>
      </c>
      <c r="W191" s="42">
        <f>ROUND(S191+T191-U191-V191,2)</f>
        <v/>
      </c>
      <c r="X191">
        <f>R191-V191</f>
        <v/>
      </c>
      <c r="Y191" s="42">
        <f>AC190</f>
        <v/>
      </c>
      <c r="Z191" s="42">
        <f>ROUND(Y191*Z$6/12,2)</f>
        <v/>
      </c>
      <c r="AA191" s="42">
        <f>MIN(AA$6,Y191+Z191)</f>
        <v/>
      </c>
      <c r="AB191" s="42">
        <f>MAX(0,MIN(Y191+Z191-AA191,X191))</f>
        <v/>
      </c>
      <c r="AC191" s="42">
        <f>ROUND(Y191+Z191-AA191-AB191,2)</f>
        <v/>
      </c>
      <c r="AD191">
        <f>X191-AB191</f>
        <v/>
      </c>
      <c r="AE191" s="42">
        <f>AI190</f>
        <v/>
      </c>
      <c r="AF191" s="42">
        <f>ROUND(AE191*AF$6/12,2)</f>
        <v/>
      </c>
      <c r="AG191" s="42">
        <f>MIN(AG$6,AE191+AF191)</f>
        <v/>
      </c>
      <c r="AH191" s="42">
        <f>MAX(0,MIN(AE191+AF191-AG191,AD191))</f>
        <v/>
      </c>
      <c r="AI191" s="42">
        <f>ROUND(AE191+AF191-AG191-AH191,2)</f>
        <v/>
      </c>
      <c r="AJ191">
        <f>AD191-AH191</f>
        <v/>
      </c>
      <c r="AK191" s="42">
        <f>AO190</f>
        <v/>
      </c>
      <c r="AL191" s="42">
        <f>ROUND(AK191*AL$6/12,2)</f>
        <v/>
      </c>
      <c r="AM191" s="42">
        <f>MIN(AM$6,AK191+AL191)</f>
        <v/>
      </c>
      <c r="AN191" s="42">
        <f>MAX(0,MIN(AK191+AL191-AM191,AJ191))</f>
        <v/>
      </c>
      <c r="AO191" s="42">
        <f>ROUND(AK191+AL191-AM191-AN191,2)</f>
        <v/>
      </c>
      <c r="AP191">
        <f>AJ191-AN191</f>
        <v/>
      </c>
      <c r="AQ191" s="42">
        <f>AU190</f>
        <v/>
      </c>
      <c r="AR191" s="42">
        <f>ROUND(AQ191*AR$6/12,2)</f>
        <v/>
      </c>
      <c r="AS191" s="42">
        <f>MIN(AS$6,AQ191+AR191)</f>
        <v/>
      </c>
      <c r="AT191" s="42">
        <f>MAX(0,MIN(AQ191+AR191-AS191,AP191))</f>
        <v/>
      </c>
      <c r="AU191" s="42">
        <f>ROUND(AQ191+AR191-AS191-AT191,2)</f>
        <v/>
      </c>
      <c r="AV191">
        <f>AP191-AT191</f>
        <v/>
      </c>
      <c r="AW191" s="42">
        <f>BA190</f>
        <v/>
      </c>
      <c r="AX191" s="42">
        <f>ROUND(AW191*AX$6/12,2)</f>
        <v/>
      </c>
      <c r="AY191" s="42">
        <f>MIN(AY$6,AW191+AX191)</f>
        <v/>
      </c>
      <c r="AZ191" s="42">
        <f>MAX(0,MIN(AW191+AX191-AY191,AV191))</f>
        <v/>
      </c>
      <c r="BA191" s="42">
        <f>ROUND(AW191+AX191-AY191-AZ191,2)</f>
        <v/>
      </c>
      <c r="BB191">
        <f>AV191-AZ191</f>
        <v/>
      </c>
      <c r="BC191" s="42">
        <f>BG190</f>
        <v/>
      </c>
      <c r="BD191" s="42">
        <f>ROUND(BC191*BD$6/12,2)</f>
        <v/>
      </c>
      <c r="BE191" s="42">
        <f>MIN(BE$6,BC191+BD191)</f>
        <v/>
      </c>
      <c r="BF191" s="42">
        <f>MAX(0,MIN(BC191+BD191-BE191,BB191))</f>
        <v/>
      </c>
      <c r="BG191" s="42">
        <f>ROUND(BC191+BD191-BE191-BF191,2)</f>
        <v/>
      </c>
      <c r="BH191">
        <f>BB191-BF191</f>
        <v/>
      </c>
      <c r="BI191" s="42">
        <f>BM190</f>
        <v/>
      </c>
      <c r="BJ191" s="42">
        <f>ROUND(BI191*BJ$6/12,2)</f>
        <v/>
      </c>
      <c r="BK191" s="42">
        <f>MIN(BK$6,BI191+BJ191)</f>
        <v/>
      </c>
      <c r="BL191" s="42">
        <f>MAX(0,MIN(BI191+BJ191-BK191,BH191))</f>
        <v/>
      </c>
      <c r="BM191" s="42">
        <f>ROUND(BI191+BJ191-BK191-BL191,2)</f>
        <v/>
      </c>
      <c r="BN191">
        <f>BH191-BL191</f>
        <v/>
      </c>
    </row>
    <row r="192">
      <c r="A192" s="39" t="n">
        <v>185</v>
      </c>
      <c r="B192" s="40">
        <f>EDATE('My Debts'!$C$6,A192-1)</f>
        <v/>
      </c>
      <c r="C192" s="41">
        <f>K192+Q192+W192+AC192+AI192+AO192+AU192+BA192+BG192+BM192</f>
        <v/>
      </c>
      <c r="D192" s="42">
        <f>I192+O192+U192+AA192+AG192+AM192+AS192+AY192+BE192+BK192+J192+P192+V192+AB192+AH192+AN192+AT192+AZ192+BF192+BL192</f>
        <v/>
      </c>
      <c r="E192" s="42">
        <f>H192+N192+T192+Z192+AF192+AL192+AR192+AX192+BD192+BJ192</f>
        <v/>
      </c>
      <c r="F192">
        <f>MAX(0,'My Debts'!$E$21-(I192+O192+U192+AA192+AG192+AM192+AS192+AY192+BE192+BK192))</f>
        <v/>
      </c>
      <c r="G192" s="42">
        <f>K191</f>
        <v/>
      </c>
      <c r="H192" s="42">
        <f>ROUND(G192*H$6/12,2)</f>
        <v/>
      </c>
      <c r="I192" s="42">
        <f>MIN(I$6,G192+H192)</f>
        <v/>
      </c>
      <c r="J192" s="42">
        <f>MAX(0,MIN(G192+H192-I192,$F192))</f>
        <v/>
      </c>
      <c r="K192" s="42">
        <f>ROUND(G192+H192-I192-J192,2)</f>
        <v/>
      </c>
      <c r="L192">
        <f>$F192-J192</f>
        <v/>
      </c>
      <c r="M192" s="42">
        <f>Q191</f>
        <v/>
      </c>
      <c r="N192" s="42">
        <f>ROUND(M192*N$6/12,2)</f>
        <v/>
      </c>
      <c r="O192" s="42">
        <f>MIN(O$6,M192+N192)</f>
        <v/>
      </c>
      <c r="P192" s="42">
        <f>MAX(0,MIN(M192+N192-O192,L192))</f>
        <v/>
      </c>
      <c r="Q192" s="42">
        <f>ROUND(M192+N192-O192-P192,2)</f>
        <v/>
      </c>
      <c r="R192">
        <f>L192-P192</f>
        <v/>
      </c>
      <c r="S192" s="42">
        <f>W191</f>
        <v/>
      </c>
      <c r="T192" s="42">
        <f>ROUND(S192*T$6/12,2)</f>
        <v/>
      </c>
      <c r="U192" s="42">
        <f>MIN(U$6,S192+T192)</f>
        <v/>
      </c>
      <c r="V192" s="42">
        <f>MAX(0,MIN(S192+T192-U192,R192))</f>
        <v/>
      </c>
      <c r="W192" s="42">
        <f>ROUND(S192+T192-U192-V192,2)</f>
        <v/>
      </c>
      <c r="X192">
        <f>R192-V192</f>
        <v/>
      </c>
      <c r="Y192" s="42">
        <f>AC191</f>
        <v/>
      </c>
      <c r="Z192" s="42">
        <f>ROUND(Y192*Z$6/12,2)</f>
        <v/>
      </c>
      <c r="AA192" s="42">
        <f>MIN(AA$6,Y192+Z192)</f>
        <v/>
      </c>
      <c r="AB192" s="42">
        <f>MAX(0,MIN(Y192+Z192-AA192,X192))</f>
        <v/>
      </c>
      <c r="AC192" s="42">
        <f>ROUND(Y192+Z192-AA192-AB192,2)</f>
        <v/>
      </c>
      <c r="AD192">
        <f>X192-AB192</f>
        <v/>
      </c>
      <c r="AE192" s="42">
        <f>AI191</f>
        <v/>
      </c>
      <c r="AF192" s="42">
        <f>ROUND(AE192*AF$6/12,2)</f>
        <v/>
      </c>
      <c r="AG192" s="42">
        <f>MIN(AG$6,AE192+AF192)</f>
        <v/>
      </c>
      <c r="AH192" s="42">
        <f>MAX(0,MIN(AE192+AF192-AG192,AD192))</f>
        <v/>
      </c>
      <c r="AI192" s="42">
        <f>ROUND(AE192+AF192-AG192-AH192,2)</f>
        <v/>
      </c>
      <c r="AJ192">
        <f>AD192-AH192</f>
        <v/>
      </c>
      <c r="AK192" s="42">
        <f>AO191</f>
        <v/>
      </c>
      <c r="AL192" s="42">
        <f>ROUND(AK192*AL$6/12,2)</f>
        <v/>
      </c>
      <c r="AM192" s="42">
        <f>MIN(AM$6,AK192+AL192)</f>
        <v/>
      </c>
      <c r="AN192" s="42">
        <f>MAX(0,MIN(AK192+AL192-AM192,AJ192))</f>
        <v/>
      </c>
      <c r="AO192" s="42">
        <f>ROUND(AK192+AL192-AM192-AN192,2)</f>
        <v/>
      </c>
      <c r="AP192">
        <f>AJ192-AN192</f>
        <v/>
      </c>
      <c r="AQ192" s="42">
        <f>AU191</f>
        <v/>
      </c>
      <c r="AR192" s="42">
        <f>ROUND(AQ192*AR$6/12,2)</f>
        <v/>
      </c>
      <c r="AS192" s="42">
        <f>MIN(AS$6,AQ192+AR192)</f>
        <v/>
      </c>
      <c r="AT192" s="42">
        <f>MAX(0,MIN(AQ192+AR192-AS192,AP192))</f>
        <v/>
      </c>
      <c r="AU192" s="42">
        <f>ROUND(AQ192+AR192-AS192-AT192,2)</f>
        <v/>
      </c>
      <c r="AV192">
        <f>AP192-AT192</f>
        <v/>
      </c>
      <c r="AW192" s="42">
        <f>BA191</f>
        <v/>
      </c>
      <c r="AX192" s="42">
        <f>ROUND(AW192*AX$6/12,2)</f>
        <v/>
      </c>
      <c r="AY192" s="42">
        <f>MIN(AY$6,AW192+AX192)</f>
        <v/>
      </c>
      <c r="AZ192" s="42">
        <f>MAX(0,MIN(AW192+AX192-AY192,AV192))</f>
        <v/>
      </c>
      <c r="BA192" s="42">
        <f>ROUND(AW192+AX192-AY192-AZ192,2)</f>
        <v/>
      </c>
      <c r="BB192">
        <f>AV192-AZ192</f>
        <v/>
      </c>
      <c r="BC192" s="42">
        <f>BG191</f>
        <v/>
      </c>
      <c r="BD192" s="42">
        <f>ROUND(BC192*BD$6/12,2)</f>
        <v/>
      </c>
      <c r="BE192" s="42">
        <f>MIN(BE$6,BC192+BD192)</f>
        <v/>
      </c>
      <c r="BF192" s="42">
        <f>MAX(0,MIN(BC192+BD192-BE192,BB192))</f>
        <v/>
      </c>
      <c r="BG192" s="42">
        <f>ROUND(BC192+BD192-BE192-BF192,2)</f>
        <v/>
      </c>
      <c r="BH192">
        <f>BB192-BF192</f>
        <v/>
      </c>
      <c r="BI192" s="42">
        <f>BM191</f>
        <v/>
      </c>
      <c r="BJ192" s="42">
        <f>ROUND(BI192*BJ$6/12,2)</f>
        <v/>
      </c>
      <c r="BK192" s="42">
        <f>MIN(BK$6,BI192+BJ192)</f>
        <v/>
      </c>
      <c r="BL192" s="42">
        <f>MAX(0,MIN(BI192+BJ192-BK192,BH192))</f>
        <v/>
      </c>
      <c r="BM192" s="42">
        <f>ROUND(BI192+BJ192-BK192-BL192,2)</f>
        <v/>
      </c>
      <c r="BN192">
        <f>BH192-BL192</f>
        <v/>
      </c>
    </row>
    <row r="193">
      <c r="A193" s="43" t="n">
        <v>186</v>
      </c>
      <c r="B193" s="44">
        <f>EDATE('My Debts'!$C$6,A193-1)</f>
        <v/>
      </c>
      <c r="C193" s="45">
        <f>K193+Q193+W193+AC193+AI193+AO193+AU193+BA193+BG193+BM193</f>
        <v/>
      </c>
      <c r="D193" s="46">
        <f>I193+O193+U193+AA193+AG193+AM193+AS193+AY193+BE193+BK193+J193+P193+V193+AB193+AH193+AN193+AT193+AZ193+BF193+BL193</f>
        <v/>
      </c>
      <c r="E193" s="46">
        <f>H193+N193+T193+Z193+AF193+AL193+AR193+AX193+BD193+BJ193</f>
        <v/>
      </c>
      <c r="F193">
        <f>MAX(0,'My Debts'!$E$21-(I193+O193+U193+AA193+AG193+AM193+AS193+AY193+BE193+BK193))</f>
        <v/>
      </c>
      <c r="G193" s="42">
        <f>K192</f>
        <v/>
      </c>
      <c r="H193" s="42">
        <f>ROUND(G193*H$6/12,2)</f>
        <v/>
      </c>
      <c r="I193" s="42">
        <f>MIN(I$6,G193+H193)</f>
        <v/>
      </c>
      <c r="J193" s="42">
        <f>MAX(0,MIN(G193+H193-I193,$F193))</f>
        <v/>
      </c>
      <c r="K193" s="42">
        <f>ROUND(G193+H193-I193-J193,2)</f>
        <v/>
      </c>
      <c r="L193">
        <f>$F193-J193</f>
        <v/>
      </c>
      <c r="M193" s="42">
        <f>Q192</f>
        <v/>
      </c>
      <c r="N193" s="42">
        <f>ROUND(M193*N$6/12,2)</f>
        <v/>
      </c>
      <c r="O193" s="42">
        <f>MIN(O$6,M193+N193)</f>
        <v/>
      </c>
      <c r="P193" s="42">
        <f>MAX(0,MIN(M193+N193-O193,L193))</f>
        <v/>
      </c>
      <c r="Q193" s="42">
        <f>ROUND(M193+N193-O193-P193,2)</f>
        <v/>
      </c>
      <c r="R193">
        <f>L193-P193</f>
        <v/>
      </c>
      <c r="S193" s="42">
        <f>W192</f>
        <v/>
      </c>
      <c r="T193" s="42">
        <f>ROUND(S193*T$6/12,2)</f>
        <v/>
      </c>
      <c r="U193" s="42">
        <f>MIN(U$6,S193+T193)</f>
        <v/>
      </c>
      <c r="V193" s="42">
        <f>MAX(0,MIN(S193+T193-U193,R193))</f>
        <v/>
      </c>
      <c r="W193" s="42">
        <f>ROUND(S193+T193-U193-V193,2)</f>
        <v/>
      </c>
      <c r="X193">
        <f>R193-V193</f>
        <v/>
      </c>
      <c r="Y193" s="42">
        <f>AC192</f>
        <v/>
      </c>
      <c r="Z193" s="42">
        <f>ROUND(Y193*Z$6/12,2)</f>
        <v/>
      </c>
      <c r="AA193" s="42">
        <f>MIN(AA$6,Y193+Z193)</f>
        <v/>
      </c>
      <c r="AB193" s="42">
        <f>MAX(0,MIN(Y193+Z193-AA193,X193))</f>
        <v/>
      </c>
      <c r="AC193" s="42">
        <f>ROUND(Y193+Z193-AA193-AB193,2)</f>
        <v/>
      </c>
      <c r="AD193">
        <f>X193-AB193</f>
        <v/>
      </c>
      <c r="AE193" s="42">
        <f>AI192</f>
        <v/>
      </c>
      <c r="AF193" s="42">
        <f>ROUND(AE193*AF$6/12,2)</f>
        <v/>
      </c>
      <c r="AG193" s="42">
        <f>MIN(AG$6,AE193+AF193)</f>
        <v/>
      </c>
      <c r="AH193" s="42">
        <f>MAX(0,MIN(AE193+AF193-AG193,AD193))</f>
        <v/>
      </c>
      <c r="AI193" s="42">
        <f>ROUND(AE193+AF193-AG193-AH193,2)</f>
        <v/>
      </c>
      <c r="AJ193">
        <f>AD193-AH193</f>
        <v/>
      </c>
      <c r="AK193" s="42">
        <f>AO192</f>
        <v/>
      </c>
      <c r="AL193" s="42">
        <f>ROUND(AK193*AL$6/12,2)</f>
        <v/>
      </c>
      <c r="AM193" s="42">
        <f>MIN(AM$6,AK193+AL193)</f>
        <v/>
      </c>
      <c r="AN193" s="42">
        <f>MAX(0,MIN(AK193+AL193-AM193,AJ193))</f>
        <v/>
      </c>
      <c r="AO193" s="42">
        <f>ROUND(AK193+AL193-AM193-AN193,2)</f>
        <v/>
      </c>
      <c r="AP193">
        <f>AJ193-AN193</f>
        <v/>
      </c>
      <c r="AQ193" s="42">
        <f>AU192</f>
        <v/>
      </c>
      <c r="AR193" s="42">
        <f>ROUND(AQ193*AR$6/12,2)</f>
        <v/>
      </c>
      <c r="AS193" s="42">
        <f>MIN(AS$6,AQ193+AR193)</f>
        <v/>
      </c>
      <c r="AT193" s="42">
        <f>MAX(0,MIN(AQ193+AR193-AS193,AP193))</f>
        <v/>
      </c>
      <c r="AU193" s="42">
        <f>ROUND(AQ193+AR193-AS193-AT193,2)</f>
        <v/>
      </c>
      <c r="AV193">
        <f>AP193-AT193</f>
        <v/>
      </c>
      <c r="AW193" s="42">
        <f>BA192</f>
        <v/>
      </c>
      <c r="AX193" s="42">
        <f>ROUND(AW193*AX$6/12,2)</f>
        <v/>
      </c>
      <c r="AY193" s="42">
        <f>MIN(AY$6,AW193+AX193)</f>
        <v/>
      </c>
      <c r="AZ193" s="42">
        <f>MAX(0,MIN(AW193+AX193-AY193,AV193))</f>
        <v/>
      </c>
      <c r="BA193" s="42">
        <f>ROUND(AW193+AX193-AY193-AZ193,2)</f>
        <v/>
      </c>
      <c r="BB193">
        <f>AV193-AZ193</f>
        <v/>
      </c>
      <c r="BC193" s="42">
        <f>BG192</f>
        <v/>
      </c>
      <c r="BD193" s="42">
        <f>ROUND(BC193*BD$6/12,2)</f>
        <v/>
      </c>
      <c r="BE193" s="42">
        <f>MIN(BE$6,BC193+BD193)</f>
        <v/>
      </c>
      <c r="BF193" s="42">
        <f>MAX(0,MIN(BC193+BD193-BE193,BB193))</f>
        <v/>
      </c>
      <c r="BG193" s="42">
        <f>ROUND(BC193+BD193-BE193-BF193,2)</f>
        <v/>
      </c>
      <c r="BH193">
        <f>BB193-BF193</f>
        <v/>
      </c>
      <c r="BI193" s="42">
        <f>BM192</f>
        <v/>
      </c>
      <c r="BJ193" s="42">
        <f>ROUND(BI193*BJ$6/12,2)</f>
        <v/>
      </c>
      <c r="BK193" s="42">
        <f>MIN(BK$6,BI193+BJ193)</f>
        <v/>
      </c>
      <c r="BL193" s="42">
        <f>MAX(0,MIN(BI193+BJ193-BK193,BH193))</f>
        <v/>
      </c>
      <c r="BM193" s="42">
        <f>ROUND(BI193+BJ193-BK193-BL193,2)</f>
        <v/>
      </c>
      <c r="BN193">
        <f>BH193-BL193</f>
        <v/>
      </c>
    </row>
    <row r="194">
      <c r="A194" s="39" t="n">
        <v>187</v>
      </c>
      <c r="B194" s="40">
        <f>EDATE('My Debts'!$C$6,A194-1)</f>
        <v/>
      </c>
      <c r="C194" s="41">
        <f>K194+Q194+W194+AC194+AI194+AO194+AU194+BA194+BG194+BM194</f>
        <v/>
      </c>
      <c r="D194" s="42">
        <f>I194+O194+U194+AA194+AG194+AM194+AS194+AY194+BE194+BK194+J194+P194+V194+AB194+AH194+AN194+AT194+AZ194+BF194+BL194</f>
        <v/>
      </c>
      <c r="E194" s="42">
        <f>H194+N194+T194+Z194+AF194+AL194+AR194+AX194+BD194+BJ194</f>
        <v/>
      </c>
      <c r="F194">
        <f>MAX(0,'My Debts'!$E$21-(I194+O194+U194+AA194+AG194+AM194+AS194+AY194+BE194+BK194))</f>
        <v/>
      </c>
      <c r="G194" s="42">
        <f>K193</f>
        <v/>
      </c>
      <c r="H194" s="42">
        <f>ROUND(G194*H$6/12,2)</f>
        <v/>
      </c>
      <c r="I194" s="42">
        <f>MIN(I$6,G194+H194)</f>
        <v/>
      </c>
      <c r="J194" s="42">
        <f>MAX(0,MIN(G194+H194-I194,$F194))</f>
        <v/>
      </c>
      <c r="K194" s="42">
        <f>ROUND(G194+H194-I194-J194,2)</f>
        <v/>
      </c>
      <c r="L194">
        <f>$F194-J194</f>
        <v/>
      </c>
      <c r="M194" s="42">
        <f>Q193</f>
        <v/>
      </c>
      <c r="N194" s="42">
        <f>ROUND(M194*N$6/12,2)</f>
        <v/>
      </c>
      <c r="O194" s="42">
        <f>MIN(O$6,M194+N194)</f>
        <v/>
      </c>
      <c r="P194" s="42">
        <f>MAX(0,MIN(M194+N194-O194,L194))</f>
        <v/>
      </c>
      <c r="Q194" s="42">
        <f>ROUND(M194+N194-O194-P194,2)</f>
        <v/>
      </c>
      <c r="R194">
        <f>L194-P194</f>
        <v/>
      </c>
      <c r="S194" s="42">
        <f>W193</f>
        <v/>
      </c>
      <c r="T194" s="42">
        <f>ROUND(S194*T$6/12,2)</f>
        <v/>
      </c>
      <c r="U194" s="42">
        <f>MIN(U$6,S194+T194)</f>
        <v/>
      </c>
      <c r="V194" s="42">
        <f>MAX(0,MIN(S194+T194-U194,R194))</f>
        <v/>
      </c>
      <c r="W194" s="42">
        <f>ROUND(S194+T194-U194-V194,2)</f>
        <v/>
      </c>
      <c r="X194">
        <f>R194-V194</f>
        <v/>
      </c>
      <c r="Y194" s="42">
        <f>AC193</f>
        <v/>
      </c>
      <c r="Z194" s="42">
        <f>ROUND(Y194*Z$6/12,2)</f>
        <v/>
      </c>
      <c r="AA194" s="42">
        <f>MIN(AA$6,Y194+Z194)</f>
        <v/>
      </c>
      <c r="AB194" s="42">
        <f>MAX(0,MIN(Y194+Z194-AA194,X194))</f>
        <v/>
      </c>
      <c r="AC194" s="42">
        <f>ROUND(Y194+Z194-AA194-AB194,2)</f>
        <v/>
      </c>
      <c r="AD194">
        <f>X194-AB194</f>
        <v/>
      </c>
      <c r="AE194" s="42">
        <f>AI193</f>
        <v/>
      </c>
      <c r="AF194" s="42">
        <f>ROUND(AE194*AF$6/12,2)</f>
        <v/>
      </c>
      <c r="AG194" s="42">
        <f>MIN(AG$6,AE194+AF194)</f>
        <v/>
      </c>
      <c r="AH194" s="42">
        <f>MAX(0,MIN(AE194+AF194-AG194,AD194))</f>
        <v/>
      </c>
      <c r="AI194" s="42">
        <f>ROUND(AE194+AF194-AG194-AH194,2)</f>
        <v/>
      </c>
      <c r="AJ194">
        <f>AD194-AH194</f>
        <v/>
      </c>
      <c r="AK194" s="42">
        <f>AO193</f>
        <v/>
      </c>
      <c r="AL194" s="42">
        <f>ROUND(AK194*AL$6/12,2)</f>
        <v/>
      </c>
      <c r="AM194" s="42">
        <f>MIN(AM$6,AK194+AL194)</f>
        <v/>
      </c>
      <c r="AN194" s="42">
        <f>MAX(0,MIN(AK194+AL194-AM194,AJ194))</f>
        <v/>
      </c>
      <c r="AO194" s="42">
        <f>ROUND(AK194+AL194-AM194-AN194,2)</f>
        <v/>
      </c>
      <c r="AP194">
        <f>AJ194-AN194</f>
        <v/>
      </c>
      <c r="AQ194" s="42">
        <f>AU193</f>
        <v/>
      </c>
      <c r="AR194" s="42">
        <f>ROUND(AQ194*AR$6/12,2)</f>
        <v/>
      </c>
      <c r="AS194" s="42">
        <f>MIN(AS$6,AQ194+AR194)</f>
        <v/>
      </c>
      <c r="AT194" s="42">
        <f>MAX(0,MIN(AQ194+AR194-AS194,AP194))</f>
        <v/>
      </c>
      <c r="AU194" s="42">
        <f>ROUND(AQ194+AR194-AS194-AT194,2)</f>
        <v/>
      </c>
      <c r="AV194">
        <f>AP194-AT194</f>
        <v/>
      </c>
      <c r="AW194" s="42">
        <f>BA193</f>
        <v/>
      </c>
      <c r="AX194" s="42">
        <f>ROUND(AW194*AX$6/12,2)</f>
        <v/>
      </c>
      <c r="AY194" s="42">
        <f>MIN(AY$6,AW194+AX194)</f>
        <v/>
      </c>
      <c r="AZ194" s="42">
        <f>MAX(0,MIN(AW194+AX194-AY194,AV194))</f>
        <v/>
      </c>
      <c r="BA194" s="42">
        <f>ROUND(AW194+AX194-AY194-AZ194,2)</f>
        <v/>
      </c>
      <c r="BB194">
        <f>AV194-AZ194</f>
        <v/>
      </c>
      <c r="BC194" s="42">
        <f>BG193</f>
        <v/>
      </c>
      <c r="BD194" s="42">
        <f>ROUND(BC194*BD$6/12,2)</f>
        <v/>
      </c>
      <c r="BE194" s="42">
        <f>MIN(BE$6,BC194+BD194)</f>
        <v/>
      </c>
      <c r="BF194" s="42">
        <f>MAX(0,MIN(BC194+BD194-BE194,BB194))</f>
        <v/>
      </c>
      <c r="BG194" s="42">
        <f>ROUND(BC194+BD194-BE194-BF194,2)</f>
        <v/>
      </c>
      <c r="BH194">
        <f>BB194-BF194</f>
        <v/>
      </c>
      <c r="BI194" s="42">
        <f>BM193</f>
        <v/>
      </c>
      <c r="BJ194" s="42">
        <f>ROUND(BI194*BJ$6/12,2)</f>
        <v/>
      </c>
      <c r="BK194" s="42">
        <f>MIN(BK$6,BI194+BJ194)</f>
        <v/>
      </c>
      <c r="BL194" s="42">
        <f>MAX(0,MIN(BI194+BJ194-BK194,BH194))</f>
        <v/>
      </c>
      <c r="BM194" s="42">
        <f>ROUND(BI194+BJ194-BK194-BL194,2)</f>
        <v/>
      </c>
      <c r="BN194">
        <f>BH194-BL194</f>
        <v/>
      </c>
    </row>
    <row r="195">
      <c r="A195" s="43" t="n">
        <v>188</v>
      </c>
      <c r="B195" s="44">
        <f>EDATE('My Debts'!$C$6,A195-1)</f>
        <v/>
      </c>
      <c r="C195" s="45">
        <f>K195+Q195+W195+AC195+AI195+AO195+AU195+BA195+BG195+BM195</f>
        <v/>
      </c>
      <c r="D195" s="46">
        <f>I195+O195+U195+AA195+AG195+AM195+AS195+AY195+BE195+BK195+J195+P195+V195+AB195+AH195+AN195+AT195+AZ195+BF195+BL195</f>
        <v/>
      </c>
      <c r="E195" s="46">
        <f>H195+N195+T195+Z195+AF195+AL195+AR195+AX195+BD195+BJ195</f>
        <v/>
      </c>
      <c r="F195">
        <f>MAX(0,'My Debts'!$E$21-(I195+O195+U195+AA195+AG195+AM195+AS195+AY195+BE195+BK195))</f>
        <v/>
      </c>
      <c r="G195" s="42">
        <f>K194</f>
        <v/>
      </c>
      <c r="H195" s="42">
        <f>ROUND(G195*H$6/12,2)</f>
        <v/>
      </c>
      <c r="I195" s="42">
        <f>MIN(I$6,G195+H195)</f>
        <v/>
      </c>
      <c r="J195" s="42">
        <f>MAX(0,MIN(G195+H195-I195,$F195))</f>
        <v/>
      </c>
      <c r="K195" s="42">
        <f>ROUND(G195+H195-I195-J195,2)</f>
        <v/>
      </c>
      <c r="L195">
        <f>$F195-J195</f>
        <v/>
      </c>
      <c r="M195" s="42">
        <f>Q194</f>
        <v/>
      </c>
      <c r="N195" s="42">
        <f>ROUND(M195*N$6/12,2)</f>
        <v/>
      </c>
      <c r="O195" s="42">
        <f>MIN(O$6,M195+N195)</f>
        <v/>
      </c>
      <c r="P195" s="42">
        <f>MAX(0,MIN(M195+N195-O195,L195))</f>
        <v/>
      </c>
      <c r="Q195" s="42">
        <f>ROUND(M195+N195-O195-P195,2)</f>
        <v/>
      </c>
      <c r="R195">
        <f>L195-P195</f>
        <v/>
      </c>
      <c r="S195" s="42">
        <f>W194</f>
        <v/>
      </c>
      <c r="T195" s="42">
        <f>ROUND(S195*T$6/12,2)</f>
        <v/>
      </c>
      <c r="U195" s="42">
        <f>MIN(U$6,S195+T195)</f>
        <v/>
      </c>
      <c r="V195" s="42">
        <f>MAX(0,MIN(S195+T195-U195,R195))</f>
        <v/>
      </c>
      <c r="W195" s="42">
        <f>ROUND(S195+T195-U195-V195,2)</f>
        <v/>
      </c>
      <c r="X195">
        <f>R195-V195</f>
        <v/>
      </c>
      <c r="Y195" s="42">
        <f>AC194</f>
        <v/>
      </c>
      <c r="Z195" s="42">
        <f>ROUND(Y195*Z$6/12,2)</f>
        <v/>
      </c>
      <c r="AA195" s="42">
        <f>MIN(AA$6,Y195+Z195)</f>
        <v/>
      </c>
      <c r="AB195" s="42">
        <f>MAX(0,MIN(Y195+Z195-AA195,X195))</f>
        <v/>
      </c>
      <c r="AC195" s="42">
        <f>ROUND(Y195+Z195-AA195-AB195,2)</f>
        <v/>
      </c>
      <c r="AD195">
        <f>X195-AB195</f>
        <v/>
      </c>
      <c r="AE195" s="42">
        <f>AI194</f>
        <v/>
      </c>
      <c r="AF195" s="42">
        <f>ROUND(AE195*AF$6/12,2)</f>
        <v/>
      </c>
      <c r="AG195" s="42">
        <f>MIN(AG$6,AE195+AF195)</f>
        <v/>
      </c>
      <c r="AH195" s="42">
        <f>MAX(0,MIN(AE195+AF195-AG195,AD195))</f>
        <v/>
      </c>
      <c r="AI195" s="42">
        <f>ROUND(AE195+AF195-AG195-AH195,2)</f>
        <v/>
      </c>
      <c r="AJ195">
        <f>AD195-AH195</f>
        <v/>
      </c>
      <c r="AK195" s="42">
        <f>AO194</f>
        <v/>
      </c>
      <c r="AL195" s="42">
        <f>ROUND(AK195*AL$6/12,2)</f>
        <v/>
      </c>
      <c r="AM195" s="42">
        <f>MIN(AM$6,AK195+AL195)</f>
        <v/>
      </c>
      <c r="AN195" s="42">
        <f>MAX(0,MIN(AK195+AL195-AM195,AJ195))</f>
        <v/>
      </c>
      <c r="AO195" s="42">
        <f>ROUND(AK195+AL195-AM195-AN195,2)</f>
        <v/>
      </c>
      <c r="AP195">
        <f>AJ195-AN195</f>
        <v/>
      </c>
      <c r="AQ195" s="42">
        <f>AU194</f>
        <v/>
      </c>
      <c r="AR195" s="42">
        <f>ROUND(AQ195*AR$6/12,2)</f>
        <v/>
      </c>
      <c r="AS195" s="42">
        <f>MIN(AS$6,AQ195+AR195)</f>
        <v/>
      </c>
      <c r="AT195" s="42">
        <f>MAX(0,MIN(AQ195+AR195-AS195,AP195))</f>
        <v/>
      </c>
      <c r="AU195" s="42">
        <f>ROUND(AQ195+AR195-AS195-AT195,2)</f>
        <v/>
      </c>
      <c r="AV195">
        <f>AP195-AT195</f>
        <v/>
      </c>
      <c r="AW195" s="42">
        <f>BA194</f>
        <v/>
      </c>
      <c r="AX195" s="42">
        <f>ROUND(AW195*AX$6/12,2)</f>
        <v/>
      </c>
      <c r="AY195" s="42">
        <f>MIN(AY$6,AW195+AX195)</f>
        <v/>
      </c>
      <c r="AZ195" s="42">
        <f>MAX(0,MIN(AW195+AX195-AY195,AV195))</f>
        <v/>
      </c>
      <c r="BA195" s="42">
        <f>ROUND(AW195+AX195-AY195-AZ195,2)</f>
        <v/>
      </c>
      <c r="BB195">
        <f>AV195-AZ195</f>
        <v/>
      </c>
      <c r="BC195" s="42">
        <f>BG194</f>
        <v/>
      </c>
      <c r="BD195" s="42">
        <f>ROUND(BC195*BD$6/12,2)</f>
        <v/>
      </c>
      <c r="BE195" s="42">
        <f>MIN(BE$6,BC195+BD195)</f>
        <v/>
      </c>
      <c r="BF195" s="42">
        <f>MAX(0,MIN(BC195+BD195-BE195,BB195))</f>
        <v/>
      </c>
      <c r="BG195" s="42">
        <f>ROUND(BC195+BD195-BE195-BF195,2)</f>
        <v/>
      </c>
      <c r="BH195">
        <f>BB195-BF195</f>
        <v/>
      </c>
      <c r="BI195" s="42">
        <f>BM194</f>
        <v/>
      </c>
      <c r="BJ195" s="42">
        <f>ROUND(BI195*BJ$6/12,2)</f>
        <v/>
      </c>
      <c r="BK195" s="42">
        <f>MIN(BK$6,BI195+BJ195)</f>
        <v/>
      </c>
      <c r="BL195" s="42">
        <f>MAX(0,MIN(BI195+BJ195-BK195,BH195))</f>
        <v/>
      </c>
      <c r="BM195" s="42">
        <f>ROUND(BI195+BJ195-BK195-BL195,2)</f>
        <v/>
      </c>
      <c r="BN195">
        <f>BH195-BL195</f>
        <v/>
      </c>
    </row>
    <row r="196">
      <c r="A196" s="39" t="n">
        <v>189</v>
      </c>
      <c r="B196" s="40">
        <f>EDATE('My Debts'!$C$6,A196-1)</f>
        <v/>
      </c>
      <c r="C196" s="41">
        <f>K196+Q196+W196+AC196+AI196+AO196+AU196+BA196+BG196+BM196</f>
        <v/>
      </c>
      <c r="D196" s="42">
        <f>I196+O196+U196+AA196+AG196+AM196+AS196+AY196+BE196+BK196+J196+P196+V196+AB196+AH196+AN196+AT196+AZ196+BF196+BL196</f>
        <v/>
      </c>
      <c r="E196" s="42">
        <f>H196+N196+T196+Z196+AF196+AL196+AR196+AX196+BD196+BJ196</f>
        <v/>
      </c>
      <c r="F196">
        <f>MAX(0,'My Debts'!$E$21-(I196+O196+U196+AA196+AG196+AM196+AS196+AY196+BE196+BK196))</f>
        <v/>
      </c>
      <c r="G196" s="42">
        <f>K195</f>
        <v/>
      </c>
      <c r="H196" s="42">
        <f>ROUND(G196*H$6/12,2)</f>
        <v/>
      </c>
      <c r="I196" s="42">
        <f>MIN(I$6,G196+H196)</f>
        <v/>
      </c>
      <c r="J196" s="42">
        <f>MAX(0,MIN(G196+H196-I196,$F196))</f>
        <v/>
      </c>
      <c r="K196" s="42">
        <f>ROUND(G196+H196-I196-J196,2)</f>
        <v/>
      </c>
      <c r="L196">
        <f>$F196-J196</f>
        <v/>
      </c>
      <c r="M196" s="42">
        <f>Q195</f>
        <v/>
      </c>
      <c r="N196" s="42">
        <f>ROUND(M196*N$6/12,2)</f>
        <v/>
      </c>
      <c r="O196" s="42">
        <f>MIN(O$6,M196+N196)</f>
        <v/>
      </c>
      <c r="P196" s="42">
        <f>MAX(0,MIN(M196+N196-O196,L196))</f>
        <v/>
      </c>
      <c r="Q196" s="42">
        <f>ROUND(M196+N196-O196-P196,2)</f>
        <v/>
      </c>
      <c r="R196">
        <f>L196-P196</f>
        <v/>
      </c>
      <c r="S196" s="42">
        <f>W195</f>
        <v/>
      </c>
      <c r="T196" s="42">
        <f>ROUND(S196*T$6/12,2)</f>
        <v/>
      </c>
      <c r="U196" s="42">
        <f>MIN(U$6,S196+T196)</f>
        <v/>
      </c>
      <c r="V196" s="42">
        <f>MAX(0,MIN(S196+T196-U196,R196))</f>
        <v/>
      </c>
      <c r="W196" s="42">
        <f>ROUND(S196+T196-U196-V196,2)</f>
        <v/>
      </c>
      <c r="X196">
        <f>R196-V196</f>
        <v/>
      </c>
      <c r="Y196" s="42">
        <f>AC195</f>
        <v/>
      </c>
      <c r="Z196" s="42">
        <f>ROUND(Y196*Z$6/12,2)</f>
        <v/>
      </c>
      <c r="AA196" s="42">
        <f>MIN(AA$6,Y196+Z196)</f>
        <v/>
      </c>
      <c r="AB196" s="42">
        <f>MAX(0,MIN(Y196+Z196-AA196,X196))</f>
        <v/>
      </c>
      <c r="AC196" s="42">
        <f>ROUND(Y196+Z196-AA196-AB196,2)</f>
        <v/>
      </c>
      <c r="AD196">
        <f>X196-AB196</f>
        <v/>
      </c>
      <c r="AE196" s="42">
        <f>AI195</f>
        <v/>
      </c>
      <c r="AF196" s="42">
        <f>ROUND(AE196*AF$6/12,2)</f>
        <v/>
      </c>
      <c r="AG196" s="42">
        <f>MIN(AG$6,AE196+AF196)</f>
        <v/>
      </c>
      <c r="AH196" s="42">
        <f>MAX(0,MIN(AE196+AF196-AG196,AD196))</f>
        <v/>
      </c>
      <c r="AI196" s="42">
        <f>ROUND(AE196+AF196-AG196-AH196,2)</f>
        <v/>
      </c>
      <c r="AJ196">
        <f>AD196-AH196</f>
        <v/>
      </c>
      <c r="AK196" s="42">
        <f>AO195</f>
        <v/>
      </c>
      <c r="AL196" s="42">
        <f>ROUND(AK196*AL$6/12,2)</f>
        <v/>
      </c>
      <c r="AM196" s="42">
        <f>MIN(AM$6,AK196+AL196)</f>
        <v/>
      </c>
      <c r="AN196" s="42">
        <f>MAX(0,MIN(AK196+AL196-AM196,AJ196))</f>
        <v/>
      </c>
      <c r="AO196" s="42">
        <f>ROUND(AK196+AL196-AM196-AN196,2)</f>
        <v/>
      </c>
      <c r="AP196">
        <f>AJ196-AN196</f>
        <v/>
      </c>
      <c r="AQ196" s="42">
        <f>AU195</f>
        <v/>
      </c>
      <c r="AR196" s="42">
        <f>ROUND(AQ196*AR$6/12,2)</f>
        <v/>
      </c>
      <c r="AS196" s="42">
        <f>MIN(AS$6,AQ196+AR196)</f>
        <v/>
      </c>
      <c r="AT196" s="42">
        <f>MAX(0,MIN(AQ196+AR196-AS196,AP196))</f>
        <v/>
      </c>
      <c r="AU196" s="42">
        <f>ROUND(AQ196+AR196-AS196-AT196,2)</f>
        <v/>
      </c>
      <c r="AV196">
        <f>AP196-AT196</f>
        <v/>
      </c>
      <c r="AW196" s="42">
        <f>BA195</f>
        <v/>
      </c>
      <c r="AX196" s="42">
        <f>ROUND(AW196*AX$6/12,2)</f>
        <v/>
      </c>
      <c r="AY196" s="42">
        <f>MIN(AY$6,AW196+AX196)</f>
        <v/>
      </c>
      <c r="AZ196" s="42">
        <f>MAX(0,MIN(AW196+AX196-AY196,AV196))</f>
        <v/>
      </c>
      <c r="BA196" s="42">
        <f>ROUND(AW196+AX196-AY196-AZ196,2)</f>
        <v/>
      </c>
      <c r="BB196">
        <f>AV196-AZ196</f>
        <v/>
      </c>
      <c r="BC196" s="42">
        <f>BG195</f>
        <v/>
      </c>
      <c r="BD196" s="42">
        <f>ROUND(BC196*BD$6/12,2)</f>
        <v/>
      </c>
      <c r="BE196" s="42">
        <f>MIN(BE$6,BC196+BD196)</f>
        <v/>
      </c>
      <c r="BF196" s="42">
        <f>MAX(0,MIN(BC196+BD196-BE196,BB196))</f>
        <v/>
      </c>
      <c r="BG196" s="42">
        <f>ROUND(BC196+BD196-BE196-BF196,2)</f>
        <v/>
      </c>
      <c r="BH196">
        <f>BB196-BF196</f>
        <v/>
      </c>
      <c r="BI196" s="42">
        <f>BM195</f>
        <v/>
      </c>
      <c r="BJ196" s="42">
        <f>ROUND(BI196*BJ$6/12,2)</f>
        <v/>
      </c>
      <c r="BK196" s="42">
        <f>MIN(BK$6,BI196+BJ196)</f>
        <v/>
      </c>
      <c r="BL196" s="42">
        <f>MAX(0,MIN(BI196+BJ196-BK196,BH196))</f>
        <v/>
      </c>
      <c r="BM196" s="42">
        <f>ROUND(BI196+BJ196-BK196-BL196,2)</f>
        <v/>
      </c>
      <c r="BN196">
        <f>BH196-BL196</f>
        <v/>
      </c>
    </row>
    <row r="197">
      <c r="A197" s="43" t="n">
        <v>190</v>
      </c>
      <c r="B197" s="44">
        <f>EDATE('My Debts'!$C$6,A197-1)</f>
        <v/>
      </c>
      <c r="C197" s="45">
        <f>K197+Q197+W197+AC197+AI197+AO197+AU197+BA197+BG197+BM197</f>
        <v/>
      </c>
      <c r="D197" s="46">
        <f>I197+O197+U197+AA197+AG197+AM197+AS197+AY197+BE197+BK197+J197+P197+V197+AB197+AH197+AN197+AT197+AZ197+BF197+BL197</f>
        <v/>
      </c>
      <c r="E197" s="46">
        <f>H197+N197+T197+Z197+AF197+AL197+AR197+AX197+BD197+BJ197</f>
        <v/>
      </c>
      <c r="F197">
        <f>MAX(0,'My Debts'!$E$21-(I197+O197+U197+AA197+AG197+AM197+AS197+AY197+BE197+BK197))</f>
        <v/>
      </c>
      <c r="G197" s="42">
        <f>K196</f>
        <v/>
      </c>
      <c r="H197" s="42">
        <f>ROUND(G197*H$6/12,2)</f>
        <v/>
      </c>
      <c r="I197" s="42">
        <f>MIN(I$6,G197+H197)</f>
        <v/>
      </c>
      <c r="J197" s="42">
        <f>MAX(0,MIN(G197+H197-I197,$F197))</f>
        <v/>
      </c>
      <c r="K197" s="42">
        <f>ROUND(G197+H197-I197-J197,2)</f>
        <v/>
      </c>
      <c r="L197">
        <f>$F197-J197</f>
        <v/>
      </c>
      <c r="M197" s="42">
        <f>Q196</f>
        <v/>
      </c>
      <c r="N197" s="42">
        <f>ROUND(M197*N$6/12,2)</f>
        <v/>
      </c>
      <c r="O197" s="42">
        <f>MIN(O$6,M197+N197)</f>
        <v/>
      </c>
      <c r="P197" s="42">
        <f>MAX(0,MIN(M197+N197-O197,L197))</f>
        <v/>
      </c>
      <c r="Q197" s="42">
        <f>ROUND(M197+N197-O197-P197,2)</f>
        <v/>
      </c>
      <c r="R197">
        <f>L197-P197</f>
        <v/>
      </c>
      <c r="S197" s="42">
        <f>W196</f>
        <v/>
      </c>
      <c r="T197" s="42">
        <f>ROUND(S197*T$6/12,2)</f>
        <v/>
      </c>
      <c r="U197" s="42">
        <f>MIN(U$6,S197+T197)</f>
        <v/>
      </c>
      <c r="V197" s="42">
        <f>MAX(0,MIN(S197+T197-U197,R197))</f>
        <v/>
      </c>
      <c r="W197" s="42">
        <f>ROUND(S197+T197-U197-V197,2)</f>
        <v/>
      </c>
      <c r="X197">
        <f>R197-V197</f>
        <v/>
      </c>
      <c r="Y197" s="42">
        <f>AC196</f>
        <v/>
      </c>
      <c r="Z197" s="42">
        <f>ROUND(Y197*Z$6/12,2)</f>
        <v/>
      </c>
      <c r="AA197" s="42">
        <f>MIN(AA$6,Y197+Z197)</f>
        <v/>
      </c>
      <c r="AB197" s="42">
        <f>MAX(0,MIN(Y197+Z197-AA197,X197))</f>
        <v/>
      </c>
      <c r="AC197" s="42">
        <f>ROUND(Y197+Z197-AA197-AB197,2)</f>
        <v/>
      </c>
      <c r="AD197">
        <f>X197-AB197</f>
        <v/>
      </c>
      <c r="AE197" s="42">
        <f>AI196</f>
        <v/>
      </c>
      <c r="AF197" s="42">
        <f>ROUND(AE197*AF$6/12,2)</f>
        <v/>
      </c>
      <c r="AG197" s="42">
        <f>MIN(AG$6,AE197+AF197)</f>
        <v/>
      </c>
      <c r="AH197" s="42">
        <f>MAX(0,MIN(AE197+AF197-AG197,AD197))</f>
        <v/>
      </c>
      <c r="AI197" s="42">
        <f>ROUND(AE197+AF197-AG197-AH197,2)</f>
        <v/>
      </c>
      <c r="AJ197">
        <f>AD197-AH197</f>
        <v/>
      </c>
      <c r="AK197" s="42">
        <f>AO196</f>
        <v/>
      </c>
      <c r="AL197" s="42">
        <f>ROUND(AK197*AL$6/12,2)</f>
        <v/>
      </c>
      <c r="AM197" s="42">
        <f>MIN(AM$6,AK197+AL197)</f>
        <v/>
      </c>
      <c r="AN197" s="42">
        <f>MAX(0,MIN(AK197+AL197-AM197,AJ197))</f>
        <v/>
      </c>
      <c r="AO197" s="42">
        <f>ROUND(AK197+AL197-AM197-AN197,2)</f>
        <v/>
      </c>
      <c r="AP197">
        <f>AJ197-AN197</f>
        <v/>
      </c>
      <c r="AQ197" s="42">
        <f>AU196</f>
        <v/>
      </c>
      <c r="AR197" s="42">
        <f>ROUND(AQ197*AR$6/12,2)</f>
        <v/>
      </c>
      <c r="AS197" s="42">
        <f>MIN(AS$6,AQ197+AR197)</f>
        <v/>
      </c>
      <c r="AT197" s="42">
        <f>MAX(0,MIN(AQ197+AR197-AS197,AP197))</f>
        <v/>
      </c>
      <c r="AU197" s="42">
        <f>ROUND(AQ197+AR197-AS197-AT197,2)</f>
        <v/>
      </c>
      <c r="AV197">
        <f>AP197-AT197</f>
        <v/>
      </c>
      <c r="AW197" s="42">
        <f>BA196</f>
        <v/>
      </c>
      <c r="AX197" s="42">
        <f>ROUND(AW197*AX$6/12,2)</f>
        <v/>
      </c>
      <c r="AY197" s="42">
        <f>MIN(AY$6,AW197+AX197)</f>
        <v/>
      </c>
      <c r="AZ197" s="42">
        <f>MAX(0,MIN(AW197+AX197-AY197,AV197))</f>
        <v/>
      </c>
      <c r="BA197" s="42">
        <f>ROUND(AW197+AX197-AY197-AZ197,2)</f>
        <v/>
      </c>
      <c r="BB197">
        <f>AV197-AZ197</f>
        <v/>
      </c>
      <c r="BC197" s="42">
        <f>BG196</f>
        <v/>
      </c>
      <c r="BD197" s="42">
        <f>ROUND(BC197*BD$6/12,2)</f>
        <v/>
      </c>
      <c r="BE197" s="42">
        <f>MIN(BE$6,BC197+BD197)</f>
        <v/>
      </c>
      <c r="BF197" s="42">
        <f>MAX(0,MIN(BC197+BD197-BE197,BB197))</f>
        <v/>
      </c>
      <c r="BG197" s="42">
        <f>ROUND(BC197+BD197-BE197-BF197,2)</f>
        <v/>
      </c>
      <c r="BH197">
        <f>BB197-BF197</f>
        <v/>
      </c>
      <c r="BI197" s="42">
        <f>BM196</f>
        <v/>
      </c>
      <c r="BJ197" s="42">
        <f>ROUND(BI197*BJ$6/12,2)</f>
        <v/>
      </c>
      <c r="BK197" s="42">
        <f>MIN(BK$6,BI197+BJ197)</f>
        <v/>
      </c>
      <c r="BL197" s="42">
        <f>MAX(0,MIN(BI197+BJ197-BK197,BH197))</f>
        <v/>
      </c>
      <c r="BM197" s="42">
        <f>ROUND(BI197+BJ197-BK197-BL197,2)</f>
        <v/>
      </c>
      <c r="BN197">
        <f>BH197-BL197</f>
        <v/>
      </c>
    </row>
    <row r="198">
      <c r="A198" s="39" t="n">
        <v>191</v>
      </c>
      <c r="B198" s="40">
        <f>EDATE('My Debts'!$C$6,A198-1)</f>
        <v/>
      </c>
      <c r="C198" s="41">
        <f>K198+Q198+W198+AC198+AI198+AO198+AU198+BA198+BG198+BM198</f>
        <v/>
      </c>
      <c r="D198" s="42">
        <f>I198+O198+U198+AA198+AG198+AM198+AS198+AY198+BE198+BK198+J198+P198+V198+AB198+AH198+AN198+AT198+AZ198+BF198+BL198</f>
        <v/>
      </c>
      <c r="E198" s="42">
        <f>H198+N198+T198+Z198+AF198+AL198+AR198+AX198+BD198+BJ198</f>
        <v/>
      </c>
      <c r="F198">
        <f>MAX(0,'My Debts'!$E$21-(I198+O198+U198+AA198+AG198+AM198+AS198+AY198+BE198+BK198))</f>
        <v/>
      </c>
      <c r="G198" s="42">
        <f>K197</f>
        <v/>
      </c>
      <c r="H198" s="42">
        <f>ROUND(G198*H$6/12,2)</f>
        <v/>
      </c>
      <c r="I198" s="42">
        <f>MIN(I$6,G198+H198)</f>
        <v/>
      </c>
      <c r="J198" s="42">
        <f>MAX(0,MIN(G198+H198-I198,$F198))</f>
        <v/>
      </c>
      <c r="K198" s="42">
        <f>ROUND(G198+H198-I198-J198,2)</f>
        <v/>
      </c>
      <c r="L198">
        <f>$F198-J198</f>
        <v/>
      </c>
      <c r="M198" s="42">
        <f>Q197</f>
        <v/>
      </c>
      <c r="N198" s="42">
        <f>ROUND(M198*N$6/12,2)</f>
        <v/>
      </c>
      <c r="O198" s="42">
        <f>MIN(O$6,M198+N198)</f>
        <v/>
      </c>
      <c r="P198" s="42">
        <f>MAX(0,MIN(M198+N198-O198,L198))</f>
        <v/>
      </c>
      <c r="Q198" s="42">
        <f>ROUND(M198+N198-O198-P198,2)</f>
        <v/>
      </c>
      <c r="R198">
        <f>L198-P198</f>
        <v/>
      </c>
      <c r="S198" s="42">
        <f>W197</f>
        <v/>
      </c>
      <c r="T198" s="42">
        <f>ROUND(S198*T$6/12,2)</f>
        <v/>
      </c>
      <c r="U198" s="42">
        <f>MIN(U$6,S198+T198)</f>
        <v/>
      </c>
      <c r="V198" s="42">
        <f>MAX(0,MIN(S198+T198-U198,R198))</f>
        <v/>
      </c>
      <c r="W198" s="42">
        <f>ROUND(S198+T198-U198-V198,2)</f>
        <v/>
      </c>
      <c r="X198">
        <f>R198-V198</f>
        <v/>
      </c>
      <c r="Y198" s="42">
        <f>AC197</f>
        <v/>
      </c>
      <c r="Z198" s="42">
        <f>ROUND(Y198*Z$6/12,2)</f>
        <v/>
      </c>
      <c r="AA198" s="42">
        <f>MIN(AA$6,Y198+Z198)</f>
        <v/>
      </c>
      <c r="AB198" s="42">
        <f>MAX(0,MIN(Y198+Z198-AA198,X198))</f>
        <v/>
      </c>
      <c r="AC198" s="42">
        <f>ROUND(Y198+Z198-AA198-AB198,2)</f>
        <v/>
      </c>
      <c r="AD198">
        <f>X198-AB198</f>
        <v/>
      </c>
      <c r="AE198" s="42">
        <f>AI197</f>
        <v/>
      </c>
      <c r="AF198" s="42">
        <f>ROUND(AE198*AF$6/12,2)</f>
        <v/>
      </c>
      <c r="AG198" s="42">
        <f>MIN(AG$6,AE198+AF198)</f>
        <v/>
      </c>
      <c r="AH198" s="42">
        <f>MAX(0,MIN(AE198+AF198-AG198,AD198))</f>
        <v/>
      </c>
      <c r="AI198" s="42">
        <f>ROUND(AE198+AF198-AG198-AH198,2)</f>
        <v/>
      </c>
      <c r="AJ198">
        <f>AD198-AH198</f>
        <v/>
      </c>
      <c r="AK198" s="42">
        <f>AO197</f>
        <v/>
      </c>
      <c r="AL198" s="42">
        <f>ROUND(AK198*AL$6/12,2)</f>
        <v/>
      </c>
      <c r="AM198" s="42">
        <f>MIN(AM$6,AK198+AL198)</f>
        <v/>
      </c>
      <c r="AN198" s="42">
        <f>MAX(0,MIN(AK198+AL198-AM198,AJ198))</f>
        <v/>
      </c>
      <c r="AO198" s="42">
        <f>ROUND(AK198+AL198-AM198-AN198,2)</f>
        <v/>
      </c>
      <c r="AP198">
        <f>AJ198-AN198</f>
        <v/>
      </c>
      <c r="AQ198" s="42">
        <f>AU197</f>
        <v/>
      </c>
      <c r="AR198" s="42">
        <f>ROUND(AQ198*AR$6/12,2)</f>
        <v/>
      </c>
      <c r="AS198" s="42">
        <f>MIN(AS$6,AQ198+AR198)</f>
        <v/>
      </c>
      <c r="AT198" s="42">
        <f>MAX(0,MIN(AQ198+AR198-AS198,AP198))</f>
        <v/>
      </c>
      <c r="AU198" s="42">
        <f>ROUND(AQ198+AR198-AS198-AT198,2)</f>
        <v/>
      </c>
      <c r="AV198">
        <f>AP198-AT198</f>
        <v/>
      </c>
      <c r="AW198" s="42">
        <f>BA197</f>
        <v/>
      </c>
      <c r="AX198" s="42">
        <f>ROUND(AW198*AX$6/12,2)</f>
        <v/>
      </c>
      <c r="AY198" s="42">
        <f>MIN(AY$6,AW198+AX198)</f>
        <v/>
      </c>
      <c r="AZ198" s="42">
        <f>MAX(0,MIN(AW198+AX198-AY198,AV198))</f>
        <v/>
      </c>
      <c r="BA198" s="42">
        <f>ROUND(AW198+AX198-AY198-AZ198,2)</f>
        <v/>
      </c>
      <c r="BB198">
        <f>AV198-AZ198</f>
        <v/>
      </c>
      <c r="BC198" s="42">
        <f>BG197</f>
        <v/>
      </c>
      <c r="BD198" s="42">
        <f>ROUND(BC198*BD$6/12,2)</f>
        <v/>
      </c>
      <c r="BE198" s="42">
        <f>MIN(BE$6,BC198+BD198)</f>
        <v/>
      </c>
      <c r="BF198" s="42">
        <f>MAX(0,MIN(BC198+BD198-BE198,BB198))</f>
        <v/>
      </c>
      <c r="BG198" s="42">
        <f>ROUND(BC198+BD198-BE198-BF198,2)</f>
        <v/>
      </c>
      <c r="BH198">
        <f>BB198-BF198</f>
        <v/>
      </c>
      <c r="BI198" s="42">
        <f>BM197</f>
        <v/>
      </c>
      <c r="BJ198" s="42">
        <f>ROUND(BI198*BJ$6/12,2)</f>
        <v/>
      </c>
      <c r="BK198" s="42">
        <f>MIN(BK$6,BI198+BJ198)</f>
        <v/>
      </c>
      <c r="BL198" s="42">
        <f>MAX(0,MIN(BI198+BJ198-BK198,BH198))</f>
        <v/>
      </c>
      <c r="BM198" s="42">
        <f>ROUND(BI198+BJ198-BK198-BL198,2)</f>
        <v/>
      </c>
      <c r="BN198">
        <f>BH198-BL198</f>
        <v/>
      </c>
    </row>
    <row r="199">
      <c r="A199" s="43" t="n">
        <v>192</v>
      </c>
      <c r="B199" s="44">
        <f>EDATE('My Debts'!$C$6,A199-1)</f>
        <v/>
      </c>
      <c r="C199" s="45">
        <f>K199+Q199+W199+AC199+AI199+AO199+AU199+BA199+BG199+BM199</f>
        <v/>
      </c>
      <c r="D199" s="46">
        <f>I199+O199+U199+AA199+AG199+AM199+AS199+AY199+BE199+BK199+J199+P199+V199+AB199+AH199+AN199+AT199+AZ199+BF199+BL199</f>
        <v/>
      </c>
      <c r="E199" s="46">
        <f>H199+N199+T199+Z199+AF199+AL199+AR199+AX199+BD199+BJ199</f>
        <v/>
      </c>
      <c r="F199">
        <f>MAX(0,'My Debts'!$E$21-(I199+O199+U199+AA199+AG199+AM199+AS199+AY199+BE199+BK199))</f>
        <v/>
      </c>
      <c r="G199" s="42">
        <f>K198</f>
        <v/>
      </c>
      <c r="H199" s="42">
        <f>ROUND(G199*H$6/12,2)</f>
        <v/>
      </c>
      <c r="I199" s="42">
        <f>MIN(I$6,G199+H199)</f>
        <v/>
      </c>
      <c r="J199" s="42">
        <f>MAX(0,MIN(G199+H199-I199,$F199))</f>
        <v/>
      </c>
      <c r="K199" s="42">
        <f>ROUND(G199+H199-I199-J199,2)</f>
        <v/>
      </c>
      <c r="L199">
        <f>$F199-J199</f>
        <v/>
      </c>
      <c r="M199" s="42">
        <f>Q198</f>
        <v/>
      </c>
      <c r="N199" s="42">
        <f>ROUND(M199*N$6/12,2)</f>
        <v/>
      </c>
      <c r="O199" s="42">
        <f>MIN(O$6,M199+N199)</f>
        <v/>
      </c>
      <c r="P199" s="42">
        <f>MAX(0,MIN(M199+N199-O199,L199))</f>
        <v/>
      </c>
      <c r="Q199" s="42">
        <f>ROUND(M199+N199-O199-P199,2)</f>
        <v/>
      </c>
      <c r="R199">
        <f>L199-P199</f>
        <v/>
      </c>
      <c r="S199" s="42">
        <f>W198</f>
        <v/>
      </c>
      <c r="T199" s="42">
        <f>ROUND(S199*T$6/12,2)</f>
        <v/>
      </c>
      <c r="U199" s="42">
        <f>MIN(U$6,S199+T199)</f>
        <v/>
      </c>
      <c r="V199" s="42">
        <f>MAX(0,MIN(S199+T199-U199,R199))</f>
        <v/>
      </c>
      <c r="W199" s="42">
        <f>ROUND(S199+T199-U199-V199,2)</f>
        <v/>
      </c>
      <c r="X199">
        <f>R199-V199</f>
        <v/>
      </c>
      <c r="Y199" s="42">
        <f>AC198</f>
        <v/>
      </c>
      <c r="Z199" s="42">
        <f>ROUND(Y199*Z$6/12,2)</f>
        <v/>
      </c>
      <c r="AA199" s="42">
        <f>MIN(AA$6,Y199+Z199)</f>
        <v/>
      </c>
      <c r="AB199" s="42">
        <f>MAX(0,MIN(Y199+Z199-AA199,X199))</f>
        <v/>
      </c>
      <c r="AC199" s="42">
        <f>ROUND(Y199+Z199-AA199-AB199,2)</f>
        <v/>
      </c>
      <c r="AD199">
        <f>X199-AB199</f>
        <v/>
      </c>
      <c r="AE199" s="42">
        <f>AI198</f>
        <v/>
      </c>
      <c r="AF199" s="42">
        <f>ROUND(AE199*AF$6/12,2)</f>
        <v/>
      </c>
      <c r="AG199" s="42">
        <f>MIN(AG$6,AE199+AF199)</f>
        <v/>
      </c>
      <c r="AH199" s="42">
        <f>MAX(0,MIN(AE199+AF199-AG199,AD199))</f>
        <v/>
      </c>
      <c r="AI199" s="42">
        <f>ROUND(AE199+AF199-AG199-AH199,2)</f>
        <v/>
      </c>
      <c r="AJ199">
        <f>AD199-AH199</f>
        <v/>
      </c>
      <c r="AK199" s="42">
        <f>AO198</f>
        <v/>
      </c>
      <c r="AL199" s="42">
        <f>ROUND(AK199*AL$6/12,2)</f>
        <v/>
      </c>
      <c r="AM199" s="42">
        <f>MIN(AM$6,AK199+AL199)</f>
        <v/>
      </c>
      <c r="AN199" s="42">
        <f>MAX(0,MIN(AK199+AL199-AM199,AJ199))</f>
        <v/>
      </c>
      <c r="AO199" s="42">
        <f>ROUND(AK199+AL199-AM199-AN199,2)</f>
        <v/>
      </c>
      <c r="AP199">
        <f>AJ199-AN199</f>
        <v/>
      </c>
      <c r="AQ199" s="42">
        <f>AU198</f>
        <v/>
      </c>
      <c r="AR199" s="42">
        <f>ROUND(AQ199*AR$6/12,2)</f>
        <v/>
      </c>
      <c r="AS199" s="42">
        <f>MIN(AS$6,AQ199+AR199)</f>
        <v/>
      </c>
      <c r="AT199" s="42">
        <f>MAX(0,MIN(AQ199+AR199-AS199,AP199))</f>
        <v/>
      </c>
      <c r="AU199" s="42">
        <f>ROUND(AQ199+AR199-AS199-AT199,2)</f>
        <v/>
      </c>
      <c r="AV199">
        <f>AP199-AT199</f>
        <v/>
      </c>
      <c r="AW199" s="42">
        <f>BA198</f>
        <v/>
      </c>
      <c r="AX199" s="42">
        <f>ROUND(AW199*AX$6/12,2)</f>
        <v/>
      </c>
      <c r="AY199" s="42">
        <f>MIN(AY$6,AW199+AX199)</f>
        <v/>
      </c>
      <c r="AZ199" s="42">
        <f>MAX(0,MIN(AW199+AX199-AY199,AV199))</f>
        <v/>
      </c>
      <c r="BA199" s="42">
        <f>ROUND(AW199+AX199-AY199-AZ199,2)</f>
        <v/>
      </c>
      <c r="BB199">
        <f>AV199-AZ199</f>
        <v/>
      </c>
      <c r="BC199" s="42">
        <f>BG198</f>
        <v/>
      </c>
      <c r="BD199" s="42">
        <f>ROUND(BC199*BD$6/12,2)</f>
        <v/>
      </c>
      <c r="BE199" s="42">
        <f>MIN(BE$6,BC199+BD199)</f>
        <v/>
      </c>
      <c r="BF199" s="42">
        <f>MAX(0,MIN(BC199+BD199-BE199,BB199))</f>
        <v/>
      </c>
      <c r="BG199" s="42">
        <f>ROUND(BC199+BD199-BE199-BF199,2)</f>
        <v/>
      </c>
      <c r="BH199">
        <f>BB199-BF199</f>
        <v/>
      </c>
      <c r="BI199" s="42">
        <f>BM198</f>
        <v/>
      </c>
      <c r="BJ199" s="42">
        <f>ROUND(BI199*BJ$6/12,2)</f>
        <v/>
      </c>
      <c r="BK199" s="42">
        <f>MIN(BK$6,BI199+BJ199)</f>
        <v/>
      </c>
      <c r="BL199" s="42">
        <f>MAX(0,MIN(BI199+BJ199-BK199,BH199))</f>
        <v/>
      </c>
      <c r="BM199" s="42">
        <f>ROUND(BI199+BJ199-BK199-BL199,2)</f>
        <v/>
      </c>
      <c r="BN199">
        <f>BH199-BL199</f>
        <v/>
      </c>
    </row>
    <row r="200">
      <c r="A200" s="39" t="n">
        <v>193</v>
      </c>
      <c r="B200" s="40">
        <f>EDATE('My Debts'!$C$6,A200-1)</f>
        <v/>
      </c>
      <c r="C200" s="41">
        <f>K200+Q200+W200+AC200+AI200+AO200+AU200+BA200+BG200+BM200</f>
        <v/>
      </c>
      <c r="D200" s="42">
        <f>I200+O200+U200+AA200+AG200+AM200+AS200+AY200+BE200+BK200+J200+P200+V200+AB200+AH200+AN200+AT200+AZ200+BF200+BL200</f>
        <v/>
      </c>
      <c r="E200" s="42">
        <f>H200+N200+T200+Z200+AF200+AL200+AR200+AX200+BD200+BJ200</f>
        <v/>
      </c>
      <c r="F200">
        <f>MAX(0,'My Debts'!$E$21-(I200+O200+U200+AA200+AG200+AM200+AS200+AY200+BE200+BK200))</f>
        <v/>
      </c>
      <c r="G200" s="42">
        <f>K199</f>
        <v/>
      </c>
      <c r="H200" s="42">
        <f>ROUND(G200*H$6/12,2)</f>
        <v/>
      </c>
      <c r="I200" s="42">
        <f>MIN(I$6,G200+H200)</f>
        <v/>
      </c>
      <c r="J200" s="42">
        <f>MAX(0,MIN(G200+H200-I200,$F200))</f>
        <v/>
      </c>
      <c r="K200" s="42">
        <f>ROUND(G200+H200-I200-J200,2)</f>
        <v/>
      </c>
      <c r="L200">
        <f>$F200-J200</f>
        <v/>
      </c>
      <c r="M200" s="42">
        <f>Q199</f>
        <v/>
      </c>
      <c r="N200" s="42">
        <f>ROUND(M200*N$6/12,2)</f>
        <v/>
      </c>
      <c r="O200" s="42">
        <f>MIN(O$6,M200+N200)</f>
        <v/>
      </c>
      <c r="P200" s="42">
        <f>MAX(0,MIN(M200+N200-O200,L200))</f>
        <v/>
      </c>
      <c r="Q200" s="42">
        <f>ROUND(M200+N200-O200-P200,2)</f>
        <v/>
      </c>
      <c r="R200">
        <f>L200-P200</f>
        <v/>
      </c>
      <c r="S200" s="42">
        <f>W199</f>
        <v/>
      </c>
      <c r="T200" s="42">
        <f>ROUND(S200*T$6/12,2)</f>
        <v/>
      </c>
      <c r="U200" s="42">
        <f>MIN(U$6,S200+T200)</f>
        <v/>
      </c>
      <c r="V200" s="42">
        <f>MAX(0,MIN(S200+T200-U200,R200))</f>
        <v/>
      </c>
      <c r="W200" s="42">
        <f>ROUND(S200+T200-U200-V200,2)</f>
        <v/>
      </c>
      <c r="X200">
        <f>R200-V200</f>
        <v/>
      </c>
      <c r="Y200" s="42">
        <f>AC199</f>
        <v/>
      </c>
      <c r="Z200" s="42">
        <f>ROUND(Y200*Z$6/12,2)</f>
        <v/>
      </c>
      <c r="AA200" s="42">
        <f>MIN(AA$6,Y200+Z200)</f>
        <v/>
      </c>
      <c r="AB200" s="42">
        <f>MAX(0,MIN(Y200+Z200-AA200,X200))</f>
        <v/>
      </c>
      <c r="AC200" s="42">
        <f>ROUND(Y200+Z200-AA200-AB200,2)</f>
        <v/>
      </c>
      <c r="AD200">
        <f>X200-AB200</f>
        <v/>
      </c>
      <c r="AE200" s="42">
        <f>AI199</f>
        <v/>
      </c>
      <c r="AF200" s="42">
        <f>ROUND(AE200*AF$6/12,2)</f>
        <v/>
      </c>
      <c r="AG200" s="42">
        <f>MIN(AG$6,AE200+AF200)</f>
        <v/>
      </c>
      <c r="AH200" s="42">
        <f>MAX(0,MIN(AE200+AF200-AG200,AD200))</f>
        <v/>
      </c>
      <c r="AI200" s="42">
        <f>ROUND(AE200+AF200-AG200-AH200,2)</f>
        <v/>
      </c>
      <c r="AJ200">
        <f>AD200-AH200</f>
        <v/>
      </c>
      <c r="AK200" s="42">
        <f>AO199</f>
        <v/>
      </c>
      <c r="AL200" s="42">
        <f>ROUND(AK200*AL$6/12,2)</f>
        <v/>
      </c>
      <c r="AM200" s="42">
        <f>MIN(AM$6,AK200+AL200)</f>
        <v/>
      </c>
      <c r="AN200" s="42">
        <f>MAX(0,MIN(AK200+AL200-AM200,AJ200))</f>
        <v/>
      </c>
      <c r="AO200" s="42">
        <f>ROUND(AK200+AL200-AM200-AN200,2)</f>
        <v/>
      </c>
      <c r="AP200">
        <f>AJ200-AN200</f>
        <v/>
      </c>
      <c r="AQ200" s="42">
        <f>AU199</f>
        <v/>
      </c>
      <c r="AR200" s="42">
        <f>ROUND(AQ200*AR$6/12,2)</f>
        <v/>
      </c>
      <c r="AS200" s="42">
        <f>MIN(AS$6,AQ200+AR200)</f>
        <v/>
      </c>
      <c r="AT200" s="42">
        <f>MAX(0,MIN(AQ200+AR200-AS200,AP200))</f>
        <v/>
      </c>
      <c r="AU200" s="42">
        <f>ROUND(AQ200+AR200-AS200-AT200,2)</f>
        <v/>
      </c>
      <c r="AV200">
        <f>AP200-AT200</f>
        <v/>
      </c>
      <c r="AW200" s="42">
        <f>BA199</f>
        <v/>
      </c>
      <c r="AX200" s="42">
        <f>ROUND(AW200*AX$6/12,2)</f>
        <v/>
      </c>
      <c r="AY200" s="42">
        <f>MIN(AY$6,AW200+AX200)</f>
        <v/>
      </c>
      <c r="AZ200" s="42">
        <f>MAX(0,MIN(AW200+AX200-AY200,AV200))</f>
        <v/>
      </c>
      <c r="BA200" s="42">
        <f>ROUND(AW200+AX200-AY200-AZ200,2)</f>
        <v/>
      </c>
      <c r="BB200">
        <f>AV200-AZ200</f>
        <v/>
      </c>
      <c r="BC200" s="42">
        <f>BG199</f>
        <v/>
      </c>
      <c r="BD200" s="42">
        <f>ROUND(BC200*BD$6/12,2)</f>
        <v/>
      </c>
      <c r="BE200" s="42">
        <f>MIN(BE$6,BC200+BD200)</f>
        <v/>
      </c>
      <c r="BF200" s="42">
        <f>MAX(0,MIN(BC200+BD200-BE200,BB200))</f>
        <v/>
      </c>
      <c r="BG200" s="42">
        <f>ROUND(BC200+BD200-BE200-BF200,2)</f>
        <v/>
      </c>
      <c r="BH200">
        <f>BB200-BF200</f>
        <v/>
      </c>
      <c r="BI200" s="42">
        <f>BM199</f>
        <v/>
      </c>
      <c r="BJ200" s="42">
        <f>ROUND(BI200*BJ$6/12,2)</f>
        <v/>
      </c>
      <c r="BK200" s="42">
        <f>MIN(BK$6,BI200+BJ200)</f>
        <v/>
      </c>
      <c r="BL200" s="42">
        <f>MAX(0,MIN(BI200+BJ200-BK200,BH200))</f>
        <v/>
      </c>
      <c r="BM200" s="42">
        <f>ROUND(BI200+BJ200-BK200-BL200,2)</f>
        <v/>
      </c>
      <c r="BN200">
        <f>BH200-BL200</f>
        <v/>
      </c>
    </row>
    <row r="201">
      <c r="A201" s="43" t="n">
        <v>194</v>
      </c>
      <c r="B201" s="44">
        <f>EDATE('My Debts'!$C$6,A201-1)</f>
        <v/>
      </c>
      <c r="C201" s="45">
        <f>K201+Q201+W201+AC201+AI201+AO201+AU201+BA201+BG201+BM201</f>
        <v/>
      </c>
      <c r="D201" s="46">
        <f>I201+O201+U201+AA201+AG201+AM201+AS201+AY201+BE201+BK201+J201+P201+V201+AB201+AH201+AN201+AT201+AZ201+BF201+BL201</f>
        <v/>
      </c>
      <c r="E201" s="46">
        <f>H201+N201+T201+Z201+AF201+AL201+AR201+AX201+BD201+BJ201</f>
        <v/>
      </c>
      <c r="F201">
        <f>MAX(0,'My Debts'!$E$21-(I201+O201+U201+AA201+AG201+AM201+AS201+AY201+BE201+BK201))</f>
        <v/>
      </c>
      <c r="G201" s="42">
        <f>K200</f>
        <v/>
      </c>
      <c r="H201" s="42">
        <f>ROUND(G201*H$6/12,2)</f>
        <v/>
      </c>
      <c r="I201" s="42">
        <f>MIN(I$6,G201+H201)</f>
        <v/>
      </c>
      <c r="J201" s="42">
        <f>MAX(0,MIN(G201+H201-I201,$F201))</f>
        <v/>
      </c>
      <c r="K201" s="42">
        <f>ROUND(G201+H201-I201-J201,2)</f>
        <v/>
      </c>
      <c r="L201">
        <f>$F201-J201</f>
        <v/>
      </c>
      <c r="M201" s="42">
        <f>Q200</f>
        <v/>
      </c>
      <c r="N201" s="42">
        <f>ROUND(M201*N$6/12,2)</f>
        <v/>
      </c>
      <c r="O201" s="42">
        <f>MIN(O$6,M201+N201)</f>
        <v/>
      </c>
      <c r="P201" s="42">
        <f>MAX(0,MIN(M201+N201-O201,L201))</f>
        <v/>
      </c>
      <c r="Q201" s="42">
        <f>ROUND(M201+N201-O201-P201,2)</f>
        <v/>
      </c>
      <c r="R201">
        <f>L201-P201</f>
        <v/>
      </c>
      <c r="S201" s="42">
        <f>W200</f>
        <v/>
      </c>
      <c r="T201" s="42">
        <f>ROUND(S201*T$6/12,2)</f>
        <v/>
      </c>
      <c r="U201" s="42">
        <f>MIN(U$6,S201+T201)</f>
        <v/>
      </c>
      <c r="V201" s="42">
        <f>MAX(0,MIN(S201+T201-U201,R201))</f>
        <v/>
      </c>
      <c r="W201" s="42">
        <f>ROUND(S201+T201-U201-V201,2)</f>
        <v/>
      </c>
      <c r="X201">
        <f>R201-V201</f>
        <v/>
      </c>
      <c r="Y201" s="42">
        <f>AC200</f>
        <v/>
      </c>
      <c r="Z201" s="42">
        <f>ROUND(Y201*Z$6/12,2)</f>
        <v/>
      </c>
      <c r="AA201" s="42">
        <f>MIN(AA$6,Y201+Z201)</f>
        <v/>
      </c>
      <c r="AB201" s="42">
        <f>MAX(0,MIN(Y201+Z201-AA201,X201))</f>
        <v/>
      </c>
      <c r="AC201" s="42">
        <f>ROUND(Y201+Z201-AA201-AB201,2)</f>
        <v/>
      </c>
      <c r="AD201">
        <f>X201-AB201</f>
        <v/>
      </c>
      <c r="AE201" s="42">
        <f>AI200</f>
        <v/>
      </c>
      <c r="AF201" s="42">
        <f>ROUND(AE201*AF$6/12,2)</f>
        <v/>
      </c>
      <c r="AG201" s="42">
        <f>MIN(AG$6,AE201+AF201)</f>
        <v/>
      </c>
      <c r="AH201" s="42">
        <f>MAX(0,MIN(AE201+AF201-AG201,AD201))</f>
        <v/>
      </c>
      <c r="AI201" s="42">
        <f>ROUND(AE201+AF201-AG201-AH201,2)</f>
        <v/>
      </c>
      <c r="AJ201">
        <f>AD201-AH201</f>
        <v/>
      </c>
      <c r="AK201" s="42">
        <f>AO200</f>
        <v/>
      </c>
      <c r="AL201" s="42">
        <f>ROUND(AK201*AL$6/12,2)</f>
        <v/>
      </c>
      <c r="AM201" s="42">
        <f>MIN(AM$6,AK201+AL201)</f>
        <v/>
      </c>
      <c r="AN201" s="42">
        <f>MAX(0,MIN(AK201+AL201-AM201,AJ201))</f>
        <v/>
      </c>
      <c r="AO201" s="42">
        <f>ROUND(AK201+AL201-AM201-AN201,2)</f>
        <v/>
      </c>
      <c r="AP201">
        <f>AJ201-AN201</f>
        <v/>
      </c>
      <c r="AQ201" s="42">
        <f>AU200</f>
        <v/>
      </c>
      <c r="AR201" s="42">
        <f>ROUND(AQ201*AR$6/12,2)</f>
        <v/>
      </c>
      <c r="AS201" s="42">
        <f>MIN(AS$6,AQ201+AR201)</f>
        <v/>
      </c>
      <c r="AT201" s="42">
        <f>MAX(0,MIN(AQ201+AR201-AS201,AP201))</f>
        <v/>
      </c>
      <c r="AU201" s="42">
        <f>ROUND(AQ201+AR201-AS201-AT201,2)</f>
        <v/>
      </c>
      <c r="AV201">
        <f>AP201-AT201</f>
        <v/>
      </c>
      <c r="AW201" s="42">
        <f>BA200</f>
        <v/>
      </c>
      <c r="AX201" s="42">
        <f>ROUND(AW201*AX$6/12,2)</f>
        <v/>
      </c>
      <c r="AY201" s="42">
        <f>MIN(AY$6,AW201+AX201)</f>
        <v/>
      </c>
      <c r="AZ201" s="42">
        <f>MAX(0,MIN(AW201+AX201-AY201,AV201))</f>
        <v/>
      </c>
      <c r="BA201" s="42">
        <f>ROUND(AW201+AX201-AY201-AZ201,2)</f>
        <v/>
      </c>
      <c r="BB201">
        <f>AV201-AZ201</f>
        <v/>
      </c>
      <c r="BC201" s="42">
        <f>BG200</f>
        <v/>
      </c>
      <c r="BD201" s="42">
        <f>ROUND(BC201*BD$6/12,2)</f>
        <v/>
      </c>
      <c r="BE201" s="42">
        <f>MIN(BE$6,BC201+BD201)</f>
        <v/>
      </c>
      <c r="BF201" s="42">
        <f>MAX(0,MIN(BC201+BD201-BE201,BB201))</f>
        <v/>
      </c>
      <c r="BG201" s="42">
        <f>ROUND(BC201+BD201-BE201-BF201,2)</f>
        <v/>
      </c>
      <c r="BH201">
        <f>BB201-BF201</f>
        <v/>
      </c>
      <c r="BI201" s="42">
        <f>BM200</f>
        <v/>
      </c>
      <c r="BJ201" s="42">
        <f>ROUND(BI201*BJ$6/12,2)</f>
        <v/>
      </c>
      <c r="BK201" s="42">
        <f>MIN(BK$6,BI201+BJ201)</f>
        <v/>
      </c>
      <c r="BL201" s="42">
        <f>MAX(0,MIN(BI201+BJ201-BK201,BH201))</f>
        <v/>
      </c>
      <c r="BM201" s="42">
        <f>ROUND(BI201+BJ201-BK201-BL201,2)</f>
        <v/>
      </c>
      <c r="BN201">
        <f>BH201-BL201</f>
        <v/>
      </c>
    </row>
    <row r="202">
      <c r="A202" s="39" t="n">
        <v>195</v>
      </c>
      <c r="B202" s="40">
        <f>EDATE('My Debts'!$C$6,A202-1)</f>
        <v/>
      </c>
      <c r="C202" s="41">
        <f>K202+Q202+W202+AC202+AI202+AO202+AU202+BA202+BG202+BM202</f>
        <v/>
      </c>
      <c r="D202" s="42">
        <f>I202+O202+U202+AA202+AG202+AM202+AS202+AY202+BE202+BK202+J202+P202+V202+AB202+AH202+AN202+AT202+AZ202+BF202+BL202</f>
        <v/>
      </c>
      <c r="E202" s="42">
        <f>H202+N202+T202+Z202+AF202+AL202+AR202+AX202+BD202+BJ202</f>
        <v/>
      </c>
      <c r="F202">
        <f>MAX(0,'My Debts'!$E$21-(I202+O202+U202+AA202+AG202+AM202+AS202+AY202+BE202+BK202))</f>
        <v/>
      </c>
      <c r="G202" s="42">
        <f>K201</f>
        <v/>
      </c>
      <c r="H202" s="42">
        <f>ROUND(G202*H$6/12,2)</f>
        <v/>
      </c>
      <c r="I202" s="42">
        <f>MIN(I$6,G202+H202)</f>
        <v/>
      </c>
      <c r="J202" s="42">
        <f>MAX(0,MIN(G202+H202-I202,$F202))</f>
        <v/>
      </c>
      <c r="K202" s="42">
        <f>ROUND(G202+H202-I202-J202,2)</f>
        <v/>
      </c>
      <c r="L202">
        <f>$F202-J202</f>
        <v/>
      </c>
      <c r="M202" s="42">
        <f>Q201</f>
        <v/>
      </c>
      <c r="N202" s="42">
        <f>ROUND(M202*N$6/12,2)</f>
        <v/>
      </c>
      <c r="O202" s="42">
        <f>MIN(O$6,M202+N202)</f>
        <v/>
      </c>
      <c r="P202" s="42">
        <f>MAX(0,MIN(M202+N202-O202,L202))</f>
        <v/>
      </c>
      <c r="Q202" s="42">
        <f>ROUND(M202+N202-O202-P202,2)</f>
        <v/>
      </c>
      <c r="R202">
        <f>L202-P202</f>
        <v/>
      </c>
      <c r="S202" s="42">
        <f>W201</f>
        <v/>
      </c>
      <c r="T202" s="42">
        <f>ROUND(S202*T$6/12,2)</f>
        <v/>
      </c>
      <c r="U202" s="42">
        <f>MIN(U$6,S202+T202)</f>
        <v/>
      </c>
      <c r="V202" s="42">
        <f>MAX(0,MIN(S202+T202-U202,R202))</f>
        <v/>
      </c>
      <c r="W202" s="42">
        <f>ROUND(S202+T202-U202-V202,2)</f>
        <v/>
      </c>
      <c r="X202">
        <f>R202-V202</f>
        <v/>
      </c>
      <c r="Y202" s="42">
        <f>AC201</f>
        <v/>
      </c>
      <c r="Z202" s="42">
        <f>ROUND(Y202*Z$6/12,2)</f>
        <v/>
      </c>
      <c r="AA202" s="42">
        <f>MIN(AA$6,Y202+Z202)</f>
        <v/>
      </c>
      <c r="AB202" s="42">
        <f>MAX(0,MIN(Y202+Z202-AA202,X202))</f>
        <v/>
      </c>
      <c r="AC202" s="42">
        <f>ROUND(Y202+Z202-AA202-AB202,2)</f>
        <v/>
      </c>
      <c r="AD202">
        <f>X202-AB202</f>
        <v/>
      </c>
      <c r="AE202" s="42">
        <f>AI201</f>
        <v/>
      </c>
      <c r="AF202" s="42">
        <f>ROUND(AE202*AF$6/12,2)</f>
        <v/>
      </c>
      <c r="AG202" s="42">
        <f>MIN(AG$6,AE202+AF202)</f>
        <v/>
      </c>
      <c r="AH202" s="42">
        <f>MAX(0,MIN(AE202+AF202-AG202,AD202))</f>
        <v/>
      </c>
      <c r="AI202" s="42">
        <f>ROUND(AE202+AF202-AG202-AH202,2)</f>
        <v/>
      </c>
      <c r="AJ202">
        <f>AD202-AH202</f>
        <v/>
      </c>
      <c r="AK202" s="42">
        <f>AO201</f>
        <v/>
      </c>
      <c r="AL202" s="42">
        <f>ROUND(AK202*AL$6/12,2)</f>
        <v/>
      </c>
      <c r="AM202" s="42">
        <f>MIN(AM$6,AK202+AL202)</f>
        <v/>
      </c>
      <c r="AN202" s="42">
        <f>MAX(0,MIN(AK202+AL202-AM202,AJ202))</f>
        <v/>
      </c>
      <c r="AO202" s="42">
        <f>ROUND(AK202+AL202-AM202-AN202,2)</f>
        <v/>
      </c>
      <c r="AP202">
        <f>AJ202-AN202</f>
        <v/>
      </c>
      <c r="AQ202" s="42">
        <f>AU201</f>
        <v/>
      </c>
      <c r="AR202" s="42">
        <f>ROUND(AQ202*AR$6/12,2)</f>
        <v/>
      </c>
      <c r="AS202" s="42">
        <f>MIN(AS$6,AQ202+AR202)</f>
        <v/>
      </c>
      <c r="AT202" s="42">
        <f>MAX(0,MIN(AQ202+AR202-AS202,AP202))</f>
        <v/>
      </c>
      <c r="AU202" s="42">
        <f>ROUND(AQ202+AR202-AS202-AT202,2)</f>
        <v/>
      </c>
      <c r="AV202">
        <f>AP202-AT202</f>
        <v/>
      </c>
      <c r="AW202" s="42">
        <f>BA201</f>
        <v/>
      </c>
      <c r="AX202" s="42">
        <f>ROUND(AW202*AX$6/12,2)</f>
        <v/>
      </c>
      <c r="AY202" s="42">
        <f>MIN(AY$6,AW202+AX202)</f>
        <v/>
      </c>
      <c r="AZ202" s="42">
        <f>MAX(0,MIN(AW202+AX202-AY202,AV202))</f>
        <v/>
      </c>
      <c r="BA202" s="42">
        <f>ROUND(AW202+AX202-AY202-AZ202,2)</f>
        <v/>
      </c>
      <c r="BB202">
        <f>AV202-AZ202</f>
        <v/>
      </c>
      <c r="BC202" s="42">
        <f>BG201</f>
        <v/>
      </c>
      <c r="BD202" s="42">
        <f>ROUND(BC202*BD$6/12,2)</f>
        <v/>
      </c>
      <c r="BE202" s="42">
        <f>MIN(BE$6,BC202+BD202)</f>
        <v/>
      </c>
      <c r="BF202" s="42">
        <f>MAX(0,MIN(BC202+BD202-BE202,BB202))</f>
        <v/>
      </c>
      <c r="BG202" s="42">
        <f>ROUND(BC202+BD202-BE202-BF202,2)</f>
        <v/>
      </c>
      <c r="BH202">
        <f>BB202-BF202</f>
        <v/>
      </c>
      <c r="BI202" s="42">
        <f>BM201</f>
        <v/>
      </c>
      <c r="BJ202" s="42">
        <f>ROUND(BI202*BJ$6/12,2)</f>
        <v/>
      </c>
      <c r="BK202" s="42">
        <f>MIN(BK$6,BI202+BJ202)</f>
        <v/>
      </c>
      <c r="BL202" s="42">
        <f>MAX(0,MIN(BI202+BJ202-BK202,BH202))</f>
        <v/>
      </c>
      <c r="BM202" s="42">
        <f>ROUND(BI202+BJ202-BK202-BL202,2)</f>
        <v/>
      </c>
      <c r="BN202">
        <f>BH202-BL202</f>
        <v/>
      </c>
    </row>
    <row r="203">
      <c r="A203" s="43" t="n">
        <v>196</v>
      </c>
      <c r="B203" s="44">
        <f>EDATE('My Debts'!$C$6,A203-1)</f>
        <v/>
      </c>
      <c r="C203" s="45">
        <f>K203+Q203+W203+AC203+AI203+AO203+AU203+BA203+BG203+BM203</f>
        <v/>
      </c>
      <c r="D203" s="46">
        <f>I203+O203+U203+AA203+AG203+AM203+AS203+AY203+BE203+BK203+J203+P203+V203+AB203+AH203+AN203+AT203+AZ203+BF203+BL203</f>
        <v/>
      </c>
      <c r="E203" s="46">
        <f>H203+N203+T203+Z203+AF203+AL203+AR203+AX203+BD203+BJ203</f>
        <v/>
      </c>
      <c r="F203">
        <f>MAX(0,'My Debts'!$E$21-(I203+O203+U203+AA203+AG203+AM203+AS203+AY203+BE203+BK203))</f>
        <v/>
      </c>
      <c r="G203" s="42">
        <f>K202</f>
        <v/>
      </c>
      <c r="H203" s="42">
        <f>ROUND(G203*H$6/12,2)</f>
        <v/>
      </c>
      <c r="I203" s="42">
        <f>MIN(I$6,G203+H203)</f>
        <v/>
      </c>
      <c r="J203" s="42">
        <f>MAX(0,MIN(G203+H203-I203,$F203))</f>
        <v/>
      </c>
      <c r="K203" s="42">
        <f>ROUND(G203+H203-I203-J203,2)</f>
        <v/>
      </c>
      <c r="L203">
        <f>$F203-J203</f>
        <v/>
      </c>
      <c r="M203" s="42">
        <f>Q202</f>
        <v/>
      </c>
      <c r="N203" s="42">
        <f>ROUND(M203*N$6/12,2)</f>
        <v/>
      </c>
      <c r="O203" s="42">
        <f>MIN(O$6,M203+N203)</f>
        <v/>
      </c>
      <c r="P203" s="42">
        <f>MAX(0,MIN(M203+N203-O203,L203))</f>
        <v/>
      </c>
      <c r="Q203" s="42">
        <f>ROUND(M203+N203-O203-P203,2)</f>
        <v/>
      </c>
      <c r="R203">
        <f>L203-P203</f>
        <v/>
      </c>
      <c r="S203" s="42">
        <f>W202</f>
        <v/>
      </c>
      <c r="T203" s="42">
        <f>ROUND(S203*T$6/12,2)</f>
        <v/>
      </c>
      <c r="U203" s="42">
        <f>MIN(U$6,S203+T203)</f>
        <v/>
      </c>
      <c r="V203" s="42">
        <f>MAX(0,MIN(S203+T203-U203,R203))</f>
        <v/>
      </c>
      <c r="W203" s="42">
        <f>ROUND(S203+T203-U203-V203,2)</f>
        <v/>
      </c>
      <c r="X203">
        <f>R203-V203</f>
        <v/>
      </c>
      <c r="Y203" s="42">
        <f>AC202</f>
        <v/>
      </c>
      <c r="Z203" s="42">
        <f>ROUND(Y203*Z$6/12,2)</f>
        <v/>
      </c>
      <c r="AA203" s="42">
        <f>MIN(AA$6,Y203+Z203)</f>
        <v/>
      </c>
      <c r="AB203" s="42">
        <f>MAX(0,MIN(Y203+Z203-AA203,X203))</f>
        <v/>
      </c>
      <c r="AC203" s="42">
        <f>ROUND(Y203+Z203-AA203-AB203,2)</f>
        <v/>
      </c>
      <c r="AD203">
        <f>X203-AB203</f>
        <v/>
      </c>
      <c r="AE203" s="42">
        <f>AI202</f>
        <v/>
      </c>
      <c r="AF203" s="42">
        <f>ROUND(AE203*AF$6/12,2)</f>
        <v/>
      </c>
      <c r="AG203" s="42">
        <f>MIN(AG$6,AE203+AF203)</f>
        <v/>
      </c>
      <c r="AH203" s="42">
        <f>MAX(0,MIN(AE203+AF203-AG203,AD203))</f>
        <v/>
      </c>
      <c r="AI203" s="42">
        <f>ROUND(AE203+AF203-AG203-AH203,2)</f>
        <v/>
      </c>
      <c r="AJ203">
        <f>AD203-AH203</f>
        <v/>
      </c>
      <c r="AK203" s="42">
        <f>AO202</f>
        <v/>
      </c>
      <c r="AL203" s="42">
        <f>ROUND(AK203*AL$6/12,2)</f>
        <v/>
      </c>
      <c r="AM203" s="42">
        <f>MIN(AM$6,AK203+AL203)</f>
        <v/>
      </c>
      <c r="AN203" s="42">
        <f>MAX(0,MIN(AK203+AL203-AM203,AJ203))</f>
        <v/>
      </c>
      <c r="AO203" s="42">
        <f>ROUND(AK203+AL203-AM203-AN203,2)</f>
        <v/>
      </c>
      <c r="AP203">
        <f>AJ203-AN203</f>
        <v/>
      </c>
      <c r="AQ203" s="42">
        <f>AU202</f>
        <v/>
      </c>
      <c r="AR203" s="42">
        <f>ROUND(AQ203*AR$6/12,2)</f>
        <v/>
      </c>
      <c r="AS203" s="42">
        <f>MIN(AS$6,AQ203+AR203)</f>
        <v/>
      </c>
      <c r="AT203" s="42">
        <f>MAX(0,MIN(AQ203+AR203-AS203,AP203))</f>
        <v/>
      </c>
      <c r="AU203" s="42">
        <f>ROUND(AQ203+AR203-AS203-AT203,2)</f>
        <v/>
      </c>
      <c r="AV203">
        <f>AP203-AT203</f>
        <v/>
      </c>
      <c r="AW203" s="42">
        <f>BA202</f>
        <v/>
      </c>
      <c r="AX203" s="42">
        <f>ROUND(AW203*AX$6/12,2)</f>
        <v/>
      </c>
      <c r="AY203" s="42">
        <f>MIN(AY$6,AW203+AX203)</f>
        <v/>
      </c>
      <c r="AZ203" s="42">
        <f>MAX(0,MIN(AW203+AX203-AY203,AV203))</f>
        <v/>
      </c>
      <c r="BA203" s="42">
        <f>ROUND(AW203+AX203-AY203-AZ203,2)</f>
        <v/>
      </c>
      <c r="BB203">
        <f>AV203-AZ203</f>
        <v/>
      </c>
      <c r="BC203" s="42">
        <f>BG202</f>
        <v/>
      </c>
      <c r="BD203" s="42">
        <f>ROUND(BC203*BD$6/12,2)</f>
        <v/>
      </c>
      <c r="BE203" s="42">
        <f>MIN(BE$6,BC203+BD203)</f>
        <v/>
      </c>
      <c r="BF203" s="42">
        <f>MAX(0,MIN(BC203+BD203-BE203,BB203))</f>
        <v/>
      </c>
      <c r="BG203" s="42">
        <f>ROUND(BC203+BD203-BE203-BF203,2)</f>
        <v/>
      </c>
      <c r="BH203">
        <f>BB203-BF203</f>
        <v/>
      </c>
      <c r="BI203" s="42">
        <f>BM202</f>
        <v/>
      </c>
      <c r="BJ203" s="42">
        <f>ROUND(BI203*BJ$6/12,2)</f>
        <v/>
      </c>
      <c r="BK203" s="42">
        <f>MIN(BK$6,BI203+BJ203)</f>
        <v/>
      </c>
      <c r="BL203" s="42">
        <f>MAX(0,MIN(BI203+BJ203-BK203,BH203))</f>
        <v/>
      </c>
      <c r="BM203" s="42">
        <f>ROUND(BI203+BJ203-BK203-BL203,2)</f>
        <v/>
      </c>
      <c r="BN203">
        <f>BH203-BL203</f>
        <v/>
      </c>
    </row>
    <row r="204">
      <c r="A204" s="39" t="n">
        <v>197</v>
      </c>
      <c r="B204" s="40">
        <f>EDATE('My Debts'!$C$6,A204-1)</f>
        <v/>
      </c>
      <c r="C204" s="41">
        <f>K204+Q204+W204+AC204+AI204+AO204+AU204+BA204+BG204+BM204</f>
        <v/>
      </c>
      <c r="D204" s="42">
        <f>I204+O204+U204+AA204+AG204+AM204+AS204+AY204+BE204+BK204+J204+P204+V204+AB204+AH204+AN204+AT204+AZ204+BF204+BL204</f>
        <v/>
      </c>
      <c r="E204" s="42">
        <f>H204+N204+T204+Z204+AF204+AL204+AR204+AX204+BD204+BJ204</f>
        <v/>
      </c>
      <c r="F204">
        <f>MAX(0,'My Debts'!$E$21-(I204+O204+U204+AA204+AG204+AM204+AS204+AY204+BE204+BK204))</f>
        <v/>
      </c>
      <c r="G204" s="42">
        <f>K203</f>
        <v/>
      </c>
      <c r="H204" s="42">
        <f>ROUND(G204*H$6/12,2)</f>
        <v/>
      </c>
      <c r="I204" s="42">
        <f>MIN(I$6,G204+H204)</f>
        <v/>
      </c>
      <c r="J204" s="42">
        <f>MAX(0,MIN(G204+H204-I204,$F204))</f>
        <v/>
      </c>
      <c r="K204" s="42">
        <f>ROUND(G204+H204-I204-J204,2)</f>
        <v/>
      </c>
      <c r="L204">
        <f>$F204-J204</f>
        <v/>
      </c>
      <c r="M204" s="42">
        <f>Q203</f>
        <v/>
      </c>
      <c r="N204" s="42">
        <f>ROUND(M204*N$6/12,2)</f>
        <v/>
      </c>
      <c r="O204" s="42">
        <f>MIN(O$6,M204+N204)</f>
        <v/>
      </c>
      <c r="P204" s="42">
        <f>MAX(0,MIN(M204+N204-O204,L204))</f>
        <v/>
      </c>
      <c r="Q204" s="42">
        <f>ROUND(M204+N204-O204-P204,2)</f>
        <v/>
      </c>
      <c r="R204">
        <f>L204-P204</f>
        <v/>
      </c>
      <c r="S204" s="42">
        <f>W203</f>
        <v/>
      </c>
      <c r="T204" s="42">
        <f>ROUND(S204*T$6/12,2)</f>
        <v/>
      </c>
      <c r="U204" s="42">
        <f>MIN(U$6,S204+T204)</f>
        <v/>
      </c>
      <c r="V204" s="42">
        <f>MAX(0,MIN(S204+T204-U204,R204))</f>
        <v/>
      </c>
      <c r="W204" s="42">
        <f>ROUND(S204+T204-U204-V204,2)</f>
        <v/>
      </c>
      <c r="X204">
        <f>R204-V204</f>
        <v/>
      </c>
      <c r="Y204" s="42">
        <f>AC203</f>
        <v/>
      </c>
      <c r="Z204" s="42">
        <f>ROUND(Y204*Z$6/12,2)</f>
        <v/>
      </c>
      <c r="AA204" s="42">
        <f>MIN(AA$6,Y204+Z204)</f>
        <v/>
      </c>
      <c r="AB204" s="42">
        <f>MAX(0,MIN(Y204+Z204-AA204,X204))</f>
        <v/>
      </c>
      <c r="AC204" s="42">
        <f>ROUND(Y204+Z204-AA204-AB204,2)</f>
        <v/>
      </c>
      <c r="AD204">
        <f>X204-AB204</f>
        <v/>
      </c>
      <c r="AE204" s="42">
        <f>AI203</f>
        <v/>
      </c>
      <c r="AF204" s="42">
        <f>ROUND(AE204*AF$6/12,2)</f>
        <v/>
      </c>
      <c r="AG204" s="42">
        <f>MIN(AG$6,AE204+AF204)</f>
        <v/>
      </c>
      <c r="AH204" s="42">
        <f>MAX(0,MIN(AE204+AF204-AG204,AD204))</f>
        <v/>
      </c>
      <c r="AI204" s="42">
        <f>ROUND(AE204+AF204-AG204-AH204,2)</f>
        <v/>
      </c>
      <c r="AJ204">
        <f>AD204-AH204</f>
        <v/>
      </c>
      <c r="AK204" s="42">
        <f>AO203</f>
        <v/>
      </c>
      <c r="AL204" s="42">
        <f>ROUND(AK204*AL$6/12,2)</f>
        <v/>
      </c>
      <c r="AM204" s="42">
        <f>MIN(AM$6,AK204+AL204)</f>
        <v/>
      </c>
      <c r="AN204" s="42">
        <f>MAX(0,MIN(AK204+AL204-AM204,AJ204))</f>
        <v/>
      </c>
      <c r="AO204" s="42">
        <f>ROUND(AK204+AL204-AM204-AN204,2)</f>
        <v/>
      </c>
      <c r="AP204">
        <f>AJ204-AN204</f>
        <v/>
      </c>
      <c r="AQ204" s="42">
        <f>AU203</f>
        <v/>
      </c>
      <c r="AR204" s="42">
        <f>ROUND(AQ204*AR$6/12,2)</f>
        <v/>
      </c>
      <c r="AS204" s="42">
        <f>MIN(AS$6,AQ204+AR204)</f>
        <v/>
      </c>
      <c r="AT204" s="42">
        <f>MAX(0,MIN(AQ204+AR204-AS204,AP204))</f>
        <v/>
      </c>
      <c r="AU204" s="42">
        <f>ROUND(AQ204+AR204-AS204-AT204,2)</f>
        <v/>
      </c>
      <c r="AV204">
        <f>AP204-AT204</f>
        <v/>
      </c>
      <c r="AW204" s="42">
        <f>BA203</f>
        <v/>
      </c>
      <c r="AX204" s="42">
        <f>ROUND(AW204*AX$6/12,2)</f>
        <v/>
      </c>
      <c r="AY204" s="42">
        <f>MIN(AY$6,AW204+AX204)</f>
        <v/>
      </c>
      <c r="AZ204" s="42">
        <f>MAX(0,MIN(AW204+AX204-AY204,AV204))</f>
        <v/>
      </c>
      <c r="BA204" s="42">
        <f>ROUND(AW204+AX204-AY204-AZ204,2)</f>
        <v/>
      </c>
      <c r="BB204">
        <f>AV204-AZ204</f>
        <v/>
      </c>
      <c r="BC204" s="42">
        <f>BG203</f>
        <v/>
      </c>
      <c r="BD204" s="42">
        <f>ROUND(BC204*BD$6/12,2)</f>
        <v/>
      </c>
      <c r="BE204" s="42">
        <f>MIN(BE$6,BC204+BD204)</f>
        <v/>
      </c>
      <c r="BF204" s="42">
        <f>MAX(0,MIN(BC204+BD204-BE204,BB204))</f>
        <v/>
      </c>
      <c r="BG204" s="42">
        <f>ROUND(BC204+BD204-BE204-BF204,2)</f>
        <v/>
      </c>
      <c r="BH204">
        <f>BB204-BF204</f>
        <v/>
      </c>
      <c r="BI204" s="42">
        <f>BM203</f>
        <v/>
      </c>
      <c r="BJ204" s="42">
        <f>ROUND(BI204*BJ$6/12,2)</f>
        <v/>
      </c>
      <c r="BK204" s="42">
        <f>MIN(BK$6,BI204+BJ204)</f>
        <v/>
      </c>
      <c r="BL204" s="42">
        <f>MAX(0,MIN(BI204+BJ204-BK204,BH204))</f>
        <v/>
      </c>
      <c r="BM204" s="42">
        <f>ROUND(BI204+BJ204-BK204-BL204,2)</f>
        <v/>
      </c>
      <c r="BN204">
        <f>BH204-BL204</f>
        <v/>
      </c>
    </row>
    <row r="205">
      <c r="A205" s="43" t="n">
        <v>198</v>
      </c>
      <c r="B205" s="44">
        <f>EDATE('My Debts'!$C$6,A205-1)</f>
        <v/>
      </c>
      <c r="C205" s="45">
        <f>K205+Q205+W205+AC205+AI205+AO205+AU205+BA205+BG205+BM205</f>
        <v/>
      </c>
      <c r="D205" s="46">
        <f>I205+O205+U205+AA205+AG205+AM205+AS205+AY205+BE205+BK205+J205+P205+V205+AB205+AH205+AN205+AT205+AZ205+BF205+BL205</f>
        <v/>
      </c>
      <c r="E205" s="46">
        <f>H205+N205+T205+Z205+AF205+AL205+AR205+AX205+BD205+BJ205</f>
        <v/>
      </c>
      <c r="F205">
        <f>MAX(0,'My Debts'!$E$21-(I205+O205+U205+AA205+AG205+AM205+AS205+AY205+BE205+BK205))</f>
        <v/>
      </c>
      <c r="G205" s="42">
        <f>K204</f>
        <v/>
      </c>
      <c r="H205" s="42">
        <f>ROUND(G205*H$6/12,2)</f>
        <v/>
      </c>
      <c r="I205" s="42">
        <f>MIN(I$6,G205+H205)</f>
        <v/>
      </c>
      <c r="J205" s="42">
        <f>MAX(0,MIN(G205+H205-I205,$F205))</f>
        <v/>
      </c>
      <c r="K205" s="42">
        <f>ROUND(G205+H205-I205-J205,2)</f>
        <v/>
      </c>
      <c r="L205">
        <f>$F205-J205</f>
        <v/>
      </c>
      <c r="M205" s="42">
        <f>Q204</f>
        <v/>
      </c>
      <c r="N205" s="42">
        <f>ROUND(M205*N$6/12,2)</f>
        <v/>
      </c>
      <c r="O205" s="42">
        <f>MIN(O$6,M205+N205)</f>
        <v/>
      </c>
      <c r="P205" s="42">
        <f>MAX(0,MIN(M205+N205-O205,L205))</f>
        <v/>
      </c>
      <c r="Q205" s="42">
        <f>ROUND(M205+N205-O205-P205,2)</f>
        <v/>
      </c>
      <c r="R205">
        <f>L205-P205</f>
        <v/>
      </c>
      <c r="S205" s="42">
        <f>W204</f>
        <v/>
      </c>
      <c r="T205" s="42">
        <f>ROUND(S205*T$6/12,2)</f>
        <v/>
      </c>
      <c r="U205" s="42">
        <f>MIN(U$6,S205+T205)</f>
        <v/>
      </c>
      <c r="V205" s="42">
        <f>MAX(0,MIN(S205+T205-U205,R205))</f>
        <v/>
      </c>
      <c r="W205" s="42">
        <f>ROUND(S205+T205-U205-V205,2)</f>
        <v/>
      </c>
      <c r="X205">
        <f>R205-V205</f>
        <v/>
      </c>
      <c r="Y205" s="42">
        <f>AC204</f>
        <v/>
      </c>
      <c r="Z205" s="42">
        <f>ROUND(Y205*Z$6/12,2)</f>
        <v/>
      </c>
      <c r="AA205" s="42">
        <f>MIN(AA$6,Y205+Z205)</f>
        <v/>
      </c>
      <c r="AB205" s="42">
        <f>MAX(0,MIN(Y205+Z205-AA205,X205))</f>
        <v/>
      </c>
      <c r="AC205" s="42">
        <f>ROUND(Y205+Z205-AA205-AB205,2)</f>
        <v/>
      </c>
      <c r="AD205">
        <f>X205-AB205</f>
        <v/>
      </c>
      <c r="AE205" s="42">
        <f>AI204</f>
        <v/>
      </c>
      <c r="AF205" s="42">
        <f>ROUND(AE205*AF$6/12,2)</f>
        <v/>
      </c>
      <c r="AG205" s="42">
        <f>MIN(AG$6,AE205+AF205)</f>
        <v/>
      </c>
      <c r="AH205" s="42">
        <f>MAX(0,MIN(AE205+AF205-AG205,AD205))</f>
        <v/>
      </c>
      <c r="AI205" s="42">
        <f>ROUND(AE205+AF205-AG205-AH205,2)</f>
        <v/>
      </c>
      <c r="AJ205">
        <f>AD205-AH205</f>
        <v/>
      </c>
      <c r="AK205" s="42">
        <f>AO204</f>
        <v/>
      </c>
      <c r="AL205" s="42">
        <f>ROUND(AK205*AL$6/12,2)</f>
        <v/>
      </c>
      <c r="AM205" s="42">
        <f>MIN(AM$6,AK205+AL205)</f>
        <v/>
      </c>
      <c r="AN205" s="42">
        <f>MAX(0,MIN(AK205+AL205-AM205,AJ205))</f>
        <v/>
      </c>
      <c r="AO205" s="42">
        <f>ROUND(AK205+AL205-AM205-AN205,2)</f>
        <v/>
      </c>
      <c r="AP205">
        <f>AJ205-AN205</f>
        <v/>
      </c>
      <c r="AQ205" s="42">
        <f>AU204</f>
        <v/>
      </c>
      <c r="AR205" s="42">
        <f>ROUND(AQ205*AR$6/12,2)</f>
        <v/>
      </c>
      <c r="AS205" s="42">
        <f>MIN(AS$6,AQ205+AR205)</f>
        <v/>
      </c>
      <c r="AT205" s="42">
        <f>MAX(0,MIN(AQ205+AR205-AS205,AP205))</f>
        <v/>
      </c>
      <c r="AU205" s="42">
        <f>ROUND(AQ205+AR205-AS205-AT205,2)</f>
        <v/>
      </c>
      <c r="AV205">
        <f>AP205-AT205</f>
        <v/>
      </c>
      <c r="AW205" s="42">
        <f>BA204</f>
        <v/>
      </c>
      <c r="AX205" s="42">
        <f>ROUND(AW205*AX$6/12,2)</f>
        <v/>
      </c>
      <c r="AY205" s="42">
        <f>MIN(AY$6,AW205+AX205)</f>
        <v/>
      </c>
      <c r="AZ205" s="42">
        <f>MAX(0,MIN(AW205+AX205-AY205,AV205))</f>
        <v/>
      </c>
      <c r="BA205" s="42">
        <f>ROUND(AW205+AX205-AY205-AZ205,2)</f>
        <v/>
      </c>
      <c r="BB205">
        <f>AV205-AZ205</f>
        <v/>
      </c>
      <c r="BC205" s="42">
        <f>BG204</f>
        <v/>
      </c>
      <c r="BD205" s="42">
        <f>ROUND(BC205*BD$6/12,2)</f>
        <v/>
      </c>
      <c r="BE205" s="42">
        <f>MIN(BE$6,BC205+BD205)</f>
        <v/>
      </c>
      <c r="BF205" s="42">
        <f>MAX(0,MIN(BC205+BD205-BE205,BB205))</f>
        <v/>
      </c>
      <c r="BG205" s="42">
        <f>ROUND(BC205+BD205-BE205-BF205,2)</f>
        <v/>
      </c>
      <c r="BH205">
        <f>BB205-BF205</f>
        <v/>
      </c>
      <c r="BI205" s="42">
        <f>BM204</f>
        <v/>
      </c>
      <c r="BJ205" s="42">
        <f>ROUND(BI205*BJ$6/12,2)</f>
        <v/>
      </c>
      <c r="BK205" s="42">
        <f>MIN(BK$6,BI205+BJ205)</f>
        <v/>
      </c>
      <c r="BL205" s="42">
        <f>MAX(0,MIN(BI205+BJ205-BK205,BH205))</f>
        <v/>
      </c>
      <c r="BM205" s="42">
        <f>ROUND(BI205+BJ205-BK205-BL205,2)</f>
        <v/>
      </c>
      <c r="BN205">
        <f>BH205-BL205</f>
        <v/>
      </c>
    </row>
    <row r="206">
      <c r="A206" s="39" t="n">
        <v>199</v>
      </c>
      <c r="B206" s="40">
        <f>EDATE('My Debts'!$C$6,A206-1)</f>
        <v/>
      </c>
      <c r="C206" s="41">
        <f>K206+Q206+W206+AC206+AI206+AO206+AU206+BA206+BG206+BM206</f>
        <v/>
      </c>
      <c r="D206" s="42">
        <f>I206+O206+U206+AA206+AG206+AM206+AS206+AY206+BE206+BK206+J206+P206+V206+AB206+AH206+AN206+AT206+AZ206+BF206+BL206</f>
        <v/>
      </c>
      <c r="E206" s="42">
        <f>H206+N206+T206+Z206+AF206+AL206+AR206+AX206+BD206+BJ206</f>
        <v/>
      </c>
      <c r="F206">
        <f>MAX(0,'My Debts'!$E$21-(I206+O206+U206+AA206+AG206+AM206+AS206+AY206+BE206+BK206))</f>
        <v/>
      </c>
      <c r="G206" s="42">
        <f>K205</f>
        <v/>
      </c>
      <c r="H206" s="42">
        <f>ROUND(G206*H$6/12,2)</f>
        <v/>
      </c>
      <c r="I206" s="42">
        <f>MIN(I$6,G206+H206)</f>
        <v/>
      </c>
      <c r="J206" s="42">
        <f>MAX(0,MIN(G206+H206-I206,$F206))</f>
        <v/>
      </c>
      <c r="K206" s="42">
        <f>ROUND(G206+H206-I206-J206,2)</f>
        <v/>
      </c>
      <c r="L206">
        <f>$F206-J206</f>
        <v/>
      </c>
      <c r="M206" s="42">
        <f>Q205</f>
        <v/>
      </c>
      <c r="N206" s="42">
        <f>ROUND(M206*N$6/12,2)</f>
        <v/>
      </c>
      <c r="O206" s="42">
        <f>MIN(O$6,M206+N206)</f>
        <v/>
      </c>
      <c r="P206" s="42">
        <f>MAX(0,MIN(M206+N206-O206,L206))</f>
        <v/>
      </c>
      <c r="Q206" s="42">
        <f>ROUND(M206+N206-O206-P206,2)</f>
        <v/>
      </c>
      <c r="R206">
        <f>L206-P206</f>
        <v/>
      </c>
      <c r="S206" s="42">
        <f>W205</f>
        <v/>
      </c>
      <c r="T206" s="42">
        <f>ROUND(S206*T$6/12,2)</f>
        <v/>
      </c>
      <c r="U206" s="42">
        <f>MIN(U$6,S206+T206)</f>
        <v/>
      </c>
      <c r="V206" s="42">
        <f>MAX(0,MIN(S206+T206-U206,R206))</f>
        <v/>
      </c>
      <c r="W206" s="42">
        <f>ROUND(S206+T206-U206-V206,2)</f>
        <v/>
      </c>
      <c r="X206">
        <f>R206-V206</f>
        <v/>
      </c>
      <c r="Y206" s="42">
        <f>AC205</f>
        <v/>
      </c>
      <c r="Z206" s="42">
        <f>ROUND(Y206*Z$6/12,2)</f>
        <v/>
      </c>
      <c r="AA206" s="42">
        <f>MIN(AA$6,Y206+Z206)</f>
        <v/>
      </c>
      <c r="AB206" s="42">
        <f>MAX(0,MIN(Y206+Z206-AA206,X206))</f>
        <v/>
      </c>
      <c r="AC206" s="42">
        <f>ROUND(Y206+Z206-AA206-AB206,2)</f>
        <v/>
      </c>
      <c r="AD206">
        <f>X206-AB206</f>
        <v/>
      </c>
      <c r="AE206" s="42">
        <f>AI205</f>
        <v/>
      </c>
      <c r="AF206" s="42">
        <f>ROUND(AE206*AF$6/12,2)</f>
        <v/>
      </c>
      <c r="AG206" s="42">
        <f>MIN(AG$6,AE206+AF206)</f>
        <v/>
      </c>
      <c r="AH206" s="42">
        <f>MAX(0,MIN(AE206+AF206-AG206,AD206))</f>
        <v/>
      </c>
      <c r="AI206" s="42">
        <f>ROUND(AE206+AF206-AG206-AH206,2)</f>
        <v/>
      </c>
      <c r="AJ206">
        <f>AD206-AH206</f>
        <v/>
      </c>
      <c r="AK206" s="42">
        <f>AO205</f>
        <v/>
      </c>
      <c r="AL206" s="42">
        <f>ROUND(AK206*AL$6/12,2)</f>
        <v/>
      </c>
      <c r="AM206" s="42">
        <f>MIN(AM$6,AK206+AL206)</f>
        <v/>
      </c>
      <c r="AN206" s="42">
        <f>MAX(0,MIN(AK206+AL206-AM206,AJ206))</f>
        <v/>
      </c>
      <c r="AO206" s="42">
        <f>ROUND(AK206+AL206-AM206-AN206,2)</f>
        <v/>
      </c>
      <c r="AP206">
        <f>AJ206-AN206</f>
        <v/>
      </c>
      <c r="AQ206" s="42">
        <f>AU205</f>
        <v/>
      </c>
      <c r="AR206" s="42">
        <f>ROUND(AQ206*AR$6/12,2)</f>
        <v/>
      </c>
      <c r="AS206" s="42">
        <f>MIN(AS$6,AQ206+AR206)</f>
        <v/>
      </c>
      <c r="AT206" s="42">
        <f>MAX(0,MIN(AQ206+AR206-AS206,AP206))</f>
        <v/>
      </c>
      <c r="AU206" s="42">
        <f>ROUND(AQ206+AR206-AS206-AT206,2)</f>
        <v/>
      </c>
      <c r="AV206">
        <f>AP206-AT206</f>
        <v/>
      </c>
      <c r="AW206" s="42">
        <f>BA205</f>
        <v/>
      </c>
      <c r="AX206" s="42">
        <f>ROUND(AW206*AX$6/12,2)</f>
        <v/>
      </c>
      <c r="AY206" s="42">
        <f>MIN(AY$6,AW206+AX206)</f>
        <v/>
      </c>
      <c r="AZ206" s="42">
        <f>MAX(0,MIN(AW206+AX206-AY206,AV206))</f>
        <v/>
      </c>
      <c r="BA206" s="42">
        <f>ROUND(AW206+AX206-AY206-AZ206,2)</f>
        <v/>
      </c>
      <c r="BB206">
        <f>AV206-AZ206</f>
        <v/>
      </c>
      <c r="BC206" s="42">
        <f>BG205</f>
        <v/>
      </c>
      <c r="BD206" s="42">
        <f>ROUND(BC206*BD$6/12,2)</f>
        <v/>
      </c>
      <c r="BE206" s="42">
        <f>MIN(BE$6,BC206+BD206)</f>
        <v/>
      </c>
      <c r="BF206" s="42">
        <f>MAX(0,MIN(BC206+BD206-BE206,BB206))</f>
        <v/>
      </c>
      <c r="BG206" s="42">
        <f>ROUND(BC206+BD206-BE206-BF206,2)</f>
        <v/>
      </c>
      <c r="BH206">
        <f>BB206-BF206</f>
        <v/>
      </c>
      <c r="BI206" s="42">
        <f>BM205</f>
        <v/>
      </c>
      <c r="BJ206" s="42">
        <f>ROUND(BI206*BJ$6/12,2)</f>
        <v/>
      </c>
      <c r="BK206" s="42">
        <f>MIN(BK$6,BI206+BJ206)</f>
        <v/>
      </c>
      <c r="BL206" s="42">
        <f>MAX(0,MIN(BI206+BJ206-BK206,BH206))</f>
        <v/>
      </c>
      <c r="BM206" s="42">
        <f>ROUND(BI206+BJ206-BK206-BL206,2)</f>
        <v/>
      </c>
      <c r="BN206">
        <f>BH206-BL206</f>
        <v/>
      </c>
    </row>
    <row r="207">
      <c r="A207" s="43" t="n">
        <v>200</v>
      </c>
      <c r="B207" s="44">
        <f>EDATE('My Debts'!$C$6,A207-1)</f>
        <v/>
      </c>
      <c r="C207" s="45">
        <f>K207+Q207+W207+AC207+AI207+AO207+AU207+BA207+BG207+BM207</f>
        <v/>
      </c>
      <c r="D207" s="46">
        <f>I207+O207+U207+AA207+AG207+AM207+AS207+AY207+BE207+BK207+J207+P207+V207+AB207+AH207+AN207+AT207+AZ207+BF207+BL207</f>
        <v/>
      </c>
      <c r="E207" s="46">
        <f>H207+N207+T207+Z207+AF207+AL207+AR207+AX207+BD207+BJ207</f>
        <v/>
      </c>
      <c r="F207">
        <f>MAX(0,'My Debts'!$E$21-(I207+O207+U207+AA207+AG207+AM207+AS207+AY207+BE207+BK207))</f>
        <v/>
      </c>
      <c r="G207" s="42">
        <f>K206</f>
        <v/>
      </c>
      <c r="H207" s="42">
        <f>ROUND(G207*H$6/12,2)</f>
        <v/>
      </c>
      <c r="I207" s="42">
        <f>MIN(I$6,G207+H207)</f>
        <v/>
      </c>
      <c r="J207" s="42">
        <f>MAX(0,MIN(G207+H207-I207,$F207))</f>
        <v/>
      </c>
      <c r="K207" s="42">
        <f>ROUND(G207+H207-I207-J207,2)</f>
        <v/>
      </c>
      <c r="L207">
        <f>$F207-J207</f>
        <v/>
      </c>
      <c r="M207" s="42">
        <f>Q206</f>
        <v/>
      </c>
      <c r="N207" s="42">
        <f>ROUND(M207*N$6/12,2)</f>
        <v/>
      </c>
      <c r="O207" s="42">
        <f>MIN(O$6,M207+N207)</f>
        <v/>
      </c>
      <c r="P207" s="42">
        <f>MAX(0,MIN(M207+N207-O207,L207))</f>
        <v/>
      </c>
      <c r="Q207" s="42">
        <f>ROUND(M207+N207-O207-P207,2)</f>
        <v/>
      </c>
      <c r="R207">
        <f>L207-P207</f>
        <v/>
      </c>
      <c r="S207" s="42">
        <f>W206</f>
        <v/>
      </c>
      <c r="T207" s="42">
        <f>ROUND(S207*T$6/12,2)</f>
        <v/>
      </c>
      <c r="U207" s="42">
        <f>MIN(U$6,S207+T207)</f>
        <v/>
      </c>
      <c r="V207" s="42">
        <f>MAX(0,MIN(S207+T207-U207,R207))</f>
        <v/>
      </c>
      <c r="W207" s="42">
        <f>ROUND(S207+T207-U207-V207,2)</f>
        <v/>
      </c>
      <c r="X207">
        <f>R207-V207</f>
        <v/>
      </c>
      <c r="Y207" s="42">
        <f>AC206</f>
        <v/>
      </c>
      <c r="Z207" s="42">
        <f>ROUND(Y207*Z$6/12,2)</f>
        <v/>
      </c>
      <c r="AA207" s="42">
        <f>MIN(AA$6,Y207+Z207)</f>
        <v/>
      </c>
      <c r="AB207" s="42">
        <f>MAX(0,MIN(Y207+Z207-AA207,X207))</f>
        <v/>
      </c>
      <c r="AC207" s="42">
        <f>ROUND(Y207+Z207-AA207-AB207,2)</f>
        <v/>
      </c>
      <c r="AD207">
        <f>X207-AB207</f>
        <v/>
      </c>
      <c r="AE207" s="42">
        <f>AI206</f>
        <v/>
      </c>
      <c r="AF207" s="42">
        <f>ROUND(AE207*AF$6/12,2)</f>
        <v/>
      </c>
      <c r="AG207" s="42">
        <f>MIN(AG$6,AE207+AF207)</f>
        <v/>
      </c>
      <c r="AH207" s="42">
        <f>MAX(0,MIN(AE207+AF207-AG207,AD207))</f>
        <v/>
      </c>
      <c r="AI207" s="42">
        <f>ROUND(AE207+AF207-AG207-AH207,2)</f>
        <v/>
      </c>
      <c r="AJ207">
        <f>AD207-AH207</f>
        <v/>
      </c>
      <c r="AK207" s="42">
        <f>AO206</f>
        <v/>
      </c>
      <c r="AL207" s="42">
        <f>ROUND(AK207*AL$6/12,2)</f>
        <v/>
      </c>
      <c r="AM207" s="42">
        <f>MIN(AM$6,AK207+AL207)</f>
        <v/>
      </c>
      <c r="AN207" s="42">
        <f>MAX(0,MIN(AK207+AL207-AM207,AJ207))</f>
        <v/>
      </c>
      <c r="AO207" s="42">
        <f>ROUND(AK207+AL207-AM207-AN207,2)</f>
        <v/>
      </c>
      <c r="AP207">
        <f>AJ207-AN207</f>
        <v/>
      </c>
      <c r="AQ207" s="42">
        <f>AU206</f>
        <v/>
      </c>
      <c r="AR207" s="42">
        <f>ROUND(AQ207*AR$6/12,2)</f>
        <v/>
      </c>
      <c r="AS207" s="42">
        <f>MIN(AS$6,AQ207+AR207)</f>
        <v/>
      </c>
      <c r="AT207" s="42">
        <f>MAX(0,MIN(AQ207+AR207-AS207,AP207))</f>
        <v/>
      </c>
      <c r="AU207" s="42">
        <f>ROUND(AQ207+AR207-AS207-AT207,2)</f>
        <v/>
      </c>
      <c r="AV207">
        <f>AP207-AT207</f>
        <v/>
      </c>
      <c r="AW207" s="42">
        <f>BA206</f>
        <v/>
      </c>
      <c r="AX207" s="42">
        <f>ROUND(AW207*AX$6/12,2)</f>
        <v/>
      </c>
      <c r="AY207" s="42">
        <f>MIN(AY$6,AW207+AX207)</f>
        <v/>
      </c>
      <c r="AZ207" s="42">
        <f>MAX(0,MIN(AW207+AX207-AY207,AV207))</f>
        <v/>
      </c>
      <c r="BA207" s="42">
        <f>ROUND(AW207+AX207-AY207-AZ207,2)</f>
        <v/>
      </c>
      <c r="BB207">
        <f>AV207-AZ207</f>
        <v/>
      </c>
      <c r="BC207" s="42">
        <f>BG206</f>
        <v/>
      </c>
      <c r="BD207" s="42">
        <f>ROUND(BC207*BD$6/12,2)</f>
        <v/>
      </c>
      <c r="BE207" s="42">
        <f>MIN(BE$6,BC207+BD207)</f>
        <v/>
      </c>
      <c r="BF207" s="42">
        <f>MAX(0,MIN(BC207+BD207-BE207,BB207))</f>
        <v/>
      </c>
      <c r="BG207" s="42">
        <f>ROUND(BC207+BD207-BE207-BF207,2)</f>
        <v/>
      </c>
      <c r="BH207">
        <f>BB207-BF207</f>
        <v/>
      </c>
      <c r="BI207" s="42">
        <f>BM206</f>
        <v/>
      </c>
      <c r="BJ207" s="42">
        <f>ROUND(BI207*BJ$6/12,2)</f>
        <v/>
      </c>
      <c r="BK207" s="42">
        <f>MIN(BK$6,BI207+BJ207)</f>
        <v/>
      </c>
      <c r="BL207" s="42">
        <f>MAX(0,MIN(BI207+BJ207-BK207,BH207))</f>
        <v/>
      </c>
      <c r="BM207" s="42">
        <f>ROUND(BI207+BJ207-BK207-BL207,2)</f>
        <v/>
      </c>
      <c r="BN207">
        <f>BH207-BL207</f>
        <v/>
      </c>
    </row>
    <row r="208">
      <c r="A208" s="39" t="n">
        <v>201</v>
      </c>
      <c r="B208" s="40">
        <f>EDATE('My Debts'!$C$6,A208-1)</f>
        <v/>
      </c>
      <c r="C208" s="41">
        <f>K208+Q208+W208+AC208+AI208+AO208+AU208+BA208+BG208+BM208</f>
        <v/>
      </c>
      <c r="D208" s="42">
        <f>I208+O208+U208+AA208+AG208+AM208+AS208+AY208+BE208+BK208+J208+P208+V208+AB208+AH208+AN208+AT208+AZ208+BF208+BL208</f>
        <v/>
      </c>
      <c r="E208" s="42">
        <f>H208+N208+T208+Z208+AF208+AL208+AR208+AX208+BD208+BJ208</f>
        <v/>
      </c>
      <c r="F208">
        <f>MAX(0,'My Debts'!$E$21-(I208+O208+U208+AA208+AG208+AM208+AS208+AY208+BE208+BK208))</f>
        <v/>
      </c>
      <c r="G208" s="42">
        <f>K207</f>
        <v/>
      </c>
      <c r="H208" s="42">
        <f>ROUND(G208*H$6/12,2)</f>
        <v/>
      </c>
      <c r="I208" s="42">
        <f>MIN(I$6,G208+H208)</f>
        <v/>
      </c>
      <c r="J208" s="42">
        <f>MAX(0,MIN(G208+H208-I208,$F208))</f>
        <v/>
      </c>
      <c r="K208" s="42">
        <f>ROUND(G208+H208-I208-J208,2)</f>
        <v/>
      </c>
      <c r="L208">
        <f>$F208-J208</f>
        <v/>
      </c>
      <c r="M208" s="42">
        <f>Q207</f>
        <v/>
      </c>
      <c r="N208" s="42">
        <f>ROUND(M208*N$6/12,2)</f>
        <v/>
      </c>
      <c r="O208" s="42">
        <f>MIN(O$6,M208+N208)</f>
        <v/>
      </c>
      <c r="P208" s="42">
        <f>MAX(0,MIN(M208+N208-O208,L208))</f>
        <v/>
      </c>
      <c r="Q208" s="42">
        <f>ROUND(M208+N208-O208-P208,2)</f>
        <v/>
      </c>
      <c r="R208">
        <f>L208-P208</f>
        <v/>
      </c>
      <c r="S208" s="42">
        <f>W207</f>
        <v/>
      </c>
      <c r="T208" s="42">
        <f>ROUND(S208*T$6/12,2)</f>
        <v/>
      </c>
      <c r="U208" s="42">
        <f>MIN(U$6,S208+T208)</f>
        <v/>
      </c>
      <c r="V208" s="42">
        <f>MAX(0,MIN(S208+T208-U208,R208))</f>
        <v/>
      </c>
      <c r="W208" s="42">
        <f>ROUND(S208+T208-U208-V208,2)</f>
        <v/>
      </c>
      <c r="X208">
        <f>R208-V208</f>
        <v/>
      </c>
      <c r="Y208" s="42">
        <f>AC207</f>
        <v/>
      </c>
      <c r="Z208" s="42">
        <f>ROUND(Y208*Z$6/12,2)</f>
        <v/>
      </c>
      <c r="AA208" s="42">
        <f>MIN(AA$6,Y208+Z208)</f>
        <v/>
      </c>
      <c r="AB208" s="42">
        <f>MAX(0,MIN(Y208+Z208-AA208,X208))</f>
        <v/>
      </c>
      <c r="AC208" s="42">
        <f>ROUND(Y208+Z208-AA208-AB208,2)</f>
        <v/>
      </c>
      <c r="AD208">
        <f>X208-AB208</f>
        <v/>
      </c>
      <c r="AE208" s="42">
        <f>AI207</f>
        <v/>
      </c>
      <c r="AF208" s="42">
        <f>ROUND(AE208*AF$6/12,2)</f>
        <v/>
      </c>
      <c r="AG208" s="42">
        <f>MIN(AG$6,AE208+AF208)</f>
        <v/>
      </c>
      <c r="AH208" s="42">
        <f>MAX(0,MIN(AE208+AF208-AG208,AD208))</f>
        <v/>
      </c>
      <c r="AI208" s="42">
        <f>ROUND(AE208+AF208-AG208-AH208,2)</f>
        <v/>
      </c>
      <c r="AJ208">
        <f>AD208-AH208</f>
        <v/>
      </c>
      <c r="AK208" s="42">
        <f>AO207</f>
        <v/>
      </c>
      <c r="AL208" s="42">
        <f>ROUND(AK208*AL$6/12,2)</f>
        <v/>
      </c>
      <c r="AM208" s="42">
        <f>MIN(AM$6,AK208+AL208)</f>
        <v/>
      </c>
      <c r="AN208" s="42">
        <f>MAX(0,MIN(AK208+AL208-AM208,AJ208))</f>
        <v/>
      </c>
      <c r="AO208" s="42">
        <f>ROUND(AK208+AL208-AM208-AN208,2)</f>
        <v/>
      </c>
      <c r="AP208">
        <f>AJ208-AN208</f>
        <v/>
      </c>
      <c r="AQ208" s="42">
        <f>AU207</f>
        <v/>
      </c>
      <c r="AR208" s="42">
        <f>ROUND(AQ208*AR$6/12,2)</f>
        <v/>
      </c>
      <c r="AS208" s="42">
        <f>MIN(AS$6,AQ208+AR208)</f>
        <v/>
      </c>
      <c r="AT208" s="42">
        <f>MAX(0,MIN(AQ208+AR208-AS208,AP208))</f>
        <v/>
      </c>
      <c r="AU208" s="42">
        <f>ROUND(AQ208+AR208-AS208-AT208,2)</f>
        <v/>
      </c>
      <c r="AV208">
        <f>AP208-AT208</f>
        <v/>
      </c>
      <c r="AW208" s="42">
        <f>BA207</f>
        <v/>
      </c>
      <c r="AX208" s="42">
        <f>ROUND(AW208*AX$6/12,2)</f>
        <v/>
      </c>
      <c r="AY208" s="42">
        <f>MIN(AY$6,AW208+AX208)</f>
        <v/>
      </c>
      <c r="AZ208" s="42">
        <f>MAX(0,MIN(AW208+AX208-AY208,AV208))</f>
        <v/>
      </c>
      <c r="BA208" s="42">
        <f>ROUND(AW208+AX208-AY208-AZ208,2)</f>
        <v/>
      </c>
      <c r="BB208">
        <f>AV208-AZ208</f>
        <v/>
      </c>
      <c r="BC208" s="42">
        <f>BG207</f>
        <v/>
      </c>
      <c r="BD208" s="42">
        <f>ROUND(BC208*BD$6/12,2)</f>
        <v/>
      </c>
      <c r="BE208" s="42">
        <f>MIN(BE$6,BC208+BD208)</f>
        <v/>
      </c>
      <c r="BF208" s="42">
        <f>MAX(0,MIN(BC208+BD208-BE208,BB208))</f>
        <v/>
      </c>
      <c r="BG208" s="42">
        <f>ROUND(BC208+BD208-BE208-BF208,2)</f>
        <v/>
      </c>
      <c r="BH208">
        <f>BB208-BF208</f>
        <v/>
      </c>
      <c r="BI208" s="42">
        <f>BM207</f>
        <v/>
      </c>
      <c r="BJ208" s="42">
        <f>ROUND(BI208*BJ$6/12,2)</f>
        <v/>
      </c>
      <c r="BK208" s="42">
        <f>MIN(BK$6,BI208+BJ208)</f>
        <v/>
      </c>
      <c r="BL208" s="42">
        <f>MAX(0,MIN(BI208+BJ208-BK208,BH208))</f>
        <v/>
      </c>
      <c r="BM208" s="42">
        <f>ROUND(BI208+BJ208-BK208-BL208,2)</f>
        <v/>
      </c>
      <c r="BN208">
        <f>BH208-BL208</f>
        <v/>
      </c>
    </row>
    <row r="209">
      <c r="A209" s="43" t="n">
        <v>202</v>
      </c>
      <c r="B209" s="44">
        <f>EDATE('My Debts'!$C$6,A209-1)</f>
        <v/>
      </c>
      <c r="C209" s="45">
        <f>K209+Q209+W209+AC209+AI209+AO209+AU209+BA209+BG209+BM209</f>
        <v/>
      </c>
      <c r="D209" s="46">
        <f>I209+O209+U209+AA209+AG209+AM209+AS209+AY209+BE209+BK209+J209+P209+V209+AB209+AH209+AN209+AT209+AZ209+BF209+BL209</f>
        <v/>
      </c>
      <c r="E209" s="46">
        <f>H209+N209+T209+Z209+AF209+AL209+AR209+AX209+BD209+BJ209</f>
        <v/>
      </c>
      <c r="F209">
        <f>MAX(0,'My Debts'!$E$21-(I209+O209+U209+AA209+AG209+AM209+AS209+AY209+BE209+BK209))</f>
        <v/>
      </c>
      <c r="G209" s="42">
        <f>K208</f>
        <v/>
      </c>
      <c r="H209" s="42">
        <f>ROUND(G209*H$6/12,2)</f>
        <v/>
      </c>
      <c r="I209" s="42">
        <f>MIN(I$6,G209+H209)</f>
        <v/>
      </c>
      <c r="J209" s="42">
        <f>MAX(0,MIN(G209+H209-I209,$F209))</f>
        <v/>
      </c>
      <c r="K209" s="42">
        <f>ROUND(G209+H209-I209-J209,2)</f>
        <v/>
      </c>
      <c r="L209">
        <f>$F209-J209</f>
        <v/>
      </c>
      <c r="M209" s="42">
        <f>Q208</f>
        <v/>
      </c>
      <c r="N209" s="42">
        <f>ROUND(M209*N$6/12,2)</f>
        <v/>
      </c>
      <c r="O209" s="42">
        <f>MIN(O$6,M209+N209)</f>
        <v/>
      </c>
      <c r="P209" s="42">
        <f>MAX(0,MIN(M209+N209-O209,L209))</f>
        <v/>
      </c>
      <c r="Q209" s="42">
        <f>ROUND(M209+N209-O209-P209,2)</f>
        <v/>
      </c>
      <c r="R209">
        <f>L209-P209</f>
        <v/>
      </c>
      <c r="S209" s="42">
        <f>W208</f>
        <v/>
      </c>
      <c r="T209" s="42">
        <f>ROUND(S209*T$6/12,2)</f>
        <v/>
      </c>
      <c r="U209" s="42">
        <f>MIN(U$6,S209+T209)</f>
        <v/>
      </c>
      <c r="V209" s="42">
        <f>MAX(0,MIN(S209+T209-U209,R209))</f>
        <v/>
      </c>
      <c r="W209" s="42">
        <f>ROUND(S209+T209-U209-V209,2)</f>
        <v/>
      </c>
      <c r="X209">
        <f>R209-V209</f>
        <v/>
      </c>
      <c r="Y209" s="42">
        <f>AC208</f>
        <v/>
      </c>
      <c r="Z209" s="42">
        <f>ROUND(Y209*Z$6/12,2)</f>
        <v/>
      </c>
      <c r="AA209" s="42">
        <f>MIN(AA$6,Y209+Z209)</f>
        <v/>
      </c>
      <c r="AB209" s="42">
        <f>MAX(0,MIN(Y209+Z209-AA209,X209))</f>
        <v/>
      </c>
      <c r="AC209" s="42">
        <f>ROUND(Y209+Z209-AA209-AB209,2)</f>
        <v/>
      </c>
      <c r="AD209">
        <f>X209-AB209</f>
        <v/>
      </c>
      <c r="AE209" s="42">
        <f>AI208</f>
        <v/>
      </c>
      <c r="AF209" s="42">
        <f>ROUND(AE209*AF$6/12,2)</f>
        <v/>
      </c>
      <c r="AG209" s="42">
        <f>MIN(AG$6,AE209+AF209)</f>
        <v/>
      </c>
      <c r="AH209" s="42">
        <f>MAX(0,MIN(AE209+AF209-AG209,AD209))</f>
        <v/>
      </c>
      <c r="AI209" s="42">
        <f>ROUND(AE209+AF209-AG209-AH209,2)</f>
        <v/>
      </c>
      <c r="AJ209">
        <f>AD209-AH209</f>
        <v/>
      </c>
      <c r="AK209" s="42">
        <f>AO208</f>
        <v/>
      </c>
      <c r="AL209" s="42">
        <f>ROUND(AK209*AL$6/12,2)</f>
        <v/>
      </c>
      <c r="AM209" s="42">
        <f>MIN(AM$6,AK209+AL209)</f>
        <v/>
      </c>
      <c r="AN209" s="42">
        <f>MAX(0,MIN(AK209+AL209-AM209,AJ209))</f>
        <v/>
      </c>
      <c r="AO209" s="42">
        <f>ROUND(AK209+AL209-AM209-AN209,2)</f>
        <v/>
      </c>
      <c r="AP209">
        <f>AJ209-AN209</f>
        <v/>
      </c>
      <c r="AQ209" s="42">
        <f>AU208</f>
        <v/>
      </c>
      <c r="AR209" s="42">
        <f>ROUND(AQ209*AR$6/12,2)</f>
        <v/>
      </c>
      <c r="AS209" s="42">
        <f>MIN(AS$6,AQ209+AR209)</f>
        <v/>
      </c>
      <c r="AT209" s="42">
        <f>MAX(0,MIN(AQ209+AR209-AS209,AP209))</f>
        <v/>
      </c>
      <c r="AU209" s="42">
        <f>ROUND(AQ209+AR209-AS209-AT209,2)</f>
        <v/>
      </c>
      <c r="AV209">
        <f>AP209-AT209</f>
        <v/>
      </c>
      <c r="AW209" s="42">
        <f>BA208</f>
        <v/>
      </c>
      <c r="AX209" s="42">
        <f>ROUND(AW209*AX$6/12,2)</f>
        <v/>
      </c>
      <c r="AY209" s="42">
        <f>MIN(AY$6,AW209+AX209)</f>
        <v/>
      </c>
      <c r="AZ209" s="42">
        <f>MAX(0,MIN(AW209+AX209-AY209,AV209))</f>
        <v/>
      </c>
      <c r="BA209" s="42">
        <f>ROUND(AW209+AX209-AY209-AZ209,2)</f>
        <v/>
      </c>
      <c r="BB209">
        <f>AV209-AZ209</f>
        <v/>
      </c>
      <c r="BC209" s="42">
        <f>BG208</f>
        <v/>
      </c>
      <c r="BD209" s="42">
        <f>ROUND(BC209*BD$6/12,2)</f>
        <v/>
      </c>
      <c r="BE209" s="42">
        <f>MIN(BE$6,BC209+BD209)</f>
        <v/>
      </c>
      <c r="BF209" s="42">
        <f>MAX(0,MIN(BC209+BD209-BE209,BB209))</f>
        <v/>
      </c>
      <c r="BG209" s="42">
        <f>ROUND(BC209+BD209-BE209-BF209,2)</f>
        <v/>
      </c>
      <c r="BH209">
        <f>BB209-BF209</f>
        <v/>
      </c>
      <c r="BI209" s="42">
        <f>BM208</f>
        <v/>
      </c>
      <c r="BJ209" s="42">
        <f>ROUND(BI209*BJ$6/12,2)</f>
        <v/>
      </c>
      <c r="BK209" s="42">
        <f>MIN(BK$6,BI209+BJ209)</f>
        <v/>
      </c>
      <c r="BL209" s="42">
        <f>MAX(0,MIN(BI209+BJ209-BK209,BH209))</f>
        <v/>
      </c>
      <c r="BM209" s="42">
        <f>ROUND(BI209+BJ209-BK209-BL209,2)</f>
        <v/>
      </c>
      <c r="BN209">
        <f>BH209-BL209</f>
        <v/>
      </c>
    </row>
    <row r="210">
      <c r="A210" s="39" t="n">
        <v>203</v>
      </c>
      <c r="B210" s="40">
        <f>EDATE('My Debts'!$C$6,A210-1)</f>
        <v/>
      </c>
      <c r="C210" s="41">
        <f>K210+Q210+W210+AC210+AI210+AO210+AU210+BA210+BG210+BM210</f>
        <v/>
      </c>
      <c r="D210" s="42">
        <f>I210+O210+U210+AA210+AG210+AM210+AS210+AY210+BE210+BK210+J210+P210+V210+AB210+AH210+AN210+AT210+AZ210+BF210+BL210</f>
        <v/>
      </c>
      <c r="E210" s="42">
        <f>H210+N210+T210+Z210+AF210+AL210+AR210+AX210+BD210+BJ210</f>
        <v/>
      </c>
      <c r="F210">
        <f>MAX(0,'My Debts'!$E$21-(I210+O210+U210+AA210+AG210+AM210+AS210+AY210+BE210+BK210))</f>
        <v/>
      </c>
      <c r="G210" s="42">
        <f>K209</f>
        <v/>
      </c>
      <c r="H210" s="42">
        <f>ROUND(G210*H$6/12,2)</f>
        <v/>
      </c>
      <c r="I210" s="42">
        <f>MIN(I$6,G210+H210)</f>
        <v/>
      </c>
      <c r="J210" s="42">
        <f>MAX(0,MIN(G210+H210-I210,$F210))</f>
        <v/>
      </c>
      <c r="K210" s="42">
        <f>ROUND(G210+H210-I210-J210,2)</f>
        <v/>
      </c>
      <c r="L210">
        <f>$F210-J210</f>
        <v/>
      </c>
      <c r="M210" s="42">
        <f>Q209</f>
        <v/>
      </c>
      <c r="N210" s="42">
        <f>ROUND(M210*N$6/12,2)</f>
        <v/>
      </c>
      <c r="O210" s="42">
        <f>MIN(O$6,M210+N210)</f>
        <v/>
      </c>
      <c r="P210" s="42">
        <f>MAX(0,MIN(M210+N210-O210,L210))</f>
        <v/>
      </c>
      <c r="Q210" s="42">
        <f>ROUND(M210+N210-O210-P210,2)</f>
        <v/>
      </c>
      <c r="R210">
        <f>L210-P210</f>
        <v/>
      </c>
      <c r="S210" s="42">
        <f>W209</f>
        <v/>
      </c>
      <c r="T210" s="42">
        <f>ROUND(S210*T$6/12,2)</f>
        <v/>
      </c>
      <c r="U210" s="42">
        <f>MIN(U$6,S210+T210)</f>
        <v/>
      </c>
      <c r="V210" s="42">
        <f>MAX(0,MIN(S210+T210-U210,R210))</f>
        <v/>
      </c>
      <c r="W210" s="42">
        <f>ROUND(S210+T210-U210-V210,2)</f>
        <v/>
      </c>
      <c r="X210">
        <f>R210-V210</f>
        <v/>
      </c>
      <c r="Y210" s="42">
        <f>AC209</f>
        <v/>
      </c>
      <c r="Z210" s="42">
        <f>ROUND(Y210*Z$6/12,2)</f>
        <v/>
      </c>
      <c r="AA210" s="42">
        <f>MIN(AA$6,Y210+Z210)</f>
        <v/>
      </c>
      <c r="AB210" s="42">
        <f>MAX(0,MIN(Y210+Z210-AA210,X210))</f>
        <v/>
      </c>
      <c r="AC210" s="42">
        <f>ROUND(Y210+Z210-AA210-AB210,2)</f>
        <v/>
      </c>
      <c r="AD210">
        <f>X210-AB210</f>
        <v/>
      </c>
      <c r="AE210" s="42">
        <f>AI209</f>
        <v/>
      </c>
      <c r="AF210" s="42">
        <f>ROUND(AE210*AF$6/12,2)</f>
        <v/>
      </c>
      <c r="AG210" s="42">
        <f>MIN(AG$6,AE210+AF210)</f>
        <v/>
      </c>
      <c r="AH210" s="42">
        <f>MAX(0,MIN(AE210+AF210-AG210,AD210))</f>
        <v/>
      </c>
      <c r="AI210" s="42">
        <f>ROUND(AE210+AF210-AG210-AH210,2)</f>
        <v/>
      </c>
      <c r="AJ210">
        <f>AD210-AH210</f>
        <v/>
      </c>
      <c r="AK210" s="42">
        <f>AO209</f>
        <v/>
      </c>
      <c r="AL210" s="42">
        <f>ROUND(AK210*AL$6/12,2)</f>
        <v/>
      </c>
      <c r="AM210" s="42">
        <f>MIN(AM$6,AK210+AL210)</f>
        <v/>
      </c>
      <c r="AN210" s="42">
        <f>MAX(0,MIN(AK210+AL210-AM210,AJ210))</f>
        <v/>
      </c>
      <c r="AO210" s="42">
        <f>ROUND(AK210+AL210-AM210-AN210,2)</f>
        <v/>
      </c>
      <c r="AP210">
        <f>AJ210-AN210</f>
        <v/>
      </c>
      <c r="AQ210" s="42">
        <f>AU209</f>
        <v/>
      </c>
      <c r="AR210" s="42">
        <f>ROUND(AQ210*AR$6/12,2)</f>
        <v/>
      </c>
      <c r="AS210" s="42">
        <f>MIN(AS$6,AQ210+AR210)</f>
        <v/>
      </c>
      <c r="AT210" s="42">
        <f>MAX(0,MIN(AQ210+AR210-AS210,AP210))</f>
        <v/>
      </c>
      <c r="AU210" s="42">
        <f>ROUND(AQ210+AR210-AS210-AT210,2)</f>
        <v/>
      </c>
      <c r="AV210">
        <f>AP210-AT210</f>
        <v/>
      </c>
      <c r="AW210" s="42">
        <f>BA209</f>
        <v/>
      </c>
      <c r="AX210" s="42">
        <f>ROUND(AW210*AX$6/12,2)</f>
        <v/>
      </c>
      <c r="AY210" s="42">
        <f>MIN(AY$6,AW210+AX210)</f>
        <v/>
      </c>
      <c r="AZ210" s="42">
        <f>MAX(0,MIN(AW210+AX210-AY210,AV210))</f>
        <v/>
      </c>
      <c r="BA210" s="42">
        <f>ROUND(AW210+AX210-AY210-AZ210,2)</f>
        <v/>
      </c>
      <c r="BB210">
        <f>AV210-AZ210</f>
        <v/>
      </c>
      <c r="BC210" s="42">
        <f>BG209</f>
        <v/>
      </c>
      <c r="BD210" s="42">
        <f>ROUND(BC210*BD$6/12,2)</f>
        <v/>
      </c>
      <c r="BE210" s="42">
        <f>MIN(BE$6,BC210+BD210)</f>
        <v/>
      </c>
      <c r="BF210" s="42">
        <f>MAX(0,MIN(BC210+BD210-BE210,BB210))</f>
        <v/>
      </c>
      <c r="BG210" s="42">
        <f>ROUND(BC210+BD210-BE210-BF210,2)</f>
        <v/>
      </c>
      <c r="BH210">
        <f>BB210-BF210</f>
        <v/>
      </c>
      <c r="BI210" s="42">
        <f>BM209</f>
        <v/>
      </c>
      <c r="BJ210" s="42">
        <f>ROUND(BI210*BJ$6/12,2)</f>
        <v/>
      </c>
      <c r="BK210" s="42">
        <f>MIN(BK$6,BI210+BJ210)</f>
        <v/>
      </c>
      <c r="BL210" s="42">
        <f>MAX(0,MIN(BI210+BJ210-BK210,BH210))</f>
        <v/>
      </c>
      <c r="BM210" s="42">
        <f>ROUND(BI210+BJ210-BK210-BL210,2)</f>
        <v/>
      </c>
      <c r="BN210">
        <f>BH210-BL210</f>
        <v/>
      </c>
    </row>
    <row r="211">
      <c r="A211" s="43" t="n">
        <v>204</v>
      </c>
      <c r="B211" s="44">
        <f>EDATE('My Debts'!$C$6,A211-1)</f>
        <v/>
      </c>
      <c r="C211" s="45">
        <f>K211+Q211+W211+AC211+AI211+AO211+AU211+BA211+BG211+BM211</f>
        <v/>
      </c>
      <c r="D211" s="46">
        <f>I211+O211+U211+AA211+AG211+AM211+AS211+AY211+BE211+BK211+J211+P211+V211+AB211+AH211+AN211+AT211+AZ211+BF211+BL211</f>
        <v/>
      </c>
      <c r="E211" s="46">
        <f>H211+N211+T211+Z211+AF211+AL211+AR211+AX211+BD211+BJ211</f>
        <v/>
      </c>
      <c r="F211">
        <f>MAX(0,'My Debts'!$E$21-(I211+O211+U211+AA211+AG211+AM211+AS211+AY211+BE211+BK211))</f>
        <v/>
      </c>
      <c r="G211" s="42">
        <f>K210</f>
        <v/>
      </c>
      <c r="H211" s="42">
        <f>ROUND(G211*H$6/12,2)</f>
        <v/>
      </c>
      <c r="I211" s="42">
        <f>MIN(I$6,G211+H211)</f>
        <v/>
      </c>
      <c r="J211" s="42">
        <f>MAX(0,MIN(G211+H211-I211,$F211))</f>
        <v/>
      </c>
      <c r="K211" s="42">
        <f>ROUND(G211+H211-I211-J211,2)</f>
        <v/>
      </c>
      <c r="L211">
        <f>$F211-J211</f>
        <v/>
      </c>
      <c r="M211" s="42">
        <f>Q210</f>
        <v/>
      </c>
      <c r="N211" s="42">
        <f>ROUND(M211*N$6/12,2)</f>
        <v/>
      </c>
      <c r="O211" s="42">
        <f>MIN(O$6,M211+N211)</f>
        <v/>
      </c>
      <c r="P211" s="42">
        <f>MAX(0,MIN(M211+N211-O211,L211))</f>
        <v/>
      </c>
      <c r="Q211" s="42">
        <f>ROUND(M211+N211-O211-P211,2)</f>
        <v/>
      </c>
      <c r="R211">
        <f>L211-P211</f>
        <v/>
      </c>
      <c r="S211" s="42">
        <f>W210</f>
        <v/>
      </c>
      <c r="T211" s="42">
        <f>ROUND(S211*T$6/12,2)</f>
        <v/>
      </c>
      <c r="U211" s="42">
        <f>MIN(U$6,S211+T211)</f>
        <v/>
      </c>
      <c r="V211" s="42">
        <f>MAX(0,MIN(S211+T211-U211,R211))</f>
        <v/>
      </c>
      <c r="W211" s="42">
        <f>ROUND(S211+T211-U211-V211,2)</f>
        <v/>
      </c>
      <c r="X211">
        <f>R211-V211</f>
        <v/>
      </c>
      <c r="Y211" s="42">
        <f>AC210</f>
        <v/>
      </c>
      <c r="Z211" s="42">
        <f>ROUND(Y211*Z$6/12,2)</f>
        <v/>
      </c>
      <c r="AA211" s="42">
        <f>MIN(AA$6,Y211+Z211)</f>
        <v/>
      </c>
      <c r="AB211" s="42">
        <f>MAX(0,MIN(Y211+Z211-AA211,X211))</f>
        <v/>
      </c>
      <c r="AC211" s="42">
        <f>ROUND(Y211+Z211-AA211-AB211,2)</f>
        <v/>
      </c>
      <c r="AD211">
        <f>X211-AB211</f>
        <v/>
      </c>
      <c r="AE211" s="42">
        <f>AI210</f>
        <v/>
      </c>
      <c r="AF211" s="42">
        <f>ROUND(AE211*AF$6/12,2)</f>
        <v/>
      </c>
      <c r="AG211" s="42">
        <f>MIN(AG$6,AE211+AF211)</f>
        <v/>
      </c>
      <c r="AH211" s="42">
        <f>MAX(0,MIN(AE211+AF211-AG211,AD211))</f>
        <v/>
      </c>
      <c r="AI211" s="42">
        <f>ROUND(AE211+AF211-AG211-AH211,2)</f>
        <v/>
      </c>
      <c r="AJ211">
        <f>AD211-AH211</f>
        <v/>
      </c>
      <c r="AK211" s="42">
        <f>AO210</f>
        <v/>
      </c>
      <c r="AL211" s="42">
        <f>ROUND(AK211*AL$6/12,2)</f>
        <v/>
      </c>
      <c r="AM211" s="42">
        <f>MIN(AM$6,AK211+AL211)</f>
        <v/>
      </c>
      <c r="AN211" s="42">
        <f>MAX(0,MIN(AK211+AL211-AM211,AJ211))</f>
        <v/>
      </c>
      <c r="AO211" s="42">
        <f>ROUND(AK211+AL211-AM211-AN211,2)</f>
        <v/>
      </c>
      <c r="AP211">
        <f>AJ211-AN211</f>
        <v/>
      </c>
      <c r="AQ211" s="42">
        <f>AU210</f>
        <v/>
      </c>
      <c r="AR211" s="42">
        <f>ROUND(AQ211*AR$6/12,2)</f>
        <v/>
      </c>
      <c r="AS211" s="42">
        <f>MIN(AS$6,AQ211+AR211)</f>
        <v/>
      </c>
      <c r="AT211" s="42">
        <f>MAX(0,MIN(AQ211+AR211-AS211,AP211))</f>
        <v/>
      </c>
      <c r="AU211" s="42">
        <f>ROUND(AQ211+AR211-AS211-AT211,2)</f>
        <v/>
      </c>
      <c r="AV211">
        <f>AP211-AT211</f>
        <v/>
      </c>
      <c r="AW211" s="42">
        <f>BA210</f>
        <v/>
      </c>
      <c r="AX211" s="42">
        <f>ROUND(AW211*AX$6/12,2)</f>
        <v/>
      </c>
      <c r="AY211" s="42">
        <f>MIN(AY$6,AW211+AX211)</f>
        <v/>
      </c>
      <c r="AZ211" s="42">
        <f>MAX(0,MIN(AW211+AX211-AY211,AV211))</f>
        <v/>
      </c>
      <c r="BA211" s="42">
        <f>ROUND(AW211+AX211-AY211-AZ211,2)</f>
        <v/>
      </c>
      <c r="BB211">
        <f>AV211-AZ211</f>
        <v/>
      </c>
      <c r="BC211" s="42">
        <f>BG210</f>
        <v/>
      </c>
      <c r="BD211" s="42">
        <f>ROUND(BC211*BD$6/12,2)</f>
        <v/>
      </c>
      <c r="BE211" s="42">
        <f>MIN(BE$6,BC211+BD211)</f>
        <v/>
      </c>
      <c r="BF211" s="42">
        <f>MAX(0,MIN(BC211+BD211-BE211,BB211))</f>
        <v/>
      </c>
      <c r="BG211" s="42">
        <f>ROUND(BC211+BD211-BE211-BF211,2)</f>
        <v/>
      </c>
      <c r="BH211">
        <f>BB211-BF211</f>
        <v/>
      </c>
      <c r="BI211" s="42">
        <f>BM210</f>
        <v/>
      </c>
      <c r="BJ211" s="42">
        <f>ROUND(BI211*BJ$6/12,2)</f>
        <v/>
      </c>
      <c r="BK211" s="42">
        <f>MIN(BK$6,BI211+BJ211)</f>
        <v/>
      </c>
      <c r="BL211" s="42">
        <f>MAX(0,MIN(BI211+BJ211-BK211,BH211))</f>
        <v/>
      </c>
      <c r="BM211" s="42">
        <f>ROUND(BI211+BJ211-BK211-BL211,2)</f>
        <v/>
      </c>
      <c r="BN211">
        <f>BH211-BL211</f>
        <v/>
      </c>
    </row>
    <row r="212">
      <c r="A212" s="39" t="n">
        <v>205</v>
      </c>
      <c r="B212" s="40">
        <f>EDATE('My Debts'!$C$6,A212-1)</f>
        <v/>
      </c>
      <c r="C212" s="41">
        <f>K212+Q212+W212+AC212+AI212+AO212+AU212+BA212+BG212+BM212</f>
        <v/>
      </c>
      <c r="D212" s="42">
        <f>I212+O212+U212+AA212+AG212+AM212+AS212+AY212+BE212+BK212+J212+P212+V212+AB212+AH212+AN212+AT212+AZ212+BF212+BL212</f>
        <v/>
      </c>
      <c r="E212" s="42">
        <f>H212+N212+T212+Z212+AF212+AL212+AR212+AX212+BD212+BJ212</f>
        <v/>
      </c>
      <c r="F212">
        <f>MAX(0,'My Debts'!$E$21-(I212+O212+U212+AA212+AG212+AM212+AS212+AY212+BE212+BK212))</f>
        <v/>
      </c>
      <c r="G212" s="42">
        <f>K211</f>
        <v/>
      </c>
      <c r="H212" s="42">
        <f>ROUND(G212*H$6/12,2)</f>
        <v/>
      </c>
      <c r="I212" s="42">
        <f>MIN(I$6,G212+H212)</f>
        <v/>
      </c>
      <c r="J212" s="42">
        <f>MAX(0,MIN(G212+H212-I212,$F212))</f>
        <v/>
      </c>
      <c r="K212" s="42">
        <f>ROUND(G212+H212-I212-J212,2)</f>
        <v/>
      </c>
      <c r="L212">
        <f>$F212-J212</f>
        <v/>
      </c>
      <c r="M212" s="42">
        <f>Q211</f>
        <v/>
      </c>
      <c r="N212" s="42">
        <f>ROUND(M212*N$6/12,2)</f>
        <v/>
      </c>
      <c r="O212" s="42">
        <f>MIN(O$6,M212+N212)</f>
        <v/>
      </c>
      <c r="P212" s="42">
        <f>MAX(0,MIN(M212+N212-O212,L212))</f>
        <v/>
      </c>
      <c r="Q212" s="42">
        <f>ROUND(M212+N212-O212-P212,2)</f>
        <v/>
      </c>
      <c r="R212">
        <f>L212-P212</f>
        <v/>
      </c>
      <c r="S212" s="42">
        <f>W211</f>
        <v/>
      </c>
      <c r="T212" s="42">
        <f>ROUND(S212*T$6/12,2)</f>
        <v/>
      </c>
      <c r="U212" s="42">
        <f>MIN(U$6,S212+T212)</f>
        <v/>
      </c>
      <c r="V212" s="42">
        <f>MAX(0,MIN(S212+T212-U212,R212))</f>
        <v/>
      </c>
      <c r="W212" s="42">
        <f>ROUND(S212+T212-U212-V212,2)</f>
        <v/>
      </c>
      <c r="X212">
        <f>R212-V212</f>
        <v/>
      </c>
      <c r="Y212" s="42">
        <f>AC211</f>
        <v/>
      </c>
      <c r="Z212" s="42">
        <f>ROUND(Y212*Z$6/12,2)</f>
        <v/>
      </c>
      <c r="AA212" s="42">
        <f>MIN(AA$6,Y212+Z212)</f>
        <v/>
      </c>
      <c r="AB212" s="42">
        <f>MAX(0,MIN(Y212+Z212-AA212,X212))</f>
        <v/>
      </c>
      <c r="AC212" s="42">
        <f>ROUND(Y212+Z212-AA212-AB212,2)</f>
        <v/>
      </c>
      <c r="AD212">
        <f>X212-AB212</f>
        <v/>
      </c>
      <c r="AE212" s="42">
        <f>AI211</f>
        <v/>
      </c>
      <c r="AF212" s="42">
        <f>ROUND(AE212*AF$6/12,2)</f>
        <v/>
      </c>
      <c r="AG212" s="42">
        <f>MIN(AG$6,AE212+AF212)</f>
        <v/>
      </c>
      <c r="AH212" s="42">
        <f>MAX(0,MIN(AE212+AF212-AG212,AD212))</f>
        <v/>
      </c>
      <c r="AI212" s="42">
        <f>ROUND(AE212+AF212-AG212-AH212,2)</f>
        <v/>
      </c>
      <c r="AJ212">
        <f>AD212-AH212</f>
        <v/>
      </c>
      <c r="AK212" s="42">
        <f>AO211</f>
        <v/>
      </c>
      <c r="AL212" s="42">
        <f>ROUND(AK212*AL$6/12,2)</f>
        <v/>
      </c>
      <c r="AM212" s="42">
        <f>MIN(AM$6,AK212+AL212)</f>
        <v/>
      </c>
      <c r="AN212" s="42">
        <f>MAX(0,MIN(AK212+AL212-AM212,AJ212))</f>
        <v/>
      </c>
      <c r="AO212" s="42">
        <f>ROUND(AK212+AL212-AM212-AN212,2)</f>
        <v/>
      </c>
      <c r="AP212">
        <f>AJ212-AN212</f>
        <v/>
      </c>
      <c r="AQ212" s="42">
        <f>AU211</f>
        <v/>
      </c>
      <c r="AR212" s="42">
        <f>ROUND(AQ212*AR$6/12,2)</f>
        <v/>
      </c>
      <c r="AS212" s="42">
        <f>MIN(AS$6,AQ212+AR212)</f>
        <v/>
      </c>
      <c r="AT212" s="42">
        <f>MAX(0,MIN(AQ212+AR212-AS212,AP212))</f>
        <v/>
      </c>
      <c r="AU212" s="42">
        <f>ROUND(AQ212+AR212-AS212-AT212,2)</f>
        <v/>
      </c>
      <c r="AV212">
        <f>AP212-AT212</f>
        <v/>
      </c>
      <c r="AW212" s="42">
        <f>BA211</f>
        <v/>
      </c>
      <c r="AX212" s="42">
        <f>ROUND(AW212*AX$6/12,2)</f>
        <v/>
      </c>
      <c r="AY212" s="42">
        <f>MIN(AY$6,AW212+AX212)</f>
        <v/>
      </c>
      <c r="AZ212" s="42">
        <f>MAX(0,MIN(AW212+AX212-AY212,AV212))</f>
        <v/>
      </c>
      <c r="BA212" s="42">
        <f>ROUND(AW212+AX212-AY212-AZ212,2)</f>
        <v/>
      </c>
      <c r="BB212">
        <f>AV212-AZ212</f>
        <v/>
      </c>
      <c r="BC212" s="42">
        <f>BG211</f>
        <v/>
      </c>
      <c r="BD212" s="42">
        <f>ROUND(BC212*BD$6/12,2)</f>
        <v/>
      </c>
      <c r="BE212" s="42">
        <f>MIN(BE$6,BC212+BD212)</f>
        <v/>
      </c>
      <c r="BF212" s="42">
        <f>MAX(0,MIN(BC212+BD212-BE212,BB212))</f>
        <v/>
      </c>
      <c r="BG212" s="42">
        <f>ROUND(BC212+BD212-BE212-BF212,2)</f>
        <v/>
      </c>
      <c r="BH212">
        <f>BB212-BF212</f>
        <v/>
      </c>
      <c r="BI212" s="42">
        <f>BM211</f>
        <v/>
      </c>
      <c r="BJ212" s="42">
        <f>ROUND(BI212*BJ$6/12,2)</f>
        <v/>
      </c>
      <c r="BK212" s="42">
        <f>MIN(BK$6,BI212+BJ212)</f>
        <v/>
      </c>
      <c r="BL212" s="42">
        <f>MAX(0,MIN(BI212+BJ212-BK212,BH212))</f>
        <v/>
      </c>
      <c r="BM212" s="42">
        <f>ROUND(BI212+BJ212-BK212-BL212,2)</f>
        <v/>
      </c>
      <c r="BN212">
        <f>BH212-BL212</f>
        <v/>
      </c>
    </row>
    <row r="213">
      <c r="A213" s="43" t="n">
        <v>206</v>
      </c>
      <c r="B213" s="44">
        <f>EDATE('My Debts'!$C$6,A213-1)</f>
        <v/>
      </c>
      <c r="C213" s="45">
        <f>K213+Q213+W213+AC213+AI213+AO213+AU213+BA213+BG213+BM213</f>
        <v/>
      </c>
      <c r="D213" s="46">
        <f>I213+O213+U213+AA213+AG213+AM213+AS213+AY213+BE213+BK213+J213+P213+V213+AB213+AH213+AN213+AT213+AZ213+BF213+BL213</f>
        <v/>
      </c>
      <c r="E213" s="46">
        <f>H213+N213+T213+Z213+AF213+AL213+AR213+AX213+BD213+BJ213</f>
        <v/>
      </c>
      <c r="F213">
        <f>MAX(0,'My Debts'!$E$21-(I213+O213+U213+AA213+AG213+AM213+AS213+AY213+BE213+BK213))</f>
        <v/>
      </c>
      <c r="G213" s="42">
        <f>K212</f>
        <v/>
      </c>
      <c r="H213" s="42">
        <f>ROUND(G213*H$6/12,2)</f>
        <v/>
      </c>
      <c r="I213" s="42">
        <f>MIN(I$6,G213+H213)</f>
        <v/>
      </c>
      <c r="J213" s="42">
        <f>MAX(0,MIN(G213+H213-I213,$F213))</f>
        <v/>
      </c>
      <c r="K213" s="42">
        <f>ROUND(G213+H213-I213-J213,2)</f>
        <v/>
      </c>
      <c r="L213">
        <f>$F213-J213</f>
        <v/>
      </c>
      <c r="M213" s="42">
        <f>Q212</f>
        <v/>
      </c>
      <c r="N213" s="42">
        <f>ROUND(M213*N$6/12,2)</f>
        <v/>
      </c>
      <c r="O213" s="42">
        <f>MIN(O$6,M213+N213)</f>
        <v/>
      </c>
      <c r="P213" s="42">
        <f>MAX(0,MIN(M213+N213-O213,L213))</f>
        <v/>
      </c>
      <c r="Q213" s="42">
        <f>ROUND(M213+N213-O213-P213,2)</f>
        <v/>
      </c>
      <c r="R213">
        <f>L213-P213</f>
        <v/>
      </c>
      <c r="S213" s="42">
        <f>W212</f>
        <v/>
      </c>
      <c r="T213" s="42">
        <f>ROUND(S213*T$6/12,2)</f>
        <v/>
      </c>
      <c r="U213" s="42">
        <f>MIN(U$6,S213+T213)</f>
        <v/>
      </c>
      <c r="V213" s="42">
        <f>MAX(0,MIN(S213+T213-U213,R213))</f>
        <v/>
      </c>
      <c r="W213" s="42">
        <f>ROUND(S213+T213-U213-V213,2)</f>
        <v/>
      </c>
      <c r="X213">
        <f>R213-V213</f>
        <v/>
      </c>
      <c r="Y213" s="42">
        <f>AC212</f>
        <v/>
      </c>
      <c r="Z213" s="42">
        <f>ROUND(Y213*Z$6/12,2)</f>
        <v/>
      </c>
      <c r="AA213" s="42">
        <f>MIN(AA$6,Y213+Z213)</f>
        <v/>
      </c>
      <c r="AB213" s="42">
        <f>MAX(0,MIN(Y213+Z213-AA213,X213))</f>
        <v/>
      </c>
      <c r="AC213" s="42">
        <f>ROUND(Y213+Z213-AA213-AB213,2)</f>
        <v/>
      </c>
      <c r="AD213">
        <f>X213-AB213</f>
        <v/>
      </c>
      <c r="AE213" s="42">
        <f>AI212</f>
        <v/>
      </c>
      <c r="AF213" s="42">
        <f>ROUND(AE213*AF$6/12,2)</f>
        <v/>
      </c>
      <c r="AG213" s="42">
        <f>MIN(AG$6,AE213+AF213)</f>
        <v/>
      </c>
      <c r="AH213" s="42">
        <f>MAX(0,MIN(AE213+AF213-AG213,AD213))</f>
        <v/>
      </c>
      <c r="AI213" s="42">
        <f>ROUND(AE213+AF213-AG213-AH213,2)</f>
        <v/>
      </c>
      <c r="AJ213">
        <f>AD213-AH213</f>
        <v/>
      </c>
      <c r="AK213" s="42">
        <f>AO212</f>
        <v/>
      </c>
      <c r="AL213" s="42">
        <f>ROUND(AK213*AL$6/12,2)</f>
        <v/>
      </c>
      <c r="AM213" s="42">
        <f>MIN(AM$6,AK213+AL213)</f>
        <v/>
      </c>
      <c r="AN213" s="42">
        <f>MAX(0,MIN(AK213+AL213-AM213,AJ213))</f>
        <v/>
      </c>
      <c r="AO213" s="42">
        <f>ROUND(AK213+AL213-AM213-AN213,2)</f>
        <v/>
      </c>
      <c r="AP213">
        <f>AJ213-AN213</f>
        <v/>
      </c>
      <c r="AQ213" s="42">
        <f>AU212</f>
        <v/>
      </c>
      <c r="AR213" s="42">
        <f>ROUND(AQ213*AR$6/12,2)</f>
        <v/>
      </c>
      <c r="AS213" s="42">
        <f>MIN(AS$6,AQ213+AR213)</f>
        <v/>
      </c>
      <c r="AT213" s="42">
        <f>MAX(0,MIN(AQ213+AR213-AS213,AP213))</f>
        <v/>
      </c>
      <c r="AU213" s="42">
        <f>ROUND(AQ213+AR213-AS213-AT213,2)</f>
        <v/>
      </c>
      <c r="AV213">
        <f>AP213-AT213</f>
        <v/>
      </c>
      <c r="AW213" s="42">
        <f>BA212</f>
        <v/>
      </c>
      <c r="AX213" s="42">
        <f>ROUND(AW213*AX$6/12,2)</f>
        <v/>
      </c>
      <c r="AY213" s="42">
        <f>MIN(AY$6,AW213+AX213)</f>
        <v/>
      </c>
      <c r="AZ213" s="42">
        <f>MAX(0,MIN(AW213+AX213-AY213,AV213))</f>
        <v/>
      </c>
      <c r="BA213" s="42">
        <f>ROUND(AW213+AX213-AY213-AZ213,2)</f>
        <v/>
      </c>
      <c r="BB213">
        <f>AV213-AZ213</f>
        <v/>
      </c>
      <c r="BC213" s="42">
        <f>BG212</f>
        <v/>
      </c>
      <c r="BD213" s="42">
        <f>ROUND(BC213*BD$6/12,2)</f>
        <v/>
      </c>
      <c r="BE213" s="42">
        <f>MIN(BE$6,BC213+BD213)</f>
        <v/>
      </c>
      <c r="BF213" s="42">
        <f>MAX(0,MIN(BC213+BD213-BE213,BB213))</f>
        <v/>
      </c>
      <c r="BG213" s="42">
        <f>ROUND(BC213+BD213-BE213-BF213,2)</f>
        <v/>
      </c>
      <c r="BH213">
        <f>BB213-BF213</f>
        <v/>
      </c>
      <c r="BI213" s="42">
        <f>BM212</f>
        <v/>
      </c>
      <c r="BJ213" s="42">
        <f>ROUND(BI213*BJ$6/12,2)</f>
        <v/>
      </c>
      <c r="BK213" s="42">
        <f>MIN(BK$6,BI213+BJ213)</f>
        <v/>
      </c>
      <c r="BL213" s="42">
        <f>MAX(0,MIN(BI213+BJ213-BK213,BH213))</f>
        <v/>
      </c>
      <c r="BM213" s="42">
        <f>ROUND(BI213+BJ213-BK213-BL213,2)</f>
        <v/>
      </c>
      <c r="BN213">
        <f>BH213-BL213</f>
        <v/>
      </c>
    </row>
    <row r="214">
      <c r="A214" s="39" t="n">
        <v>207</v>
      </c>
      <c r="B214" s="40">
        <f>EDATE('My Debts'!$C$6,A214-1)</f>
        <v/>
      </c>
      <c r="C214" s="41">
        <f>K214+Q214+W214+AC214+AI214+AO214+AU214+BA214+BG214+BM214</f>
        <v/>
      </c>
      <c r="D214" s="42">
        <f>I214+O214+U214+AA214+AG214+AM214+AS214+AY214+BE214+BK214+J214+P214+V214+AB214+AH214+AN214+AT214+AZ214+BF214+BL214</f>
        <v/>
      </c>
      <c r="E214" s="42">
        <f>H214+N214+T214+Z214+AF214+AL214+AR214+AX214+BD214+BJ214</f>
        <v/>
      </c>
      <c r="F214">
        <f>MAX(0,'My Debts'!$E$21-(I214+O214+U214+AA214+AG214+AM214+AS214+AY214+BE214+BK214))</f>
        <v/>
      </c>
      <c r="G214" s="42">
        <f>K213</f>
        <v/>
      </c>
      <c r="H214" s="42">
        <f>ROUND(G214*H$6/12,2)</f>
        <v/>
      </c>
      <c r="I214" s="42">
        <f>MIN(I$6,G214+H214)</f>
        <v/>
      </c>
      <c r="J214" s="42">
        <f>MAX(0,MIN(G214+H214-I214,$F214))</f>
        <v/>
      </c>
      <c r="K214" s="42">
        <f>ROUND(G214+H214-I214-J214,2)</f>
        <v/>
      </c>
      <c r="L214">
        <f>$F214-J214</f>
        <v/>
      </c>
      <c r="M214" s="42">
        <f>Q213</f>
        <v/>
      </c>
      <c r="N214" s="42">
        <f>ROUND(M214*N$6/12,2)</f>
        <v/>
      </c>
      <c r="O214" s="42">
        <f>MIN(O$6,M214+N214)</f>
        <v/>
      </c>
      <c r="P214" s="42">
        <f>MAX(0,MIN(M214+N214-O214,L214))</f>
        <v/>
      </c>
      <c r="Q214" s="42">
        <f>ROUND(M214+N214-O214-P214,2)</f>
        <v/>
      </c>
      <c r="R214">
        <f>L214-P214</f>
        <v/>
      </c>
      <c r="S214" s="42">
        <f>W213</f>
        <v/>
      </c>
      <c r="T214" s="42">
        <f>ROUND(S214*T$6/12,2)</f>
        <v/>
      </c>
      <c r="U214" s="42">
        <f>MIN(U$6,S214+T214)</f>
        <v/>
      </c>
      <c r="V214" s="42">
        <f>MAX(0,MIN(S214+T214-U214,R214))</f>
        <v/>
      </c>
      <c r="W214" s="42">
        <f>ROUND(S214+T214-U214-V214,2)</f>
        <v/>
      </c>
      <c r="X214">
        <f>R214-V214</f>
        <v/>
      </c>
      <c r="Y214" s="42">
        <f>AC213</f>
        <v/>
      </c>
      <c r="Z214" s="42">
        <f>ROUND(Y214*Z$6/12,2)</f>
        <v/>
      </c>
      <c r="AA214" s="42">
        <f>MIN(AA$6,Y214+Z214)</f>
        <v/>
      </c>
      <c r="AB214" s="42">
        <f>MAX(0,MIN(Y214+Z214-AA214,X214))</f>
        <v/>
      </c>
      <c r="AC214" s="42">
        <f>ROUND(Y214+Z214-AA214-AB214,2)</f>
        <v/>
      </c>
      <c r="AD214">
        <f>X214-AB214</f>
        <v/>
      </c>
      <c r="AE214" s="42">
        <f>AI213</f>
        <v/>
      </c>
      <c r="AF214" s="42">
        <f>ROUND(AE214*AF$6/12,2)</f>
        <v/>
      </c>
      <c r="AG214" s="42">
        <f>MIN(AG$6,AE214+AF214)</f>
        <v/>
      </c>
      <c r="AH214" s="42">
        <f>MAX(0,MIN(AE214+AF214-AG214,AD214))</f>
        <v/>
      </c>
      <c r="AI214" s="42">
        <f>ROUND(AE214+AF214-AG214-AH214,2)</f>
        <v/>
      </c>
      <c r="AJ214">
        <f>AD214-AH214</f>
        <v/>
      </c>
      <c r="AK214" s="42">
        <f>AO213</f>
        <v/>
      </c>
      <c r="AL214" s="42">
        <f>ROUND(AK214*AL$6/12,2)</f>
        <v/>
      </c>
      <c r="AM214" s="42">
        <f>MIN(AM$6,AK214+AL214)</f>
        <v/>
      </c>
      <c r="AN214" s="42">
        <f>MAX(0,MIN(AK214+AL214-AM214,AJ214))</f>
        <v/>
      </c>
      <c r="AO214" s="42">
        <f>ROUND(AK214+AL214-AM214-AN214,2)</f>
        <v/>
      </c>
      <c r="AP214">
        <f>AJ214-AN214</f>
        <v/>
      </c>
      <c r="AQ214" s="42">
        <f>AU213</f>
        <v/>
      </c>
      <c r="AR214" s="42">
        <f>ROUND(AQ214*AR$6/12,2)</f>
        <v/>
      </c>
      <c r="AS214" s="42">
        <f>MIN(AS$6,AQ214+AR214)</f>
        <v/>
      </c>
      <c r="AT214" s="42">
        <f>MAX(0,MIN(AQ214+AR214-AS214,AP214))</f>
        <v/>
      </c>
      <c r="AU214" s="42">
        <f>ROUND(AQ214+AR214-AS214-AT214,2)</f>
        <v/>
      </c>
      <c r="AV214">
        <f>AP214-AT214</f>
        <v/>
      </c>
      <c r="AW214" s="42">
        <f>BA213</f>
        <v/>
      </c>
      <c r="AX214" s="42">
        <f>ROUND(AW214*AX$6/12,2)</f>
        <v/>
      </c>
      <c r="AY214" s="42">
        <f>MIN(AY$6,AW214+AX214)</f>
        <v/>
      </c>
      <c r="AZ214" s="42">
        <f>MAX(0,MIN(AW214+AX214-AY214,AV214))</f>
        <v/>
      </c>
      <c r="BA214" s="42">
        <f>ROUND(AW214+AX214-AY214-AZ214,2)</f>
        <v/>
      </c>
      <c r="BB214">
        <f>AV214-AZ214</f>
        <v/>
      </c>
      <c r="BC214" s="42">
        <f>BG213</f>
        <v/>
      </c>
      <c r="BD214" s="42">
        <f>ROUND(BC214*BD$6/12,2)</f>
        <v/>
      </c>
      <c r="BE214" s="42">
        <f>MIN(BE$6,BC214+BD214)</f>
        <v/>
      </c>
      <c r="BF214" s="42">
        <f>MAX(0,MIN(BC214+BD214-BE214,BB214))</f>
        <v/>
      </c>
      <c r="BG214" s="42">
        <f>ROUND(BC214+BD214-BE214-BF214,2)</f>
        <v/>
      </c>
      <c r="BH214">
        <f>BB214-BF214</f>
        <v/>
      </c>
      <c r="BI214" s="42">
        <f>BM213</f>
        <v/>
      </c>
      <c r="BJ214" s="42">
        <f>ROUND(BI214*BJ$6/12,2)</f>
        <v/>
      </c>
      <c r="BK214" s="42">
        <f>MIN(BK$6,BI214+BJ214)</f>
        <v/>
      </c>
      <c r="BL214" s="42">
        <f>MAX(0,MIN(BI214+BJ214-BK214,BH214))</f>
        <v/>
      </c>
      <c r="BM214" s="42">
        <f>ROUND(BI214+BJ214-BK214-BL214,2)</f>
        <v/>
      </c>
      <c r="BN214">
        <f>BH214-BL214</f>
        <v/>
      </c>
    </row>
    <row r="215">
      <c r="A215" s="43" t="n">
        <v>208</v>
      </c>
      <c r="B215" s="44">
        <f>EDATE('My Debts'!$C$6,A215-1)</f>
        <v/>
      </c>
      <c r="C215" s="45">
        <f>K215+Q215+W215+AC215+AI215+AO215+AU215+BA215+BG215+BM215</f>
        <v/>
      </c>
      <c r="D215" s="46">
        <f>I215+O215+U215+AA215+AG215+AM215+AS215+AY215+BE215+BK215+J215+P215+V215+AB215+AH215+AN215+AT215+AZ215+BF215+BL215</f>
        <v/>
      </c>
      <c r="E215" s="46">
        <f>H215+N215+T215+Z215+AF215+AL215+AR215+AX215+BD215+BJ215</f>
        <v/>
      </c>
      <c r="F215">
        <f>MAX(0,'My Debts'!$E$21-(I215+O215+U215+AA215+AG215+AM215+AS215+AY215+BE215+BK215))</f>
        <v/>
      </c>
      <c r="G215" s="42">
        <f>K214</f>
        <v/>
      </c>
      <c r="H215" s="42">
        <f>ROUND(G215*H$6/12,2)</f>
        <v/>
      </c>
      <c r="I215" s="42">
        <f>MIN(I$6,G215+H215)</f>
        <v/>
      </c>
      <c r="J215" s="42">
        <f>MAX(0,MIN(G215+H215-I215,$F215))</f>
        <v/>
      </c>
      <c r="K215" s="42">
        <f>ROUND(G215+H215-I215-J215,2)</f>
        <v/>
      </c>
      <c r="L215">
        <f>$F215-J215</f>
        <v/>
      </c>
      <c r="M215" s="42">
        <f>Q214</f>
        <v/>
      </c>
      <c r="N215" s="42">
        <f>ROUND(M215*N$6/12,2)</f>
        <v/>
      </c>
      <c r="O215" s="42">
        <f>MIN(O$6,M215+N215)</f>
        <v/>
      </c>
      <c r="P215" s="42">
        <f>MAX(0,MIN(M215+N215-O215,L215))</f>
        <v/>
      </c>
      <c r="Q215" s="42">
        <f>ROUND(M215+N215-O215-P215,2)</f>
        <v/>
      </c>
      <c r="R215">
        <f>L215-P215</f>
        <v/>
      </c>
      <c r="S215" s="42">
        <f>W214</f>
        <v/>
      </c>
      <c r="T215" s="42">
        <f>ROUND(S215*T$6/12,2)</f>
        <v/>
      </c>
      <c r="U215" s="42">
        <f>MIN(U$6,S215+T215)</f>
        <v/>
      </c>
      <c r="V215" s="42">
        <f>MAX(0,MIN(S215+T215-U215,R215))</f>
        <v/>
      </c>
      <c r="W215" s="42">
        <f>ROUND(S215+T215-U215-V215,2)</f>
        <v/>
      </c>
      <c r="X215">
        <f>R215-V215</f>
        <v/>
      </c>
      <c r="Y215" s="42">
        <f>AC214</f>
        <v/>
      </c>
      <c r="Z215" s="42">
        <f>ROUND(Y215*Z$6/12,2)</f>
        <v/>
      </c>
      <c r="AA215" s="42">
        <f>MIN(AA$6,Y215+Z215)</f>
        <v/>
      </c>
      <c r="AB215" s="42">
        <f>MAX(0,MIN(Y215+Z215-AA215,X215))</f>
        <v/>
      </c>
      <c r="AC215" s="42">
        <f>ROUND(Y215+Z215-AA215-AB215,2)</f>
        <v/>
      </c>
      <c r="AD215">
        <f>X215-AB215</f>
        <v/>
      </c>
      <c r="AE215" s="42">
        <f>AI214</f>
        <v/>
      </c>
      <c r="AF215" s="42">
        <f>ROUND(AE215*AF$6/12,2)</f>
        <v/>
      </c>
      <c r="AG215" s="42">
        <f>MIN(AG$6,AE215+AF215)</f>
        <v/>
      </c>
      <c r="AH215" s="42">
        <f>MAX(0,MIN(AE215+AF215-AG215,AD215))</f>
        <v/>
      </c>
      <c r="AI215" s="42">
        <f>ROUND(AE215+AF215-AG215-AH215,2)</f>
        <v/>
      </c>
      <c r="AJ215">
        <f>AD215-AH215</f>
        <v/>
      </c>
      <c r="AK215" s="42">
        <f>AO214</f>
        <v/>
      </c>
      <c r="AL215" s="42">
        <f>ROUND(AK215*AL$6/12,2)</f>
        <v/>
      </c>
      <c r="AM215" s="42">
        <f>MIN(AM$6,AK215+AL215)</f>
        <v/>
      </c>
      <c r="AN215" s="42">
        <f>MAX(0,MIN(AK215+AL215-AM215,AJ215))</f>
        <v/>
      </c>
      <c r="AO215" s="42">
        <f>ROUND(AK215+AL215-AM215-AN215,2)</f>
        <v/>
      </c>
      <c r="AP215">
        <f>AJ215-AN215</f>
        <v/>
      </c>
      <c r="AQ215" s="42">
        <f>AU214</f>
        <v/>
      </c>
      <c r="AR215" s="42">
        <f>ROUND(AQ215*AR$6/12,2)</f>
        <v/>
      </c>
      <c r="AS215" s="42">
        <f>MIN(AS$6,AQ215+AR215)</f>
        <v/>
      </c>
      <c r="AT215" s="42">
        <f>MAX(0,MIN(AQ215+AR215-AS215,AP215))</f>
        <v/>
      </c>
      <c r="AU215" s="42">
        <f>ROUND(AQ215+AR215-AS215-AT215,2)</f>
        <v/>
      </c>
      <c r="AV215">
        <f>AP215-AT215</f>
        <v/>
      </c>
      <c r="AW215" s="42">
        <f>BA214</f>
        <v/>
      </c>
      <c r="AX215" s="42">
        <f>ROUND(AW215*AX$6/12,2)</f>
        <v/>
      </c>
      <c r="AY215" s="42">
        <f>MIN(AY$6,AW215+AX215)</f>
        <v/>
      </c>
      <c r="AZ215" s="42">
        <f>MAX(0,MIN(AW215+AX215-AY215,AV215))</f>
        <v/>
      </c>
      <c r="BA215" s="42">
        <f>ROUND(AW215+AX215-AY215-AZ215,2)</f>
        <v/>
      </c>
      <c r="BB215">
        <f>AV215-AZ215</f>
        <v/>
      </c>
      <c r="BC215" s="42">
        <f>BG214</f>
        <v/>
      </c>
      <c r="BD215" s="42">
        <f>ROUND(BC215*BD$6/12,2)</f>
        <v/>
      </c>
      <c r="BE215" s="42">
        <f>MIN(BE$6,BC215+BD215)</f>
        <v/>
      </c>
      <c r="BF215" s="42">
        <f>MAX(0,MIN(BC215+BD215-BE215,BB215))</f>
        <v/>
      </c>
      <c r="BG215" s="42">
        <f>ROUND(BC215+BD215-BE215-BF215,2)</f>
        <v/>
      </c>
      <c r="BH215">
        <f>BB215-BF215</f>
        <v/>
      </c>
      <c r="BI215" s="42">
        <f>BM214</f>
        <v/>
      </c>
      <c r="BJ215" s="42">
        <f>ROUND(BI215*BJ$6/12,2)</f>
        <v/>
      </c>
      <c r="BK215" s="42">
        <f>MIN(BK$6,BI215+BJ215)</f>
        <v/>
      </c>
      <c r="BL215" s="42">
        <f>MAX(0,MIN(BI215+BJ215-BK215,BH215))</f>
        <v/>
      </c>
      <c r="BM215" s="42">
        <f>ROUND(BI215+BJ215-BK215-BL215,2)</f>
        <v/>
      </c>
      <c r="BN215">
        <f>BH215-BL215</f>
        <v/>
      </c>
    </row>
    <row r="216">
      <c r="A216" s="39" t="n">
        <v>209</v>
      </c>
      <c r="B216" s="40">
        <f>EDATE('My Debts'!$C$6,A216-1)</f>
        <v/>
      </c>
      <c r="C216" s="41">
        <f>K216+Q216+W216+AC216+AI216+AO216+AU216+BA216+BG216+BM216</f>
        <v/>
      </c>
      <c r="D216" s="42">
        <f>I216+O216+U216+AA216+AG216+AM216+AS216+AY216+BE216+BK216+J216+P216+V216+AB216+AH216+AN216+AT216+AZ216+BF216+BL216</f>
        <v/>
      </c>
      <c r="E216" s="42">
        <f>H216+N216+T216+Z216+AF216+AL216+AR216+AX216+BD216+BJ216</f>
        <v/>
      </c>
      <c r="F216">
        <f>MAX(0,'My Debts'!$E$21-(I216+O216+U216+AA216+AG216+AM216+AS216+AY216+BE216+BK216))</f>
        <v/>
      </c>
      <c r="G216" s="42">
        <f>K215</f>
        <v/>
      </c>
      <c r="H216" s="42">
        <f>ROUND(G216*H$6/12,2)</f>
        <v/>
      </c>
      <c r="I216" s="42">
        <f>MIN(I$6,G216+H216)</f>
        <v/>
      </c>
      <c r="J216" s="42">
        <f>MAX(0,MIN(G216+H216-I216,$F216))</f>
        <v/>
      </c>
      <c r="K216" s="42">
        <f>ROUND(G216+H216-I216-J216,2)</f>
        <v/>
      </c>
      <c r="L216">
        <f>$F216-J216</f>
        <v/>
      </c>
      <c r="M216" s="42">
        <f>Q215</f>
        <v/>
      </c>
      <c r="N216" s="42">
        <f>ROUND(M216*N$6/12,2)</f>
        <v/>
      </c>
      <c r="O216" s="42">
        <f>MIN(O$6,M216+N216)</f>
        <v/>
      </c>
      <c r="P216" s="42">
        <f>MAX(0,MIN(M216+N216-O216,L216))</f>
        <v/>
      </c>
      <c r="Q216" s="42">
        <f>ROUND(M216+N216-O216-P216,2)</f>
        <v/>
      </c>
      <c r="R216">
        <f>L216-P216</f>
        <v/>
      </c>
      <c r="S216" s="42">
        <f>W215</f>
        <v/>
      </c>
      <c r="T216" s="42">
        <f>ROUND(S216*T$6/12,2)</f>
        <v/>
      </c>
      <c r="U216" s="42">
        <f>MIN(U$6,S216+T216)</f>
        <v/>
      </c>
      <c r="V216" s="42">
        <f>MAX(0,MIN(S216+T216-U216,R216))</f>
        <v/>
      </c>
      <c r="W216" s="42">
        <f>ROUND(S216+T216-U216-V216,2)</f>
        <v/>
      </c>
      <c r="X216">
        <f>R216-V216</f>
        <v/>
      </c>
      <c r="Y216" s="42">
        <f>AC215</f>
        <v/>
      </c>
      <c r="Z216" s="42">
        <f>ROUND(Y216*Z$6/12,2)</f>
        <v/>
      </c>
      <c r="AA216" s="42">
        <f>MIN(AA$6,Y216+Z216)</f>
        <v/>
      </c>
      <c r="AB216" s="42">
        <f>MAX(0,MIN(Y216+Z216-AA216,X216))</f>
        <v/>
      </c>
      <c r="AC216" s="42">
        <f>ROUND(Y216+Z216-AA216-AB216,2)</f>
        <v/>
      </c>
      <c r="AD216">
        <f>X216-AB216</f>
        <v/>
      </c>
      <c r="AE216" s="42">
        <f>AI215</f>
        <v/>
      </c>
      <c r="AF216" s="42">
        <f>ROUND(AE216*AF$6/12,2)</f>
        <v/>
      </c>
      <c r="AG216" s="42">
        <f>MIN(AG$6,AE216+AF216)</f>
        <v/>
      </c>
      <c r="AH216" s="42">
        <f>MAX(0,MIN(AE216+AF216-AG216,AD216))</f>
        <v/>
      </c>
      <c r="AI216" s="42">
        <f>ROUND(AE216+AF216-AG216-AH216,2)</f>
        <v/>
      </c>
      <c r="AJ216">
        <f>AD216-AH216</f>
        <v/>
      </c>
      <c r="AK216" s="42">
        <f>AO215</f>
        <v/>
      </c>
      <c r="AL216" s="42">
        <f>ROUND(AK216*AL$6/12,2)</f>
        <v/>
      </c>
      <c r="AM216" s="42">
        <f>MIN(AM$6,AK216+AL216)</f>
        <v/>
      </c>
      <c r="AN216" s="42">
        <f>MAX(0,MIN(AK216+AL216-AM216,AJ216))</f>
        <v/>
      </c>
      <c r="AO216" s="42">
        <f>ROUND(AK216+AL216-AM216-AN216,2)</f>
        <v/>
      </c>
      <c r="AP216">
        <f>AJ216-AN216</f>
        <v/>
      </c>
      <c r="AQ216" s="42">
        <f>AU215</f>
        <v/>
      </c>
      <c r="AR216" s="42">
        <f>ROUND(AQ216*AR$6/12,2)</f>
        <v/>
      </c>
      <c r="AS216" s="42">
        <f>MIN(AS$6,AQ216+AR216)</f>
        <v/>
      </c>
      <c r="AT216" s="42">
        <f>MAX(0,MIN(AQ216+AR216-AS216,AP216))</f>
        <v/>
      </c>
      <c r="AU216" s="42">
        <f>ROUND(AQ216+AR216-AS216-AT216,2)</f>
        <v/>
      </c>
      <c r="AV216">
        <f>AP216-AT216</f>
        <v/>
      </c>
      <c r="AW216" s="42">
        <f>BA215</f>
        <v/>
      </c>
      <c r="AX216" s="42">
        <f>ROUND(AW216*AX$6/12,2)</f>
        <v/>
      </c>
      <c r="AY216" s="42">
        <f>MIN(AY$6,AW216+AX216)</f>
        <v/>
      </c>
      <c r="AZ216" s="42">
        <f>MAX(0,MIN(AW216+AX216-AY216,AV216))</f>
        <v/>
      </c>
      <c r="BA216" s="42">
        <f>ROUND(AW216+AX216-AY216-AZ216,2)</f>
        <v/>
      </c>
      <c r="BB216">
        <f>AV216-AZ216</f>
        <v/>
      </c>
      <c r="BC216" s="42">
        <f>BG215</f>
        <v/>
      </c>
      <c r="BD216" s="42">
        <f>ROUND(BC216*BD$6/12,2)</f>
        <v/>
      </c>
      <c r="BE216" s="42">
        <f>MIN(BE$6,BC216+BD216)</f>
        <v/>
      </c>
      <c r="BF216" s="42">
        <f>MAX(0,MIN(BC216+BD216-BE216,BB216))</f>
        <v/>
      </c>
      <c r="BG216" s="42">
        <f>ROUND(BC216+BD216-BE216-BF216,2)</f>
        <v/>
      </c>
      <c r="BH216">
        <f>BB216-BF216</f>
        <v/>
      </c>
      <c r="BI216" s="42">
        <f>BM215</f>
        <v/>
      </c>
      <c r="BJ216" s="42">
        <f>ROUND(BI216*BJ$6/12,2)</f>
        <v/>
      </c>
      <c r="BK216" s="42">
        <f>MIN(BK$6,BI216+BJ216)</f>
        <v/>
      </c>
      <c r="BL216" s="42">
        <f>MAX(0,MIN(BI216+BJ216-BK216,BH216))</f>
        <v/>
      </c>
      <c r="BM216" s="42">
        <f>ROUND(BI216+BJ216-BK216-BL216,2)</f>
        <v/>
      </c>
      <c r="BN216">
        <f>BH216-BL216</f>
        <v/>
      </c>
    </row>
    <row r="217">
      <c r="A217" s="43" t="n">
        <v>210</v>
      </c>
      <c r="B217" s="44">
        <f>EDATE('My Debts'!$C$6,A217-1)</f>
        <v/>
      </c>
      <c r="C217" s="45">
        <f>K217+Q217+W217+AC217+AI217+AO217+AU217+BA217+BG217+BM217</f>
        <v/>
      </c>
      <c r="D217" s="46">
        <f>I217+O217+U217+AA217+AG217+AM217+AS217+AY217+BE217+BK217+J217+P217+V217+AB217+AH217+AN217+AT217+AZ217+BF217+BL217</f>
        <v/>
      </c>
      <c r="E217" s="46">
        <f>H217+N217+T217+Z217+AF217+AL217+AR217+AX217+BD217+BJ217</f>
        <v/>
      </c>
      <c r="F217">
        <f>MAX(0,'My Debts'!$E$21-(I217+O217+U217+AA217+AG217+AM217+AS217+AY217+BE217+BK217))</f>
        <v/>
      </c>
      <c r="G217" s="42">
        <f>K216</f>
        <v/>
      </c>
      <c r="H217" s="42">
        <f>ROUND(G217*H$6/12,2)</f>
        <v/>
      </c>
      <c r="I217" s="42">
        <f>MIN(I$6,G217+H217)</f>
        <v/>
      </c>
      <c r="J217" s="42">
        <f>MAX(0,MIN(G217+H217-I217,$F217))</f>
        <v/>
      </c>
      <c r="K217" s="42">
        <f>ROUND(G217+H217-I217-J217,2)</f>
        <v/>
      </c>
      <c r="L217">
        <f>$F217-J217</f>
        <v/>
      </c>
      <c r="M217" s="42">
        <f>Q216</f>
        <v/>
      </c>
      <c r="N217" s="42">
        <f>ROUND(M217*N$6/12,2)</f>
        <v/>
      </c>
      <c r="O217" s="42">
        <f>MIN(O$6,M217+N217)</f>
        <v/>
      </c>
      <c r="P217" s="42">
        <f>MAX(0,MIN(M217+N217-O217,L217))</f>
        <v/>
      </c>
      <c r="Q217" s="42">
        <f>ROUND(M217+N217-O217-P217,2)</f>
        <v/>
      </c>
      <c r="R217">
        <f>L217-P217</f>
        <v/>
      </c>
      <c r="S217" s="42">
        <f>W216</f>
        <v/>
      </c>
      <c r="T217" s="42">
        <f>ROUND(S217*T$6/12,2)</f>
        <v/>
      </c>
      <c r="U217" s="42">
        <f>MIN(U$6,S217+T217)</f>
        <v/>
      </c>
      <c r="V217" s="42">
        <f>MAX(0,MIN(S217+T217-U217,R217))</f>
        <v/>
      </c>
      <c r="W217" s="42">
        <f>ROUND(S217+T217-U217-V217,2)</f>
        <v/>
      </c>
      <c r="X217">
        <f>R217-V217</f>
        <v/>
      </c>
      <c r="Y217" s="42">
        <f>AC216</f>
        <v/>
      </c>
      <c r="Z217" s="42">
        <f>ROUND(Y217*Z$6/12,2)</f>
        <v/>
      </c>
      <c r="AA217" s="42">
        <f>MIN(AA$6,Y217+Z217)</f>
        <v/>
      </c>
      <c r="AB217" s="42">
        <f>MAX(0,MIN(Y217+Z217-AA217,X217))</f>
        <v/>
      </c>
      <c r="AC217" s="42">
        <f>ROUND(Y217+Z217-AA217-AB217,2)</f>
        <v/>
      </c>
      <c r="AD217">
        <f>X217-AB217</f>
        <v/>
      </c>
      <c r="AE217" s="42">
        <f>AI216</f>
        <v/>
      </c>
      <c r="AF217" s="42">
        <f>ROUND(AE217*AF$6/12,2)</f>
        <v/>
      </c>
      <c r="AG217" s="42">
        <f>MIN(AG$6,AE217+AF217)</f>
        <v/>
      </c>
      <c r="AH217" s="42">
        <f>MAX(0,MIN(AE217+AF217-AG217,AD217))</f>
        <v/>
      </c>
      <c r="AI217" s="42">
        <f>ROUND(AE217+AF217-AG217-AH217,2)</f>
        <v/>
      </c>
      <c r="AJ217">
        <f>AD217-AH217</f>
        <v/>
      </c>
      <c r="AK217" s="42">
        <f>AO216</f>
        <v/>
      </c>
      <c r="AL217" s="42">
        <f>ROUND(AK217*AL$6/12,2)</f>
        <v/>
      </c>
      <c r="AM217" s="42">
        <f>MIN(AM$6,AK217+AL217)</f>
        <v/>
      </c>
      <c r="AN217" s="42">
        <f>MAX(0,MIN(AK217+AL217-AM217,AJ217))</f>
        <v/>
      </c>
      <c r="AO217" s="42">
        <f>ROUND(AK217+AL217-AM217-AN217,2)</f>
        <v/>
      </c>
      <c r="AP217">
        <f>AJ217-AN217</f>
        <v/>
      </c>
      <c r="AQ217" s="42">
        <f>AU216</f>
        <v/>
      </c>
      <c r="AR217" s="42">
        <f>ROUND(AQ217*AR$6/12,2)</f>
        <v/>
      </c>
      <c r="AS217" s="42">
        <f>MIN(AS$6,AQ217+AR217)</f>
        <v/>
      </c>
      <c r="AT217" s="42">
        <f>MAX(0,MIN(AQ217+AR217-AS217,AP217))</f>
        <v/>
      </c>
      <c r="AU217" s="42">
        <f>ROUND(AQ217+AR217-AS217-AT217,2)</f>
        <v/>
      </c>
      <c r="AV217">
        <f>AP217-AT217</f>
        <v/>
      </c>
      <c r="AW217" s="42">
        <f>BA216</f>
        <v/>
      </c>
      <c r="AX217" s="42">
        <f>ROUND(AW217*AX$6/12,2)</f>
        <v/>
      </c>
      <c r="AY217" s="42">
        <f>MIN(AY$6,AW217+AX217)</f>
        <v/>
      </c>
      <c r="AZ217" s="42">
        <f>MAX(0,MIN(AW217+AX217-AY217,AV217))</f>
        <v/>
      </c>
      <c r="BA217" s="42">
        <f>ROUND(AW217+AX217-AY217-AZ217,2)</f>
        <v/>
      </c>
      <c r="BB217">
        <f>AV217-AZ217</f>
        <v/>
      </c>
      <c r="BC217" s="42">
        <f>BG216</f>
        <v/>
      </c>
      <c r="BD217" s="42">
        <f>ROUND(BC217*BD$6/12,2)</f>
        <v/>
      </c>
      <c r="BE217" s="42">
        <f>MIN(BE$6,BC217+BD217)</f>
        <v/>
      </c>
      <c r="BF217" s="42">
        <f>MAX(0,MIN(BC217+BD217-BE217,BB217))</f>
        <v/>
      </c>
      <c r="BG217" s="42">
        <f>ROUND(BC217+BD217-BE217-BF217,2)</f>
        <v/>
      </c>
      <c r="BH217">
        <f>BB217-BF217</f>
        <v/>
      </c>
      <c r="BI217" s="42">
        <f>BM216</f>
        <v/>
      </c>
      <c r="BJ217" s="42">
        <f>ROUND(BI217*BJ$6/12,2)</f>
        <v/>
      </c>
      <c r="BK217" s="42">
        <f>MIN(BK$6,BI217+BJ217)</f>
        <v/>
      </c>
      <c r="BL217" s="42">
        <f>MAX(0,MIN(BI217+BJ217-BK217,BH217))</f>
        <v/>
      </c>
      <c r="BM217" s="42">
        <f>ROUND(BI217+BJ217-BK217-BL217,2)</f>
        <v/>
      </c>
      <c r="BN217">
        <f>BH217-BL217</f>
        <v/>
      </c>
    </row>
    <row r="218">
      <c r="A218" s="39" t="n">
        <v>211</v>
      </c>
      <c r="B218" s="40">
        <f>EDATE('My Debts'!$C$6,A218-1)</f>
        <v/>
      </c>
      <c r="C218" s="41">
        <f>K218+Q218+W218+AC218+AI218+AO218+AU218+BA218+BG218+BM218</f>
        <v/>
      </c>
      <c r="D218" s="42">
        <f>I218+O218+U218+AA218+AG218+AM218+AS218+AY218+BE218+BK218+J218+P218+V218+AB218+AH218+AN218+AT218+AZ218+BF218+BL218</f>
        <v/>
      </c>
      <c r="E218" s="42">
        <f>H218+N218+T218+Z218+AF218+AL218+AR218+AX218+BD218+BJ218</f>
        <v/>
      </c>
      <c r="F218">
        <f>MAX(0,'My Debts'!$E$21-(I218+O218+U218+AA218+AG218+AM218+AS218+AY218+BE218+BK218))</f>
        <v/>
      </c>
      <c r="G218" s="42">
        <f>K217</f>
        <v/>
      </c>
      <c r="H218" s="42">
        <f>ROUND(G218*H$6/12,2)</f>
        <v/>
      </c>
      <c r="I218" s="42">
        <f>MIN(I$6,G218+H218)</f>
        <v/>
      </c>
      <c r="J218" s="42">
        <f>MAX(0,MIN(G218+H218-I218,$F218))</f>
        <v/>
      </c>
      <c r="K218" s="42">
        <f>ROUND(G218+H218-I218-J218,2)</f>
        <v/>
      </c>
      <c r="L218">
        <f>$F218-J218</f>
        <v/>
      </c>
      <c r="M218" s="42">
        <f>Q217</f>
        <v/>
      </c>
      <c r="N218" s="42">
        <f>ROUND(M218*N$6/12,2)</f>
        <v/>
      </c>
      <c r="O218" s="42">
        <f>MIN(O$6,M218+N218)</f>
        <v/>
      </c>
      <c r="P218" s="42">
        <f>MAX(0,MIN(M218+N218-O218,L218))</f>
        <v/>
      </c>
      <c r="Q218" s="42">
        <f>ROUND(M218+N218-O218-P218,2)</f>
        <v/>
      </c>
      <c r="R218">
        <f>L218-P218</f>
        <v/>
      </c>
      <c r="S218" s="42">
        <f>W217</f>
        <v/>
      </c>
      <c r="T218" s="42">
        <f>ROUND(S218*T$6/12,2)</f>
        <v/>
      </c>
      <c r="U218" s="42">
        <f>MIN(U$6,S218+T218)</f>
        <v/>
      </c>
      <c r="V218" s="42">
        <f>MAX(0,MIN(S218+T218-U218,R218))</f>
        <v/>
      </c>
      <c r="W218" s="42">
        <f>ROUND(S218+T218-U218-V218,2)</f>
        <v/>
      </c>
      <c r="X218">
        <f>R218-V218</f>
        <v/>
      </c>
      <c r="Y218" s="42">
        <f>AC217</f>
        <v/>
      </c>
      <c r="Z218" s="42">
        <f>ROUND(Y218*Z$6/12,2)</f>
        <v/>
      </c>
      <c r="AA218" s="42">
        <f>MIN(AA$6,Y218+Z218)</f>
        <v/>
      </c>
      <c r="AB218" s="42">
        <f>MAX(0,MIN(Y218+Z218-AA218,X218))</f>
        <v/>
      </c>
      <c r="AC218" s="42">
        <f>ROUND(Y218+Z218-AA218-AB218,2)</f>
        <v/>
      </c>
      <c r="AD218">
        <f>X218-AB218</f>
        <v/>
      </c>
      <c r="AE218" s="42">
        <f>AI217</f>
        <v/>
      </c>
      <c r="AF218" s="42">
        <f>ROUND(AE218*AF$6/12,2)</f>
        <v/>
      </c>
      <c r="AG218" s="42">
        <f>MIN(AG$6,AE218+AF218)</f>
        <v/>
      </c>
      <c r="AH218" s="42">
        <f>MAX(0,MIN(AE218+AF218-AG218,AD218))</f>
        <v/>
      </c>
      <c r="AI218" s="42">
        <f>ROUND(AE218+AF218-AG218-AH218,2)</f>
        <v/>
      </c>
      <c r="AJ218">
        <f>AD218-AH218</f>
        <v/>
      </c>
      <c r="AK218" s="42">
        <f>AO217</f>
        <v/>
      </c>
      <c r="AL218" s="42">
        <f>ROUND(AK218*AL$6/12,2)</f>
        <v/>
      </c>
      <c r="AM218" s="42">
        <f>MIN(AM$6,AK218+AL218)</f>
        <v/>
      </c>
      <c r="AN218" s="42">
        <f>MAX(0,MIN(AK218+AL218-AM218,AJ218))</f>
        <v/>
      </c>
      <c r="AO218" s="42">
        <f>ROUND(AK218+AL218-AM218-AN218,2)</f>
        <v/>
      </c>
      <c r="AP218">
        <f>AJ218-AN218</f>
        <v/>
      </c>
      <c r="AQ218" s="42">
        <f>AU217</f>
        <v/>
      </c>
      <c r="AR218" s="42">
        <f>ROUND(AQ218*AR$6/12,2)</f>
        <v/>
      </c>
      <c r="AS218" s="42">
        <f>MIN(AS$6,AQ218+AR218)</f>
        <v/>
      </c>
      <c r="AT218" s="42">
        <f>MAX(0,MIN(AQ218+AR218-AS218,AP218))</f>
        <v/>
      </c>
      <c r="AU218" s="42">
        <f>ROUND(AQ218+AR218-AS218-AT218,2)</f>
        <v/>
      </c>
      <c r="AV218">
        <f>AP218-AT218</f>
        <v/>
      </c>
      <c r="AW218" s="42">
        <f>BA217</f>
        <v/>
      </c>
      <c r="AX218" s="42">
        <f>ROUND(AW218*AX$6/12,2)</f>
        <v/>
      </c>
      <c r="AY218" s="42">
        <f>MIN(AY$6,AW218+AX218)</f>
        <v/>
      </c>
      <c r="AZ218" s="42">
        <f>MAX(0,MIN(AW218+AX218-AY218,AV218))</f>
        <v/>
      </c>
      <c r="BA218" s="42">
        <f>ROUND(AW218+AX218-AY218-AZ218,2)</f>
        <v/>
      </c>
      <c r="BB218">
        <f>AV218-AZ218</f>
        <v/>
      </c>
      <c r="BC218" s="42">
        <f>BG217</f>
        <v/>
      </c>
      <c r="BD218" s="42">
        <f>ROUND(BC218*BD$6/12,2)</f>
        <v/>
      </c>
      <c r="BE218" s="42">
        <f>MIN(BE$6,BC218+BD218)</f>
        <v/>
      </c>
      <c r="BF218" s="42">
        <f>MAX(0,MIN(BC218+BD218-BE218,BB218))</f>
        <v/>
      </c>
      <c r="BG218" s="42">
        <f>ROUND(BC218+BD218-BE218-BF218,2)</f>
        <v/>
      </c>
      <c r="BH218">
        <f>BB218-BF218</f>
        <v/>
      </c>
      <c r="BI218" s="42">
        <f>BM217</f>
        <v/>
      </c>
      <c r="BJ218" s="42">
        <f>ROUND(BI218*BJ$6/12,2)</f>
        <v/>
      </c>
      <c r="BK218" s="42">
        <f>MIN(BK$6,BI218+BJ218)</f>
        <v/>
      </c>
      <c r="BL218" s="42">
        <f>MAX(0,MIN(BI218+BJ218-BK218,BH218))</f>
        <v/>
      </c>
      <c r="BM218" s="42">
        <f>ROUND(BI218+BJ218-BK218-BL218,2)</f>
        <v/>
      </c>
      <c r="BN218">
        <f>BH218-BL218</f>
        <v/>
      </c>
    </row>
    <row r="219">
      <c r="A219" s="43" t="n">
        <v>212</v>
      </c>
      <c r="B219" s="44">
        <f>EDATE('My Debts'!$C$6,A219-1)</f>
        <v/>
      </c>
      <c r="C219" s="45">
        <f>K219+Q219+W219+AC219+AI219+AO219+AU219+BA219+BG219+BM219</f>
        <v/>
      </c>
      <c r="D219" s="46">
        <f>I219+O219+U219+AA219+AG219+AM219+AS219+AY219+BE219+BK219+J219+P219+V219+AB219+AH219+AN219+AT219+AZ219+BF219+BL219</f>
        <v/>
      </c>
      <c r="E219" s="46">
        <f>H219+N219+T219+Z219+AF219+AL219+AR219+AX219+BD219+BJ219</f>
        <v/>
      </c>
      <c r="F219">
        <f>MAX(0,'My Debts'!$E$21-(I219+O219+U219+AA219+AG219+AM219+AS219+AY219+BE219+BK219))</f>
        <v/>
      </c>
      <c r="G219" s="42">
        <f>K218</f>
        <v/>
      </c>
      <c r="H219" s="42">
        <f>ROUND(G219*H$6/12,2)</f>
        <v/>
      </c>
      <c r="I219" s="42">
        <f>MIN(I$6,G219+H219)</f>
        <v/>
      </c>
      <c r="J219" s="42">
        <f>MAX(0,MIN(G219+H219-I219,$F219))</f>
        <v/>
      </c>
      <c r="K219" s="42">
        <f>ROUND(G219+H219-I219-J219,2)</f>
        <v/>
      </c>
      <c r="L219">
        <f>$F219-J219</f>
        <v/>
      </c>
      <c r="M219" s="42">
        <f>Q218</f>
        <v/>
      </c>
      <c r="N219" s="42">
        <f>ROUND(M219*N$6/12,2)</f>
        <v/>
      </c>
      <c r="O219" s="42">
        <f>MIN(O$6,M219+N219)</f>
        <v/>
      </c>
      <c r="P219" s="42">
        <f>MAX(0,MIN(M219+N219-O219,L219))</f>
        <v/>
      </c>
      <c r="Q219" s="42">
        <f>ROUND(M219+N219-O219-P219,2)</f>
        <v/>
      </c>
      <c r="R219">
        <f>L219-P219</f>
        <v/>
      </c>
      <c r="S219" s="42">
        <f>W218</f>
        <v/>
      </c>
      <c r="T219" s="42">
        <f>ROUND(S219*T$6/12,2)</f>
        <v/>
      </c>
      <c r="U219" s="42">
        <f>MIN(U$6,S219+T219)</f>
        <v/>
      </c>
      <c r="V219" s="42">
        <f>MAX(0,MIN(S219+T219-U219,R219))</f>
        <v/>
      </c>
      <c r="W219" s="42">
        <f>ROUND(S219+T219-U219-V219,2)</f>
        <v/>
      </c>
      <c r="X219">
        <f>R219-V219</f>
        <v/>
      </c>
      <c r="Y219" s="42">
        <f>AC218</f>
        <v/>
      </c>
      <c r="Z219" s="42">
        <f>ROUND(Y219*Z$6/12,2)</f>
        <v/>
      </c>
      <c r="AA219" s="42">
        <f>MIN(AA$6,Y219+Z219)</f>
        <v/>
      </c>
      <c r="AB219" s="42">
        <f>MAX(0,MIN(Y219+Z219-AA219,X219))</f>
        <v/>
      </c>
      <c r="AC219" s="42">
        <f>ROUND(Y219+Z219-AA219-AB219,2)</f>
        <v/>
      </c>
      <c r="AD219">
        <f>X219-AB219</f>
        <v/>
      </c>
      <c r="AE219" s="42">
        <f>AI218</f>
        <v/>
      </c>
      <c r="AF219" s="42">
        <f>ROUND(AE219*AF$6/12,2)</f>
        <v/>
      </c>
      <c r="AG219" s="42">
        <f>MIN(AG$6,AE219+AF219)</f>
        <v/>
      </c>
      <c r="AH219" s="42">
        <f>MAX(0,MIN(AE219+AF219-AG219,AD219))</f>
        <v/>
      </c>
      <c r="AI219" s="42">
        <f>ROUND(AE219+AF219-AG219-AH219,2)</f>
        <v/>
      </c>
      <c r="AJ219">
        <f>AD219-AH219</f>
        <v/>
      </c>
      <c r="AK219" s="42">
        <f>AO218</f>
        <v/>
      </c>
      <c r="AL219" s="42">
        <f>ROUND(AK219*AL$6/12,2)</f>
        <v/>
      </c>
      <c r="AM219" s="42">
        <f>MIN(AM$6,AK219+AL219)</f>
        <v/>
      </c>
      <c r="AN219" s="42">
        <f>MAX(0,MIN(AK219+AL219-AM219,AJ219))</f>
        <v/>
      </c>
      <c r="AO219" s="42">
        <f>ROUND(AK219+AL219-AM219-AN219,2)</f>
        <v/>
      </c>
      <c r="AP219">
        <f>AJ219-AN219</f>
        <v/>
      </c>
      <c r="AQ219" s="42">
        <f>AU218</f>
        <v/>
      </c>
      <c r="AR219" s="42">
        <f>ROUND(AQ219*AR$6/12,2)</f>
        <v/>
      </c>
      <c r="AS219" s="42">
        <f>MIN(AS$6,AQ219+AR219)</f>
        <v/>
      </c>
      <c r="AT219" s="42">
        <f>MAX(0,MIN(AQ219+AR219-AS219,AP219))</f>
        <v/>
      </c>
      <c r="AU219" s="42">
        <f>ROUND(AQ219+AR219-AS219-AT219,2)</f>
        <v/>
      </c>
      <c r="AV219">
        <f>AP219-AT219</f>
        <v/>
      </c>
      <c r="AW219" s="42">
        <f>BA218</f>
        <v/>
      </c>
      <c r="AX219" s="42">
        <f>ROUND(AW219*AX$6/12,2)</f>
        <v/>
      </c>
      <c r="AY219" s="42">
        <f>MIN(AY$6,AW219+AX219)</f>
        <v/>
      </c>
      <c r="AZ219" s="42">
        <f>MAX(0,MIN(AW219+AX219-AY219,AV219))</f>
        <v/>
      </c>
      <c r="BA219" s="42">
        <f>ROUND(AW219+AX219-AY219-AZ219,2)</f>
        <v/>
      </c>
      <c r="BB219">
        <f>AV219-AZ219</f>
        <v/>
      </c>
      <c r="BC219" s="42">
        <f>BG218</f>
        <v/>
      </c>
      <c r="BD219" s="42">
        <f>ROUND(BC219*BD$6/12,2)</f>
        <v/>
      </c>
      <c r="BE219" s="42">
        <f>MIN(BE$6,BC219+BD219)</f>
        <v/>
      </c>
      <c r="BF219" s="42">
        <f>MAX(0,MIN(BC219+BD219-BE219,BB219))</f>
        <v/>
      </c>
      <c r="BG219" s="42">
        <f>ROUND(BC219+BD219-BE219-BF219,2)</f>
        <v/>
      </c>
      <c r="BH219">
        <f>BB219-BF219</f>
        <v/>
      </c>
      <c r="BI219" s="42">
        <f>BM218</f>
        <v/>
      </c>
      <c r="BJ219" s="42">
        <f>ROUND(BI219*BJ$6/12,2)</f>
        <v/>
      </c>
      <c r="BK219" s="42">
        <f>MIN(BK$6,BI219+BJ219)</f>
        <v/>
      </c>
      <c r="BL219" s="42">
        <f>MAX(0,MIN(BI219+BJ219-BK219,BH219))</f>
        <v/>
      </c>
      <c r="BM219" s="42">
        <f>ROUND(BI219+BJ219-BK219-BL219,2)</f>
        <v/>
      </c>
      <c r="BN219">
        <f>BH219-BL219</f>
        <v/>
      </c>
    </row>
    <row r="220">
      <c r="A220" s="39" t="n">
        <v>213</v>
      </c>
      <c r="B220" s="40">
        <f>EDATE('My Debts'!$C$6,A220-1)</f>
        <v/>
      </c>
      <c r="C220" s="41">
        <f>K220+Q220+W220+AC220+AI220+AO220+AU220+BA220+BG220+BM220</f>
        <v/>
      </c>
      <c r="D220" s="42">
        <f>I220+O220+U220+AA220+AG220+AM220+AS220+AY220+BE220+BK220+J220+P220+V220+AB220+AH220+AN220+AT220+AZ220+BF220+BL220</f>
        <v/>
      </c>
      <c r="E220" s="42">
        <f>H220+N220+T220+Z220+AF220+AL220+AR220+AX220+BD220+BJ220</f>
        <v/>
      </c>
      <c r="F220">
        <f>MAX(0,'My Debts'!$E$21-(I220+O220+U220+AA220+AG220+AM220+AS220+AY220+BE220+BK220))</f>
        <v/>
      </c>
      <c r="G220" s="42">
        <f>K219</f>
        <v/>
      </c>
      <c r="H220" s="42">
        <f>ROUND(G220*H$6/12,2)</f>
        <v/>
      </c>
      <c r="I220" s="42">
        <f>MIN(I$6,G220+H220)</f>
        <v/>
      </c>
      <c r="J220" s="42">
        <f>MAX(0,MIN(G220+H220-I220,$F220))</f>
        <v/>
      </c>
      <c r="K220" s="42">
        <f>ROUND(G220+H220-I220-J220,2)</f>
        <v/>
      </c>
      <c r="L220">
        <f>$F220-J220</f>
        <v/>
      </c>
      <c r="M220" s="42">
        <f>Q219</f>
        <v/>
      </c>
      <c r="N220" s="42">
        <f>ROUND(M220*N$6/12,2)</f>
        <v/>
      </c>
      <c r="O220" s="42">
        <f>MIN(O$6,M220+N220)</f>
        <v/>
      </c>
      <c r="P220" s="42">
        <f>MAX(0,MIN(M220+N220-O220,L220))</f>
        <v/>
      </c>
      <c r="Q220" s="42">
        <f>ROUND(M220+N220-O220-P220,2)</f>
        <v/>
      </c>
      <c r="R220">
        <f>L220-P220</f>
        <v/>
      </c>
      <c r="S220" s="42">
        <f>W219</f>
        <v/>
      </c>
      <c r="T220" s="42">
        <f>ROUND(S220*T$6/12,2)</f>
        <v/>
      </c>
      <c r="U220" s="42">
        <f>MIN(U$6,S220+T220)</f>
        <v/>
      </c>
      <c r="V220" s="42">
        <f>MAX(0,MIN(S220+T220-U220,R220))</f>
        <v/>
      </c>
      <c r="W220" s="42">
        <f>ROUND(S220+T220-U220-V220,2)</f>
        <v/>
      </c>
      <c r="X220">
        <f>R220-V220</f>
        <v/>
      </c>
      <c r="Y220" s="42">
        <f>AC219</f>
        <v/>
      </c>
      <c r="Z220" s="42">
        <f>ROUND(Y220*Z$6/12,2)</f>
        <v/>
      </c>
      <c r="AA220" s="42">
        <f>MIN(AA$6,Y220+Z220)</f>
        <v/>
      </c>
      <c r="AB220" s="42">
        <f>MAX(0,MIN(Y220+Z220-AA220,X220))</f>
        <v/>
      </c>
      <c r="AC220" s="42">
        <f>ROUND(Y220+Z220-AA220-AB220,2)</f>
        <v/>
      </c>
      <c r="AD220">
        <f>X220-AB220</f>
        <v/>
      </c>
      <c r="AE220" s="42">
        <f>AI219</f>
        <v/>
      </c>
      <c r="AF220" s="42">
        <f>ROUND(AE220*AF$6/12,2)</f>
        <v/>
      </c>
      <c r="AG220" s="42">
        <f>MIN(AG$6,AE220+AF220)</f>
        <v/>
      </c>
      <c r="AH220" s="42">
        <f>MAX(0,MIN(AE220+AF220-AG220,AD220))</f>
        <v/>
      </c>
      <c r="AI220" s="42">
        <f>ROUND(AE220+AF220-AG220-AH220,2)</f>
        <v/>
      </c>
      <c r="AJ220">
        <f>AD220-AH220</f>
        <v/>
      </c>
      <c r="AK220" s="42">
        <f>AO219</f>
        <v/>
      </c>
      <c r="AL220" s="42">
        <f>ROUND(AK220*AL$6/12,2)</f>
        <v/>
      </c>
      <c r="AM220" s="42">
        <f>MIN(AM$6,AK220+AL220)</f>
        <v/>
      </c>
      <c r="AN220" s="42">
        <f>MAX(0,MIN(AK220+AL220-AM220,AJ220))</f>
        <v/>
      </c>
      <c r="AO220" s="42">
        <f>ROUND(AK220+AL220-AM220-AN220,2)</f>
        <v/>
      </c>
      <c r="AP220">
        <f>AJ220-AN220</f>
        <v/>
      </c>
      <c r="AQ220" s="42">
        <f>AU219</f>
        <v/>
      </c>
      <c r="AR220" s="42">
        <f>ROUND(AQ220*AR$6/12,2)</f>
        <v/>
      </c>
      <c r="AS220" s="42">
        <f>MIN(AS$6,AQ220+AR220)</f>
        <v/>
      </c>
      <c r="AT220" s="42">
        <f>MAX(0,MIN(AQ220+AR220-AS220,AP220))</f>
        <v/>
      </c>
      <c r="AU220" s="42">
        <f>ROUND(AQ220+AR220-AS220-AT220,2)</f>
        <v/>
      </c>
      <c r="AV220">
        <f>AP220-AT220</f>
        <v/>
      </c>
      <c r="AW220" s="42">
        <f>BA219</f>
        <v/>
      </c>
      <c r="AX220" s="42">
        <f>ROUND(AW220*AX$6/12,2)</f>
        <v/>
      </c>
      <c r="AY220" s="42">
        <f>MIN(AY$6,AW220+AX220)</f>
        <v/>
      </c>
      <c r="AZ220" s="42">
        <f>MAX(0,MIN(AW220+AX220-AY220,AV220))</f>
        <v/>
      </c>
      <c r="BA220" s="42">
        <f>ROUND(AW220+AX220-AY220-AZ220,2)</f>
        <v/>
      </c>
      <c r="BB220">
        <f>AV220-AZ220</f>
        <v/>
      </c>
      <c r="BC220" s="42">
        <f>BG219</f>
        <v/>
      </c>
      <c r="BD220" s="42">
        <f>ROUND(BC220*BD$6/12,2)</f>
        <v/>
      </c>
      <c r="BE220" s="42">
        <f>MIN(BE$6,BC220+BD220)</f>
        <v/>
      </c>
      <c r="BF220" s="42">
        <f>MAX(0,MIN(BC220+BD220-BE220,BB220))</f>
        <v/>
      </c>
      <c r="BG220" s="42">
        <f>ROUND(BC220+BD220-BE220-BF220,2)</f>
        <v/>
      </c>
      <c r="BH220">
        <f>BB220-BF220</f>
        <v/>
      </c>
      <c r="BI220" s="42">
        <f>BM219</f>
        <v/>
      </c>
      <c r="BJ220" s="42">
        <f>ROUND(BI220*BJ$6/12,2)</f>
        <v/>
      </c>
      <c r="BK220" s="42">
        <f>MIN(BK$6,BI220+BJ220)</f>
        <v/>
      </c>
      <c r="BL220" s="42">
        <f>MAX(0,MIN(BI220+BJ220-BK220,BH220))</f>
        <v/>
      </c>
      <c r="BM220" s="42">
        <f>ROUND(BI220+BJ220-BK220-BL220,2)</f>
        <v/>
      </c>
      <c r="BN220">
        <f>BH220-BL220</f>
        <v/>
      </c>
    </row>
    <row r="221">
      <c r="A221" s="43" t="n">
        <v>214</v>
      </c>
      <c r="B221" s="44">
        <f>EDATE('My Debts'!$C$6,A221-1)</f>
        <v/>
      </c>
      <c r="C221" s="45">
        <f>K221+Q221+W221+AC221+AI221+AO221+AU221+BA221+BG221+BM221</f>
        <v/>
      </c>
      <c r="D221" s="46">
        <f>I221+O221+U221+AA221+AG221+AM221+AS221+AY221+BE221+BK221+J221+P221+V221+AB221+AH221+AN221+AT221+AZ221+BF221+BL221</f>
        <v/>
      </c>
      <c r="E221" s="46">
        <f>H221+N221+T221+Z221+AF221+AL221+AR221+AX221+BD221+BJ221</f>
        <v/>
      </c>
      <c r="F221">
        <f>MAX(0,'My Debts'!$E$21-(I221+O221+U221+AA221+AG221+AM221+AS221+AY221+BE221+BK221))</f>
        <v/>
      </c>
      <c r="G221" s="42">
        <f>K220</f>
        <v/>
      </c>
      <c r="H221" s="42">
        <f>ROUND(G221*H$6/12,2)</f>
        <v/>
      </c>
      <c r="I221" s="42">
        <f>MIN(I$6,G221+H221)</f>
        <v/>
      </c>
      <c r="J221" s="42">
        <f>MAX(0,MIN(G221+H221-I221,$F221))</f>
        <v/>
      </c>
      <c r="K221" s="42">
        <f>ROUND(G221+H221-I221-J221,2)</f>
        <v/>
      </c>
      <c r="L221">
        <f>$F221-J221</f>
        <v/>
      </c>
      <c r="M221" s="42">
        <f>Q220</f>
        <v/>
      </c>
      <c r="N221" s="42">
        <f>ROUND(M221*N$6/12,2)</f>
        <v/>
      </c>
      <c r="O221" s="42">
        <f>MIN(O$6,M221+N221)</f>
        <v/>
      </c>
      <c r="P221" s="42">
        <f>MAX(0,MIN(M221+N221-O221,L221))</f>
        <v/>
      </c>
      <c r="Q221" s="42">
        <f>ROUND(M221+N221-O221-P221,2)</f>
        <v/>
      </c>
      <c r="R221">
        <f>L221-P221</f>
        <v/>
      </c>
      <c r="S221" s="42">
        <f>W220</f>
        <v/>
      </c>
      <c r="T221" s="42">
        <f>ROUND(S221*T$6/12,2)</f>
        <v/>
      </c>
      <c r="U221" s="42">
        <f>MIN(U$6,S221+T221)</f>
        <v/>
      </c>
      <c r="V221" s="42">
        <f>MAX(0,MIN(S221+T221-U221,R221))</f>
        <v/>
      </c>
      <c r="W221" s="42">
        <f>ROUND(S221+T221-U221-V221,2)</f>
        <v/>
      </c>
      <c r="X221">
        <f>R221-V221</f>
        <v/>
      </c>
      <c r="Y221" s="42">
        <f>AC220</f>
        <v/>
      </c>
      <c r="Z221" s="42">
        <f>ROUND(Y221*Z$6/12,2)</f>
        <v/>
      </c>
      <c r="AA221" s="42">
        <f>MIN(AA$6,Y221+Z221)</f>
        <v/>
      </c>
      <c r="AB221" s="42">
        <f>MAX(0,MIN(Y221+Z221-AA221,X221))</f>
        <v/>
      </c>
      <c r="AC221" s="42">
        <f>ROUND(Y221+Z221-AA221-AB221,2)</f>
        <v/>
      </c>
      <c r="AD221">
        <f>X221-AB221</f>
        <v/>
      </c>
      <c r="AE221" s="42">
        <f>AI220</f>
        <v/>
      </c>
      <c r="AF221" s="42">
        <f>ROUND(AE221*AF$6/12,2)</f>
        <v/>
      </c>
      <c r="AG221" s="42">
        <f>MIN(AG$6,AE221+AF221)</f>
        <v/>
      </c>
      <c r="AH221" s="42">
        <f>MAX(0,MIN(AE221+AF221-AG221,AD221))</f>
        <v/>
      </c>
      <c r="AI221" s="42">
        <f>ROUND(AE221+AF221-AG221-AH221,2)</f>
        <v/>
      </c>
      <c r="AJ221">
        <f>AD221-AH221</f>
        <v/>
      </c>
      <c r="AK221" s="42">
        <f>AO220</f>
        <v/>
      </c>
      <c r="AL221" s="42">
        <f>ROUND(AK221*AL$6/12,2)</f>
        <v/>
      </c>
      <c r="AM221" s="42">
        <f>MIN(AM$6,AK221+AL221)</f>
        <v/>
      </c>
      <c r="AN221" s="42">
        <f>MAX(0,MIN(AK221+AL221-AM221,AJ221))</f>
        <v/>
      </c>
      <c r="AO221" s="42">
        <f>ROUND(AK221+AL221-AM221-AN221,2)</f>
        <v/>
      </c>
      <c r="AP221">
        <f>AJ221-AN221</f>
        <v/>
      </c>
      <c r="AQ221" s="42">
        <f>AU220</f>
        <v/>
      </c>
      <c r="AR221" s="42">
        <f>ROUND(AQ221*AR$6/12,2)</f>
        <v/>
      </c>
      <c r="AS221" s="42">
        <f>MIN(AS$6,AQ221+AR221)</f>
        <v/>
      </c>
      <c r="AT221" s="42">
        <f>MAX(0,MIN(AQ221+AR221-AS221,AP221))</f>
        <v/>
      </c>
      <c r="AU221" s="42">
        <f>ROUND(AQ221+AR221-AS221-AT221,2)</f>
        <v/>
      </c>
      <c r="AV221">
        <f>AP221-AT221</f>
        <v/>
      </c>
      <c r="AW221" s="42">
        <f>BA220</f>
        <v/>
      </c>
      <c r="AX221" s="42">
        <f>ROUND(AW221*AX$6/12,2)</f>
        <v/>
      </c>
      <c r="AY221" s="42">
        <f>MIN(AY$6,AW221+AX221)</f>
        <v/>
      </c>
      <c r="AZ221" s="42">
        <f>MAX(0,MIN(AW221+AX221-AY221,AV221))</f>
        <v/>
      </c>
      <c r="BA221" s="42">
        <f>ROUND(AW221+AX221-AY221-AZ221,2)</f>
        <v/>
      </c>
      <c r="BB221">
        <f>AV221-AZ221</f>
        <v/>
      </c>
      <c r="BC221" s="42">
        <f>BG220</f>
        <v/>
      </c>
      <c r="BD221" s="42">
        <f>ROUND(BC221*BD$6/12,2)</f>
        <v/>
      </c>
      <c r="BE221" s="42">
        <f>MIN(BE$6,BC221+BD221)</f>
        <v/>
      </c>
      <c r="BF221" s="42">
        <f>MAX(0,MIN(BC221+BD221-BE221,BB221))</f>
        <v/>
      </c>
      <c r="BG221" s="42">
        <f>ROUND(BC221+BD221-BE221-BF221,2)</f>
        <v/>
      </c>
      <c r="BH221">
        <f>BB221-BF221</f>
        <v/>
      </c>
      <c r="BI221" s="42">
        <f>BM220</f>
        <v/>
      </c>
      <c r="BJ221" s="42">
        <f>ROUND(BI221*BJ$6/12,2)</f>
        <v/>
      </c>
      <c r="BK221" s="42">
        <f>MIN(BK$6,BI221+BJ221)</f>
        <v/>
      </c>
      <c r="BL221" s="42">
        <f>MAX(0,MIN(BI221+BJ221-BK221,BH221))</f>
        <v/>
      </c>
      <c r="BM221" s="42">
        <f>ROUND(BI221+BJ221-BK221-BL221,2)</f>
        <v/>
      </c>
      <c r="BN221">
        <f>BH221-BL221</f>
        <v/>
      </c>
    </row>
    <row r="222">
      <c r="A222" s="39" t="n">
        <v>215</v>
      </c>
      <c r="B222" s="40">
        <f>EDATE('My Debts'!$C$6,A222-1)</f>
        <v/>
      </c>
      <c r="C222" s="41">
        <f>K222+Q222+W222+AC222+AI222+AO222+AU222+BA222+BG222+BM222</f>
        <v/>
      </c>
      <c r="D222" s="42">
        <f>I222+O222+U222+AA222+AG222+AM222+AS222+AY222+BE222+BK222+J222+P222+V222+AB222+AH222+AN222+AT222+AZ222+BF222+BL222</f>
        <v/>
      </c>
      <c r="E222" s="42">
        <f>H222+N222+T222+Z222+AF222+AL222+AR222+AX222+BD222+BJ222</f>
        <v/>
      </c>
      <c r="F222">
        <f>MAX(0,'My Debts'!$E$21-(I222+O222+U222+AA222+AG222+AM222+AS222+AY222+BE222+BK222))</f>
        <v/>
      </c>
      <c r="G222" s="42">
        <f>K221</f>
        <v/>
      </c>
      <c r="H222" s="42">
        <f>ROUND(G222*H$6/12,2)</f>
        <v/>
      </c>
      <c r="I222" s="42">
        <f>MIN(I$6,G222+H222)</f>
        <v/>
      </c>
      <c r="J222" s="42">
        <f>MAX(0,MIN(G222+H222-I222,$F222))</f>
        <v/>
      </c>
      <c r="K222" s="42">
        <f>ROUND(G222+H222-I222-J222,2)</f>
        <v/>
      </c>
      <c r="L222">
        <f>$F222-J222</f>
        <v/>
      </c>
      <c r="M222" s="42">
        <f>Q221</f>
        <v/>
      </c>
      <c r="N222" s="42">
        <f>ROUND(M222*N$6/12,2)</f>
        <v/>
      </c>
      <c r="O222" s="42">
        <f>MIN(O$6,M222+N222)</f>
        <v/>
      </c>
      <c r="P222" s="42">
        <f>MAX(0,MIN(M222+N222-O222,L222))</f>
        <v/>
      </c>
      <c r="Q222" s="42">
        <f>ROUND(M222+N222-O222-P222,2)</f>
        <v/>
      </c>
      <c r="R222">
        <f>L222-P222</f>
        <v/>
      </c>
      <c r="S222" s="42">
        <f>W221</f>
        <v/>
      </c>
      <c r="T222" s="42">
        <f>ROUND(S222*T$6/12,2)</f>
        <v/>
      </c>
      <c r="U222" s="42">
        <f>MIN(U$6,S222+T222)</f>
        <v/>
      </c>
      <c r="V222" s="42">
        <f>MAX(0,MIN(S222+T222-U222,R222))</f>
        <v/>
      </c>
      <c r="W222" s="42">
        <f>ROUND(S222+T222-U222-V222,2)</f>
        <v/>
      </c>
      <c r="X222">
        <f>R222-V222</f>
        <v/>
      </c>
      <c r="Y222" s="42">
        <f>AC221</f>
        <v/>
      </c>
      <c r="Z222" s="42">
        <f>ROUND(Y222*Z$6/12,2)</f>
        <v/>
      </c>
      <c r="AA222" s="42">
        <f>MIN(AA$6,Y222+Z222)</f>
        <v/>
      </c>
      <c r="AB222" s="42">
        <f>MAX(0,MIN(Y222+Z222-AA222,X222))</f>
        <v/>
      </c>
      <c r="AC222" s="42">
        <f>ROUND(Y222+Z222-AA222-AB222,2)</f>
        <v/>
      </c>
      <c r="AD222">
        <f>X222-AB222</f>
        <v/>
      </c>
      <c r="AE222" s="42">
        <f>AI221</f>
        <v/>
      </c>
      <c r="AF222" s="42">
        <f>ROUND(AE222*AF$6/12,2)</f>
        <v/>
      </c>
      <c r="AG222" s="42">
        <f>MIN(AG$6,AE222+AF222)</f>
        <v/>
      </c>
      <c r="AH222" s="42">
        <f>MAX(0,MIN(AE222+AF222-AG222,AD222))</f>
        <v/>
      </c>
      <c r="AI222" s="42">
        <f>ROUND(AE222+AF222-AG222-AH222,2)</f>
        <v/>
      </c>
      <c r="AJ222">
        <f>AD222-AH222</f>
        <v/>
      </c>
      <c r="AK222" s="42">
        <f>AO221</f>
        <v/>
      </c>
      <c r="AL222" s="42">
        <f>ROUND(AK222*AL$6/12,2)</f>
        <v/>
      </c>
      <c r="AM222" s="42">
        <f>MIN(AM$6,AK222+AL222)</f>
        <v/>
      </c>
      <c r="AN222" s="42">
        <f>MAX(0,MIN(AK222+AL222-AM222,AJ222))</f>
        <v/>
      </c>
      <c r="AO222" s="42">
        <f>ROUND(AK222+AL222-AM222-AN222,2)</f>
        <v/>
      </c>
      <c r="AP222">
        <f>AJ222-AN222</f>
        <v/>
      </c>
      <c r="AQ222" s="42">
        <f>AU221</f>
        <v/>
      </c>
      <c r="AR222" s="42">
        <f>ROUND(AQ222*AR$6/12,2)</f>
        <v/>
      </c>
      <c r="AS222" s="42">
        <f>MIN(AS$6,AQ222+AR222)</f>
        <v/>
      </c>
      <c r="AT222" s="42">
        <f>MAX(0,MIN(AQ222+AR222-AS222,AP222))</f>
        <v/>
      </c>
      <c r="AU222" s="42">
        <f>ROUND(AQ222+AR222-AS222-AT222,2)</f>
        <v/>
      </c>
      <c r="AV222">
        <f>AP222-AT222</f>
        <v/>
      </c>
      <c r="AW222" s="42">
        <f>BA221</f>
        <v/>
      </c>
      <c r="AX222" s="42">
        <f>ROUND(AW222*AX$6/12,2)</f>
        <v/>
      </c>
      <c r="AY222" s="42">
        <f>MIN(AY$6,AW222+AX222)</f>
        <v/>
      </c>
      <c r="AZ222" s="42">
        <f>MAX(0,MIN(AW222+AX222-AY222,AV222))</f>
        <v/>
      </c>
      <c r="BA222" s="42">
        <f>ROUND(AW222+AX222-AY222-AZ222,2)</f>
        <v/>
      </c>
      <c r="BB222">
        <f>AV222-AZ222</f>
        <v/>
      </c>
      <c r="BC222" s="42">
        <f>BG221</f>
        <v/>
      </c>
      <c r="BD222" s="42">
        <f>ROUND(BC222*BD$6/12,2)</f>
        <v/>
      </c>
      <c r="BE222" s="42">
        <f>MIN(BE$6,BC222+BD222)</f>
        <v/>
      </c>
      <c r="BF222" s="42">
        <f>MAX(0,MIN(BC222+BD222-BE222,BB222))</f>
        <v/>
      </c>
      <c r="BG222" s="42">
        <f>ROUND(BC222+BD222-BE222-BF222,2)</f>
        <v/>
      </c>
      <c r="BH222">
        <f>BB222-BF222</f>
        <v/>
      </c>
      <c r="BI222" s="42">
        <f>BM221</f>
        <v/>
      </c>
      <c r="BJ222" s="42">
        <f>ROUND(BI222*BJ$6/12,2)</f>
        <v/>
      </c>
      <c r="BK222" s="42">
        <f>MIN(BK$6,BI222+BJ222)</f>
        <v/>
      </c>
      <c r="BL222" s="42">
        <f>MAX(0,MIN(BI222+BJ222-BK222,BH222))</f>
        <v/>
      </c>
      <c r="BM222" s="42">
        <f>ROUND(BI222+BJ222-BK222-BL222,2)</f>
        <v/>
      </c>
      <c r="BN222">
        <f>BH222-BL222</f>
        <v/>
      </c>
    </row>
    <row r="223">
      <c r="A223" s="43" t="n">
        <v>216</v>
      </c>
      <c r="B223" s="44">
        <f>EDATE('My Debts'!$C$6,A223-1)</f>
        <v/>
      </c>
      <c r="C223" s="45">
        <f>K223+Q223+W223+AC223+AI223+AO223+AU223+BA223+BG223+BM223</f>
        <v/>
      </c>
      <c r="D223" s="46">
        <f>I223+O223+U223+AA223+AG223+AM223+AS223+AY223+BE223+BK223+J223+P223+V223+AB223+AH223+AN223+AT223+AZ223+BF223+BL223</f>
        <v/>
      </c>
      <c r="E223" s="46">
        <f>H223+N223+T223+Z223+AF223+AL223+AR223+AX223+BD223+BJ223</f>
        <v/>
      </c>
      <c r="F223">
        <f>MAX(0,'My Debts'!$E$21-(I223+O223+U223+AA223+AG223+AM223+AS223+AY223+BE223+BK223))</f>
        <v/>
      </c>
      <c r="G223" s="42">
        <f>K222</f>
        <v/>
      </c>
      <c r="H223" s="42">
        <f>ROUND(G223*H$6/12,2)</f>
        <v/>
      </c>
      <c r="I223" s="42">
        <f>MIN(I$6,G223+H223)</f>
        <v/>
      </c>
      <c r="J223" s="42">
        <f>MAX(0,MIN(G223+H223-I223,$F223))</f>
        <v/>
      </c>
      <c r="K223" s="42">
        <f>ROUND(G223+H223-I223-J223,2)</f>
        <v/>
      </c>
      <c r="L223">
        <f>$F223-J223</f>
        <v/>
      </c>
      <c r="M223" s="42">
        <f>Q222</f>
        <v/>
      </c>
      <c r="N223" s="42">
        <f>ROUND(M223*N$6/12,2)</f>
        <v/>
      </c>
      <c r="O223" s="42">
        <f>MIN(O$6,M223+N223)</f>
        <v/>
      </c>
      <c r="P223" s="42">
        <f>MAX(0,MIN(M223+N223-O223,L223))</f>
        <v/>
      </c>
      <c r="Q223" s="42">
        <f>ROUND(M223+N223-O223-P223,2)</f>
        <v/>
      </c>
      <c r="R223">
        <f>L223-P223</f>
        <v/>
      </c>
      <c r="S223" s="42">
        <f>W222</f>
        <v/>
      </c>
      <c r="T223" s="42">
        <f>ROUND(S223*T$6/12,2)</f>
        <v/>
      </c>
      <c r="U223" s="42">
        <f>MIN(U$6,S223+T223)</f>
        <v/>
      </c>
      <c r="V223" s="42">
        <f>MAX(0,MIN(S223+T223-U223,R223))</f>
        <v/>
      </c>
      <c r="W223" s="42">
        <f>ROUND(S223+T223-U223-V223,2)</f>
        <v/>
      </c>
      <c r="X223">
        <f>R223-V223</f>
        <v/>
      </c>
      <c r="Y223" s="42">
        <f>AC222</f>
        <v/>
      </c>
      <c r="Z223" s="42">
        <f>ROUND(Y223*Z$6/12,2)</f>
        <v/>
      </c>
      <c r="AA223" s="42">
        <f>MIN(AA$6,Y223+Z223)</f>
        <v/>
      </c>
      <c r="AB223" s="42">
        <f>MAX(0,MIN(Y223+Z223-AA223,X223))</f>
        <v/>
      </c>
      <c r="AC223" s="42">
        <f>ROUND(Y223+Z223-AA223-AB223,2)</f>
        <v/>
      </c>
      <c r="AD223">
        <f>X223-AB223</f>
        <v/>
      </c>
      <c r="AE223" s="42">
        <f>AI222</f>
        <v/>
      </c>
      <c r="AF223" s="42">
        <f>ROUND(AE223*AF$6/12,2)</f>
        <v/>
      </c>
      <c r="AG223" s="42">
        <f>MIN(AG$6,AE223+AF223)</f>
        <v/>
      </c>
      <c r="AH223" s="42">
        <f>MAX(0,MIN(AE223+AF223-AG223,AD223))</f>
        <v/>
      </c>
      <c r="AI223" s="42">
        <f>ROUND(AE223+AF223-AG223-AH223,2)</f>
        <v/>
      </c>
      <c r="AJ223">
        <f>AD223-AH223</f>
        <v/>
      </c>
      <c r="AK223" s="42">
        <f>AO222</f>
        <v/>
      </c>
      <c r="AL223" s="42">
        <f>ROUND(AK223*AL$6/12,2)</f>
        <v/>
      </c>
      <c r="AM223" s="42">
        <f>MIN(AM$6,AK223+AL223)</f>
        <v/>
      </c>
      <c r="AN223" s="42">
        <f>MAX(0,MIN(AK223+AL223-AM223,AJ223))</f>
        <v/>
      </c>
      <c r="AO223" s="42">
        <f>ROUND(AK223+AL223-AM223-AN223,2)</f>
        <v/>
      </c>
      <c r="AP223">
        <f>AJ223-AN223</f>
        <v/>
      </c>
      <c r="AQ223" s="42">
        <f>AU222</f>
        <v/>
      </c>
      <c r="AR223" s="42">
        <f>ROUND(AQ223*AR$6/12,2)</f>
        <v/>
      </c>
      <c r="AS223" s="42">
        <f>MIN(AS$6,AQ223+AR223)</f>
        <v/>
      </c>
      <c r="AT223" s="42">
        <f>MAX(0,MIN(AQ223+AR223-AS223,AP223))</f>
        <v/>
      </c>
      <c r="AU223" s="42">
        <f>ROUND(AQ223+AR223-AS223-AT223,2)</f>
        <v/>
      </c>
      <c r="AV223">
        <f>AP223-AT223</f>
        <v/>
      </c>
      <c r="AW223" s="42">
        <f>BA222</f>
        <v/>
      </c>
      <c r="AX223" s="42">
        <f>ROUND(AW223*AX$6/12,2)</f>
        <v/>
      </c>
      <c r="AY223" s="42">
        <f>MIN(AY$6,AW223+AX223)</f>
        <v/>
      </c>
      <c r="AZ223" s="42">
        <f>MAX(0,MIN(AW223+AX223-AY223,AV223))</f>
        <v/>
      </c>
      <c r="BA223" s="42">
        <f>ROUND(AW223+AX223-AY223-AZ223,2)</f>
        <v/>
      </c>
      <c r="BB223">
        <f>AV223-AZ223</f>
        <v/>
      </c>
      <c r="BC223" s="42">
        <f>BG222</f>
        <v/>
      </c>
      <c r="BD223" s="42">
        <f>ROUND(BC223*BD$6/12,2)</f>
        <v/>
      </c>
      <c r="BE223" s="42">
        <f>MIN(BE$6,BC223+BD223)</f>
        <v/>
      </c>
      <c r="BF223" s="42">
        <f>MAX(0,MIN(BC223+BD223-BE223,BB223))</f>
        <v/>
      </c>
      <c r="BG223" s="42">
        <f>ROUND(BC223+BD223-BE223-BF223,2)</f>
        <v/>
      </c>
      <c r="BH223">
        <f>BB223-BF223</f>
        <v/>
      </c>
      <c r="BI223" s="42">
        <f>BM222</f>
        <v/>
      </c>
      <c r="BJ223" s="42">
        <f>ROUND(BI223*BJ$6/12,2)</f>
        <v/>
      </c>
      <c r="BK223" s="42">
        <f>MIN(BK$6,BI223+BJ223)</f>
        <v/>
      </c>
      <c r="BL223" s="42">
        <f>MAX(0,MIN(BI223+BJ223-BK223,BH223))</f>
        <v/>
      </c>
      <c r="BM223" s="42">
        <f>ROUND(BI223+BJ223-BK223-BL223,2)</f>
        <v/>
      </c>
      <c r="BN223">
        <f>BH223-BL223</f>
        <v/>
      </c>
    </row>
    <row r="224">
      <c r="A224" s="39" t="n">
        <v>217</v>
      </c>
      <c r="B224" s="40">
        <f>EDATE('My Debts'!$C$6,A224-1)</f>
        <v/>
      </c>
      <c r="C224" s="41">
        <f>K224+Q224+W224+AC224+AI224+AO224+AU224+BA224+BG224+BM224</f>
        <v/>
      </c>
      <c r="D224" s="42">
        <f>I224+O224+U224+AA224+AG224+AM224+AS224+AY224+BE224+BK224+J224+P224+V224+AB224+AH224+AN224+AT224+AZ224+BF224+BL224</f>
        <v/>
      </c>
      <c r="E224" s="42">
        <f>H224+N224+T224+Z224+AF224+AL224+AR224+AX224+BD224+BJ224</f>
        <v/>
      </c>
      <c r="F224">
        <f>MAX(0,'My Debts'!$E$21-(I224+O224+U224+AA224+AG224+AM224+AS224+AY224+BE224+BK224))</f>
        <v/>
      </c>
      <c r="G224" s="42">
        <f>K223</f>
        <v/>
      </c>
      <c r="H224" s="42">
        <f>ROUND(G224*H$6/12,2)</f>
        <v/>
      </c>
      <c r="I224" s="42">
        <f>MIN(I$6,G224+H224)</f>
        <v/>
      </c>
      <c r="J224" s="42">
        <f>MAX(0,MIN(G224+H224-I224,$F224))</f>
        <v/>
      </c>
      <c r="K224" s="42">
        <f>ROUND(G224+H224-I224-J224,2)</f>
        <v/>
      </c>
      <c r="L224">
        <f>$F224-J224</f>
        <v/>
      </c>
      <c r="M224" s="42">
        <f>Q223</f>
        <v/>
      </c>
      <c r="N224" s="42">
        <f>ROUND(M224*N$6/12,2)</f>
        <v/>
      </c>
      <c r="O224" s="42">
        <f>MIN(O$6,M224+N224)</f>
        <v/>
      </c>
      <c r="P224" s="42">
        <f>MAX(0,MIN(M224+N224-O224,L224))</f>
        <v/>
      </c>
      <c r="Q224" s="42">
        <f>ROUND(M224+N224-O224-P224,2)</f>
        <v/>
      </c>
      <c r="R224">
        <f>L224-P224</f>
        <v/>
      </c>
      <c r="S224" s="42">
        <f>W223</f>
        <v/>
      </c>
      <c r="T224" s="42">
        <f>ROUND(S224*T$6/12,2)</f>
        <v/>
      </c>
      <c r="U224" s="42">
        <f>MIN(U$6,S224+T224)</f>
        <v/>
      </c>
      <c r="V224" s="42">
        <f>MAX(0,MIN(S224+T224-U224,R224))</f>
        <v/>
      </c>
      <c r="W224" s="42">
        <f>ROUND(S224+T224-U224-V224,2)</f>
        <v/>
      </c>
      <c r="X224">
        <f>R224-V224</f>
        <v/>
      </c>
      <c r="Y224" s="42">
        <f>AC223</f>
        <v/>
      </c>
      <c r="Z224" s="42">
        <f>ROUND(Y224*Z$6/12,2)</f>
        <v/>
      </c>
      <c r="AA224" s="42">
        <f>MIN(AA$6,Y224+Z224)</f>
        <v/>
      </c>
      <c r="AB224" s="42">
        <f>MAX(0,MIN(Y224+Z224-AA224,X224))</f>
        <v/>
      </c>
      <c r="AC224" s="42">
        <f>ROUND(Y224+Z224-AA224-AB224,2)</f>
        <v/>
      </c>
      <c r="AD224">
        <f>X224-AB224</f>
        <v/>
      </c>
      <c r="AE224" s="42">
        <f>AI223</f>
        <v/>
      </c>
      <c r="AF224" s="42">
        <f>ROUND(AE224*AF$6/12,2)</f>
        <v/>
      </c>
      <c r="AG224" s="42">
        <f>MIN(AG$6,AE224+AF224)</f>
        <v/>
      </c>
      <c r="AH224" s="42">
        <f>MAX(0,MIN(AE224+AF224-AG224,AD224))</f>
        <v/>
      </c>
      <c r="AI224" s="42">
        <f>ROUND(AE224+AF224-AG224-AH224,2)</f>
        <v/>
      </c>
      <c r="AJ224">
        <f>AD224-AH224</f>
        <v/>
      </c>
      <c r="AK224" s="42">
        <f>AO223</f>
        <v/>
      </c>
      <c r="AL224" s="42">
        <f>ROUND(AK224*AL$6/12,2)</f>
        <v/>
      </c>
      <c r="AM224" s="42">
        <f>MIN(AM$6,AK224+AL224)</f>
        <v/>
      </c>
      <c r="AN224" s="42">
        <f>MAX(0,MIN(AK224+AL224-AM224,AJ224))</f>
        <v/>
      </c>
      <c r="AO224" s="42">
        <f>ROUND(AK224+AL224-AM224-AN224,2)</f>
        <v/>
      </c>
      <c r="AP224">
        <f>AJ224-AN224</f>
        <v/>
      </c>
      <c r="AQ224" s="42">
        <f>AU223</f>
        <v/>
      </c>
      <c r="AR224" s="42">
        <f>ROUND(AQ224*AR$6/12,2)</f>
        <v/>
      </c>
      <c r="AS224" s="42">
        <f>MIN(AS$6,AQ224+AR224)</f>
        <v/>
      </c>
      <c r="AT224" s="42">
        <f>MAX(0,MIN(AQ224+AR224-AS224,AP224))</f>
        <v/>
      </c>
      <c r="AU224" s="42">
        <f>ROUND(AQ224+AR224-AS224-AT224,2)</f>
        <v/>
      </c>
      <c r="AV224">
        <f>AP224-AT224</f>
        <v/>
      </c>
      <c r="AW224" s="42">
        <f>BA223</f>
        <v/>
      </c>
      <c r="AX224" s="42">
        <f>ROUND(AW224*AX$6/12,2)</f>
        <v/>
      </c>
      <c r="AY224" s="42">
        <f>MIN(AY$6,AW224+AX224)</f>
        <v/>
      </c>
      <c r="AZ224" s="42">
        <f>MAX(0,MIN(AW224+AX224-AY224,AV224))</f>
        <v/>
      </c>
      <c r="BA224" s="42">
        <f>ROUND(AW224+AX224-AY224-AZ224,2)</f>
        <v/>
      </c>
      <c r="BB224">
        <f>AV224-AZ224</f>
        <v/>
      </c>
      <c r="BC224" s="42">
        <f>BG223</f>
        <v/>
      </c>
      <c r="BD224" s="42">
        <f>ROUND(BC224*BD$6/12,2)</f>
        <v/>
      </c>
      <c r="BE224" s="42">
        <f>MIN(BE$6,BC224+BD224)</f>
        <v/>
      </c>
      <c r="BF224" s="42">
        <f>MAX(0,MIN(BC224+BD224-BE224,BB224))</f>
        <v/>
      </c>
      <c r="BG224" s="42">
        <f>ROUND(BC224+BD224-BE224-BF224,2)</f>
        <v/>
      </c>
      <c r="BH224">
        <f>BB224-BF224</f>
        <v/>
      </c>
      <c r="BI224" s="42">
        <f>BM223</f>
        <v/>
      </c>
      <c r="BJ224" s="42">
        <f>ROUND(BI224*BJ$6/12,2)</f>
        <v/>
      </c>
      <c r="BK224" s="42">
        <f>MIN(BK$6,BI224+BJ224)</f>
        <v/>
      </c>
      <c r="BL224" s="42">
        <f>MAX(0,MIN(BI224+BJ224-BK224,BH224))</f>
        <v/>
      </c>
      <c r="BM224" s="42">
        <f>ROUND(BI224+BJ224-BK224-BL224,2)</f>
        <v/>
      </c>
      <c r="BN224">
        <f>BH224-BL224</f>
        <v/>
      </c>
    </row>
    <row r="225">
      <c r="A225" s="43" t="n">
        <v>218</v>
      </c>
      <c r="B225" s="44">
        <f>EDATE('My Debts'!$C$6,A225-1)</f>
        <v/>
      </c>
      <c r="C225" s="45">
        <f>K225+Q225+W225+AC225+AI225+AO225+AU225+BA225+BG225+BM225</f>
        <v/>
      </c>
      <c r="D225" s="46">
        <f>I225+O225+U225+AA225+AG225+AM225+AS225+AY225+BE225+BK225+J225+P225+V225+AB225+AH225+AN225+AT225+AZ225+BF225+BL225</f>
        <v/>
      </c>
      <c r="E225" s="46">
        <f>H225+N225+T225+Z225+AF225+AL225+AR225+AX225+BD225+BJ225</f>
        <v/>
      </c>
      <c r="F225">
        <f>MAX(0,'My Debts'!$E$21-(I225+O225+U225+AA225+AG225+AM225+AS225+AY225+BE225+BK225))</f>
        <v/>
      </c>
      <c r="G225" s="42">
        <f>K224</f>
        <v/>
      </c>
      <c r="H225" s="42">
        <f>ROUND(G225*H$6/12,2)</f>
        <v/>
      </c>
      <c r="I225" s="42">
        <f>MIN(I$6,G225+H225)</f>
        <v/>
      </c>
      <c r="J225" s="42">
        <f>MAX(0,MIN(G225+H225-I225,$F225))</f>
        <v/>
      </c>
      <c r="K225" s="42">
        <f>ROUND(G225+H225-I225-J225,2)</f>
        <v/>
      </c>
      <c r="L225">
        <f>$F225-J225</f>
        <v/>
      </c>
      <c r="M225" s="42">
        <f>Q224</f>
        <v/>
      </c>
      <c r="N225" s="42">
        <f>ROUND(M225*N$6/12,2)</f>
        <v/>
      </c>
      <c r="O225" s="42">
        <f>MIN(O$6,M225+N225)</f>
        <v/>
      </c>
      <c r="P225" s="42">
        <f>MAX(0,MIN(M225+N225-O225,L225))</f>
        <v/>
      </c>
      <c r="Q225" s="42">
        <f>ROUND(M225+N225-O225-P225,2)</f>
        <v/>
      </c>
      <c r="R225">
        <f>L225-P225</f>
        <v/>
      </c>
      <c r="S225" s="42">
        <f>W224</f>
        <v/>
      </c>
      <c r="T225" s="42">
        <f>ROUND(S225*T$6/12,2)</f>
        <v/>
      </c>
      <c r="U225" s="42">
        <f>MIN(U$6,S225+T225)</f>
        <v/>
      </c>
      <c r="V225" s="42">
        <f>MAX(0,MIN(S225+T225-U225,R225))</f>
        <v/>
      </c>
      <c r="W225" s="42">
        <f>ROUND(S225+T225-U225-V225,2)</f>
        <v/>
      </c>
      <c r="X225">
        <f>R225-V225</f>
        <v/>
      </c>
      <c r="Y225" s="42">
        <f>AC224</f>
        <v/>
      </c>
      <c r="Z225" s="42">
        <f>ROUND(Y225*Z$6/12,2)</f>
        <v/>
      </c>
      <c r="AA225" s="42">
        <f>MIN(AA$6,Y225+Z225)</f>
        <v/>
      </c>
      <c r="AB225" s="42">
        <f>MAX(0,MIN(Y225+Z225-AA225,X225))</f>
        <v/>
      </c>
      <c r="AC225" s="42">
        <f>ROUND(Y225+Z225-AA225-AB225,2)</f>
        <v/>
      </c>
      <c r="AD225">
        <f>X225-AB225</f>
        <v/>
      </c>
      <c r="AE225" s="42">
        <f>AI224</f>
        <v/>
      </c>
      <c r="AF225" s="42">
        <f>ROUND(AE225*AF$6/12,2)</f>
        <v/>
      </c>
      <c r="AG225" s="42">
        <f>MIN(AG$6,AE225+AF225)</f>
        <v/>
      </c>
      <c r="AH225" s="42">
        <f>MAX(0,MIN(AE225+AF225-AG225,AD225))</f>
        <v/>
      </c>
      <c r="AI225" s="42">
        <f>ROUND(AE225+AF225-AG225-AH225,2)</f>
        <v/>
      </c>
      <c r="AJ225">
        <f>AD225-AH225</f>
        <v/>
      </c>
      <c r="AK225" s="42">
        <f>AO224</f>
        <v/>
      </c>
      <c r="AL225" s="42">
        <f>ROUND(AK225*AL$6/12,2)</f>
        <v/>
      </c>
      <c r="AM225" s="42">
        <f>MIN(AM$6,AK225+AL225)</f>
        <v/>
      </c>
      <c r="AN225" s="42">
        <f>MAX(0,MIN(AK225+AL225-AM225,AJ225))</f>
        <v/>
      </c>
      <c r="AO225" s="42">
        <f>ROUND(AK225+AL225-AM225-AN225,2)</f>
        <v/>
      </c>
      <c r="AP225">
        <f>AJ225-AN225</f>
        <v/>
      </c>
      <c r="AQ225" s="42">
        <f>AU224</f>
        <v/>
      </c>
      <c r="AR225" s="42">
        <f>ROUND(AQ225*AR$6/12,2)</f>
        <v/>
      </c>
      <c r="AS225" s="42">
        <f>MIN(AS$6,AQ225+AR225)</f>
        <v/>
      </c>
      <c r="AT225" s="42">
        <f>MAX(0,MIN(AQ225+AR225-AS225,AP225))</f>
        <v/>
      </c>
      <c r="AU225" s="42">
        <f>ROUND(AQ225+AR225-AS225-AT225,2)</f>
        <v/>
      </c>
      <c r="AV225">
        <f>AP225-AT225</f>
        <v/>
      </c>
      <c r="AW225" s="42">
        <f>BA224</f>
        <v/>
      </c>
      <c r="AX225" s="42">
        <f>ROUND(AW225*AX$6/12,2)</f>
        <v/>
      </c>
      <c r="AY225" s="42">
        <f>MIN(AY$6,AW225+AX225)</f>
        <v/>
      </c>
      <c r="AZ225" s="42">
        <f>MAX(0,MIN(AW225+AX225-AY225,AV225))</f>
        <v/>
      </c>
      <c r="BA225" s="42">
        <f>ROUND(AW225+AX225-AY225-AZ225,2)</f>
        <v/>
      </c>
      <c r="BB225">
        <f>AV225-AZ225</f>
        <v/>
      </c>
      <c r="BC225" s="42">
        <f>BG224</f>
        <v/>
      </c>
      <c r="BD225" s="42">
        <f>ROUND(BC225*BD$6/12,2)</f>
        <v/>
      </c>
      <c r="BE225" s="42">
        <f>MIN(BE$6,BC225+BD225)</f>
        <v/>
      </c>
      <c r="BF225" s="42">
        <f>MAX(0,MIN(BC225+BD225-BE225,BB225))</f>
        <v/>
      </c>
      <c r="BG225" s="42">
        <f>ROUND(BC225+BD225-BE225-BF225,2)</f>
        <v/>
      </c>
      <c r="BH225">
        <f>BB225-BF225</f>
        <v/>
      </c>
      <c r="BI225" s="42">
        <f>BM224</f>
        <v/>
      </c>
      <c r="BJ225" s="42">
        <f>ROUND(BI225*BJ$6/12,2)</f>
        <v/>
      </c>
      <c r="BK225" s="42">
        <f>MIN(BK$6,BI225+BJ225)</f>
        <v/>
      </c>
      <c r="BL225" s="42">
        <f>MAX(0,MIN(BI225+BJ225-BK225,BH225))</f>
        <v/>
      </c>
      <c r="BM225" s="42">
        <f>ROUND(BI225+BJ225-BK225-BL225,2)</f>
        <v/>
      </c>
      <c r="BN225">
        <f>BH225-BL225</f>
        <v/>
      </c>
    </row>
    <row r="226">
      <c r="A226" s="39" t="n">
        <v>219</v>
      </c>
      <c r="B226" s="40">
        <f>EDATE('My Debts'!$C$6,A226-1)</f>
        <v/>
      </c>
      <c r="C226" s="41">
        <f>K226+Q226+W226+AC226+AI226+AO226+AU226+BA226+BG226+BM226</f>
        <v/>
      </c>
      <c r="D226" s="42">
        <f>I226+O226+U226+AA226+AG226+AM226+AS226+AY226+BE226+BK226+J226+P226+V226+AB226+AH226+AN226+AT226+AZ226+BF226+BL226</f>
        <v/>
      </c>
      <c r="E226" s="42">
        <f>H226+N226+T226+Z226+AF226+AL226+AR226+AX226+BD226+BJ226</f>
        <v/>
      </c>
      <c r="F226">
        <f>MAX(0,'My Debts'!$E$21-(I226+O226+U226+AA226+AG226+AM226+AS226+AY226+BE226+BK226))</f>
        <v/>
      </c>
      <c r="G226" s="42">
        <f>K225</f>
        <v/>
      </c>
      <c r="H226" s="42">
        <f>ROUND(G226*H$6/12,2)</f>
        <v/>
      </c>
      <c r="I226" s="42">
        <f>MIN(I$6,G226+H226)</f>
        <v/>
      </c>
      <c r="J226" s="42">
        <f>MAX(0,MIN(G226+H226-I226,$F226))</f>
        <v/>
      </c>
      <c r="K226" s="42">
        <f>ROUND(G226+H226-I226-J226,2)</f>
        <v/>
      </c>
      <c r="L226">
        <f>$F226-J226</f>
        <v/>
      </c>
      <c r="M226" s="42">
        <f>Q225</f>
        <v/>
      </c>
      <c r="N226" s="42">
        <f>ROUND(M226*N$6/12,2)</f>
        <v/>
      </c>
      <c r="O226" s="42">
        <f>MIN(O$6,M226+N226)</f>
        <v/>
      </c>
      <c r="P226" s="42">
        <f>MAX(0,MIN(M226+N226-O226,L226))</f>
        <v/>
      </c>
      <c r="Q226" s="42">
        <f>ROUND(M226+N226-O226-P226,2)</f>
        <v/>
      </c>
      <c r="R226">
        <f>L226-P226</f>
        <v/>
      </c>
      <c r="S226" s="42">
        <f>W225</f>
        <v/>
      </c>
      <c r="T226" s="42">
        <f>ROUND(S226*T$6/12,2)</f>
        <v/>
      </c>
      <c r="U226" s="42">
        <f>MIN(U$6,S226+T226)</f>
        <v/>
      </c>
      <c r="V226" s="42">
        <f>MAX(0,MIN(S226+T226-U226,R226))</f>
        <v/>
      </c>
      <c r="W226" s="42">
        <f>ROUND(S226+T226-U226-V226,2)</f>
        <v/>
      </c>
      <c r="X226">
        <f>R226-V226</f>
        <v/>
      </c>
      <c r="Y226" s="42">
        <f>AC225</f>
        <v/>
      </c>
      <c r="Z226" s="42">
        <f>ROUND(Y226*Z$6/12,2)</f>
        <v/>
      </c>
      <c r="AA226" s="42">
        <f>MIN(AA$6,Y226+Z226)</f>
        <v/>
      </c>
      <c r="AB226" s="42">
        <f>MAX(0,MIN(Y226+Z226-AA226,X226))</f>
        <v/>
      </c>
      <c r="AC226" s="42">
        <f>ROUND(Y226+Z226-AA226-AB226,2)</f>
        <v/>
      </c>
      <c r="AD226">
        <f>X226-AB226</f>
        <v/>
      </c>
      <c r="AE226" s="42">
        <f>AI225</f>
        <v/>
      </c>
      <c r="AF226" s="42">
        <f>ROUND(AE226*AF$6/12,2)</f>
        <v/>
      </c>
      <c r="AG226" s="42">
        <f>MIN(AG$6,AE226+AF226)</f>
        <v/>
      </c>
      <c r="AH226" s="42">
        <f>MAX(0,MIN(AE226+AF226-AG226,AD226))</f>
        <v/>
      </c>
      <c r="AI226" s="42">
        <f>ROUND(AE226+AF226-AG226-AH226,2)</f>
        <v/>
      </c>
      <c r="AJ226">
        <f>AD226-AH226</f>
        <v/>
      </c>
      <c r="AK226" s="42">
        <f>AO225</f>
        <v/>
      </c>
      <c r="AL226" s="42">
        <f>ROUND(AK226*AL$6/12,2)</f>
        <v/>
      </c>
      <c r="AM226" s="42">
        <f>MIN(AM$6,AK226+AL226)</f>
        <v/>
      </c>
      <c r="AN226" s="42">
        <f>MAX(0,MIN(AK226+AL226-AM226,AJ226))</f>
        <v/>
      </c>
      <c r="AO226" s="42">
        <f>ROUND(AK226+AL226-AM226-AN226,2)</f>
        <v/>
      </c>
      <c r="AP226">
        <f>AJ226-AN226</f>
        <v/>
      </c>
      <c r="AQ226" s="42">
        <f>AU225</f>
        <v/>
      </c>
      <c r="AR226" s="42">
        <f>ROUND(AQ226*AR$6/12,2)</f>
        <v/>
      </c>
      <c r="AS226" s="42">
        <f>MIN(AS$6,AQ226+AR226)</f>
        <v/>
      </c>
      <c r="AT226" s="42">
        <f>MAX(0,MIN(AQ226+AR226-AS226,AP226))</f>
        <v/>
      </c>
      <c r="AU226" s="42">
        <f>ROUND(AQ226+AR226-AS226-AT226,2)</f>
        <v/>
      </c>
      <c r="AV226">
        <f>AP226-AT226</f>
        <v/>
      </c>
      <c r="AW226" s="42">
        <f>BA225</f>
        <v/>
      </c>
      <c r="AX226" s="42">
        <f>ROUND(AW226*AX$6/12,2)</f>
        <v/>
      </c>
      <c r="AY226" s="42">
        <f>MIN(AY$6,AW226+AX226)</f>
        <v/>
      </c>
      <c r="AZ226" s="42">
        <f>MAX(0,MIN(AW226+AX226-AY226,AV226))</f>
        <v/>
      </c>
      <c r="BA226" s="42">
        <f>ROUND(AW226+AX226-AY226-AZ226,2)</f>
        <v/>
      </c>
      <c r="BB226">
        <f>AV226-AZ226</f>
        <v/>
      </c>
      <c r="BC226" s="42">
        <f>BG225</f>
        <v/>
      </c>
      <c r="BD226" s="42">
        <f>ROUND(BC226*BD$6/12,2)</f>
        <v/>
      </c>
      <c r="BE226" s="42">
        <f>MIN(BE$6,BC226+BD226)</f>
        <v/>
      </c>
      <c r="BF226" s="42">
        <f>MAX(0,MIN(BC226+BD226-BE226,BB226))</f>
        <v/>
      </c>
      <c r="BG226" s="42">
        <f>ROUND(BC226+BD226-BE226-BF226,2)</f>
        <v/>
      </c>
      <c r="BH226">
        <f>BB226-BF226</f>
        <v/>
      </c>
      <c r="BI226" s="42">
        <f>BM225</f>
        <v/>
      </c>
      <c r="BJ226" s="42">
        <f>ROUND(BI226*BJ$6/12,2)</f>
        <v/>
      </c>
      <c r="BK226" s="42">
        <f>MIN(BK$6,BI226+BJ226)</f>
        <v/>
      </c>
      <c r="BL226" s="42">
        <f>MAX(0,MIN(BI226+BJ226-BK226,BH226))</f>
        <v/>
      </c>
      <c r="BM226" s="42">
        <f>ROUND(BI226+BJ226-BK226-BL226,2)</f>
        <v/>
      </c>
      <c r="BN226">
        <f>BH226-BL226</f>
        <v/>
      </c>
    </row>
    <row r="227">
      <c r="A227" s="43" t="n">
        <v>220</v>
      </c>
      <c r="B227" s="44">
        <f>EDATE('My Debts'!$C$6,A227-1)</f>
        <v/>
      </c>
      <c r="C227" s="45">
        <f>K227+Q227+W227+AC227+AI227+AO227+AU227+BA227+BG227+BM227</f>
        <v/>
      </c>
      <c r="D227" s="46">
        <f>I227+O227+U227+AA227+AG227+AM227+AS227+AY227+BE227+BK227+J227+P227+V227+AB227+AH227+AN227+AT227+AZ227+BF227+BL227</f>
        <v/>
      </c>
      <c r="E227" s="46">
        <f>H227+N227+T227+Z227+AF227+AL227+AR227+AX227+BD227+BJ227</f>
        <v/>
      </c>
      <c r="F227">
        <f>MAX(0,'My Debts'!$E$21-(I227+O227+U227+AA227+AG227+AM227+AS227+AY227+BE227+BK227))</f>
        <v/>
      </c>
      <c r="G227" s="42">
        <f>K226</f>
        <v/>
      </c>
      <c r="H227" s="42">
        <f>ROUND(G227*H$6/12,2)</f>
        <v/>
      </c>
      <c r="I227" s="42">
        <f>MIN(I$6,G227+H227)</f>
        <v/>
      </c>
      <c r="J227" s="42">
        <f>MAX(0,MIN(G227+H227-I227,$F227))</f>
        <v/>
      </c>
      <c r="K227" s="42">
        <f>ROUND(G227+H227-I227-J227,2)</f>
        <v/>
      </c>
      <c r="L227">
        <f>$F227-J227</f>
        <v/>
      </c>
      <c r="M227" s="42">
        <f>Q226</f>
        <v/>
      </c>
      <c r="N227" s="42">
        <f>ROUND(M227*N$6/12,2)</f>
        <v/>
      </c>
      <c r="O227" s="42">
        <f>MIN(O$6,M227+N227)</f>
        <v/>
      </c>
      <c r="P227" s="42">
        <f>MAX(0,MIN(M227+N227-O227,L227))</f>
        <v/>
      </c>
      <c r="Q227" s="42">
        <f>ROUND(M227+N227-O227-P227,2)</f>
        <v/>
      </c>
      <c r="R227">
        <f>L227-P227</f>
        <v/>
      </c>
      <c r="S227" s="42">
        <f>W226</f>
        <v/>
      </c>
      <c r="T227" s="42">
        <f>ROUND(S227*T$6/12,2)</f>
        <v/>
      </c>
      <c r="U227" s="42">
        <f>MIN(U$6,S227+T227)</f>
        <v/>
      </c>
      <c r="V227" s="42">
        <f>MAX(0,MIN(S227+T227-U227,R227))</f>
        <v/>
      </c>
      <c r="W227" s="42">
        <f>ROUND(S227+T227-U227-V227,2)</f>
        <v/>
      </c>
      <c r="X227">
        <f>R227-V227</f>
        <v/>
      </c>
      <c r="Y227" s="42">
        <f>AC226</f>
        <v/>
      </c>
      <c r="Z227" s="42">
        <f>ROUND(Y227*Z$6/12,2)</f>
        <v/>
      </c>
      <c r="AA227" s="42">
        <f>MIN(AA$6,Y227+Z227)</f>
        <v/>
      </c>
      <c r="AB227" s="42">
        <f>MAX(0,MIN(Y227+Z227-AA227,X227))</f>
        <v/>
      </c>
      <c r="AC227" s="42">
        <f>ROUND(Y227+Z227-AA227-AB227,2)</f>
        <v/>
      </c>
      <c r="AD227">
        <f>X227-AB227</f>
        <v/>
      </c>
      <c r="AE227" s="42">
        <f>AI226</f>
        <v/>
      </c>
      <c r="AF227" s="42">
        <f>ROUND(AE227*AF$6/12,2)</f>
        <v/>
      </c>
      <c r="AG227" s="42">
        <f>MIN(AG$6,AE227+AF227)</f>
        <v/>
      </c>
      <c r="AH227" s="42">
        <f>MAX(0,MIN(AE227+AF227-AG227,AD227))</f>
        <v/>
      </c>
      <c r="AI227" s="42">
        <f>ROUND(AE227+AF227-AG227-AH227,2)</f>
        <v/>
      </c>
      <c r="AJ227">
        <f>AD227-AH227</f>
        <v/>
      </c>
      <c r="AK227" s="42">
        <f>AO226</f>
        <v/>
      </c>
      <c r="AL227" s="42">
        <f>ROUND(AK227*AL$6/12,2)</f>
        <v/>
      </c>
      <c r="AM227" s="42">
        <f>MIN(AM$6,AK227+AL227)</f>
        <v/>
      </c>
      <c r="AN227" s="42">
        <f>MAX(0,MIN(AK227+AL227-AM227,AJ227))</f>
        <v/>
      </c>
      <c r="AO227" s="42">
        <f>ROUND(AK227+AL227-AM227-AN227,2)</f>
        <v/>
      </c>
      <c r="AP227">
        <f>AJ227-AN227</f>
        <v/>
      </c>
      <c r="AQ227" s="42">
        <f>AU226</f>
        <v/>
      </c>
      <c r="AR227" s="42">
        <f>ROUND(AQ227*AR$6/12,2)</f>
        <v/>
      </c>
      <c r="AS227" s="42">
        <f>MIN(AS$6,AQ227+AR227)</f>
        <v/>
      </c>
      <c r="AT227" s="42">
        <f>MAX(0,MIN(AQ227+AR227-AS227,AP227))</f>
        <v/>
      </c>
      <c r="AU227" s="42">
        <f>ROUND(AQ227+AR227-AS227-AT227,2)</f>
        <v/>
      </c>
      <c r="AV227">
        <f>AP227-AT227</f>
        <v/>
      </c>
      <c r="AW227" s="42">
        <f>BA226</f>
        <v/>
      </c>
      <c r="AX227" s="42">
        <f>ROUND(AW227*AX$6/12,2)</f>
        <v/>
      </c>
      <c r="AY227" s="42">
        <f>MIN(AY$6,AW227+AX227)</f>
        <v/>
      </c>
      <c r="AZ227" s="42">
        <f>MAX(0,MIN(AW227+AX227-AY227,AV227))</f>
        <v/>
      </c>
      <c r="BA227" s="42">
        <f>ROUND(AW227+AX227-AY227-AZ227,2)</f>
        <v/>
      </c>
      <c r="BB227">
        <f>AV227-AZ227</f>
        <v/>
      </c>
      <c r="BC227" s="42">
        <f>BG226</f>
        <v/>
      </c>
      <c r="BD227" s="42">
        <f>ROUND(BC227*BD$6/12,2)</f>
        <v/>
      </c>
      <c r="BE227" s="42">
        <f>MIN(BE$6,BC227+BD227)</f>
        <v/>
      </c>
      <c r="BF227" s="42">
        <f>MAX(0,MIN(BC227+BD227-BE227,BB227))</f>
        <v/>
      </c>
      <c r="BG227" s="42">
        <f>ROUND(BC227+BD227-BE227-BF227,2)</f>
        <v/>
      </c>
      <c r="BH227">
        <f>BB227-BF227</f>
        <v/>
      </c>
      <c r="BI227" s="42">
        <f>BM226</f>
        <v/>
      </c>
      <c r="BJ227" s="42">
        <f>ROUND(BI227*BJ$6/12,2)</f>
        <v/>
      </c>
      <c r="BK227" s="42">
        <f>MIN(BK$6,BI227+BJ227)</f>
        <v/>
      </c>
      <c r="BL227" s="42">
        <f>MAX(0,MIN(BI227+BJ227-BK227,BH227))</f>
        <v/>
      </c>
      <c r="BM227" s="42">
        <f>ROUND(BI227+BJ227-BK227-BL227,2)</f>
        <v/>
      </c>
      <c r="BN227">
        <f>BH227-BL227</f>
        <v/>
      </c>
    </row>
    <row r="228">
      <c r="A228" s="39" t="n">
        <v>221</v>
      </c>
      <c r="B228" s="40">
        <f>EDATE('My Debts'!$C$6,A228-1)</f>
        <v/>
      </c>
      <c r="C228" s="41">
        <f>K228+Q228+W228+AC228+AI228+AO228+AU228+BA228+BG228+BM228</f>
        <v/>
      </c>
      <c r="D228" s="42">
        <f>I228+O228+U228+AA228+AG228+AM228+AS228+AY228+BE228+BK228+J228+P228+V228+AB228+AH228+AN228+AT228+AZ228+BF228+BL228</f>
        <v/>
      </c>
      <c r="E228" s="42">
        <f>H228+N228+T228+Z228+AF228+AL228+AR228+AX228+BD228+BJ228</f>
        <v/>
      </c>
      <c r="F228">
        <f>MAX(0,'My Debts'!$E$21-(I228+O228+U228+AA228+AG228+AM228+AS228+AY228+BE228+BK228))</f>
        <v/>
      </c>
      <c r="G228" s="42">
        <f>K227</f>
        <v/>
      </c>
      <c r="H228" s="42">
        <f>ROUND(G228*H$6/12,2)</f>
        <v/>
      </c>
      <c r="I228" s="42">
        <f>MIN(I$6,G228+H228)</f>
        <v/>
      </c>
      <c r="J228" s="42">
        <f>MAX(0,MIN(G228+H228-I228,$F228))</f>
        <v/>
      </c>
      <c r="K228" s="42">
        <f>ROUND(G228+H228-I228-J228,2)</f>
        <v/>
      </c>
      <c r="L228">
        <f>$F228-J228</f>
        <v/>
      </c>
      <c r="M228" s="42">
        <f>Q227</f>
        <v/>
      </c>
      <c r="N228" s="42">
        <f>ROUND(M228*N$6/12,2)</f>
        <v/>
      </c>
      <c r="O228" s="42">
        <f>MIN(O$6,M228+N228)</f>
        <v/>
      </c>
      <c r="P228" s="42">
        <f>MAX(0,MIN(M228+N228-O228,L228))</f>
        <v/>
      </c>
      <c r="Q228" s="42">
        <f>ROUND(M228+N228-O228-P228,2)</f>
        <v/>
      </c>
      <c r="R228">
        <f>L228-P228</f>
        <v/>
      </c>
      <c r="S228" s="42">
        <f>W227</f>
        <v/>
      </c>
      <c r="T228" s="42">
        <f>ROUND(S228*T$6/12,2)</f>
        <v/>
      </c>
      <c r="U228" s="42">
        <f>MIN(U$6,S228+T228)</f>
        <v/>
      </c>
      <c r="V228" s="42">
        <f>MAX(0,MIN(S228+T228-U228,R228))</f>
        <v/>
      </c>
      <c r="W228" s="42">
        <f>ROUND(S228+T228-U228-V228,2)</f>
        <v/>
      </c>
      <c r="X228">
        <f>R228-V228</f>
        <v/>
      </c>
      <c r="Y228" s="42">
        <f>AC227</f>
        <v/>
      </c>
      <c r="Z228" s="42">
        <f>ROUND(Y228*Z$6/12,2)</f>
        <v/>
      </c>
      <c r="AA228" s="42">
        <f>MIN(AA$6,Y228+Z228)</f>
        <v/>
      </c>
      <c r="AB228" s="42">
        <f>MAX(0,MIN(Y228+Z228-AA228,X228))</f>
        <v/>
      </c>
      <c r="AC228" s="42">
        <f>ROUND(Y228+Z228-AA228-AB228,2)</f>
        <v/>
      </c>
      <c r="AD228">
        <f>X228-AB228</f>
        <v/>
      </c>
      <c r="AE228" s="42">
        <f>AI227</f>
        <v/>
      </c>
      <c r="AF228" s="42">
        <f>ROUND(AE228*AF$6/12,2)</f>
        <v/>
      </c>
      <c r="AG228" s="42">
        <f>MIN(AG$6,AE228+AF228)</f>
        <v/>
      </c>
      <c r="AH228" s="42">
        <f>MAX(0,MIN(AE228+AF228-AG228,AD228))</f>
        <v/>
      </c>
      <c r="AI228" s="42">
        <f>ROUND(AE228+AF228-AG228-AH228,2)</f>
        <v/>
      </c>
      <c r="AJ228">
        <f>AD228-AH228</f>
        <v/>
      </c>
      <c r="AK228" s="42">
        <f>AO227</f>
        <v/>
      </c>
      <c r="AL228" s="42">
        <f>ROUND(AK228*AL$6/12,2)</f>
        <v/>
      </c>
      <c r="AM228" s="42">
        <f>MIN(AM$6,AK228+AL228)</f>
        <v/>
      </c>
      <c r="AN228" s="42">
        <f>MAX(0,MIN(AK228+AL228-AM228,AJ228))</f>
        <v/>
      </c>
      <c r="AO228" s="42">
        <f>ROUND(AK228+AL228-AM228-AN228,2)</f>
        <v/>
      </c>
      <c r="AP228">
        <f>AJ228-AN228</f>
        <v/>
      </c>
      <c r="AQ228" s="42">
        <f>AU227</f>
        <v/>
      </c>
      <c r="AR228" s="42">
        <f>ROUND(AQ228*AR$6/12,2)</f>
        <v/>
      </c>
      <c r="AS228" s="42">
        <f>MIN(AS$6,AQ228+AR228)</f>
        <v/>
      </c>
      <c r="AT228" s="42">
        <f>MAX(0,MIN(AQ228+AR228-AS228,AP228))</f>
        <v/>
      </c>
      <c r="AU228" s="42">
        <f>ROUND(AQ228+AR228-AS228-AT228,2)</f>
        <v/>
      </c>
      <c r="AV228">
        <f>AP228-AT228</f>
        <v/>
      </c>
      <c r="AW228" s="42">
        <f>BA227</f>
        <v/>
      </c>
      <c r="AX228" s="42">
        <f>ROUND(AW228*AX$6/12,2)</f>
        <v/>
      </c>
      <c r="AY228" s="42">
        <f>MIN(AY$6,AW228+AX228)</f>
        <v/>
      </c>
      <c r="AZ228" s="42">
        <f>MAX(0,MIN(AW228+AX228-AY228,AV228))</f>
        <v/>
      </c>
      <c r="BA228" s="42">
        <f>ROUND(AW228+AX228-AY228-AZ228,2)</f>
        <v/>
      </c>
      <c r="BB228">
        <f>AV228-AZ228</f>
        <v/>
      </c>
      <c r="BC228" s="42">
        <f>BG227</f>
        <v/>
      </c>
      <c r="BD228" s="42">
        <f>ROUND(BC228*BD$6/12,2)</f>
        <v/>
      </c>
      <c r="BE228" s="42">
        <f>MIN(BE$6,BC228+BD228)</f>
        <v/>
      </c>
      <c r="BF228" s="42">
        <f>MAX(0,MIN(BC228+BD228-BE228,BB228))</f>
        <v/>
      </c>
      <c r="BG228" s="42">
        <f>ROUND(BC228+BD228-BE228-BF228,2)</f>
        <v/>
      </c>
      <c r="BH228">
        <f>BB228-BF228</f>
        <v/>
      </c>
      <c r="BI228" s="42">
        <f>BM227</f>
        <v/>
      </c>
      <c r="BJ228" s="42">
        <f>ROUND(BI228*BJ$6/12,2)</f>
        <v/>
      </c>
      <c r="BK228" s="42">
        <f>MIN(BK$6,BI228+BJ228)</f>
        <v/>
      </c>
      <c r="BL228" s="42">
        <f>MAX(0,MIN(BI228+BJ228-BK228,BH228))</f>
        <v/>
      </c>
      <c r="BM228" s="42">
        <f>ROUND(BI228+BJ228-BK228-BL228,2)</f>
        <v/>
      </c>
      <c r="BN228">
        <f>BH228-BL228</f>
        <v/>
      </c>
    </row>
    <row r="229">
      <c r="A229" s="43" t="n">
        <v>222</v>
      </c>
      <c r="B229" s="44">
        <f>EDATE('My Debts'!$C$6,A229-1)</f>
        <v/>
      </c>
      <c r="C229" s="45">
        <f>K229+Q229+W229+AC229+AI229+AO229+AU229+BA229+BG229+BM229</f>
        <v/>
      </c>
      <c r="D229" s="46">
        <f>I229+O229+U229+AA229+AG229+AM229+AS229+AY229+BE229+BK229+J229+P229+V229+AB229+AH229+AN229+AT229+AZ229+BF229+BL229</f>
        <v/>
      </c>
      <c r="E229" s="46">
        <f>H229+N229+T229+Z229+AF229+AL229+AR229+AX229+BD229+BJ229</f>
        <v/>
      </c>
      <c r="F229">
        <f>MAX(0,'My Debts'!$E$21-(I229+O229+U229+AA229+AG229+AM229+AS229+AY229+BE229+BK229))</f>
        <v/>
      </c>
      <c r="G229" s="42">
        <f>K228</f>
        <v/>
      </c>
      <c r="H229" s="42">
        <f>ROUND(G229*H$6/12,2)</f>
        <v/>
      </c>
      <c r="I229" s="42">
        <f>MIN(I$6,G229+H229)</f>
        <v/>
      </c>
      <c r="J229" s="42">
        <f>MAX(0,MIN(G229+H229-I229,$F229))</f>
        <v/>
      </c>
      <c r="K229" s="42">
        <f>ROUND(G229+H229-I229-J229,2)</f>
        <v/>
      </c>
      <c r="L229">
        <f>$F229-J229</f>
        <v/>
      </c>
      <c r="M229" s="42">
        <f>Q228</f>
        <v/>
      </c>
      <c r="N229" s="42">
        <f>ROUND(M229*N$6/12,2)</f>
        <v/>
      </c>
      <c r="O229" s="42">
        <f>MIN(O$6,M229+N229)</f>
        <v/>
      </c>
      <c r="P229" s="42">
        <f>MAX(0,MIN(M229+N229-O229,L229))</f>
        <v/>
      </c>
      <c r="Q229" s="42">
        <f>ROUND(M229+N229-O229-P229,2)</f>
        <v/>
      </c>
      <c r="R229">
        <f>L229-P229</f>
        <v/>
      </c>
      <c r="S229" s="42">
        <f>W228</f>
        <v/>
      </c>
      <c r="T229" s="42">
        <f>ROUND(S229*T$6/12,2)</f>
        <v/>
      </c>
      <c r="U229" s="42">
        <f>MIN(U$6,S229+T229)</f>
        <v/>
      </c>
      <c r="V229" s="42">
        <f>MAX(0,MIN(S229+T229-U229,R229))</f>
        <v/>
      </c>
      <c r="W229" s="42">
        <f>ROUND(S229+T229-U229-V229,2)</f>
        <v/>
      </c>
      <c r="X229">
        <f>R229-V229</f>
        <v/>
      </c>
      <c r="Y229" s="42">
        <f>AC228</f>
        <v/>
      </c>
      <c r="Z229" s="42">
        <f>ROUND(Y229*Z$6/12,2)</f>
        <v/>
      </c>
      <c r="AA229" s="42">
        <f>MIN(AA$6,Y229+Z229)</f>
        <v/>
      </c>
      <c r="AB229" s="42">
        <f>MAX(0,MIN(Y229+Z229-AA229,X229))</f>
        <v/>
      </c>
      <c r="AC229" s="42">
        <f>ROUND(Y229+Z229-AA229-AB229,2)</f>
        <v/>
      </c>
      <c r="AD229">
        <f>X229-AB229</f>
        <v/>
      </c>
      <c r="AE229" s="42">
        <f>AI228</f>
        <v/>
      </c>
      <c r="AF229" s="42">
        <f>ROUND(AE229*AF$6/12,2)</f>
        <v/>
      </c>
      <c r="AG229" s="42">
        <f>MIN(AG$6,AE229+AF229)</f>
        <v/>
      </c>
      <c r="AH229" s="42">
        <f>MAX(0,MIN(AE229+AF229-AG229,AD229))</f>
        <v/>
      </c>
      <c r="AI229" s="42">
        <f>ROUND(AE229+AF229-AG229-AH229,2)</f>
        <v/>
      </c>
      <c r="AJ229">
        <f>AD229-AH229</f>
        <v/>
      </c>
      <c r="AK229" s="42">
        <f>AO228</f>
        <v/>
      </c>
      <c r="AL229" s="42">
        <f>ROUND(AK229*AL$6/12,2)</f>
        <v/>
      </c>
      <c r="AM229" s="42">
        <f>MIN(AM$6,AK229+AL229)</f>
        <v/>
      </c>
      <c r="AN229" s="42">
        <f>MAX(0,MIN(AK229+AL229-AM229,AJ229))</f>
        <v/>
      </c>
      <c r="AO229" s="42">
        <f>ROUND(AK229+AL229-AM229-AN229,2)</f>
        <v/>
      </c>
      <c r="AP229">
        <f>AJ229-AN229</f>
        <v/>
      </c>
      <c r="AQ229" s="42">
        <f>AU228</f>
        <v/>
      </c>
      <c r="AR229" s="42">
        <f>ROUND(AQ229*AR$6/12,2)</f>
        <v/>
      </c>
      <c r="AS229" s="42">
        <f>MIN(AS$6,AQ229+AR229)</f>
        <v/>
      </c>
      <c r="AT229" s="42">
        <f>MAX(0,MIN(AQ229+AR229-AS229,AP229))</f>
        <v/>
      </c>
      <c r="AU229" s="42">
        <f>ROUND(AQ229+AR229-AS229-AT229,2)</f>
        <v/>
      </c>
      <c r="AV229">
        <f>AP229-AT229</f>
        <v/>
      </c>
      <c r="AW229" s="42">
        <f>BA228</f>
        <v/>
      </c>
      <c r="AX229" s="42">
        <f>ROUND(AW229*AX$6/12,2)</f>
        <v/>
      </c>
      <c r="AY229" s="42">
        <f>MIN(AY$6,AW229+AX229)</f>
        <v/>
      </c>
      <c r="AZ229" s="42">
        <f>MAX(0,MIN(AW229+AX229-AY229,AV229))</f>
        <v/>
      </c>
      <c r="BA229" s="42">
        <f>ROUND(AW229+AX229-AY229-AZ229,2)</f>
        <v/>
      </c>
      <c r="BB229">
        <f>AV229-AZ229</f>
        <v/>
      </c>
      <c r="BC229" s="42">
        <f>BG228</f>
        <v/>
      </c>
      <c r="BD229" s="42">
        <f>ROUND(BC229*BD$6/12,2)</f>
        <v/>
      </c>
      <c r="BE229" s="42">
        <f>MIN(BE$6,BC229+BD229)</f>
        <v/>
      </c>
      <c r="BF229" s="42">
        <f>MAX(0,MIN(BC229+BD229-BE229,BB229))</f>
        <v/>
      </c>
      <c r="BG229" s="42">
        <f>ROUND(BC229+BD229-BE229-BF229,2)</f>
        <v/>
      </c>
      <c r="BH229">
        <f>BB229-BF229</f>
        <v/>
      </c>
      <c r="BI229" s="42">
        <f>BM228</f>
        <v/>
      </c>
      <c r="BJ229" s="42">
        <f>ROUND(BI229*BJ$6/12,2)</f>
        <v/>
      </c>
      <c r="BK229" s="42">
        <f>MIN(BK$6,BI229+BJ229)</f>
        <v/>
      </c>
      <c r="BL229" s="42">
        <f>MAX(0,MIN(BI229+BJ229-BK229,BH229))</f>
        <v/>
      </c>
      <c r="BM229" s="42">
        <f>ROUND(BI229+BJ229-BK229-BL229,2)</f>
        <v/>
      </c>
      <c r="BN229">
        <f>BH229-BL229</f>
        <v/>
      </c>
    </row>
    <row r="230">
      <c r="A230" s="39" t="n">
        <v>223</v>
      </c>
      <c r="B230" s="40">
        <f>EDATE('My Debts'!$C$6,A230-1)</f>
        <v/>
      </c>
      <c r="C230" s="41">
        <f>K230+Q230+W230+AC230+AI230+AO230+AU230+BA230+BG230+BM230</f>
        <v/>
      </c>
      <c r="D230" s="42">
        <f>I230+O230+U230+AA230+AG230+AM230+AS230+AY230+BE230+BK230+J230+P230+V230+AB230+AH230+AN230+AT230+AZ230+BF230+BL230</f>
        <v/>
      </c>
      <c r="E230" s="42">
        <f>H230+N230+T230+Z230+AF230+AL230+AR230+AX230+BD230+BJ230</f>
        <v/>
      </c>
      <c r="F230">
        <f>MAX(0,'My Debts'!$E$21-(I230+O230+U230+AA230+AG230+AM230+AS230+AY230+BE230+BK230))</f>
        <v/>
      </c>
      <c r="G230" s="42">
        <f>K229</f>
        <v/>
      </c>
      <c r="H230" s="42">
        <f>ROUND(G230*H$6/12,2)</f>
        <v/>
      </c>
      <c r="I230" s="42">
        <f>MIN(I$6,G230+H230)</f>
        <v/>
      </c>
      <c r="J230" s="42">
        <f>MAX(0,MIN(G230+H230-I230,$F230))</f>
        <v/>
      </c>
      <c r="K230" s="42">
        <f>ROUND(G230+H230-I230-J230,2)</f>
        <v/>
      </c>
      <c r="L230">
        <f>$F230-J230</f>
        <v/>
      </c>
      <c r="M230" s="42">
        <f>Q229</f>
        <v/>
      </c>
      <c r="N230" s="42">
        <f>ROUND(M230*N$6/12,2)</f>
        <v/>
      </c>
      <c r="O230" s="42">
        <f>MIN(O$6,M230+N230)</f>
        <v/>
      </c>
      <c r="P230" s="42">
        <f>MAX(0,MIN(M230+N230-O230,L230))</f>
        <v/>
      </c>
      <c r="Q230" s="42">
        <f>ROUND(M230+N230-O230-P230,2)</f>
        <v/>
      </c>
      <c r="R230">
        <f>L230-P230</f>
        <v/>
      </c>
      <c r="S230" s="42">
        <f>W229</f>
        <v/>
      </c>
      <c r="T230" s="42">
        <f>ROUND(S230*T$6/12,2)</f>
        <v/>
      </c>
      <c r="U230" s="42">
        <f>MIN(U$6,S230+T230)</f>
        <v/>
      </c>
      <c r="V230" s="42">
        <f>MAX(0,MIN(S230+T230-U230,R230))</f>
        <v/>
      </c>
      <c r="W230" s="42">
        <f>ROUND(S230+T230-U230-V230,2)</f>
        <v/>
      </c>
      <c r="X230">
        <f>R230-V230</f>
        <v/>
      </c>
      <c r="Y230" s="42">
        <f>AC229</f>
        <v/>
      </c>
      <c r="Z230" s="42">
        <f>ROUND(Y230*Z$6/12,2)</f>
        <v/>
      </c>
      <c r="AA230" s="42">
        <f>MIN(AA$6,Y230+Z230)</f>
        <v/>
      </c>
      <c r="AB230" s="42">
        <f>MAX(0,MIN(Y230+Z230-AA230,X230))</f>
        <v/>
      </c>
      <c r="AC230" s="42">
        <f>ROUND(Y230+Z230-AA230-AB230,2)</f>
        <v/>
      </c>
      <c r="AD230">
        <f>X230-AB230</f>
        <v/>
      </c>
      <c r="AE230" s="42">
        <f>AI229</f>
        <v/>
      </c>
      <c r="AF230" s="42">
        <f>ROUND(AE230*AF$6/12,2)</f>
        <v/>
      </c>
      <c r="AG230" s="42">
        <f>MIN(AG$6,AE230+AF230)</f>
        <v/>
      </c>
      <c r="AH230" s="42">
        <f>MAX(0,MIN(AE230+AF230-AG230,AD230))</f>
        <v/>
      </c>
      <c r="AI230" s="42">
        <f>ROUND(AE230+AF230-AG230-AH230,2)</f>
        <v/>
      </c>
      <c r="AJ230">
        <f>AD230-AH230</f>
        <v/>
      </c>
      <c r="AK230" s="42">
        <f>AO229</f>
        <v/>
      </c>
      <c r="AL230" s="42">
        <f>ROUND(AK230*AL$6/12,2)</f>
        <v/>
      </c>
      <c r="AM230" s="42">
        <f>MIN(AM$6,AK230+AL230)</f>
        <v/>
      </c>
      <c r="AN230" s="42">
        <f>MAX(0,MIN(AK230+AL230-AM230,AJ230))</f>
        <v/>
      </c>
      <c r="AO230" s="42">
        <f>ROUND(AK230+AL230-AM230-AN230,2)</f>
        <v/>
      </c>
      <c r="AP230">
        <f>AJ230-AN230</f>
        <v/>
      </c>
      <c r="AQ230" s="42">
        <f>AU229</f>
        <v/>
      </c>
      <c r="AR230" s="42">
        <f>ROUND(AQ230*AR$6/12,2)</f>
        <v/>
      </c>
      <c r="AS230" s="42">
        <f>MIN(AS$6,AQ230+AR230)</f>
        <v/>
      </c>
      <c r="AT230" s="42">
        <f>MAX(0,MIN(AQ230+AR230-AS230,AP230))</f>
        <v/>
      </c>
      <c r="AU230" s="42">
        <f>ROUND(AQ230+AR230-AS230-AT230,2)</f>
        <v/>
      </c>
      <c r="AV230">
        <f>AP230-AT230</f>
        <v/>
      </c>
      <c r="AW230" s="42">
        <f>BA229</f>
        <v/>
      </c>
      <c r="AX230" s="42">
        <f>ROUND(AW230*AX$6/12,2)</f>
        <v/>
      </c>
      <c r="AY230" s="42">
        <f>MIN(AY$6,AW230+AX230)</f>
        <v/>
      </c>
      <c r="AZ230" s="42">
        <f>MAX(0,MIN(AW230+AX230-AY230,AV230))</f>
        <v/>
      </c>
      <c r="BA230" s="42">
        <f>ROUND(AW230+AX230-AY230-AZ230,2)</f>
        <v/>
      </c>
      <c r="BB230">
        <f>AV230-AZ230</f>
        <v/>
      </c>
      <c r="BC230" s="42">
        <f>BG229</f>
        <v/>
      </c>
      <c r="BD230" s="42">
        <f>ROUND(BC230*BD$6/12,2)</f>
        <v/>
      </c>
      <c r="BE230" s="42">
        <f>MIN(BE$6,BC230+BD230)</f>
        <v/>
      </c>
      <c r="BF230" s="42">
        <f>MAX(0,MIN(BC230+BD230-BE230,BB230))</f>
        <v/>
      </c>
      <c r="BG230" s="42">
        <f>ROUND(BC230+BD230-BE230-BF230,2)</f>
        <v/>
      </c>
      <c r="BH230">
        <f>BB230-BF230</f>
        <v/>
      </c>
      <c r="BI230" s="42">
        <f>BM229</f>
        <v/>
      </c>
      <c r="BJ230" s="42">
        <f>ROUND(BI230*BJ$6/12,2)</f>
        <v/>
      </c>
      <c r="BK230" s="42">
        <f>MIN(BK$6,BI230+BJ230)</f>
        <v/>
      </c>
      <c r="BL230" s="42">
        <f>MAX(0,MIN(BI230+BJ230-BK230,BH230))</f>
        <v/>
      </c>
      <c r="BM230" s="42">
        <f>ROUND(BI230+BJ230-BK230-BL230,2)</f>
        <v/>
      </c>
      <c r="BN230">
        <f>BH230-BL230</f>
        <v/>
      </c>
    </row>
    <row r="231">
      <c r="A231" s="43" t="n">
        <v>224</v>
      </c>
      <c r="B231" s="44">
        <f>EDATE('My Debts'!$C$6,A231-1)</f>
        <v/>
      </c>
      <c r="C231" s="45">
        <f>K231+Q231+W231+AC231+AI231+AO231+AU231+BA231+BG231+BM231</f>
        <v/>
      </c>
      <c r="D231" s="46">
        <f>I231+O231+U231+AA231+AG231+AM231+AS231+AY231+BE231+BK231+J231+P231+V231+AB231+AH231+AN231+AT231+AZ231+BF231+BL231</f>
        <v/>
      </c>
      <c r="E231" s="46">
        <f>H231+N231+T231+Z231+AF231+AL231+AR231+AX231+BD231+BJ231</f>
        <v/>
      </c>
      <c r="F231">
        <f>MAX(0,'My Debts'!$E$21-(I231+O231+U231+AA231+AG231+AM231+AS231+AY231+BE231+BK231))</f>
        <v/>
      </c>
      <c r="G231" s="42">
        <f>K230</f>
        <v/>
      </c>
      <c r="H231" s="42">
        <f>ROUND(G231*H$6/12,2)</f>
        <v/>
      </c>
      <c r="I231" s="42">
        <f>MIN(I$6,G231+H231)</f>
        <v/>
      </c>
      <c r="J231" s="42">
        <f>MAX(0,MIN(G231+H231-I231,$F231))</f>
        <v/>
      </c>
      <c r="K231" s="42">
        <f>ROUND(G231+H231-I231-J231,2)</f>
        <v/>
      </c>
      <c r="L231">
        <f>$F231-J231</f>
        <v/>
      </c>
      <c r="M231" s="42">
        <f>Q230</f>
        <v/>
      </c>
      <c r="N231" s="42">
        <f>ROUND(M231*N$6/12,2)</f>
        <v/>
      </c>
      <c r="O231" s="42">
        <f>MIN(O$6,M231+N231)</f>
        <v/>
      </c>
      <c r="P231" s="42">
        <f>MAX(0,MIN(M231+N231-O231,L231))</f>
        <v/>
      </c>
      <c r="Q231" s="42">
        <f>ROUND(M231+N231-O231-P231,2)</f>
        <v/>
      </c>
      <c r="R231">
        <f>L231-P231</f>
        <v/>
      </c>
      <c r="S231" s="42">
        <f>W230</f>
        <v/>
      </c>
      <c r="T231" s="42">
        <f>ROUND(S231*T$6/12,2)</f>
        <v/>
      </c>
      <c r="U231" s="42">
        <f>MIN(U$6,S231+T231)</f>
        <v/>
      </c>
      <c r="V231" s="42">
        <f>MAX(0,MIN(S231+T231-U231,R231))</f>
        <v/>
      </c>
      <c r="W231" s="42">
        <f>ROUND(S231+T231-U231-V231,2)</f>
        <v/>
      </c>
      <c r="X231">
        <f>R231-V231</f>
        <v/>
      </c>
      <c r="Y231" s="42">
        <f>AC230</f>
        <v/>
      </c>
      <c r="Z231" s="42">
        <f>ROUND(Y231*Z$6/12,2)</f>
        <v/>
      </c>
      <c r="AA231" s="42">
        <f>MIN(AA$6,Y231+Z231)</f>
        <v/>
      </c>
      <c r="AB231" s="42">
        <f>MAX(0,MIN(Y231+Z231-AA231,X231))</f>
        <v/>
      </c>
      <c r="AC231" s="42">
        <f>ROUND(Y231+Z231-AA231-AB231,2)</f>
        <v/>
      </c>
      <c r="AD231">
        <f>X231-AB231</f>
        <v/>
      </c>
      <c r="AE231" s="42">
        <f>AI230</f>
        <v/>
      </c>
      <c r="AF231" s="42">
        <f>ROUND(AE231*AF$6/12,2)</f>
        <v/>
      </c>
      <c r="AG231" s="42">
        <f>MIN(AG$6,AE231+AF231)</f>
        <v/>
      </c>
      <c r="AH231" s="42">
        <f>MAX(0,MIN(AE231+AF231-AG231,AD231))</f>
        <v/>
      </c>
      <c r="AI231" s="42">
        <f>ROUND(AE231+AF231-AG231-AH231,2)</f>
        <v/>
      </c>
      <c r="AJ231">
        <f>AD231-AH231</f>
        <v/>
      </c>
      <c r="AK231" s="42">
        <f>AO230</f>
        <v/>
      </c>
      <c r="AL231" s="42">
        <f>ROUND(AK231*AL$6/12,2)</f>
        <v/>
      </c>
      <c r="AM231" s="42">
        <f>MIN(AM$6,AK231+AL231)</f>
        <v/>
      </c>
      <c r="AN231" s="42">
        <f>MAX(0,MIN(AK231+AL231-AM231,AJ231))</f>
        <v/>
      </c>
      <c r="AO231" s="42">
        <f>ROUND(AK231+AL231-AM231-AN231,2)</f>
        <v/>
      </c>
      <c r="AP231">
        <f>AJ231-AN231</f>
        <v/>
      </c>
      <c r="AQ231" s="42">
        <f>AU230</f>
        <v/>
      </c>
      <c r="AR231" s="42">
        <f>ROUND(AQ231*AR$6/12,2)</f>
        <v/>
      </c>
      <c r="AS231" s="42">
        <f>MIN(AS$6,AQ231+AR231)</f>
        <v/>
      </c>
      <c r="AT231" s="42">
        <f>MAX(0,MIN(AQ231+AR231-AS231,AP231))</f>
        <v/>
      </c>
      <c r="AU231" s="42">
        <f>ROUND(AQ231+AR231-AS231-AT231,2)</f>
        <v/>
      </c>
      <c r="AV231">
        <f>AP231-AT231</f>
        <v/>
      </c>
      <c r="AW231" s="42">
        <f>BA230</f>
        <v/>
      </c>
      <c r="AX231" s="42">
        <f>ROUND(AW231*AX$6/12,2)</f>
        <v/>
      </c>
      <c r="AY231" s="42">
        <f>MIN(AY$6,AW231+AX231)</f>
        <v/>
      </c>
      <c r="AZ231" s="42">
        <f>MAX(0,MIN(AW231+AX231-AY231,AV231))</f>
        <v/>
      </c>
      <c r="BA231" s="42">
        <f>ROUND(AW231+AX231-AY231-AZ231,2)</f>
        <v/>
      </c>
      <c r="BB231">
        <f>AV231-AZ231</f>
        <v/>
      </c>
      <c r="BC231" s="42">
        <f>BG230</f>
        <v/>
      </c>
      <c r="BD231" s="42">
        <f>ROUND(BC231*BD$6/12,2)</f>
        <v/>
      </c>
      <c r="BE231" s="42">
        <f>MIN(BE$6,BC231+BD231)</f>
        <v/>
      </c>
      <c r="BF231" s="42">
        <f>MAX(0,MIN(BC231+BD231-BE231,BB231))</f>
        <v/>
      </c>
      <c r="BG231" s="42">
        <f>ROUND(BC231+BD231-BE231-BF231,2)</f>
        <v/>
      </c>
      <c r="BH231">
        <f>BB231-BF231</f>
        <v/>
      </c>
      <c r="BI231" s="42">
        <f>BM230</f>
        <v/>
      </c>
      <c r="BJ231" s="42">
        <f>ROUND(BI231*BJ$6/12,2)</f>
        <v/>
      </c>
      <c r="BK231" s="42">
        <f>MIN(BK$6,BI231+BJ231)</f>
        <v/>
      </c>
      <c r="BL231" s="42">
        <f>MAX(0,MIN(BI231+BJ231-BK231,BH231))</f>
        <v/>
      </c>
      <c r="BM231" s="42">
        <f>ROUND(BI231+BJ231-BK231-BL231,2)</f>
        <v/>
      </c>
      <c r="BN231">
        <f>BH231-BL231</f>
        <v/>
      </c>
    </row>
    <row r="232">
      <c r="A232" s="39" t="n">
        <v>225</v>
      </c>
      <c r="B232" s="40">
        <f>EDATE('My Debts'!$C$6,A232-1)</f>
        <v/>
      </c>
      <c r="C232" s="41">
        <f>K232+Q232+W232+AC232+AI232+AO232+AU232+BA232+BG232+BM232</f>
        <v/>
      </c>
      <c r="D232" s="42">
        <f>I232+O232+U232+AA232+AG232+AM232+AS232+AY232+BE232+BK232+J232+P232+V232+AB232+AH232+AN232+AT232+AZ232+BF232+BL232</f>
        <v/>
      </c>
      <c r="E232" s="42">
        <f>H232+N232+T232+Z232+AF232+AL232+AR232+AX232+BD232+BJ232</f>
        <v/>
      </c>
      <c r="F232">
        <f>MAX(0,'My Debts'!$E$21-(I232+O232+U232+AA232+AG232+AM232+AS232+AY232+BE232+BK232))</f>
        <v/>
      </c>
      <c r="G232" s="42">
        <f>K231</f>
        <v/>
      </c>
      <c r="H232" s="42">
        <f>ROUND(G232*H$6/12,2)</f>
        <v/>
      </c>
      <c r="I232" s="42">
        <f>MIN(I$6,G232+H232)</f>
        <v/>
      </c>
      <c r="J232" s="42">
        <f>MAX(0,MIN(G232+H232-I232,$F232))</f>
        <v/>
      </c>
      <c r="K232" s="42">
        <f>ROUND(G232+H232-I232-J232,2)</f>
        <v/>
      </c>
      <c r="L232">
        <f>$F232-J232</f>
        <v/>
      </c>
      <c r="M232" s="42">
        <f>Q231</f>
        <v/>
      </c>
      <c r="N232" s="42">
        <f>ROUND(M232*N$6/12,2)</f>
        <v/>
      </c>
      <c r="O232" s="42">
        <f>MIN(O$6,M232+N232)</f>
        <v/>
      </c>
      <c r="P232" s="42">
        <f>MAX(0,MIN(M232+N232-O232,L232))</f>
        <v/>
      </c>
      <c r="Q232" s="42">
        <f>ROUND(M232+N232-O232-P232,2)</f>
        <v/>
      </c>
      <c r="R232">
        <f>L232-P232</f>
        <v/>
      </c>
      <c r="S232" s="42">
        <f>W231</f>
        <v/>
      </c>
      <c r="T232" s="42">
        <f>ROUND(S232*T$6/12,2)</f>
        <v/>
      </c>
      <c r="U232" s="42">
        <f>MIN(U$6,S232+T232)</f>
        <v/>
      </c>
      <c r="V232" s="42">
        <f>MAX(0,MIN(S232+T232-U232,R232))</f>
        <v/>
      </c>
      <c r="W232" s="42">
        <f>ROUND(S232+T232-U232-V232,2)</f>
        <v/>
      </c>
      <c r="X232">
        <f>R232-V232</f>
        <v/>
      </c>
      <c r="Y232" s="42">
        <f>AC231</f>
        <v/>
      </c>
      <c r="Z232" s="42">
        <f>ROUND(Y232*Z$6/12,2)</f>
        <v/>
      </c>
      <c r="AA232" s="42">
        <f>MIN(AA$6,Y232+Z232)</f>
        <v/>
      </c>
      <c r="AB232" s="42">
        <f>MAX(0,MIN(Y232+Z232-AA232,X232))</f>
        <v/>
      </c>
      <c r="AC232" s="42">
        <f>ROUND(Y232+Z232-AA232-AB232,2)</f>
        <v/>
      </c>
      <c r="AD232">
        <f>X232-AB232</f>
        <v/>
      </c>
      <c r="AE232" s="42">
        <f>AI231</f>
        <v/>
      </c>
      <c r="AF232" s="42">
        <f>ROUND(AE232*AF$6/12,2)</f>
        <v/>
      </c>
      <c r="AG232" s="42">
        <f>MIN(AG$6,AE232+AF232)</f>
        <v/>
      </c>
      <c r="AH232" s="42">
        <f>MAX(0,MIN(AE232+AF232-AG232,AD232))</f>
        <v/>
      </c>
      <c r="AI232" s="42">
        <f>ROUND(AE232+AF232-AG232-AH232,2)</f>
        <v/>
      </c>
      <c r="AJ232">
        <f>AD232-AH232</f>
        <v/>
      </c>
      <c r="AK232" s="42">
        <f>AO231</f>
        <v/>
      </c>
      <c r="AL232" s="42">
        <f>ROUND(AK232*AL$6/12,2)</f>
        <v/>
      </c>
      <c r="AM232" s="42">
        <f>MIN(AM$6,AK232+AL232)</f>
        <v/>
      </c>
      <c r="AN232" s="42">
        <f>MAX(0,MIN(AK232+AL232-AM232,AJ232))</f>
        <v/>
      </c>
      <c r="AO232" s="42">
        <f>ROUND(AK232+AL232-AM232-AN232,2)</f>
        <v/>
      </c>
      <c r="AP232">
        <f>AJ232-AN232</f>
        <v/>
      </c>
      <c r="AQ232" s="42">
        <f>AU231</f>
        <v/>
      </c>
      <c r="AR232" s="42">
        <f>ROUND(AQ232*AR$6/12,2)</f>
        <v/>
      </c>
      <c r="AS232" s="42">
        <f>MIN(AS$6,AQ232+AR232)</f>
        <v/>
      </c>
      <c r="AT232" s="42">
        <f>MAX(0,MIN(AQ232+AR232-AS232,AP232))</f>
        <v/>
      </c>
      <c r="AU232" s="42">
        <f>ROUND(AQ232+AR232-AS232-AT232,2)</f>
        <v/>
      </c>
      <c r="AV232">
        <f>AP232-AT232</f>
        <v/>
      </c>
      <c r="AW232" s="42">
        <f>BA231</f>
        <v/>
      </c>
      <c r="AX232" s="42">
        <f>ROUND(AW232*AX$6/12,2)</f>
        <v/>
      </c>
      <c r="AY232" s="42">
        <f>MIN(AY$6,AW232+AX232)</f>
        <v/>
      </c>
      <c r="AZ232" s="42">
        <f>MAX(0,MIN(AW232+AX232-AY232,AV232))</f>
        <v/>
      </c>
      <c r="BA232" s="42">
        <f>ROUND(AW232+AX232-AY232-AZ232,2)</f>
        <v/>
      </c>
      <c r="BB232">
        <f>AV232-AZ232</f>
        <v/>
      </c>
      <c r="BC232" s="42">
        <f>BG231</f>
        <v/>
      </c>
      <c r="BD232" s="42">
        <f>ROUND(BC232*BD$6/12,2)</f>
        <v/>
      </c>
      <c r="BE232" s="42">
        <f>MIN(BE$6,BC232+BD232)</f>
        <v/>
      </c>
      <c r="BF232" s="42">
        <f>MAX(0,MIN(BC232+BD232-BE232,BB232))</f>
        <v/>
      </c>
      <c r="BG232" s="42">
        <f>ROUND(BC232+BD232-BE232-BF232,2)</f>
        <v/>
      </c>
      <c r="BH232">
        <f>BB232-BF232</f>
        <v/>
      </c>
      <c r="BI232" s="42">
        <f>BM231</f>
        <v/>
      </c>
      <c r="BJ232" s="42">
        <f>ROUND(BI232*BJ$6/12,2)</f>
        <v/>
      </c>
      <c r="BK232" s="42">
        <f>MIN(BK$6,BI232+BJ232)</f>
        <v/>
      </c>
      <c r="BL232" s="42">
        <f>MAX(0,MIN(BI232+BJ232-BK232,BH232))</f>
        <v/>
      </c>
      <c r="BM232" s="42">
        <f>ROUND(BI232+BJ232-BK232-BL232,2)</f>
        <v/>
      </c>
      <c r="BN232">
        <f>BH232-BL232</f>
        <v/>
      </c>
    </row>
    <row r="233">
      <c r="A233" s="43" t="n">
        <v>226</v>
      </c>
      <c r="B233" s="44">
        <f>EDATE('My Debts'!$C$6,A233-1)</f>
        <v/>
      </c>
      <c r="C233" s="45">
        <f>K233+Q233+W233+AC233+AI233+AO233+AU233+BA233+BG233+BM233</f>
        <v/>
      </c>
      <c r="D233" s="46">
        <f>I233+O233+U233+AA233+AG233+AM233+AS233+AY233+BE233+BK233+J233+P233+V233+AB233+AH233+AN233+AT233+AZ233+BF233+BL233</f>
        <v/>
      </c>
      <c r="E233" s="46">
        <f>H233+N233+T233+Z233+AF233+AL233+AR233+AX233+BD233+BJ233</f>
        <v/>
      </c>
      <c r="F233">
        <f>MAX(0,'My Debts'!$E$21-(I233+O233+U233+AA233+AG233+AM233+AS233+AY233+BE233+BK233))</f>
        <v/>
      </c>
      <c r="G233" s="42">
        <f>K232</f>
        <v/>
      </c>
      <c r="H233" s="42">
        <f>ROUND(G233*H$6/12,2)</f>
        <v/>
      </c>
      <c r="I233" s="42">
        <f>MIN(I$6,G233+H233)</f>
        <v/>
      </c>
      <c r="J233" s="42">
        <f>MAX(0,MIN(G233+H233-I233,$F233))</f>
        <v/>
      </c>
      <c r="K233" s="42">
        <f>ROUND(G233+H233-I233-J233,2)</f>
        <v/>
      </c>
      <c r="L233">
        <f>$F233-J233</f>
        <v/>
      </c>
      <c r="M233" s="42">
        <f>Q232</f>
        <v/>
      </c>
      <c r="N233" s="42">
        <f>ROUND(M233*N$6/12,2)</f>
        <v/>
      </c>
      <c r="O233" s="42">
        <f>MIN(O$6,M233+N233)</f>
        <v/>
      </c>
      <c r="P233" s="42">
        <f>MAX(0,MIN(M233+N233-O233,L233))</f>
        <v/>
      </c>
      <c r="Q233" s="42">
        <f>ROUND(M233+N233-O233-P233,2)</f>
        <v/>
      </c>
      <c r="R233">
        <f>L233-P233</f>
        <v/>
      </c>
      <c r="S233" s="42">
        <f>W232</f>
        <v/>
      </c>
      <c r="T233" s="42">
        <f>ROUND(S233*T$6/12,2)</f>
        <v/>
      </c>
      <c r="U233" s="42">
        <f>MIN(U$6,S233+T233)</f>
        <v/>
      </c>
      <c r="V233" s="42">
        <f>MAX(0,MIN(S233+T233-U233,R233))</f>
        <v/>
      </c>
      <c r="W233" s="42">
        <f>ROUND(S233+T233-U233-V233,2)</f>
        <v/>
      </c>
      <c r="X233">
        <f>R233-V233</f>
        <v/>
      </c>
      <c r="Y233" s="42">
        <f>AC232</f>
        <v/>
      </c>
      <c r="Z233" s="42">
        <f>ROUND(Y233*Z$6/12,2)</f>
        <v/>
      </c>
      <c r="AA233" s="42">
        <f>MIN(AA$6,Y233+Z233)</f>
        <v/>
      </c>
      <c r="AB233" s="42">
        <f>MAX(0,MIN(Y233+Z233-AA233,X233))</f>
        <v/>
      </c>
      <c r="AC233" s="42">
        <f>ROUND(Y233+Z233-AA233-AB233,2)</f>
        <v/>
      </c>
      <c r="AD233">
        <f>X233-AB233</f>
        <v/>
      </c>
      <c r="AE233" s="42">
        <f>AI232</f>
        <v/>
      </c>
      <c r="AF233" s="42">
        <f>ROUND(AE233*AF$6/12,2)</f>
        <v/>
      </c>
      <c r="AG233" s="42">
        <f>MIN(AG$6,AE233+AF233)</f>
        <v/>
      </c>
      <c r="AH233" s="42">
        <f>MAX(0,MIN(AE233+AF233-AG233,AD233))</f>
        <v/>
      </c>
      <c r="AI233" s="42">
        <f>ROUND(AE233+AF233-AG233-AH233,2)</f>
        <v/>
      </c>
      <c r="AJ233">
        <f>AD233-AH233</f>
        <v/>
      </c>
      <c r="AK233" s="42">
        <f>AO232</f>
        <v/>
      </c>
      <c r="AL233" s="42">
        <f>ROUND(AK233*AL$6/12,2)</f>
        <v/>
      </c>
      <c r="AM233" s="42">
        <f>MIN(AM$6,AK233+AL233)</f>
        <v/>
      </c>
      <c r="AN233" s="42">
        <f>MAX(0,MIN(AK233+AL233-AM233,AJ233))</f>
        <v/>
      </c>
      <c r="AO233" s="42">
        <f>ROUND(AK233+AL233-AM233-AN233,2)</f>
        <v/>
      </c>
      <c r="AP233">
        <f>AJ233-AN233</f>
        <v/>
      </c>
      <c r="AQ233" s="42">
        <f>AU232</f>
        <v/>
      </c>
      <c r="AR233" s="42">
        <f>ROUND(AQ233*AR$6/12,2)</f>
        <v/>
      </c>
      <c r="AS233" s="42">
        <f>MIN(AS$6,AQ233+AR233)</f>
        <v/>
      </c>
      <c r="AT233" s="42">
        <f>MAX(0,MIN(AQ233+AR233-AS233,AP233))</f>
        <v/>
      </c>
      <c r="AU233" s="42">
        <f>ROUND(AQ233+AR233-AS233-AT233,2)</f>
        <v/>
      </c>
      <c r="AV233">
        <f>AP233-AT233</f>
        <v/>
      </c>
      <c r="AW233" s="42">
        <f>BA232</f>
        <v/>
      </c>
      <c r="AX233" s="42">
        <f>ROUND(AW233*AX$6/12,2)</f>
        <v/>
      </c>
      <c r="AY233" s="42">
        <f>MIN(AY$6,AW233+AX233)</f>
        <v/>
      </c>
      <c r="AZ233" s="42">
        <f>MAX(0,MIN(AW233+AX233-AY233,AV233))</f>
        <v/>
      </c>
      <c r="BA233" s="42">
        <f>ROUND(AW233+AX233-AY233-AZ233,2)</f>
        <v/>
      </c>
      <c r="BB233">
        <f>AV233-AZ233</f>
        <v/>
      </c>
      <c r="BC233" s="42">
        <f>BG232</f>
        <v/>
      </c>
      <c r="BD233" s="42">
        <f>ROUND(BC233*BD$6/12,2)</f>
        <v/>
      </c>
      <c r="BE233" s="42">
        <f>MIN(BE$6,BC233+BD233)</f>
        <v/>
      </c>
      <c r="BF233" s="42">
        <f>MAX(0,MIN(BC233+BD233-BE233,BB233))</f>
        <v/>
      </c>
      <c r="BG233" s="42">
        <f>ROUND(BC233+BD233-BE233-BF233,2)</f>
        <v/>
      </c>
      <c r="BH233">
        <f>BB233-BF233</f>
        <v/>
      </c>
      <c r="BI233" s="42">
        <f>BM232</f>
        <v/>
      </c>
      <c r="BJ233" s="42">
        <f>ROUND(BI233*BJ$6/12,2)</f>
        <v/>
      </c>
      <c r="BK233" s="42">
        <f>MIN(BK$6,BI233+BJ233)</f>
        <v/>
      </c>
      <c r="BL233" s="42">
        <f>MAX(0,MIN(BI233+BJ233-BK233,BH233))</f>
        <v/>
      </c>
      <c r="BM233" s="42">
        <f>ROUND(BI233+BJ233-BK233-BL233,2)</f>
        <v/>
      </c>
      <c r="BN233">
        <f>BH233-BL233</f>
        <v/>
      </c>
    </row>
    <row r="234">
      <c r="A234" s="39" t="n">
        <v>227</v>
      </c>
      <c r="B234" s="40">
        <f>EDATE('My Debts'!$C$6,A234-1)</f>
        <v/>
      </c>
      <c r="C234" s="41">
        <f>K234+Q234+W234+AC234+AI234+AO234+AU234+BA234+BG234+BM234</f>
        <v/>
      </c>
      <c r="D234" s="42">
        <f>I234+O234+U234+AA234+AG234+AM234+AS234+AY234+BE234+BK234+J234+P234+V234+AB234+AH234+AN234+AT234+AZ234+BF234+BL234</f>
        <v/>
      </c>
      <c r="E234" s="42">
        <f>H234+N234+T234+Z234+AF234+AL234+AR234+AX234+BD234+BJ234</f>
        <v/>
      </c>
      <c r="F234">
        <f>MAX(0,'My Debts'!$E$21-(I234+O234+U234+AA234+AG234+AM234+AS234+AY234+BE234+BK234))</f>
        <v/>
      </c>
      <c r="G234" s="42">
        <f>K233</f>
        <v/>
      </c>
      <c r="H234" s="42">
        <f>ROUND(G234*H$6/12,2)</f>
        <v/>
      </c>
      <c r="I234" s="42">
        <f>MIN(I$6,G234+H234)</f>
        <v/>
      </c>
      <c r="J234" s="42">
        <f>MAX(0,MIN(G234+H234-I234,$F234))</f>
        <v/>
      </c>
      <c r="K234" s="42">
        <f>ROUND(G234+H234-I234-J234,2)</f>
        <v/>
      </c>
      <c r="L234">
        <f>$F234-J234</f>
        <v/>
      </c>
      <c r="M234" s="42">
        <f>Q233</f>
        <v/>
      </c>
      <c r="N234" s="42">
        <f>ROUND(M234*N$6/12,2)</f>
        <v/>
      </c>
      <c r="O234" s="42">
        <f>MIN(O$6,M234+N234)</f>
        <v/>
      </c>
      <c r="P234" s="42">
        <f>MAX(0,MIN(M234+N234-O234,L234))</f>
        <v/>
      </c>
      <c r="Q234" s="42">
        <f>ROUND(M234+N234-O234-P234,2)</f>
        <v/>
      </c>
      <c r="R234">
        <f>L234-P234</f>
        <v/>
      </c>
      <c r="S234" s="42">
        <f>W233</f>
        <v/>
      </c>
      <c r="T234" s="42">
        <f>ROUND(S234*T$6/12,2)</f>
        <v/>
      </c>
      <c r="U234" s="42">
        <f>MIN(U$6,S234+T234)</f>
        <v/>
      </c>
      <c r="V234" s="42">
        <f>MAX(0,MIN(S234+T234-U234,R234))</f>
        <v/>
      </c>
      <c r="W234" s="42">
        <f>ROUND(S234+T234-U234-V234,2)</f>
        <v/>
      </c>
      <c r="X234">
        <f>R234-V234</f>
        <v/>
      </c>
      <c r="Y234" s="42">
        <f>AC233</f>
        <v/>
      </c>
      <c r="Z234" s="42">
        <f>ROUND(Y234*Z$6/12,2)</f>
        <v/>
      </c>
      <c r="AA234" s="42">
        <f>MIN(AA$6,Y234+Z234)</f>
        <v/>
      </c>
      <c r="AB234" s="42">
        <f>MAX(0,MIN(Y234+Z234-AA234,X234))</f>
        <v/>
      </c>
      <c r="AC234" s="42">
        <f>ROUND(Y234+Z234-AA234-AB234,2)</f>
        <v/>
      </c>
      <c r="AD234">
        <f>X234-AB234</f>
        <v/>
      </c>
      <c r="AE234" s="42">
        <f>AI233</f>
        <v/>
      </c>
      <c r="AF234" s="42">
        <f>ROUND(AE234*AF$6/12,2)</f>
        <v/>
      </c>
      <c r="AG234" s="42">
        <f>MIN(AG$6,AE234+AF234)</f>
        <v/>
      </c>
      <c r="AH234" s="42">
        <f>MAX(0,MIN(AE234+AF234-AG234,AD234))</f>
        <v/>
      </c>
      <c r="AI234" s="42">
        <f>ROUND(AE234+AF234-AG234-AH234,2)</f>
        <v/>
      </c>
      <c r="AJ234">
        <f>AD234-AH234</f>
        <v/>
      </c>
      <c r="AK234" s="42">
        <f>AO233</f>
        <v/>
      </c>
      <c r="AL234" s="42">
        <f>ROUND(AK234*AL$6/12,2)</f>
        <v/>
      </c>
      <c r="AM234" s="42">
        <f>MIN(AM$6,AK234+AL234)</f>
        <v/>
      </c>
      <c r="AN234" s="42">
        <f>MAX(0,MIN(AK234+AL234-AM234,AJ234))</f>
        <v/>
      </c>
      <c r="AO234" s="42">
        <f>ROUND(AK234+AL234-AM234-AN234,2)</f>
        <v/>
      </c>
      <c r="AP234">
        <f>AJ234-AN234</f>
        <v/>
      </c>
      <c r="AQ234" s="42">
        <f>AU233</f>
        <v/>
      </c>
      <c r="AR234" s="42">
        <f>ROUND(AQ234*AR$6/12,2)</f>
        <v/>
      </c>
      <c r="AS234" s="42">
        <f>MIN(AS$6,AQ234+AR234)</f>
        <v/>
      </c>
      <c r="AT234" s="42">
        <f>MAX(0,MIN(AQ234+AR234-AS234,AP234))</f>
        <v/>
      </c>
      <c r="AU234" s="42">
        <f>ROUND(AQ234+AR234-AS234-AT234,2)</f>
        <v/>
      </c>
      <c r="AV234">
        <f>AP234-AT234</f>
        <v/>
      </c>
      <c r="AW234" s="42">
        <f>BA233</f>
        <v/>
      </c>
      <c r="AX234" s="42">
        <f>ROUND(AW234*AX$6/12,2)</f>
        <v/>
      </c>
      <c r="AY234" s="42">
        <f>MIN(AY$6,AW234+AX234)</f>
        <v/>
      </c>
      <c r="AZ234" s="42">
        <f>MAX(0,MIN(AW234+AX234-AY234,AV234))</f>
        <v/>
      </c>
      <c r="BA234" s="42">
        <f>ROUND(AW234+AX234-AY234-AZ234,2)</f>
        <v/>
      </c>
      <c r="BB234">
        <f>AV234-AZ234</f>
        <v/>
      </c>
      <c r="BC234" s="42">
        <f>BG233</f>
        <v/>
      </c>
      <c r="BD234" s="42">
        <f>ROUND(BC234*BD$6/12,2)</f>
        <v/>
      </c>
      <c r="BE234" s="42">
        <f>MIN(BE$6,BC234+BD234)</f>
        <v/>
      </c>
      <c r="BF234" s="42">
        <f>MAX(0,MIN(BC234+BD234-BE234,BB234))</f>
        <v/>
      </c>
      <c r="BG234" s="42">
        <f>ROUND(BC234+BD234-BE234-BF234,2)</f>
        <v/>
      </c>
      <c r="BH234">
        <f>BB234-BF234</f>
        <v/>
      </c>
      <c r="BI234" s="42">
        <f>BM233</f>
        <v/>
      </c>
      <c r="BJ234" s="42">
        <f>ROUND(BI234*BJ$6/12,2)</f>
        <v/>
      </c>
      <c r="BK234" s="42">
        <f>MIN(BK$6,BI234+BJ234)</f>
        <v/>
      </c>
      <c r="BL234" s="42">
        <f>MAX(0,MIN(BI234+BJ234-BK234,BH234))</f>
        <v/>
      </c>
      <c r="BM234" s="42">
        <f>ROUND(BI234+BJ234-BK234-BL234,2)</f>
        <v/>
      </c>
      <c r="BN234">
        <f>BH234-BL234</f>
        <v/>
      </c>
    </row>
    <row r="235">
      <c r="A235" s="43" t="n">
        <v>228</v>
      </c>
      <c r="B235" s="44">
        <f>EDATE('My Debts'!$C$6,A235-1)</f>
        <v/>
      </c>
      <c r="C235" s="45">
        <f>K235+Q235+W235+AC235+AI235+AO235+AU235+BA235+BG235+BM235</f>
        <v/>
      </c>
      <c r="D235" s="46">
        <f>I235+O235+U235+AA235+AG235+AM235+AS235+AY235+BE235+BK235+J235+P235+V235+AB235+AH235+AN235+AT235+AZ235+BF235+BL235</f>
        <v/>
      </c>
      <c r="E235" s="46">
        <f>H235+N235+T235+Z235+AF235+AL235+AR235+AX235+BD235+BJ235</f>
        <v/>
      </c>
      <c r="F235">
        <f>MAX(0,'My Debts'!$E$21-(I235+O235+U235+AA235+AG235+AM235+AS235+AY235+BE235+BK235))</f>
        <v/>
      </c>
      <c r="G235" s="42">
        <f>K234</f>
        <v/>
      </c>
      <c r="H235" s="42">
        <f>ROUND(G235*H$6/12,2)</f>
        <v/>
      </c>
      <c r="I235" s="42">
        <f>MIN(I$6,G235+H235)</f>
        <v/>
      </c>
      <c r="J235" s="42">
        <f>MAX(0,MIN(G235+H235-I235,$F235))</f>
        <v/>
      </c>
      <c r="K235" s="42">
        <f>ROUND(G235+H235-I235-J235,2)</f>
        <v/>
      </c>
      <c r="L235">
        <f>$F235-J235</f>
        <v/>
      </c>
      <c r="M235" s="42">
        <f>Q234</f>
        <v/>
      </c>
      <c r="N235" s="42">
        <f>ROUND(M235*N$6/12,2)</f>
        <v/>
      </c>
      <c r="O235" s="42">
        <f>MIN(O$6,M235+N235)</f>
        <v/>
      </c>
      <c r="P235" s="42">
        <f>MAX(0,MIN(M235+N235-O235,L235))</f>
        <v/>
      </c>
      <c r="Q235" s="42">
        <f>ROUND(M235+N235-O235-P235,2)</f>
        <v/>
      </c>
      <c r="R235">
        <f>L235-P235</f>
        <v/>
      </c>
      <c r="S235" s="42">
        <f>W234</f>
        <v/>
      </c>
      <c r="T235" s="42">
        <f>ROUND(S235*T$6/12,2)</f>
        <v/>
      </c>
      <c r="U235" s="42">
        <f>MIN(U$6,S235+T235)</f>
        <v/>
      </c>
      <c r="V235" s="42">
        <f>MAX(0,MIN(S235+T235-U235,R235))</f>
        <v/>
      </c>
      <c r="W235" s="42">
        <f>ROUND(S235+T235-U235-V235,2)</f>
        <v/>
      </c>
      <c r="X235">
        <f>R235-V235</f>
        <v/>
      </c>
      <c r="Y235" s="42">
        <f>AC234</f>
        <v/>
      </c>
      <c r="Z235" s="42">
        <f>ROUND(Y235*Z$6/12,2)</f>
        <v/>
      </c>
      <c r="AA235" s="42">
        <f>MIN(AA$6,Y235+Z235)</f>
        <v/>
      </c>
      <c r="AB235" s="42">
        <f>MAX(0,MIN(Y235+Z235-AA235,X235))</f>
        <v/>
      </c>
      <c r="AC235" s="42">
        <f>ROUND(Y235+Z235-AA235-AB235,2)</f>
        <v/>
      </c>
      <c r="AD235">
        <f>X235-AB235</f>
        <v/>
      </c>
      <c r="AE235" s="42">
        <f>AI234</f>
        <v/>
      </c>
      <c r="AF235" s="42">
        <f>ROUND(AE235*AF$6/12,2)</f>
        <v/>
      </c>
      <c r="AG235" s="42">
        <f>MIN(AG$6,AE235+AF235)</f>
        <v/>
      </c>
      <c r="AH235" s="42">
        <f>MAX(0,MIN(AE235+AF235-AG235,AD235))</f>
        <v/>
      </c>
      <c r="AI235" s="42">
        <f>ROUND(AE235+AF235-AG235-AH235,2)</f>
        <v/>
      </c>
      <c r="AJ235">
        <f>AD235-AH235</f>
        <v/>
      </c>
      <c r="AK235" s="42">
        <f>AO234</f>
        <v/>
      </c>
      <c r="AL235" s="42">
        <f>ROUND(AK235*AL$6/12,2)</f>
        <v/>
      </c>
      <c r="AM235" s="42">
        <f>MIN(AM$6,AK235+AL235)</f>
        <v/>
      </c>
      <c r="AN235" s="42">
        <f>MAX(0,MIN(AK235+AL235-AM235,AJ235))</f>
        <v/>
      </c>
      <c r="AO235" s="42">
        <f>ROUND(AK235+AL235-AM235-AN235,2)</f>
        <v/>
      </c>
      <c r="AP235">
        <f>AJ235-AN235</f>
        <v/>
      </c>
      <c r="AQ235" s="42">
        <f>AU234</f>
        <v/>
      </c>
      <c r="AR235" s="42">
        <f>ROUND(AQ235*AR$6/12,2)</f>
        <v/>
      </c>
      <c r="AS235" s="42">
        <f>MIN(AS$6,AQ235+AR235)</f>
        <v/>
      </c>
      <c r="AT235" s="42">
        <f>MAX(0,MIN(AQ235+AR235-AS235,AP235))</f>
        <v/>
      </c>
      <c r="AU235" s="42">
        <f>ROUND(AQ235+AR235-AS235-AT235,2)</f>
        <v/>
      </c>
      <c r="AV235">
        <f>AP235-AT235</f>
        <v/>
      </c>
      <c r="AW235" s="42">
        <f>BA234</f>
        <v/>
      </c>
      <c r="AX235" s="42">
        <f>ROUND(AW235*AX$6/12,2)</f>
        <v/>
      </c>
      <c r="AY235" s="42">
        <f>MIN(AY$6,AW235+AX235)</f>
        <v/>
      </c>
      <c r="AZ235" s="42">
        <f>MAX(0,MIN(AW235+AX235-AY235,AV235))</f>
        <v/>
      </c>
      <c r="BA235" s="42">
        <f>ROUND(AW235+AX235-AY235-AZ235,2)</f>
        <v/>
      </c>
      <c r="BB235">
        <f>AV235-AZ235</f>
        <v/>
      </c>
      <c r="BC235" s="42">
        <f>BG234</f>
        <v/>
      </c>
      <c r="BD235" s="42">
        <f>ROUND(BC235*BD$6/12,2)</f>
        <v/>
      </c>
      <c r="BE235" s="42">
        <f>MIN(BE$6,BC235+BD235)</f>
        <v/>
      </c>
      <c r="BF235" s="42">
        <f>MAX(0,MIN(BC235+BD235-BE235,BB235))</f>
        <v/>
      </c>
      <c r="BG235" s="42">
        <f>ROUND(BC235+BD235-BE235-BF235,2)</f>
        <v/>
      </c>
      <c r="BH235">
        <f>BB235-BF235</f>
        <v/>
      </c>
      <c r="BI235" s="42">
        <f>BM234</f>
        <v/>
      </c>
      <c r="BJ235" s="42">
        <f>ROUND(BI235*BJ$6/12,2)</f>
        <v/>
      </c>
      <c r="BK235" s="42">
        <f>MIN(BK$6,BI235+BJ235)</f>
        <v/>
      </c>
      <c r="BL235" s="42">
        <f>MAX(0,MIN(BI235+BJ235-BK235,BH235))</f>
        <v/>
      </c>
      <c r="BM235" s="42">
        <f>ROUND(BI235+BJ235-BK235-BL235,2)</f>
        <v/>
      </c>
      <c r="BN235">
        <f>BH235-BL235</f>
        <v/>
      </c>
    </row>
    <row r="236">
      <c r="A236" s="39" t="n">
        <v>229</v>
      </c>
      <c r="B236" s="40">
        <f>EDATE('My Debts'!$C$6,A236-1)</f>
        <v/>
      </c>
      <c r="C236" s="41">
        <f>K236+Q236+W236+AC236+AI236+AO236+AU236+BA236+BG236+BM236</f>
        <v/>
      </c>
      <c r="D236" s="42">
        <f>I236+O236+U236+AA236+AG236+AM236+AS236+AY236+BE236+BK236+J236+P236+V236+AB236+AH236+AN236+AT236+AZ236+BF236+BL236</f>
        <v/>
      </c>
      <c r="E236" s="42">
        <f>H236+N236+T236+Z236+AF236+AL236+AR236+AX236+BD236+BJ236</f>
        <v/>
      </c>
      <c r="F236">
        <f>MAX(0,'My Debts'!$E$21-(I236+O236+U236+AA236+AG236+AM236+AS236+AY236+BE236+BK236))</f>
        <v/>
      </c>
      <c r="G236" s="42">
        <f>K235</f>
        <v/>
      </c>
      <c r="H236" s="42">
        <f>ROUND(G236*H$6/12,2)</f>
        <v/>
      </c>
      <c r="I236" s="42">
        <f>MIN(I$6,G236+H236)</f>
        <v/>
      </c>
      <c r="J236" s="42">
        <f>MAX(0,MIN(G236+H236-I236,$F236))</f>
        <v/>
      </c>
      <c r="K236" s="42">
        <f>ROUND(G236+H236-I236-J236,2)</f>
        <v/>
      </c>
      <c r="L236">
        <f>$F236-J236</f>
        <v/>
      </c>
      <c r="M236" s="42">
        <f>Q235</f>
        <v/>
      </c>
      <c r="N236" s="42">
        <f>ROUND(M236*N$6/12,2)</f>
        <v/>
      </c>
      <c r="O236" s="42">
        <f>MIN(O$6,M236+N236)</f>
        <v/>
      </c>
      <c r="P236" s="42">
        <f>MAX(0,MIN(M236+N236-O236,L236))</f>
        <v/>
      </c>
      <c r="Q236" s="42">
        <f>ROUND(M236+N236-O236-P236,2)</f>
        <v/>
      </c>
      <c r="R236">
        <f>L236-P236</f>
        <v/>
      </c>
      <c r="S236" s="42">
        <f>W235</f>
        <v/>
      </c>
      <c r="T236" s="42">
        <f>ROUND(S236*T$6/12,2)</f>
        <v/>
      </c>
      <c r="U236" s="42">
        <f>MIN(U$6,S236+T236)</f>
        <v/>
      </c>
      <c r="V236" s="42">
        <f>MAX(0,MIN(S236+T236-U236,R236))</f>
        <v/>
      </c>
      <c r="W236" s="42">
        <f>ROUND(S236+T236-U236-V236,2)</f>
        <v/>
      </c>
      <c r="X236">
        <f>R236-V236</f>
        <v/>
      </c>
      <c r="Y236" s="42">
        <f>AC235</f>
        <v/>
      </c>
      <c r="Z236" s="42">
        <f>ROUND(Y236*Z$6/12,2)</f>
        <v/>
      </c>
      <c r="AA236" s="42">
        <f>MIN(AA$6,Y236+Z236)</f>
        <v/>
      </c>
      <c r="AB236" s="42">
        <f>MAX(0,MIN(Y236+Z236-AA236,X236))</f>
        <v/>
      </c>
      <c r="AC236" s="42">
        <f>ROUND(Y236+Z236-AA236-AB236,2)</f>
        <v/>
      </c>
      <c r="AD236">
        <f>X236-AB236</f>
        <v/>
      </c>
      <c r="AE236" s="42">
        <f>AI235</f>
        <v/>
      </c>
      <c r="AF236" s="42">
        <f>ROUND(AE236*AF$6/12,2)</f>
        <v/>
      </c>
      <c r="AG236" s="42">
        <f>MIN(AG$6,AE236+AF236)</f>
        <v/>
      </c>
      <c r="AH236" s="42">
        <f>MAX(0,MIN(AE236+AF236-AG236,AD236))</f>
        <v/>
      </c>
      <c r="AI236" s="42">
        <f>ROUND(AE236+AF236-AG236-AH236,2)</f>
        <v/>
      </c>
      <c r="AJ236">
        <f>AD236-AH236</f>
        <v/>
      </c>
      <c r="AK236" s="42">
        <f>AO235</f>
        <v/>
      </c>
      <c r="AL236" s="42">
        <f>ROUND(AK236*AL$6/12,2)</f>
        <v/>
      </c>
      <c r="AM236" s="42">
        <f>MIN(AM$6,AK236+AL236)</f>
        <v/>
      </c>
      <c r="AN236" s="42">
        <f>MAX(0,MIN(AK236+AL236-AM236,AJ236))</f>
        <v/>
      </c>
      <c r="AO236" s="42">
        <f>ROUND(AK236+AL236-AM236-AN236,2)</f>
        <v/>
      </c>
      <c r="AP236">
        <f>AJ236-AN236</f>
        <v/>
      </c>
      <c r="AQ236" s="42">
        <f>AU235</f>
        <v/>
      </c>
      <c r="AR236" s="42">
        <f>ROUND(AQ236*AR$6/12,2)</f>
        <v/>
      </c>
      <c r="AS236" s="42">
        <f>MIN(AS$6,AQ236+AR236)</f>
        <v/>
      </c>
      <c r="AT236" s="42">
        <f>MAX(0,MIN(AQ236+AR236-AS236,AP236))</f>
        <v/>
      </c>
      <c r="AU236" s="42">
        <f>ROUND(AQ236+AR236-AS236-AT236,2)</f>
        <v/>
      </c>
      <c r="AV236">
        <f>AP236-AT236</f>
        <v/>
      </c>
      <c r="AW236" s="42">
        <f>BA235</f>
        <v/>
      </c>
      <c r="AX236" s="42">
        <f>ROUND(AW236*AX$6/12,2)</f>
        <v/>
      </c>
      <c r="AY236" s="42">
        <f>MIN(AY$6,AW236+AX236)</f>
        <v/>
      </c>
      <c r="AZ236" s="42">
        <f>MAX(0,MIN(AW236+AX236-AY236,AV236))</f>
        <v/>
      </c>
      <c r="BA236" s="42">
        <f>ROUND(AW236+AX236-AY236-AZ236,2)</f>
        <v/>
      </c>
      <c r="BB236">
        <f>AV236-AZ236</f>
        <v/>
      </c>
      <c r="BC236" s="42">
        <f>BG235</f>
        <v/>
      </c>
      <c r="BD236" s="42">
        <f>ROUND(BC236*BD$6/12,2)</f>
        <v/>
      </c>
      <c r="BE236" s="42">
        <f>MIN(BE$6,BC236+BD236)</f>
        <v/>
      </c>
      <c r="BF236" s="42">
        <f>MAX(0,MIN(BC236+BD236-BE236,BB236))</f>
        <v/>
      </c>
      <c r="BG236" s="42">
        <f>ROUND(BC236+BD236-BE236-BF236,2)</f>
        <v/>
      </c>
      <c r="BH236">
        <f>BB236-BF236</f>
        <v/>
      </c>
      <c r="BI236" s="42">
        <f>BM235</f>
        <v/>
      </c>
      <c r="BJ236" s="42">
        <f>ROUND(BI236*BJ$6/12,2)</f>
        <v/>
      </c>
      <c r="BK236" s="42">
        <f>MIN(BK$6,BI236+BJ236)</f>
        <v/>
      </c>
      <c r="BL236" s="42">
        <f>MAX(0,MIN(BI236+BJ236-BK236,BH236))</f>
        <v/>
      </c>
      <c r="BM236" s="42">
        <f>ROUND(BI236+BJ236-BK236-BL236,2)</f>
        <v/>
      </c>
      <c r="BN236">
        <f>BH236-BL236</f>
        <v/>
      </c>
    </row>
    <row r="237">
      <c r="A237" s="43" t="n">
        <v>230</v>
      </c>
      <c r="B237" s="44">
        <f>EDATE('My Debts'!$C$6,A237-1)</f>
        <v/>
      </c>
      <c r="C237" s="45">
        <f>K237+Q237+W237+AC237+AI237+AO237+AU237+BA237+BG237+BM237</f>
        <v/>
      </c>
      <c r="D237" s="46">
        <f>I237+O237+U237+AA237+AG237+AM237+AS237+AY237+BE237+BK237+J237+P237+V237+AB237+AH237+AN237+AT237+AZ237+BF237+BL237</f>
        <v/>
      </c>
      <c r="E237" s="46">
        <f>H237+N237+T237+Z237+AF237+AL237+AR237+AX237+BD237+BJ237</f>
        <v/>
      </c>
      <c r="F237">
        <f>MAX(0,'My Debts'!$E$21-(I237+O237+U237+AA237+AG237+AM237+AS237+AY237+BE237+BK237))</f>
        <v/>
      </c>
      <c r="G237" s="42">
        <f>K236</f>
        <v/>
      </c>
      <c r="H237" s="42">
        <f>ROUND(G237*H$6/12,2)</f>
        <v/>
      </c>
      <c r="I237" s="42">
        <f>MIN(I$6,G237+H237)</f>
        <v/>
      </c>
      <c r="J237" s="42">
        <f>MAX(0,MIN(G237+H237-I237,$F237))</f>
        <v/>
      </c>
      <c r="K237" s="42">
        <f>ROUND(G237+H237-I237-J237,2)</f>
        <v/>
      </c>
      <c r="L237">
        <f>$F237-J237</f>
        <v/>
      </c>
      <c r="M237" s="42">
        <f>Q236</f>
        <v/>
      </c>
      <c r="N237" s="42">
        <f>ROUND(M237*N$6/12,2)</f>
        <v/>
      </c>
      <c r="O237" s="42">
        <f>MIN(O$6,M237+N237)</f>
        <v/>
      </c>
      <c r="P237" s="42">
        <f>MAX(0,MIN(M237+N237-O237,L237))</f>
        <v/>
      </c>
      <c r="Q237" s="42">
        <f>ROUND(M237+N237-O237-P237,2)</f>
        <v/>
      </c>
      <c r="R237">
        <f>L237-P237</f>
        <v/>
      </c>
      <c r="S237" s="42">
        <f>W236</f>
        <v/>
      </c>
      <c r="T237" s="42">
        <f>ROUND(S237*T$6/12,2)</f>
        <v/>
      </c>
      <c r="U237" s="42">
        <f>MIN(U$6,S237+T237)</f>
        <v/>
      </c>
      <c r="V237" s="42">
        <f>MAX(0,MIN(S237+T237-U237,R237))</f>
        <v/>
      </c>
      <c r="W237" s="42">
        <f>ROUND(S237+T237-U237-V237,2)</f>
        <v/>
      </c>
      <c r="X237">
        <f>R237-V237</f>
        <v/>
      </c>
      <c r="Y237" s="42">
        <f>AC236</f>
        <v/>
      </c>
      <c r="Z237" s="42">
        <f>ROUND(Y237*Z$6/12,2)</f>
        <v/>
      </c>
      <c r="AA237" s="42">
        <f>MIN(AA$6,Y237+Z237)</f>
        <v/>
      </c>
      <c r="AB237" s="42">
        <f>MAX(0,MIN(Y237+Z237-AA237,X237))</f>
        <v/>
      </c>
      <c r="AC237" s="42">
        <f>ROUND(Y237+Z237-AA237-AB237,2)</f>
        <v/>
      </c>
      <c r="AD237">
        <f>X237-AB237</f>
        <v/>
      </c>
      <c r="AE237" s="42">
        <f>AI236</f>
        <v/>
      </c>
      <c r="AF237" s="42">
        <f>ROUND(AE237*AF$6/12,2)</f>
        <v/>
      </c>
      <c r="AG237" s="42">
        <f>MIN(AG$6,AE237+AF237)</f>
        <v/>
      </c>
      <c r="AH237" s="42">
        <f>MAX(0,MIN(AE237+AF237-AG237,AD237))</f>
        <v/>
      </c>
      <c r="AI237" s="42">
        <f>ROUND(AE237+AF237-AG237-AH237,2)</f>
        <v/>
      </c>
      <c r="AJ237">
        <f>AD237-AH237</f>
        <v/>
      </c>
      <c r="AK237" s="42">
        <f>AO236</f>
        <v/>
      </c>
      <c r="AL237" s="42">
        <f>ROUND(AK237*AL$6/12,2)</f>
        <v/>
      </c>
      <c r="AM237" s="42">
        <f>MIN(AM$6,AK237+AL237)</f>
        <v/>
      </c>
      <c r="AN237" s="42">
        <f>MAX(0,MIN(AK237+AL237-AM237,AJ237))</f>
        <v/>
      </c>
      <c r="AO237" s="42">
        <f>ROUND(AK237+AL237-AM237-AN237,2)</f>
        <v/>
      </c>
      <c r="AP237">
        <f>AJ237-AN237</f>
        <v/>
      </c>
      <c r="AQ237" s="42">
        <f>AU236</f>
        <v/>
      </c>
      <c r="AR237" s="42">
        <f>ROUND(AQ237*AR$6/12,2)</f>
        <v/>
      </c>
      <c r="AS237" s="42">
        <f>MIN(AS$6,AQ237+AR237)</f>
        <v/>
      </c>
      <c r="AT237" s="42">
        <f>MAX(0,MIN(AQ237+AR237-AS237,AP237))</f>
        <v/>
      </c>
      <c r="AU237" s="42">
        <f>ROUND(AQ237+AR237-AS237-AT237,2)</f>
        <v/>
      </c>
      <c r="AV237">
        <f>AP237-AT237</f>
        <v/>
      </c>
      <c r="AW237" s="42">
        <f>BA236</f>
        <v/>
      </c>
      <c r="AX237" s="42">
        <f>ROUND(AW237*AX$6/12,2)</f>
        <v/>
      </c>
      <c r="AY237" s="42">
        <f>MIN(AY$6,AW237+AX237)</f>
        <v/>
      </c>
      <c r="AZ237" s="42">
        <f>MAX(0,MIN(AW237+AX237-AY237,AV237))</f>
        <v/>
      </c>
      <c r="BA237" s="42">
        <f>ROUND(AW237+AX237-AY237-AZ237,2)</f>
        <v/>
      </c>
      <c r="BB237">
        <f>AV237-AZ237</f>
        <v/>
      </c>
      <c r="BC237" s="42">
        <f>BG236</f>
        <v/>
      </c>
      <c r="BD237" s="42">
        <f>ROUND(BC237*BD$6/12,2)</f>
        <v/>
      </c>
      <c r="BE237" s="42">
        <f>MIN(BE$6,BC237+BD237)</f>
        <v/>
      </c>
      <c r="BF237" s="42">
        <f>MAX(0,MIN(BC237+BD237-BE237,BB237))</f>
        <v/>
      </c>
      <c r="BG237" s="42">
        <f>ROUND(BC237+BD237-BE237-BF237,2)</f>
        <v/>
      </c>
      <c r="BH237">
        <f>BB237-BF237</f>
        <v/>
      </c>
      <c r="BI237" s="42">
        <f>BM236</f>
        <v/>
      </c>
      <c r="BJ237" s="42">
        <f>ROUND(BI237*BJ$6/12,2)</f>
        <v/>
      </c>
      <c r="BK237" s="42">
        <f>MIN(BK$6,BI237+BJ237)</f>
        <v/>
      </c>
      <c r="BL237" s="42">
        <f>MAX(0,MIN(BI237+BJ237-BK237,BH237))</f>
        <v/>
      </c>
      <c r="BM237" s="42">
        <f>ROUND(BI237+BJ237-BK237-BL237,2)</f>
        <v/>
      </c>
      <c r="BN237">
        <f>BH237-BL237</f>
        <v/>
      </c>
    </row>
    <row r="238">
      <c r="A238" s="39" t="n">
        <v>231</v>
      </c>
      <c r="B238" s="40">
        <f>EDATE('My Debts'!$C$6,A238-1)</f>
        <v/>
      </c>
      <c r="C238" s="41">
        <f>K238+Q238+W238+AC238+AI238+AO238+AU238+BA238+BG238+BM238</f>
        <v/>
      </c>
      <c r="D238" s="42">
        <f>I238+O238+U238+AA238+AG238+AM238+AS238+AY238+BE238+BK238+J238+P238+V238+AB238+AH238+AN238+AT238+AZ238+BF238+BL238</f>
        <v/>
      </c>
      <c r="E238" s="42">
        <f>H238+N238+T238+Z238+AF238+AL238+AR238+AX238+BD238+BJ238</f>
        <v/>
      </c>
      <c r="F238">
        <f>MAX(0,'My Debts'!$E$21-(I238+O238+U238+AA238+AG238+AM238+AS238+AY238+BE238+BK238))</f>
        <v/>
      </c>
      <c r="G238" s="42">
        <f>K237</f>
        <v/>
      </c>
      <c r="H238" s="42">
        <f>ROUND(G238*H$6/12,2)</f>
        <v/>
      </c>
      <c r="I238" s="42">
        <f>MIN(I$6,G238+H238)</f>
        <v/>
      </c>
      <c r="J238" s="42">
        <f>MAX(0,MIN(G238+H238-I238,$F238))</f>
        <v/>
      </c>
      <c r="K238" s="42">
        <f>ROUND(G238+H238-I238-J238,2)</f>
        <v/>
      </c>
      <c r="L238">
        <f>$F238-J238</f>
        <v/>
      </c>
      <c r="M238" s="42">
        <f>Q237</f>
        <v/>
      </c>
      <c r="N238" s="42">
        <f>ROUND(M238*N$6/12,2)</f>
        <v/>
      </c>
      <c r="O238" s="42">
        <f>MIN(O$6,M238+N238)</f>
        <v/>
      </c>
      <c r="P238" s="42">
        <f>MAX(0,MIN(M238+N238-O238,L238))</f>
        <v/>
      </c>
      <c r="Q238" s="42">
        <f>ROUND(M238+N238-O238-P238,2)</f>
        <v/>
      </c>
      <c r="R238">
        <f>L238-P238</f>
        <v/>
      </c>
      <c r="S238" s="42">
        <f>W237</f>
        <v/>
      </c>
      <c r="T238" s="42">
        <f>ROUND(S238*T$6/12,2)</f>
        <v/>
      </c>
      <c r="U238" s="42">
        <f>MIN(U$6,S238+T238)</f>
        <v/>
      </c>
      <c r="V238" s="42">
        <f>MAX(0,MIN(S238+T238-U238,R238))</f>
        <v/>
      </c>
      <c r="W238" s="42">
        <f>ROUND(S238+T238-U238-V238,2)</f>
        <v/>
      </c>
      <c r="X238">
        <f>R238-V238</f>
        <v/>
      </c>
      <c r="Y238" s="42">
        <f>AC237</f>
        <v/>
      </c>
      <c r="Z238" s="42">
        <f>ROUND(Y238*Z$6/12,2)</f>
        <v/>
      </c>
      <c r="AA238" s="42">
        <f>MIN(AA$6,Y238+Z238)</f>
        <v/>
      </c>
      <c r="AB238" s="42">
        <f>MAX(0,MIN(Y238+Z238-AA238,X238))</f>
        <v/>
      </c>
      <c r="AC238" s="42">
        <f>ROUND(Y238+Z238-AA238-AB238,2)</f>
        <v/>
      </c>
      <c r="AD238">
        <f>X238-AB238</f>
        <v/>
      </c>
      <c r="AE238" s="42">
        <f>AI237</f>
        <v/>
      </c>
      <c r="AF238" s="42">
        <f>ROUND(AE238*AF$6/12,2)</f>
        <v/>
      </c>
      <c r="AG238" s="42">
        <f>MIN(AG$6,AE238+AF238)</f>
        <v/>
      </c>
      <c r="AH238" s="42">
        <f>MAX(0,MIN(AE238+AF238-AG238,AD238))</f>
        <v/>
      </c>
      <c r="AI238" s="42">
        <f>ROUND(AE238+AF238-AG238-AH238,2)</f>
        <v/>
      </c>
      <c r="AJ238">
        <f>AD238-AH238</f>
        <v/>
      </c>
      <c r="AK238" s="42">
        <f>AO237</f>
        <v/>
      </c>
      <c r="AL238" s="42">
        <f>ROUND(AK238*AL$6/12,2)</f>
        <v/>
      </c>
      <c r="AM238" s="42">
        <f>MIN(AM$6,AK238+AL238)</f>
        <v/>
      </c>
      <c r="AN238" s="42">
        <f>MAX(0,MIN(AK238+AL238-AM238,AJ238))</f>
        <v/>
      </c>
      <c r="AO238" s="42">
        <f>ROUND(AK238+AL238-AM238-AN238,2)</f>
        <v/>
      </c>
      <c r="AP238">
        <f>AJ238-AN238</f>
        <v/>
      </c>
      <c r="AQ238" s="42">
        <f>AU237</f>
        <v/>
      </c>
      <c r="AR238" s="42">
        <f>ROUND(AQ238*AR$6/12,2)</f>
        <v/>
      </c>
      <c r="AS238" s="42">
        <f>MIN(AS$6,AQ238+AR238)</f>
        <v/>
      </c>
      <c r="AT238" s="42">
        <f>MAX(0,MIN(AQ238+AR238-AS238,AP238))</f>
        <v/>
      </c>
      <c r="AU238" s="42">
        <f>ROUND(AQ238+AR238-AS238-AT238,2)</f>
        <v/>
      </c>
      <c r="AV238">
        <f>AP238-AT238</f>
        <v/>
      </c>
      <c r="AW238" s="42">
        <f>BA237</f>
        <v/>
      </c>
      <c r="AX238" s="42">
        <f>ROUND(AW238*AX$6/12,2)</f>
        <v/>
      </c>
      <c r="AY238" s="42">
        <f>MIN(AY$6,AW238+AX238)</f>
        <v/>
      </c>
      <c r="AZ238" s="42">
        <f>MAX(0,MIN(AW238+AX238-AY238,AV238))</f>
        <v/>
      </c>
      <c r="BA238" s="42">
        <f>ROUND(AW238+AX238-AY238-AZ238,2)</f>
        <v/>
      </c>
      <c r="BB238">
        <f>AV238-AZ238</f>
        <v/>
      </c>
      <c r="BC238" s="42">
        <f>BG237</f>
        <v/>
      </c>
      <c r="BD238" s="42">
        <f>ROUND(BC238*BD$6/12,2)</f>
        <v/>
      </c>
      <c r="BE238" s="42">
        <f>MIN(BE$6,BC238+BD238)</f>
        <v/>
      </c>
      <c r="BF238" s="42">
        <f>MAX(0,MIN(BC238+BD238-BE238,BB238))</f>
        <v/>
      </c>
      <c r="BG238" s="42">
        <f>ROUND(BC238+BD238-BE238-BF238,2)</f>
        <v/>
      </c>
      <c r="BH238">
        <f>BB238-BF238</f>
        <v/>
      </c>
      <c r="BI238" s="42">
        <f>BM237</f>
        <v/>
      </c>
      <c r="BJ238" s="42">
        <f>ROUND(BI238*BJ$6/12,2)</f>
        <v/>
      </c>
      <c r="BK238" s="42">
        <f>MIN(BK$6,BI238+BJ238)</f>
        <v/>
      </c>
      <c r="BL238" s="42">
        <f>MAX(0,MIN(BI238+BJ238-BK238,BH238))</f>
        <v/>
      </c>
      <c r="BM238" s="42">
        <f>ROUND(BI238+BJ238-BK238-BL238,2)</f>
        <v/>
      </c>
      <c r="BN238">
        <f>BH238-BL238</f>
        <v/>
      </c>
    </row>
    <row r="239">
      <c r="A239" s="43" t="n">
        <v>232</v>
      </c>
      <c r="B239" s="44">
        <f>EDATE('My Debts'!$C$6,A239-1)</f>
        <v/>
      </c>
      <c r="C239" s="45">
        <f>K239+Q239+W239+AC239+AI239+AO239+AU239+BA239+BG239+BM239</f>
        <v/>
      </c>
      <c r="D239" s="46">
        <f>I239+O239+U239+AA239+AG239+AM239+AS239+AY239+BE239+BK239+J239+P239+V239+AB239+AH239+AN239+AT239+AZ239+BF239+BL239</f>
        <v/>
      </c>
      <c r="E239" s="46">
        <f>H239+N239+T239+Z239+AF239+AL239+AR239+AX239+BD239+BJ239</f>
        <v/>
      </c>
      <c r="F239">
        <f>MAX(0,'My Debts'!$E$21-(I239+O239+U239+AA239+AG239+AM239+AS239+AY239+BE239+BK239))</f>
        <v/>
      </c>
      <c r="G239" s="42">
        <f>K238</f>
        <v/>
      </c>
      <c r="H239" s="42">
        <f>ROUND(G239*H$6/12,2)</f>
        <v/>
      </c>
      <c r="I239" s="42">
        <f>MIN(I$6,G239+H239)</f>
        <v/>
      </c>
      <c r="J239" s="42">
        <f>MAX(0,MIN(G239+H239-I239,$F239))</f>
        <v/>
      </c>
      <c r="K239" s="42">
        <f>ROUND(G239+H239-I239-J239,2)</f>
        <v/>
      </c>
      <c r="L239">
        <f>$F239-J239</f>
        <v/>
      </c>
      <c r="M239" s="42">
        <f>Q238</f>
        <v/>
      </c>
      <c r="N239" s="42">
        <f>ROUND(M239*N$6/12,2)</f>
        <v/>
      </c>
      <c r="O239" s="42">
        <f>MIN(O$6,M239+N239)</f>
        <v/>
      </c>
      <c r="P239" s="42">
        <f>MAX(0,MIN(M239+N239-O239,L239))</f>
        <v/>
      </c>
      <c r="Q239" s="42">
        <f>ROUND(M239+N239-O239-P239,2)</f>
        <v/>
      </c>
      <c r="R239">
        <f>L239-P239</f>
        <v/>
      </c>
      <c r="S239" s="42">
        <f>W238</f>
        <v/>
      </c>
      <c r="T239" s="42">
        <f>ROUND(S239*T$6/12,2)</f>
        <v/>
      </c>
      <c r="U239" s="42">
        <f>MIN(U$6,S239+T239)</f>
        <v/>
      </c>
      <c r="V239" s="42">
        <f>MAX(0,MIN(S239+T239-U239,R239))</f>
        <v/>
      </c>
      <c r="W239" s="42">
        <f>ROUND(S239+T239-U239-V239,2)</f>
        <v/>
      </c>
      <c r="X239">
        <f>R239-V239</f>
        <v/>
      </c>
      <c r="Y239" s="42">
        <f>AC238</f>
        <v/>
      </c>
      <c r="Z239" s="42">
        <f>ROUND(Y239*Z$6/12,2)</f>
        <v/>
      </c>
      <c r="AA239" s="42">
        <f>MIN(AA$6,Y239+Z239)</f>
        <v/>
      </c>
      <c r="AB239" s="42">
        <f>MAX(0,MIN(Y239+Z239-AA239,X239))</f>
        <v/>
      </c>
      <c r="AC239" s="42">
        <f>ROUND(Y239+Z239-AA239-AB239,2)</f>
        <v/>
      </c>
      <c r="AD239">
        <f>X239-AB239</f>
        <v/>
      </c>
      <c r="AE239" s="42">
        <f>AI238</f>
        <v/>
      </c>
      <c r="AF239" s="42">
        <f>ROUND(AE239*AF$6/12,2)</f>
        <v/>
      </c>
      <c r="AG239" s="42">
        <f>MIN(AG$6,AE239+AF239)</f>
        <v/>
      </c>
      <c r="AH239" s="42">
        <f>MAX(0,MIN(AE239+AF239-AG239,AD239))</f>
        <v/>
      </c>
      <c r="AI239" s="42">
        <f>ROUND(AE239+AF239-AG239-AH239,2)</f>
        <v/>
      </c>
      <c r="AJ239">
        <f>AD239-AH239</f>
        <v/>
      </c>
      <c r="AK239" s="42">
        <f>AO238</f>
        <v/>
      </c>
      <c r="AL239" s="42">
        <f>ROUND(AK239*AL$6/12,2)</f>
        <v/>
      </c>
      <c r="AM239" s="42">
        <f>MIN(AM$6,AK239+AL239)</f>
        <v/>
      </c>
      <c r="AN239" s="42">
        <f>MAX(0,MIN(AK239+AL239-AM239,AJ239))</f>
        <v/>
      </c>
      <c r="AO239" s="42">
        <f>ROUND(AK239+AL239-AM239-AN239,2)</f>
        <v/>
      </c>
      <c r="AP239">
        <f>AJ239-AN239</f>
        <v/>
      </c>
      <c r="AQ239" s="42">
        <f>AU238</f>
        <v/>
      </c>
      <c r="AR239" s="42">
        <f>ROUND(AQ239*AR$6/12,2)</f>
        <v/>
      </c>
      <c r="AS239" s="42">
        <f>MIN(AS$6,AQ239+AR239)</f>
        <v/>
      </c>
      <c r="AT239" s="42">
        <f>MAX(0,MIN(AQ239+AR239-AS239,AP239))</f>
        <v/>
      </c>
      <c r="AU239" s="42">
        <f>ROUND(AQ239+AR239-AS239-AT239,2)</f>
        <v/>
      </c>
      <c r="AV239">
        <f>AP239-AT239</f>
        <v/>
      </c>
      <c r="AW239" s="42">
        <f>BA238</f>
        <v/>
      </c>
      <c r="AX239" s="42">
        <f>ROUND(AW239*AX$6/12,2)</f>
        <v/>
      </c>
      <c r="AY239" s="42">
        <f>MIN(AY$6,AW239+AX239)</f>
        <v/>
      </c>
      <c r="AZ239" s="42">
        <f>MAX(0,MIN(AW239+AX239-AY239,AV239))</f>
        <v/>
      </c>
      <c r="BA239" s="42">
        <f>ROUND(AW239+AX239-AY239-AZ239,2)</f>
        <v/>
      </c>
      <c r="BB239">
        <f>AV239-AZ239</f>
        <v/>
      </c>
      <c r="BC239" s="42">
        <f>BG238</f>
        <v/>
      </c>
      <c r="BD239" s="42">
        <f>ROUND(BC239*BD$6/12,2)</f>
        <v/>
      </c>
      <c r="BE239" s="42">
        <f>MIN(BE$6,BC239+BD239)</f>
        <v/>
      </c>
      <c r="BF239" s="42">
        <f>MAX(0,MIN(BC239+BD239-BE239,BB239))</f>
        <v/>
      </c>
      <c r="BG239" s="42">
        <f>ROUND(BC239+BD239-BE239-BF239,2)</f>
        <v/>
      </c>
      <c r="BH239">
        <f>BB239-BF239</f>
        <v/>
      </c>
      <c r="BI239" s="42">
        <f>BM238</f>
        <v/>
      </c>
      <c r="BJ239" s="42">
        <f>ROUND(BI239*BJ$6/12,2)</f>
        <v/>
      </c>
      <c r="BK239" s="42">
        <f>MIN(BK$6,BI239+BJ239)</f>
        <v/>
      </c>
      <c r="BL239" s="42">
        <f>MAX(0,MIN(BI239+BJ239-BK239,BH239))</f>
        <v/>
      </c>
      <c r="BM239" s="42">
        <f>ROUND(BI239+BJ239-BK239-BL239,2)</f>
        <v/>
      </c>
      <c r="BN239">
        <f>BH239-BL239</f>
        <v/>
      </c>
    </row>
    <row r="240">
      <c r="A240" s="39" t="n">
        <v>233</v>
      </c>
      <c r="B240" s="40">
        <f>EDATE('My Debts'!$C$6,A240-1)</f>
        <v/>
      </c>
      <c r="C240" s="41">
        <f>K240+Q240+W240+AC240+AI240+AO240+AU240+BA240+BG240+BM240</f>
        <v/>
      </c>
      <c r="D240" s="42">
        <f>I240+O240+U240+AA240+AG240+AM240+AS240+AY240+BE240+BK240+J240+P240+V240+AB240+AH240+AN240+AT240+AZ240+BF240+BL240</f>
        <v/>
      </c>
      <c r="E240" s="42">
        <f>H240+N240+T240+Z240+AF240+AL240+AR240+AX240+BD240+BJ240</f>
        <v/>
      </c>
      <c r="F240">
        <f>MAX(0,'My Debts'!$E$21-(I240+O240+U240+AA240+AG240+AM240+AS240+AY240+BE240+BK240))</f>
        <v/>
      </c>
      <c r="G240" s="42">
        <f>K239</f>
        <v/>
      </c>
      <c r="H240" s="42">
        <f>ROUND(G240*H$6/12,2)</f>
        <v/>
      </c>
      <c r="I240" s="42">
        <f>MIN(I$6,G240+H240)</f>
        <v/>
      </c>
      <c r="J240" s="42">
        <f>MAX(0,MIN(G240+H240-I240,$F240))</f>
        <v/>
      </c>
      <c r="K240" s="42">
        <f>ROUND(G240+H240-I240-J240,2)</f>
        <v/>
      </c>
      <c r="L240">
        <f>$F240-J240</f>
        <v/>
      </c>
      <c r="M240" s="42">
        <f>Q239</f>
        <v/>
      </c>
      <c r="N240" s="42">
        <f>ROUND(M240*N$6/12,2)</f>
        <v/>
      </c>
      <c r="O240" s="42">
        <f>MIN(O$6,M240+N240)</f>
        <v/>
      </c>
      <c r="P240" s="42">
        <f>MAX(0,MIN(M240+N240-O240,L240))</f>
        <v/>
      </c>
      <c r="Q240" s="42">
        <f>ROUND(M240+N240-O240-P240,2)</f>
        <v/>
      </c>
      <c r="R240">
        <f>L240-P240</f>
        <v/>
      </c>
      <c r="S240" s="42">
        <f>W239</f>
        <v/>
      </c>
      <c r="T240" s="42">
        <f>ROUND(S240*T$6/12,2)</f>
        <v/>
      </c>
      <c r="U240" s="42">
        <f>MIN(U$6,S240+T240)</f>
        <v/>
      </c>
      <c r="V240" s="42">
        <f>MAX(0,MIN(S240+T240-U240,R240))</f>
        <v/>
      </c>
      <c r="W240" s="42">
        <f>ROUND(S240+T240-U240-V240,2)</f>
        <v/>
      </c>
      <c r="X240">
        <f>R240-V240</f>
        <v/>
      </c>
      <c r="Y240" s="42">
        <f>AC239</f>
        <v/>
      </c>
      <c r="Z240" s="42">
        <f>ROUND(Y240*Z$6/12,2)</f>
        <v/>
      </c>
      <c r="AA240" s="42">
        <f>MIN(AA$6,Y240+Z240)</f>
        <v/>
      </c>
      <c r="AB240" s="42">
        <f>MAX(0,MIN(Y240+Z240-AA240,X240))</f>
        <v/>
      </c>
      <c r="AC240" s="42">
        <f>ROUND(Y240+Z240-AA240-AB240,2)</f>
        <v/>
      </c>
      <c r="AD240">
        <f>X240-AB240</f>
        <v/>
      </c>
      <c r="AE240" s="42">
        <f>AI239</f>
        <v/>
      </c>
      <c r="AF240" s="42">
        <f>ROUND(AE240*AF$6/12,2)</f>
        <v/>
      </c>
      <c r="AG240" s="42">
        <f>MIN(AG$6,AE240+AF240)</f>
        <v/>
      </c>
      <c r="AH240" s="42">
        <f>MAX(0,MIN(AE240+AF240-AG240,AD240))</f>
        <v/>
      </c>
      <c r="AI240" s="42">
        <f>ROUND(AE240+AF240-AG240-AH240,2)</f>
        <v/>
      </c>
      <c r="AJ240">
        <f>AD240-AH240</f>
        <v/>
      </c>
      <c r="AK240" s="42">
        <f>AO239</f>
        <v/>
      </c>
      <c r="AL240" s="42">
        <f>ROUND(AK240*AL$6/12,2)</f>
        <v/>
      </c>
      <c r="AM240" s="42">
        <f>MIN(AM$6,AK240+AL240)</f>
        <v/>
      </c>
      <c r="AN240" s="42">
        <f>MAX(0,MIN(AK240+AL240-AM240,AJ240))</f>
        <v/>
      </c>
      <c r="AO240" s="42">
        <f>ROUND(AK240+AL240-AM240-AN240,2)</f>
        <v/>
      </c>
      <c r="AP240">
        <f>AJ240-AN240</f>
        <v/>
      </c>
      <c r="AQ240" s="42">
        <f>AU239</f>
        <v/>
      </c>
      <c r="AR240" s="42">
        <f>ROUND(AQ240*AR$6/12,2)</f>
        <v/>
      </c>
      <c r="AS240" s="42">
        <f>MIN(AS$6,AQ240+AR240)</f>
        <v/>
      </c>
      <c r="AT240" s="42">
        <f>MAX(0,MIN(AQ240+AR240-AS240,AP240))</f>
        <v/>
      </c>
      <c r="AU240" s="42">
        <f>ROUND(AQ240+AR240-AS240-AT240,2)</f>
        <v/>
      </c>
      <c r="AV240">
        <f>AP240-AT240</f>
        <v/>
      </c>
      <c r="AW240" s="42">
        <f>BA239</f>
        <v/>
      </c>
      <c r="AX240" s="42">
        <f>ROUND(AW240*AX$6/12,2)</f>
        <v/>
      </c>
      <c r="AY240" s="42">
        <f>MIN(AY$6,AW240+AX240)</f>
        <v/>
      </c>
      <c r="AZ240" s="42">
        <f>MAX(0,MIN(AW240+AX240-AY240,AV240))</f>
        <v/>
      </c>
      <c r="BA240" s="42">
        <f>ROUND(AW240+AX240-AY240-AZ240,2)</f>
        <v/>
      </c>
      <c r="BB240">
        <f>AV240-AZ240</f>
        <v/>
      </c>
      <c r="BC240" s="42">
        <f>BG239</f>
        <v/>
      </c>
      <c r="BD240" s="42">
        <f>ROUND(BC240*BD$6/12,2)</f>
        <v/>
      </c>
      <c r="BE240" s="42">
        <f>MIN(BE$6,BC240+BD240)</f>
        <v/>
      </c>
      <c r="BF240" s="42">
        <f>MAX(0,MIN(BC240+BD240-BE240,BB240))</f>
        <v/>
      </c>
      <c r="BG240" s="42">
        <f>ROUND(BC240+BD240-BE240-BF240,2)</f>
        <v/>
      </c>
      <c r="BH240">
        <f>BB240-BF240</f>
        <v/>
      </c>
      <c r="BI240" s="42">
        <f>BM239</f>
        <v/>
      </c>
      <c r="BJ240" s="42">
        <f>ROUND(BI240*BJ$6/12,2)</f>
        <v/>
      </c>
      <c r="BK240" s="42">
        <f>MIN(BK$6,BI240+BJ240)</f>
        <v/>
      </c>
      <c r="BL240" s="42">
        <f>MAX(0,MIN(BI240+BJ240-BK240,BH240))</f>
        <v/>
      </c>
      <c r="BM240" s="42">
        <f>ROUND(BI240+BJ240-BK240-BL240,2)</f>
        <v/>
      </c>
      <c r="BN240">
        <f>BH240-BL240</f>
        <v/>
      </c>
    </row>
    <row r="241">
      <c r="A241" s="43" t="n">
        <v>234</v>
      </c>
      <c r="B241" s="44">
        <f>EDATE('My Debts'!$C$6,A241-1)</f>
        <v/>
      </c>
      <c r="C241" s="45">
        <f>K241+Q241+W241+AC241+AI241+AO241+AU241+BA241+BG241+BM241</f>
        <v/>
      </c>
      <c r="D241" s="46">
        <f>I241+O241+U241+AA241+AG241+AM241+AS241+AY241+BE241+BK241+J241+P241+V241+AB241+AH241+AN241+AT241+AZ241+BF241+BL241</f>
        <v/>
      </c>
      <c r="E241" s="46">
        <f>H241+N241+T241+Z241+AF241+AL241+AR241+AX241+BD241+BJ241</f>
        <v/>
      </c>
      <c r="F241">
        <f>MAX(0,'My Debts'!$E$21-(I241+O241+U241+AA241+AG241+AM241+AS241+AY241+BE241+BK241))</f>
        <v/>
      </c>
      <c r="G241" s="42">
        <f>K240</f>
        <v/>
      </c>
      <c r="H241" s="42">
        <f>ROUND(G241*H$6/12,2)</f>
        <v/>
      </c>
      <c r="I241" s="42">
        <f>MIN(I$6,G241+H241)</f>
        <v/>
      </c>
      <c r="J241" s="42">
        <f>MAX(0,MIN(G241+H241-I241,$F241))</f>
        <v/>
      </c>
      <c r="K241" s="42">
        <f>ROUND(G241+H241-I241-J241,2)</f>
        <v/>
      </c>
      <c r="L241">
        <f>$F241-J241</f>
        <v/>
      </c>
      <c r="M241" s="42">
        <f>Q240</f>
        <v/>
      </c>
      <c r="N241" s="42">
        <f>ROUND(M241*N$6/12,2)</f>
        <v/>
      </c>
      <c r="O241" s="42">
        <f>MIN(O$6,M241+N241)</f>
        <v/>
      </c>
      <c r="P241" s="42">
        <f>MAX(0,MIN(M241+N241-O241,L241))</f>
        <v/>
      </c>
      <c r="Q241" s="42">
        <f>ROUND(M241+N241-O241-P241,2)</f>
        <v/>
      </c>
      <c r="R241">
        <f>L241-P241</f>
        <v/>
      </c>
      <c r="S241" s="42">
        <f>W240</f>
        <v/>
      </c>
      <c r="T241" s="42">
        <f>ROUND(S241*T$6/12,2)</f>
        <v/>
      </c>
      <c r="U241" s="42">
        <f>MIN(U$6,S241+T241)</f>
        <v/>
      </c>
      <c r="V241" s="42">
        <f>MAX(0,MIN(S241+T241-U241,R241))</f>
        <v/>
      </c>
      <c r="W241" s="42">
        <f>ROUND(S241+T241-U241-V241,2)</f>
        <v/>
      </c>
      <c r="X241">
        <f>R241-V241</f>
        <v/>
      </c>
      <c r="Y241" s="42">
        <f>AC240</f>
        <v/>
      </c>
      <c r="Z241" s="42">
        <f>ROUND(Y241*Z$6/12,2)</f>
        <v/>
      </c>
      <c r="AA241" s="42">
        <f>MIN(AA$6,Y241+Z241)</f>
        <v/>
      </c>
      <c r="AB241" s="42">
        <f>MAX(0,MIN(Y241+Z241-AA241,X241))</f>
        <v/>
      </c>
      <c r="AC241" s="42">
        <f>ROUND(Y241+Z241-AA241-AB241,2)</f>
        <v/>
      </c>
      <c r="AD241">
        <f>X241-AB241</f>
        <v/>
      </c>
      <c r="AE241" s="42">
        <f>AI240</f>
        <v/>
      </c>
      <c r="AF241" s="42">
        <f>ROUND(AE241*AF$6/12,2)</f>
        <v/>
      </c>
      <c r="AG241" s="42">
        <f>MIN(AG$6,AE241+AF241)</f>
        <v/>
      </c>
      <c r="AH241" s="42">
        <f>MAX(0,MIN(AE241+AF241-AG241,AD241))</f>
        <v/>
      </c>
      <c r="AI241" s="42">
        <f>ROUND(AE241+AF241-AG241-AH241,2)</f>
        <v/>
      </c>
      <c r="AJ241">
        <f>AD241-AH241</f>
        <v/>
      </c>
      <c r="AK241" s="42">
        <f>AO240</f>
        <v/>
      </c>
      <c r="AL241" s="42">
        <f>ROUND(AK241*AL$6/12,2)</f>
        <v/>
      </c>
      <c r="AM241" s="42">
        <f>MIN(AM$6,AK241+AL241)</f>
        <v/>
      </c>
      <c r="AN241" s="42">
        <f>MAX(0,MIN(AK241+AL241-AM241,AJ241))</f>
        <v/>
      </c>
      <c r="AO241" s="42">
        <f>ROUND(AK241+AL241-AM241-AN241,2)</f>
        <v/>
      </c>
      <c r="AP241">
        <f>AJ241-AN241</f>
        <v/>
      </c>
      <c r="AQ241" s="42">
        <f>AU240</f>
        <v/>
      </c>
      <c r="AR241" s="42">
        <f>ROUND(AQ241*AR$6/12,2)</f>
        <v/>
      </c>
      <c r="AS241" s="42">
        <f>MIN(AS$6,AQ241+AR241)</f>
        <v/>
      </c>
      <c r="AT241" s="42">
        <f>MAX(0,MIN(AQ241+AR241-AS241,AP241))</f>
        <v/>
      </c>
      <c r="AU241" s="42">
        <f>ROUND(AQ241+AR241-AS241-AT241,2)</f>
        <v/>
      </c>
      <c r="AV241">
        <f>AP241-AT241</f>
        <v/>
      </c>
      <c r="AW241" s="42">
        <f>BA240</f>
        <v/>
      </c>
      <c r="AX241" s="42">
        <f>ROUND(AW241*AX$6/12,2)</f>
        <v/>
      </c>
      <c r="AY241" s="42">
        <f>MIN(AY$6,AW241+AX241)</f>
        <v/>
      </c>
      <c r="AZ241" s="42">
        <f>MAX(0,MIN(AW241+AX241-AY241,AV241))</f>
        <v/>
      </c>
      <c r="BA241" s="42">
        <f>ROUND(AW241+AX241-AY241-AZ241,2)</f>
        <v/>
      </c>
      <c r="BB241">
        <f>AV241-AZ241</f>
        <v/>
      </c>
      <c r="BC241" s="42">
        <f>BG240</f>
        <v/>
      </c>
      <c r="BD241" s="42">
        <f>ROUND(BC241*BD$6/12,2)</f>
        <v/>
      </c>
      <c r="BE241" s="42">
        <f>MIN(BE$6,BC241+BD241)</f>
        <v/>
      </c>
      <c r="BF241" s="42">
        <f>MAX(0,MIN(BC241+BD241-BE241,BB241))</f>
        <v/>
      </c>
      <c r="BG241" s="42">
        <f>ROUND(BC241+BD241-BE241-BF241,2)</f>
        <v/>
      </c>
      <c r="BH241">
        <f>BB241-BF241</f>
        <v/>
      </c>
      <c r="BI241" s="42">
        <f>BM240</f>
        <v/>
      </c>
      <c r="BJ241" s="42">
        <f>ROUND(BI241*BJ$6/12,2)</f>
        <v/>
      </c>
      <c r="BK241" s="42">
        <f>MIN(BK$6,BI241+BJ241)</f>
        <v/>
      </c>
      <c r="BL241" s="42">
        <f>MAX(0,MIN(BI241+BJ241-BK241,BH241))</f>
        <v/>
      </c>
      <c r="BM241" s="42">
        <f>ROUND(BI241+BJ241-BK241-BL241,2)</f>
        <v/>
      </c>
      <c r="BN241">
        <f>BH241-BL241</f>
        <v/>
      </c>
    </row>
    <row r="242">
      <c r="A242" s="39" t="n">
        <v>235</v>
      </c>
      <c r="B242" s="40">
        <f>EDATE('My Debts'!$C$6,A242-1)</f>
        <v/>
      </c>
      <c r="C242" s="41">
        <f>K242+Q242+W242+AC242+AI242+AO242+AU242+BA242+BG242+BM242</f>
        <v/>
      </c>
      <c r="D242" s="42">
        <f>I242+O242+U242+AA242+AG242+AM242+AS242+AY242+BE242+BK242+J242+P242+V242+AB242+AH242+AN242+AT242+AZ242+BF242+BL242</f>
        <v/>
      </c>
      <c r="E242" s="42">
        <f>H242+N242+T242+Z242+AF242+AL242+AR242+AX242+BD242+BJ242</f>
        <v/>
      </c>
      <c r="F242">
        <f>MAX(0,'My Debts'!$E$21-(I242+O242+U242+AA242+AG242+AM242+AS242+AY242+BE242+BK242))</f>
        <v/>
      </c>
      <c r="G242" s="42">
        <f>K241</f>
        <v/>
      </c>
      <c r="H242" s="42">
        <f>ROUND(G242*H$6/12,2)</f>
        <v/>
      </c>
      <c r="I242" s="42">
        <f>MIN(I$6,G242+H242)</f>
        <v/>
      </c>
      <c r="J242" s="42">
        <f>MAX(0,MIN(G242+H242-I242,$F242))</f>
        <v/>
      </c>
      <c r="K242" s="42">
        <f>ROUND(G242+H242-I242-J242,2)</f>
        <v/>
      </c>
      <c r="L242">
        <f>$F242-J242</f>
        <v/>
      </c>
      <c r="M242" s="42">
        <f>Q241</f>
        <v/>
      </c>
      <c r="N242" s="42">
        <f>ROUND(M242*N$6/12,2)</f>
        <v/>
      </c>
      <c r="O242" s="42">
        <f>MIN(O$6,M242+N242)</f>
        <v/>
      </c>
      <c r="P242" s="42">
        <f>MAX(0,MIN(M242+N242-O242,L242))</f>
        <v/>
      </c>
      <c r="Q242" s="42">
        <f>ROUND(M242+N242-O242-P242,2)</f>
        <v/>
      </c>
      <c r="R242">
        <f>L242-P242</f>
        <v/>
      </c>
      <c r="S242" s="42">
        <f>W241</f>
        <v/>
      </c>
      <c r="T242" s="42">
        <f>ROUND(S242*T$6/12,2)</f>
        <v/>
      </c>
      <c r="U242" s="42">
        <f>MIN(U$6,S242+T242)</f>
        <v/>
      </c>
      <c r="V242" s="42">
        <f>MAX(0,MIN(S242+T242-U242,R242))</f>
        <v/>
      </c>
      <c r="W242" s="42">
        <f>ROUND(S242+T242-U242-V242,2)</f>
        <v/>
      </c>
      <c r="X242">
        <f>R242-V242</f>
        <v/>
      </c>
      <c r="Y242" s="42">
        <f>AC241</f>
        <v/>
      </c>
      <c r="Z242" s="42">
        <f>ROUND(Y242*Z$6/12,2)</f>
        <v/>
      </c>
      <c r="AA242" s="42">
        <f>MIN(AA$6,Y242+Z242)</f>
        <v/>
      </c>
      <c r="AB242" s="42">
        <f>MAX(0,MIN(Y242+Z242-AA242,X242))</f>
        <v/>
      </c>
      <c r="AC242" s="42">
        <f>ROUND(Y242+Z242-AA242-AB242,2)</f>
        <v/>
      </c>
      <c r="AD242">
        <f>X242-AB242</f>
        <v/>
      </c>
      <c r="AE242" s="42">
        <f>AI241</f>
        <v/>
      </c>
      <c r="AF242" s="42">
        <f>ROUND(AE242*AF$6/12,2)</f>
        <v/>
      </c>
      <c r="AG242" s="42">
        <f>MIN(AG$6,AE242+AF242)</f>
        <v/>
      </c>
      <c r="AH242" s="42">
        <f>MAX(0,MIN(AE242+AF242-AG242,AD242))</f>
        <v/>
      </c>
      <c r="AI242" s="42">
        <f>ROUND(AE242+AF242-AG242-AH242,2)</f>
        <v/>
      </c>
      <c r="AJ242">
        <f>AD242-AH242</f>
        <v/>
      </c>
      <c r="AK242" s="42">
        <f>AO241</f>
        <v/>
      </c>
      <c r="AL242" s="42">
        <f>ROUND(AK242*AL$6/12,2)</f>
        <v/>
      </c>
      <c r="AM242" s="42">
        <f>MIN(AM$6,AK242+AL242)</f>
        <v/>
      </c>
      <c r="AN242" s="42">
        <f>MAX(0,MIN(AK242+AL242-AM242,AJ242))</f>
        <v/>
      </c>
      <c r="AO242" s="42">
        <f>ROUND(AK242+AL242-AM242-AN242,2)</f>
        <v/>
      </c>
      <c r="AP242">
        <f>AJ242-AN242</f>
        <v/>
      </c>
      <c r="AQ242" s="42">
        <f>AU241</f>
        <v/>
      </c>
      <c r="AR242" s="42">
        <f>ROUND(AQ242*AR$6/12,2)</f>
        <v/>
      </c>
      <c r="AS242" s="42">
        <f>MIN(AS$6,AQ242+AR242)</f>
        <v/>
      </c>
      <c r="AT242" s="42">
        <f>MAX(0,MIN(AQ242+AR242-AS242,AP242))</f>
        <v/>
      </c>
      <c r="AU242" s="42">
        <f>ROUND(AQ242+AR242-AS242-AT242,2)</f>
        <v/>
      </c>
      <c r="AV242">
        <f>AP242-AT242</f>
        <v/>
      </c>
      <c r="AW242" s="42">
        <f>BA241</f>
        <v/>
      </c>
      <c r="AX242" s="42">
        <f>ROUND(AW242*AX$6/12,2)</f>
        <v/>
      </c>
      <c r="AY242" s="42">
        <f>MIN(AY$6,AW242+AX242)</f>
        <v/>
      </c>
      <c r="AZ242" s="42">
        <f>MAX(0,MIN(AW242+AX242-AY242,AV242))</f>
        <v/>
      </c>
      <c r="BA242" s="42">
        <f>ROUND(AW242+AX242-AY242-AZ242,2)</f>
        <v/>
      </c>
      <c r="BB242">
        <f>AV242-AZ242</f>
        <v/>
      </c>
      <c r="BC242" s="42">
        <f>BG241</f>
        <v/>
      </c>
      <c r="BD242" s="42">
        <f>ROUND(BC242*BD$6/12,2)</f>
        <v/>
      </c>
      <c r="BE242" s="42">
        <f>MIN(BE$6,BC242+BD242)</f>
        <v/>
      </c>
      <c r="BF242" s="42">
        <f>MAX(0,MIN(BC242+BD242-BE242,BB242))</f>
        <v/>
      </c>
      <c r="BG242" s="42">
        <f>ROUND(BC242+BD242-BE242-BF242,2)</f>
        <v/>
      </c>
      <c r="BH242">
        <f>BB242-BF242</f>
        <v/>
      </c>
      <c r="BI242" s="42">
        <f>BM241</f>
        <v/>
      </c>
      <c r="BJ242" s="42">
        <f>ROUND(BI242*BJ$6/12,2)</f>
        <v/>
      </c>
      <c r="BK242" s="42">
        <f>MIN(BK$6,BI242+BJ242)</f>
        <v/>
      </c>
      <c r="BL242" s="42">
        <f>MAX(0,MIN(BI242+BJ242-BK242,BH242))</f>
        <v/>
      </c>
      <c r="BM242" s="42">
        <f>ROUND(BI242+BJ242-BK242-BL242,2)</f>
        <v/>
      </c>
      <c r="BN242">
        <f>BH242-BL242</f>
        <v/>
      </c>
    </row>
    <row r="243">
      <c r="A243" s="43" t="n">
        <v>236</v>
      </c>
      <c r="B243" s="44">
        <f>EDATE('My Debts'!$C$6,A243-1)</f>
        <v/>
      </c>
      <c r="C243" s="45">
        <f>K243+Q243+W243+AC243+AI243+AO243+AU243+BA243+BG243+BM243</f>
        <v/>
      </c>
      <c r="D243" s="46">
        <f>I243+O243+U243+AA243+AG243+AM243+AS243+AY243+BE243+BK243+J243+P243+V243+AB243+AH243+AN243+AT243+AZ243+BF243+BL243</f>
        <v/>
      </c>
      <c r="E243" s="46">
        <f>H243+N243+T243+Z243+AF243+AL243+AR243+AX243+BD243+BJ243</f>
        <v/>
      </c>
      <c r="F243">
        <f>MAX(0,'My Debts'!$E$21-(I243+O243+U243+AA243+AG243+AM243+AS243+AY243+BE243+BK243))</f>
        <v/>
      </c>
      <c r="G243" s="42">
        <f>K242</f>
        <v/>
      </c>
      <c r="H243" s="42">
        <f>ROUND(G243*H$6/12,2)</f>
        <v/>
      </c>
      <c r="I243" s="42">
        <f>MIN(I$6,G243+H243)</f>
        <v/>
      </c>
      <c r="J243" s="42">
        <f>MAX(0,MIN(G243+H243-I243,$F243))</f>
        <v/>
      </c>
      <c r="K243" s="42">
        <f>ROUND(G243+H243-I243-J243,2)</f>
        <v/>
      </c>
      <c r="L243">
        <f>$F243-J243</f>
        <v/>
      </c>
      <c r="M243" s="42">
        <f>Q242</f>
        <v/>
      </c>
      <c r="N243" s="42">
        <f>ROUND(M243*N$6/12,2)</f>
        <v/>
      </c>
      <c r="O243" s="42">
        <f>MIN(O$6,M243+N243)</f>
        <v/>
      </c>
      <c r="P243" s="42">
        <f>MAX(0,MIN(M243+N243-O243,L243))</f>
        <v/>
      </c>
      <c r="Q243" s="42">
        <f>ROUND(M243+N243-O243-P243,2)</f>
        <v/>
      </c>
      <c r="R243">
        <f>L243-P243</f>
        <v/>
      </c>
      <c r="S243" s="42">
        <f>W242</f>
        <v/>
      </c>
      <c r="T243" s="42">
        <f>ROUND(S243*T$6/12,2)</f>
        <v/>
      </c>
      <c r="U243" s="42">
        <f>MIN(U$6,S243+T243)</f>
        <v/>
      </c>
      <c r="V243" s="42">
        <f>MAX(0,MIN(S243+T243-U243,R243))</f>
        <v/>
      </c>
      <c r="W243" s="42">
        <f>ROUND(S243+T243-U243-V243,2)</f>
        <v/>
      </c>
      <c r="X243">
        <f>R243-V243</f>
        <v/>
      </c>
      <c r="Y243" s="42">
        <f>AC242</f>
        <v/>
      </c>
      <c r="Z243" s="42">
        <f>ROUND(Y243*Z$6/12,2)</f>
        <v/>
      </c>
      <c r="AA243" s="42">
        <f>MIN(AA$6,Y243+Z243)</f>
        <v/>
      </c>
      <c r="AB243" s="42">
        <f>MAX(0,MIN(Y243+Z243-AA243,X243))</f>
        <v/>
      </c>
      <c r="AC243" s="42">
        <f>ROUND(Y243+Z243-AA243-AB243,2)</f>
        <v/>
      </c>
      <c r="AD243">
        <f>X243-AB243</f>
        <v/>
      </c>
      <c r="AE243" s="42">
        <f>AI242</f>
        <v/>
      </c>
      <c r="AF243" s="42">
        <f>ROUND(AE243*AF$6/12,2)</f>
        <v/>
      </c>
      <c r="AG243" s="42">
        <f>MIN(AG$6,AE243+AF243)</f>
        <v/>
      </c>
      <c r="AH243" s="42">
        <f>MAX(0,MIN(AE243+AF243-AG243,AD243))</f>
        <v/>
      </c>
      <c r="AI243" s="42">
        <f>ROUND(AE243+AF243-AG243-AH243,2)</f>
        <v/>
      </c>
      <c r="AJ243">
        <f>AD243-AH243</f>
        <v/>
      </c>
      <c r="AK243" s="42">
        <f>AO242</f>
        <v/>
      </c>
      <c r="AL243" s="42">
        <f>ROUND(AK243*AL$6/12,2)</f>
        <v/>
      </c>
      <c r="AM243" s="42">
        <f>MIN(AM$6,AK243+AL243)</f>
        <v/>
      </c>
      <c r="AN243" s="42">
        <f>MAX(0,MIN(AK243+AL243-AM243,AJ243))</f>
        <v/>
      </c>
      <c r="AO243" s="42">
        <f>ROUND(AK243+AL243-AM243-AN243,2)</f>
        <v/>
      </c>
      <c r="AP243">
        <f>AJ243-AN243</f>
        <v/>
      </c>
      <c r="AQ243" s="42">
        <f>AU242</f>
        <v/>
      </c>
      <c r="AR243" s="42">
        <f>ROUND(AQ243*AR$6/12,2)</f>
        <v/>
      </c>
      <c r="AS243" s="42">
        <f>MIN(AS$6,AQ243+AR243)</f>
        <v/>
      </c>
      <c r="AT243" s="42">
        <f>MAX(0,MIN(AQ243+AR243-AS243,AP243))</f>
        <v/>
      </c>
      <c r="AU243" s="42">
        <f>ROUND(AQ243+AR243-AS243-AT243,2)</f>
        <v/>
      </c>
      <c r="AV243">
        <f>AP243-AT243</f>
        <v/>
      </c>
      <c r="AW243" s="42">
        <f>BA242</f>
        <v/>
      </c>
      <c r="AX243" s="42">
        <f>ROUND(AW243*AX$6/12,2)</f>
        <v/>
      </c>
      <c r="AY243" s="42">
        <f>MIN(AY$6,AW243+AX243)</f>
        <v/>
      </c>
      <c r="AZ243" s="42">
        <f>MAX(0,MIN(AW243+AX243-AY243,AV243))</f>
        <v/>
      </c>
      <c r="BA243" s="42">
        <f>ROUND(AW243+AX243-AY243-AZ243,2)</f>
        <v/>
      </c>
      <c r="BB243">
        <f>AV243-AZ243</f>
        <v/>
      </c>
      <c r="BC243" s="42">
        <f>BG242</f>
        <v/>
      </c>
      <c r="BD243" s="42">
        <f>ROUND(BC243*BD$6/12,2)</f>
        <v/>
      </c>
      <c r="BE243" s="42">
        <f>MIN(BE$6,BC243+BD243)</f>
        <v/>
      </c>
      <c r="BF243" s="42">
        <f>MAX(0,MIN(BC243+BD243-BE243,BB243))</f>
        <v/>
      </c>
      <c r="BG243" s="42">
        <f>ROUND(BC243+BD243-BE243-BF243,2)</f>
        <v/>
      </c>
      <c r="BH243">
        <f>BB243-BF243</f>
        <v/>
      </c>
      <c r="BI243" s="42">
        <f>BM242</f>
        <v/>
      </c>
      <c r="BJ243" s="42">
        <f>ROUND(BI243*BJ$6/12,2)</f>
        <v/>
      </c>
      <c r="BK243" s="42">
        <f>MIN(BK$6,BI243+BJ243)</f>
        <v/>
      </c>
      <c r="BL243" s="42">
        <f>MAX(0,MIN(BI243+BJ243-BK243,BH243))</f>
        <v/>
      </c>
      <c r="BM243" s="42">
        <f>ROUND(BI243+BJ243-BK243-BL243,2)</f>
        <v/>
      </c>
      <c r="BN243">
        <f>BH243-BL243</f>
        <v/>
      </c>
    </row>
    <row r="244">
      <c r="A244" s="39" t="n">
        <v>237</v>
      </c>
      <c r="B244" s="40">
        <f>EDATE('My Debts'!$C$6,A244-1)</f>
        <v/>
      </c>
      <c r="C244" s="41">
        <f>K244+Q244+W244+AC244+AI244+AO244+AU244+BA244+BG244+BM244</f>
        <v/>
      </c>
      <c r="D244" s="42">
        <f>I244+O244+U244+AA244+AG244+AM244+AS244+AY244+BE244+BK244+J244+P244+V244+AB244+AH244+AN244+AT244+AZ244+BF244+BL244</f>
        <v/>
      </c>
      <c r="E244" s="42">
        <f>H244+N244+T244+Z244+AF244+AL244+AR244+AX244+BD244+BJ244</f>
        <v/>
      </c>
      <c r="F244">
        <f>MAX(0,'My Debts'!$E$21-(I244+O244+U244+AA244+AG244+AM244+AS244+AY244+BE244+BK244))</f>
        <v/>
      </c>
      <c r="G244" s="42">
        <f>K243</f>
        <v/>
      </c>
      <c r="H244" s="42">
        <f>ROUND(G244*H$6/12,2)</f>
        <v/>
      </c>
      <c r="I244" s="42">
        <f>MIN(I$6,G244+H244)</f>
        <v/>
      </c>
      <c r="J244" s="42">
        <f>MAX(0,MIN(G244+H244-I244,$F244))</f>
        <v/>
      </c>
      <c r="K244" s="42">
        <f>ROUND(G244+H244-I244-J244,2)</f>
        <v/>
      </c>
      <c r="L244">
        <f>$F244-J244</f>
        <v/>
      </c>
      <c r="M244" s="42">
        <f>Q243</f>
        <v/>
      </c>
      <c r="N244" s="42">
        <f>ROUND(M244*N$6/12,2)</f>
        <v/>
      </c>
      <c r="O244" s="42">
        <f>MIN(O$6,M244+N244)</f>
        <v/>
      </c>
      <c r="P244" s="42">
        <f>MAX(0,MIN(M244+N244-O244,L244))</f>
        <v/>
      </c>
      <c r="Q244" s="42">
        <f>ROUND(M244+N244-O244-P244,2)</f>
        <v/>
      </c>
      <c r="R244">
        <f>L244-P244</f>
        <v/>
      </c>
      <c r="S244" s="42">
        <f>W243</f>
        <v/>
      </c>
      <c r="T244" s="42">
        <f>ROUND(S244*T$6/12,2)</f>
        <v/>
      </c>
      <c r="U244" s="42">
        <f>MIN(U$6,S244+T244)</f>
        <v/>
      </c>
      <c r="V244" s="42">
        <f>MAX(0,MIN(S244+T244-U244,R244))</f>
        <v/>
      </c>
      <c r="W244" s="42">
        <f>ROUND(S244+T244-U244-V244,2)</f>
        <v/>
      </c>
      <c r="X244">
        <f>R244-V244</f>
        <v/>
      </c>
      <c r="Y244" s="42">
        <f>AC243</f>
        <v/>
      </c>
      <c r="Z244" s="42">
        <f>ROUND(Y244*Z$6/12,2)</f>
        <v/>
      </c>
      <c r="AA244" s="42">
        <f>MIN(AA$6,Y244+Z244)</f>
        <v/>
      </c>
      <c r="AB244" s="42">
        <f>MAX(0,MIN(Y244+Z244-AA244,X244))</f>
        <v/>
      </c>
      <c r="AC244" s="42">
        <f>ROUND(Y244+Z244-AA244-AB244,2)</f>
        <v/>
      </c>
      <c r="AD244">
        <f>X244-AB244</f>
        <v/>
      </c>
      <c r="AE244" s="42">
        <f>AI243</f>
        <v/>
      </c>
      <c r="AF244" s="42">
        <f>ROUND(AE244*AF$6/12,2)</f>
        <v/>
      </c>
      <c r="AG244" s="42">
        <f>MIN(AG$6,AE244+AF244)</f>
        <v/>
      </c>
      <c r="AH244" s="42">
        <f>MAX(0,MIN(AE244+AF244-AG244,AD244))</f>
        <v/>
      </c>
      <c r="AI244" s="42">
        <f>ROUND(AE244+AF244-AG244-AH244,2)</f>
        <v/>
      </c>
      <c r="AJ244">
        <f>AD244-AH244</f>
        <v/>
      </c>
      <c r="AK244" s="42">
        <f>AO243</f>
        <v/>
      </c>
      <c r="AL244" s="42">
        <f>ROUND(AK244*AL$6/12,2)</f>
        <v/>
      </c>
      <c r="AM244" s="42">
        <f>MIN(AM$6,AK244+AL244)</f>
        <v/>
      </c>
      <c r="AN244" s="42">
        <f>MAX(0,MIN(AK244+AL244-AM244,AJ244))</f>
        <v/>
      </c>
      <c r="AO244" s="42">
        <f>ROUND(AK244+AL244-AM244-AN244,2)</f>
        <v/>
      </c>
      <c r="AP244">
        <f>AJ244-AN244</f>
        <v/>
      </c>
      <c r="AQ244" s="42">
        <f>AU243</f>
        <v/>
      </c>
      <c r="AR244" s="42">
        <f>ROUND(AQ244*AR$6/12,2)</f>
        <v/>
      </c>
      <c r="AS244" s="42">
        <f>MIN(AS$6,AQ244+AR244)</f>
        <v/>
      </c>
      <c r="AT244" s="42">
        <f>MAX(0,MIN(AQ244+AR244-AS244,AP244))</f>
        <v/>
      </c>
      <c r="AU244" s="42">
        <f>ROUND(AQ244+AR244-AS244-AT244,2)</f>
        <v/>
      </c>
      <c r="AV244">
        <f>AP244-AT244</f>
        <v/>
      </c>
      <c r="AW244" s="42">
        <f>BA243</f>
        <v/>
      </c>
      <c r="AX244" s="42">
        <f>ROUND(AW244*AX$6/12,2)</f>
        <v/>
      </c>
      <c r="AY244" s="42">
        <f>MIN(AY$6,AW244+AX244)</f>
        <v/>
      </c>
      <c r="AZ244" s="42">
        <f>MAX(0,MIN(AW244+AX244-AY244,AV244))</f>
        <v/>
      </c>
      <c r="BA244" s="42">
        <f>ROUND(AW244+AX244-AY244-AZ244,2)</f>
        <v/>
      </c>
      <c r="BB244">
        <f>AV244-AZ244</f>
        <v/>
      </c>
      <c r="BC244" s="42">
        <f>BG243</f>
        <v/>
      </c>
      <c r="BD244" s="42">
        <f>ROUND(BC244*BD$6/12,2)</f>
        <v/>
      </c>
      <c r="BE244" s="42">
        <f>MIN(BE$6,BC244+BD244)</f>
        <v/>
      </c>
      <c r="BF244" s="42">
        <f>MAX(0,MIN(BC244+BD244-BE244,BB244))</f>
        <v/>
      </c>
      <c r="BG244" s="42">
        <f>ROUND(BC244+BD244-BE244-BF244,2)</f>
        <v/>
      </c>
      <c r="BH244">
        <f>BB244-BF244</f>
        <v/>
      </c>
      <c r="BI244" s="42">
        <f>BM243</f>
        <v/>
      </c>
      <c r="BJ244" s="42">
        <f>ROUND(BI244*BJ$6/12,2)</f>
        <v/>
      </c>
      <c r="BK244" s="42">
        <f>MIN(BK$6,BI244+BJ244)</f>
        <v/>
      </c>
      <c r="BL244" s="42">
        <f>MAX(0,MIN(BI244+BJ244-BK244,BH244))</f>
        <v/>
      </c>
      <c r="BM244" s="42">
        <f>ROUND(BI244+BJ244-BK244-BL244,2)</f>
        <v/>
      </c>
      <c r="BN244">
        <f>BH244-BL244</f>
        <v/>
      </c>
    </row>
    <row r="245">
      <c r="A245" s="43" t="n">
        <v>238</v>
      </c>
      <c r="B245" s="44">
        <f>EDATE('My Debts'!$C$6,A245-1)</f>
        <v/>
      </c>
      <c r="C245" s="45">
        <f>K245+Q245+W245+AC245+AI245+AO245+AU245+BA245+BG245+BM245</f>
        <v/>
      </c>
      <c r="D245" s="46">
        <f>I245+O245+U245+AA245+AG245+AM245+AS245+AY245+BE245+BK245+J245+P245+V245+AB245+AH245+AN245+AT245+AZ245+BF245+BL245</f>
        <v/>
      </c>
      <c r="E245" s="46">
        <f>H245+N245+T245+Z245+AF245+AL245+AR245+AX245+BD245+BJ245</f>
        <v/>
      </c>
      <c r="F245">
        <f>MAX(0,'My Debts'!$E$21-(I245+O245+U245+AA245+AG245+AM245+AS245+AY245+BE245+BK245))</f>
        <v/>
      </c>
      <c r="G245" s="42">
        <f>K244</f>
        <v/>
      </c>
      <c r="H245" s="42">
        <f>ROUND(G245*H$6/12,2)</f>
        <v/>
      </c>
      <c r="I245" s="42">
        <f>MIN(I$6,G245+H245)</f>
        <v/>
      </c>
      <c r="J245" s="42">
        <f>MAX(0,MIN(G245+H245-I245,$F245))</f>
        <v/>
      </c>
      <c r="K245" s="42">
        <f>ROUND(G245+H245-I245-J245,2)</f>
        <v/>
      </c>
      <c r="L245">
        <f>$F245-J245</f>
        <v/>
      </c>
      <c r="M245" s="42">
        <f>Q244</f>
        <v/>
      </c>
      <c r="N245" s="42">
        <f>ROUND(M245*N$6/12,2)</f>
        <v/>
      </c>
      <c r="O245" s="42">
        <f>MIN(O$6,M245+N245)</f>
        <v/>
      </c>
      <c r="P245" s="42">
        <f>MAX(0,MIN(M245+N245-O245,L245))</f>
        <v/>
      </c>
      <c r="Q245" s="42">
        <f>ROUND(M245+N245-O245-P245,2)</f>
        <v/>
      </c>
      <c r="R245">
        <f>L245-P245</f>
        <v/>
      </c>
      <c r="S245" s="42">
        <f>W244</f>
        <v/>
      </c>
      <c r="T245" s="42">
        <f>ROUND(S245*T$6/12,2)</f>
        <v/>
      </c>
      <c r="U245" s="42">
        <f>MIN(U$6,S245+T245)</f>
        <v/>
      </c>
      <c r="V245" s="42">
        <f>MAX(0,MIN(S245+T245-U245,R245))</f>
        <v/>
      </c>
      <c r="W245" s="42">
        <f>ROUND(S245+T245-U245-V245,2)</f>
        <v/>
      </c>
      <c r="X245">
        <f>R245-V245</f>
        <v/>
      </c>
      <c r="Y245" s="42">
        <f>AC244</f>
        <v/>
      </c>
      <c r="Z245" s="42">
        <f>ROUND(Y245*Z$6/12,2)</f>
        <v/>
      </c>
      <c r="AA245" s="42">
        <f>MIN(AA$6,Y245+Z245)</f>
        <v/>
      </c>
      <c r="AB245" s="42">
        <f>MAX(0,MIN(Y245+Z245-AA245,X245))</f>
        <v/>
      </c>
      <c r="AC245" s="42">
        <f>ROUND(Y245+Z245-AA245-AB245,2)</f>
        <v/>
      </c>
      <c r="AD245">
        <f>X245-AB245</f>
        <v/>
      </c>
      <c r="AE245" s="42">
        <f>AI244</f>
        <v/>
      </c>
      <c r="AF245" s="42">
        <f>ROUND(AE245*AF$6/12,2)</f>
        <v/>
      </c>
      <c r="AG245" s="42">
        <f>MIN(AG$6,AE245+AF245)</f>
        <v/>
      </c>
      <c r="AH245" s="42">
        <f>MAX(0,MIN(AE245+AF245-AG245,AD245))</f>
        <v/>
      </c>
      <c r="AI245" s="42">
        <f>ROUND(AE245+AF245-AG245-AH245,2)</f>
        <v/>
      </c>
      <c r="AJ245">
        <f>AD245-AH245</f>
        <v/>
      </c>
      <c r="AK245" s="42">
        <f>AO244</f>
        <v/>
      </c>
      <c r="AL245" s="42">
        <f>ROUND(AK245*AL$6/12,2)</f>
        <v/>
      </c>
      <c r="AM245" s="42">
        <f>MIN(AM$6,AK245+AL245)</f>
        <v/>
      </c>
      <c r="AN245" s="42">
        <f>MAX(0,MIN(AK245+AL245-AM245,AJ245))</f>
        <v/>
      </c>
      <c r="AO245" s="42">
        <f>ROUND(AK245+AL245-AM245-AN245,2)</f>
        <v/>
      </c>
      <c r="AP245">
        <f>AJ245-AN245</f>
        <v/>
      </c>
      <c r="AQ245" s="42">
        <f>AU244</f>
        <v/>
      </c>
      <c r="AR245" s="42">
        <f>ROUND(AQ245*AR$6/12,2)</f>
        <v/>
      </c>
      <c r="AS245" s="42">
        <f>MIN(AS$6,AQ245+AR245)</f>
        <v/>
      </c>
      <c r="AT245" s="42">
        <f>MAX(0,MIN(AQ245+AR245-AS245,AP245))</f>
        <v/>
      </c>
      <c r="AU245" s="42">
        <f>ROUND(AQ245+AR245-AS245-AT245,2)</f>
        <v/>
      </c>
      <c r="AV245">
        <f>AP245-AT245</f>
        <v/>
      </c>
      <c r="AW245" s="42">
        <f>BA244</f>
        <v/>
      </c>
      <c r="AX245" s="42">
        <f>ROUND(AW245*AX$6/12,2)</f>
        <v/>
      </c>
      <c r="AY245" s="42">
        <f>MIN(AY$6,AW245+AX245)</f>
        <v/>
      </c>
      <c r="AZ245" s="42">
        <f>MAX(0,MIN(AW245+AX245-AY245,AV245))</f>
        <v/>
      </c>
      <c r="BA245" s="42">
        <f>ROUND(AW245+AX245-AY245-AZ245,2)</f>
        <v/>
      </c>
      <c r="BB245">
        <f>AV245-AZ245</f>
        <v/>
      </c>
      <c r="BC245" s="42">
        <f>BG244</f>
        <v/>
      </c>
      <c r="BD245" s="42">
        <f>ROUND(BC245*BD$6/12,2)</f>
        <v/>
      </c>
      <c r="BE245" s="42">
        <f>MIN(BE$6,BC245+BD245)</f>
        <v/>
      </c>
      <c r="BF245" s="42">
        <f>MAX(0,MIN(BC245+BD245-BE245,BB245))</f>
        <v/>
      </c>
      <c r="BG245" s="42">
        <f>ROUND(BC245+BD245-BE245-BF245,2)</f>
        <v/>
      </c>
      <c r="BH245">
        <f>BB245-BF245</f>
        <v/>
      </c>
      <c r="BI245" s="42">
        <f>BM244</f>
        <v/>
      </c>
      <c r="BJ245" s="42">
        <f>ROUND(BI245*BJ$6/12,2)</f>
        <v/>
      </c>
      <c r="BK245" s="42">
        <f>MIN(BK$6,BI245+BJ245)</f>
        <v/>
      </c>
      <c r="BL245" s="42">
        <f>MAX(0,MIN(BI245+BJ245-BK245,BH245))</f>
        <v/>
      </c>
      <c r="BM245" s="42">
        <f>ROUND(BI245+BJ245-BK245-BL245,2)</f>
        <v/>
      </c>
      <c r="BN245">
        <f>BH245-BL245</f>
        <v/>
      </c>
    </row>
    <row r="246">
      <c r="A246" s="39" t="n">
        <v>239</v>
      </c>
      <c r="B246" s="40">
        <f>EDATE('My Debts'!$C$6,A246-1)</f>
        <v/>
      </c>
      <c r="C246" s="41">
        <f>K246+Q246+W246+AC246+AI246+AO246+AU246+BA246+BG246+BM246</f>
        <v/>
      </c>
      <c r="D246" s="42">
        <f>I246+O246+U246+AA246+AG246+AM246+AS246+AY246+BE246+BK246+J246+P246+V246+AB246+AH246+AN246+AT246+AZ246+BF246+BL246</f>
        <v/>
      </c>
      <c r="E246" s="42">
        <f>H246+N246+T246+Z246+AF246+AL246+AR246+AX246+BD246+BJ246</f>
        <v/>
      </c>
      <c r="F246">
        <f>MAX(0,'My Debts'!$E$21-(I246+O246+U246+AA246+AG246+AM246+AS246+AY246+BE246+BK246))</f>
        <v/>
      </c>
      <c r="G246" s="42">
        <f>K245</f>
        <v/>
      </c>
      <c r="H246" s="42">
        <f>ROUND(G246*H$6/12,2)</f>
        <v/>
      </c>
      <c r="I246" s="42">
        <f>MIN(I$6,G246+H246)</f>
        <v/>
      </c>
      <c r="J246" s="42">
        <f>MAX(0,MIN(G246+H246-I246,$F246))</f>
        <v/>
      </c>
      <c r="K246" s="42">
        <f>ROUND(G246+H246-I246-J246,2)</f>
        <v/>
      </c>
      <c r="L246">
        <f>$F246-J246</f>
        <v/>
      </c>
      <c r="M246" s="42">
        <f>Q245</f>
        <v/>
      </c>
      <c r="N246" s="42">
        <f>ROUND(M246*N$6/12,2)</f>
        <v/>
      </c>
      <c r="O246" s="42">
        <f>MIN(O$6,M246+N246)</f>
        <v/>
      </c>
      <c r="P246" s="42">
        <f>MAX(0,MIN(M246+N246-O246,L246))</f>
        <v/>
      </c>
      <c r="Q246" s="42">
        <f>ROUND(M246+N246-O246-P246,2)</f>
        <v/>
      </c>
      <c r="R246">
        <f>L246-P246</f>
        <v/>
      </c>
      <c r="S246" s="42">
        <f>W245</f>
        <v/>
      </c>
      <c r="T246" s="42">
        <f>ROUND(S246*T$6/12,2)</f>
        <v/>
      </c>
      <c r="U246" s="42">
        <f>MIN(U$6,S246+T246)</f>
        <v/>
      </c>
      <c r="V246" s="42">
        <f>MAX(0,MIN(S246+T246-U246,R246))</f>
        <v/>
      </c>
      <c r="W246" s="42">
        <f>ROUND(S246+T246-U246-V246,2)</f>
        <v/>
      </c>
      <c r="X246">
        <f>R246-V246</f>
        <v/>
      </c>
      <c r="Y246" s="42">
        <f>AC245</f>
        <v/>
      </c>
      <c r="Z246" s="42">
        <f>ROUND(Y246*Z$6/12,2)</f>
        <v/>
      </c>
      <c r="AA246" s="42">
        <f>MIN(AA$6,Y246+Z246)</f>
        <v/>
      </c>
      <c r="AB246" s="42">
        <f>MAX(0,MIN(Y246+Z246-AA246,X246))</f>
        <v/>
      </c>
      <c r="AC246" s="42">
        <f>ROUND(Y246+Z246-AA246-AB246,2)</f>
        <v/>
      </c>
      <c r="AD246">
        <f>X246-AB246</f>
        <v/>
      </c>
      <c r="AE246" s="42">
        <f>AI245</f>
        <v/>
      </c>
      <c r="AF246" s="42">
        <f>ROUND(AE246*AF$6/12,2)</f>
        <v/>
      </c>
      <c r="AG246" s="42">
        <f>MIN(AG$6,AE246+AF246)</f>
        <v/>
      </c>
      <c r="AH246" s="42">
        <f>MAX(0,MIN(AE246+AF246-AG246,AD246))</f>
        <v/>
      </c>
      <c r="AI246" s="42">
        <f>ROUND(AE246+AF246-AG246-AH246,2)</f>
        <v/>
      </c>
      <c r="AJ246">
        <f>AD246-AH246</f>
        <v/>
      </c>
      <c r="AK246" s="42">
        <f>AO245</f>
        <v/>
      </c>
      <c r="AL246" s="42">
        <f>ROUND(AK246*AL$6/12,2)</f>
        <v/>
      </c>
      <c r="AM246" s="42">
        <f>MIN(AM$6,AK246+AL246)</f>
        <v/>
      </c>
      <c r="AN246" s="42">
        <f>MAX(0,MIN(AK246+AL246-AM246,AJ246))</f>
        <v/>
      </c>
      <c r="AO246" s="42">
        <f>ROUND(AK246+AL246-AM246-AN246,2)</f>
        <v/>
      </c>
      <c r="AP246">
        <f>AJ246-AN246</f>
        <v/>
      </c>
      <c r="AQ246" s="42">
        <f>AU245</f>
        <v/>
      </c>
      <c r="AR246" s="42">
        <f>ROUND(AQ246*AR$6/12,2)</f>
        <v/>
      </c>
      <c r="AS246" s="42">
        <f>MIN(AS$6,AQ246+AR246)</f>
        <v/>
      </c>
      <c r="AT246" s="42">
        <f>MAX(0,MIN(AQ246+AR246-AS246,AP246))</f>
        <v/>
      </c>
      <c r="AU246" s="42">
        <f>ROUND(AQ246+AR246-AS246-AT246,2)</f>
        <v/>
      </c>
      <c r="AV246">
        <f>AP246-AT246</f>
        <v/>
      </c>
      <c r="AW246" s="42">
        <f>BA245</f>
        <v/>
      </c>
      <c r="AX246" s="42">
        <f>ROUND(AW246*AX$6/12,2)</f>
        <v/>
      </c>
      <c r="AY246" s="42">
        <f>MIN(AY$6,AW246+AX246)</f>
        <v/>
      </c>
      <c r="AZ246" s="42">
        <f>MAX(0,MIN(AW246+AX246-AY246,AV246))</f>
        <v/>
      </c>
      <c r="BA246" s="42">
        <f>ROUND(AW246+AX246-AY246-AZ246,2)</f>
        <v/>
      </c>
      <c r="BB246">
        <f>AV246-AZ246</f>
        <v/>
      </c>
      <c r="BC246" s="42">
        <f>BG245</f>
        <v/>
      </c>
      <c r="BD246" s="42">
        <f>ROUND(BC246*BD$6/12,2)</f>
        <v/>
      </c>
      <c r="BE246" s="42">
        <f>MIN(BE$6,BC246+BD246)</f>
        <v/>
      </c>
      <c r="BF246" s="42">
        <f>MAX(0,MIN(BC246+BD246-BE246,BB246))</f>
        <v/>
      </c>
      <c r="BG246" s="42">
        <f>ROUND(BC246+BD246-BE246-BF246,2)</f>
        <v/>
      </c>
      <c r="BH246">
        <f>BB246-BF246</f>
        <v/>
      </c>
      <c r="BI246" s="42">
        <f>BM245</f>
        <v/>
      </c>
      <c r="BJ246" s="42">
        <f>ROUND(BI246*BJ$6/12,2)</f>
        <v/>
      </c>
      <c r="BK246" s="42">
        <f>MIN(BK$6,BI246+BJ246)</f>
        <v/>
      </c>
      <c r="BL246" s="42">
        <f>MAX(0,MIN(BI246+BJ246-BK246,BH246))</f>
        <v/>
      </c>
      <c r="BM246" s="42">
        <f>ROUND(BI246+BJ246-BK246-BL246,2)</f>
        <v/>
      </c>
      <c r="BN246">
        <f>BH246-BL246</f>
        <v/>
      </c>
    </row>
    <row r="247">
      <c r="A247" s="43" t="n">
        <v>240</v>
      </c>
      <c r="B247" s="44">
        <f>EDATE('My Debts'!$C$6,A247-1)</f>
        <v/>
      </c>
      <c r="C247" s="45">
        <f>K247+Q247+W247+AC247+AI247+AO247+AU247+BA247+BG247+BM247</f>
        <v/>
      </c>
      <c r="D247" s="46">
        <f>I247+O247+U247+AA247+AG247+AM247+AS247+AY247+BE247+BK247+J247+P247+V247+AB247+AH247+AN247+AT247+AZ247+BF247+BL247</f>
        <v/>
      </c>
      <c r="E247" s="46">
        <f>H247+N247+T247+Z247+AF247+AL247+AR247+AX247+BD247+BJ247</f>
        <v/>
      </c>
      <c r="F247">
        <f>MAX(0,'My Debts'!$E$21-(I247+O247+U247+AA247+AG247+AM247+AS247+AY247+BE247+BK247))</f>
        <v/>
      </c>
      <c r="G247" s="42">
        <f>K246</f>
        <v/>
      </c>
      <c r="H247" s="42">
        <f>ROUND(G247*H$6/12,2)</f>
        <v/>
      </c>
      <c r="I247" s="42">
        <f>MIN(I$6,G247+H247)</f>
        <v/>
      </c>
      <c r="J247" s="42">
        <f>MAX(0,MIN(G247+H247-I247,$F247))</f>
        <v/>
      </c>
      <c r="K247" s="42">
        <f>ROUND(G247+H247-I247-J247,2)</f>
        <v/>
      </c>
      <c r="L247">
        <f>$F247-J247</f>
        <v/>
      </c>
      <c r="M247" s="42">
        <f>Q246</f>
        <v/>
      </c>
      <c r="N247" s="42">
        <f>ROUND(M247*N$6/12,2)</f>
        <v/>
      </c>
      <c r="O247" s="42">
        <f>MIN(O$6,M247+N247)</f>
        <v/>
      </c>
      <c r="P247" s="42">
        <f>MAX(0,MIN(M247+N247-O247,L247))</f>
        <v/>
      </c>
      <c r="Q247" s="42">
        <f>ROUND(M247+N247-O247-P247,2)</f>
        <v/>
      </c>
      <c r="R247">
        <f>L247-P247</f>
        <v/>
      </c>
      <c r="S247" s="42">
        <f>W246</f>
        <v/>
      </c>
      <c r="T247" s="42">
        <f>ROUND(S247*T$6/12,2)</f>
        <v/>
      </c>
      <c r="U247" s="42">
        <f>MIN(U$6,S247+T247)</f>
        <v/>
      </c>
      <c r="V247" s="42">
        <f>MAX(0,MIN(S247+T247-U247,R247))</f>
        <v/>
      </c>
      <c r="W247" s="42">
        <f>ROUND(S247+T247-U247-V247,2)</f>
        <v/>
      </c>
      <c r="X247">
        <f>R247-V247</f>
        <v/>
      </c>
      <c r="Y247" s="42">
        <f>AC246</f>
        <v/>
      </c>
      <c r="Z247" s="42">
        <f>ROUND(Y247*Z$6/12,2)</f>
        <v/>
      </c>
      <c r="AA247" s="42">
        <f>MIN(AA$6,Y247+Z247)</f>
        <v/>
      </c>
      <c r="AB247" s="42">
        <f>MAX(0,MIN(Y247+Z247-AA247,X247))</f>
        <v/>
      </c>
      <c r="AC247" s="42">
        <f>ROUND(Y247+Z247-AA247-AB247,2)</f>
        <v/>
      </c>
      <c r="AD247">
        <f>X247-AB247</f>
        <v/>
      </c>
      <c r="AE247" s="42">
        <f>AI246</f>
        <v/>
      </c>
      <c r="AF247" s="42">
        <f>ROUND(AE247*AF$6/12,2)</f>
        <v/>
      </c>
      <c r="AG247" s="42">
        <f>MIN(AG$6,AE247+AF247)</f>
        <v/>
      </c>
      <c r="AH247" s="42">
        <f>MAX(0,MIN(AE247+AF247-AG247,AD247))</f>
        <v/>
      </c>
      <c r="AI247" s="42">
        <f>ROUND(AE247+AF247-AG247-AH247,2)</f>
        <v/>
      </c>
      <c r="AJ247">
        <f>AD247-AH247</f>
        <v/>
      </c>
      <c r="AK247" s="42">
        <f>AO246</f>
        <v/>
      </c>
      <c r="AL247" s="42">
        <f>ROUND(AK247*AL$6/12,2)</f>
        <v/>
      </c>
      <c r="AM247" s="42">
        <f>MIN(AM$6,AK247+AL247)</f>
        <v/>
      </c>
      <c r="AN247" s="42">
        <f>MAX(0,MIN(AK247+AL247-AM247,AJ247))</f>
        <v/>
      </c>
      <c r="AO247" s="42">
        <f>ROUND(AK247+AL247-AM247-AN247,2)</f>
        <v/>
      </c>
      <c r="AP247">
        <f>AJ247-AN247</f>
        <v/>
      </c>
      <c r="AQ247" s="42">
        <f>AU246</f>
        <v/>
      </c>
      <c r="AR247" s="42">
        <f>ROUND(AQ247*AR$6/12,2)</f>
        <v/>
      </c>
      <c r="AS247" s="42">
        <f>MIN(AS$6,AQ247+AR247)</f>
        <v/>
      </c>
      <c r="AT247" s="42">
        <f>MAX(0,MIN(AQ247+AR247-AS247,AP247))</f>
        <v/>
      </c>
      <c r="AU247" s="42">
        <f>ROUND(AQ247+AR247-AS247-AT247,2)</f>
        <v/>
      </c>
      <c r="AV247">
        <f>AP247-AT247</f>
        <v/>
      </c>
      <c r="AW247" s="42">
        <f>BA246</f>
        <v/>
      </c>
      <c r="AX247" s="42">
        <f>ROUND(AW247*AX$6/12,2)</f>
        <v/>
      </c>
      <c r="AY247" s="42">
        <f>MIN(AY$6,AW247+AX247)</f>
        <v/>
      </c>
      <c r="AZ247" s="42">
        <f>MAX(0,MIN(AW247+AX247-AY247,AV247))</f>
        <v/>
      </c>
      <c r="BA247" s="42">
        <f>ROUND(AW247+AX247-AY247-AZ247,2)</f>
        <v/>
      </c>
      <c r="BB247">
        <f>AV247-AZ247</f>
        <v/>
      </c>
      <c r="BC247" s="42">
        <f>BG246</f>
        <v/>
      </c>
      <c r="BD247" s="42">
        <f>ROUND(BC247*BD$6/12,2)</f>
        <v/>
      </c>
      <c r="BE247" s="42">
        <f>MIN(BE$6,BC247+BD247)</f>
        <v/>
      </c>
      <c r="BF247" s="42">
        <f>MAX(0,MIN(BC247+BD247-BE247,BB247))</f>
        <v/>
      </c>
      <c r="BG247" s="42">
        <f>ROUND(BC247+BD247-BE247-BF247,2)</f>
        <v/>
      </c>
      <c r="BH247">
        <f>BB247-BF247</f>
        <v/>
      </c>
      <c r="BI247" s="42">
        <f>BM246</f>
        <v/>
      </c>
      <c r="BJ247" s="42">
        <f>ROUND(BI247*BJ$6/12,2)</f>
        <v/>
      </c>
      <c r="BK247" s="42">
        <f>MIN(BK$6,BI247+BJ247)</f>
        <v/>
      </c>
      <c r="BL247" s="42">
        <f>MAX(0,MIN(BI247+BJ247-BK247,BH247))</f>
        <v/>
      </c>
      <c r="BM247" s="42">
        <f>ROUND(BI247+BJ247-BK247-BL247,2)</f>
        <v/>
      </c>
      <c r="BN247">
        <f>BH247-BL247</f>
        <v/>
      </c>
    </row>
    <row r="248">
      <c r="A248" s="39" t="n">
        <v>241</v>
      </c>
      <c r="B248" s="40">
        <f>EDATE('My Debts'!$C$6,A248-1)</f>
        <v/>
      </c>
      <c r="C248" s="41">
        <f>K248+Q248+W248+AC248+AI248+AO248+AU248+BA248+BG248+BM248</f>
        <v/>
      </c>
      <c r="D248" s="42">
        <f>I248+O248+U248+AA248+AG248+AM248+AS248+AY248+BE248+BK248+J248+P248+V248+AB248+AH248+AN248+AT248+AZ248+BF248+BL248</f>
        <v/>
      </c>
      <c r="E248" s="42">
        <f>H248+N248+T248+Z248+AF248+AL248+AR248+AX248+BD248+BJ248</f>
        <v/>
      </c>
      <c r="F248">
        <f>MAX(0,'My Debts'!$E$21-(I248+O248+U248+AA248+AG248+AM248+AS248+AY248+BE248+BK248))</f>
        <v/>
      </c>
      <c r="G248" s="42">
        <f>K247</f>
        <v/>
      </c>
      <c r="H248" s="42">
        <f>ROUND(G248*H$6/12,2)</f>
        <v/>
      </c>
      <c r="I248" s="42">
        <f>MIN(I$6,G248+H248)</f>
        <v/>
      </c>
      <c r="J248" s="42">
        <f>MAX(0,MIN(G248+H248-I248,$F248))</f>
        <v/>
      </c>
      <c r="K248" s="42">
        <f>ROUND(G248+H248-I248-J248,2)</f>
        <v/>
      </c>
      <c r="L248">
        <f>$F248-J248</f>
        <v/>
      </c>
      <c r="M248" s="42">
        <f>Q247</f>
        <v/>
      </c>
      <c r="N248" s="42">
        <f>ROUND(M248*N$6/12,2)</f>
        <v/>
      </c>
      <c r="O248" s="42">
        <f>MIN(O$6,M248+N248)</f>
        <v/>
      </c>
      <c r="P248" s="42">
        <f>MAX(0,MIN(M248+N248-O248,L248))</f>
        <v/>
      </c>
      <c r="Q248" s="42">
        <f>ROUND(M248+N248-O248-P248,2)</f>
        <v/>
      </c>
      <c r="R248">
        <f>L248-P248</f>
        <v/>
      </c>
      <c r="S248" s="42">
        <f>W247</f>
        <v/>
      </c>
      <c r="T248" s="42">
        <f>ROUND(S248*T$6/12,2)</f>
        <v/>
      </c>
      <c r="U248" s="42">
        <f>MIN(U$6,S248+T248)</f>
        <v/>
      </c>
      <c r="V248" s="42">
        <f>MAX(0,MIN(S248+T248-U248,R248))</f>
        <v/>
      </c>
      <c r="W248" s="42">
        <f>ROUND(S248+T248-U248-V248,2)</f>
        <v/>
      </c>
      <c r="X248">
        <f>R248-V248</f>
        <v/>
      </c>
      <c r="Y248" s="42">
        <f>AC247</f>
        <v/>
      </c>
      <c r="Z248" s="42">
        <f>ROUND(Y248*Z$6/12,2)</f>
        <v/>
      </c>
      <c r="AA248" s="42">
        <f>MIN(AA$6,Y248+Z248)</f>
        <v/>
      </c>
      <c r="AB248" s="42">
        <f>MAX(0,MIN(Y248+Z248-AA248,X248))</f>
        <v/>
      </c>
      <c r="AC248" s="42">
        <f>ROUND(Y248+Z248-AA248-AB248,2)</f>
        <v/>
      </c>
      <c r="AD248">
        <f>X248-AB248</f>
        <v/>
      </c>
      <c r="AE248" s="42">
        <f>AI247</f>
        <v/>
      </c>
      <c r="AF248" s="42">
        <f>ROUND(AE248*AF$6/12,2)</f>
        <v/>
      </c>
      <c r="AG248" s="42">
        <f>MIN(AG$6,AE248+AF248)</f>
        <v/>
      </c>
      <c r="AH248" s="42">
        <f>MAX(0,MIN(AE248+AF248-AG248,AD248))</f>
        <v/>
      </c>
      <c r="AI248" s="42">
        <f>ROUND(AE248+AF248-AG248-AH248,2)</f>
        <v/>
      </c>
      <c r="AJ248">
        <f>AD248-AH248</f>
        <v/>
      </c>
      <c r="AK248" s="42">
        <f>AO247</f>
        <v/>
      </c>
      <c r="AL248" s="42">
        <f>ROUND(AK248*AL$6/12,2)</f>
        <v/>
      </c>
      <c r="AM248" s="42">
        <f>MIN(AM$6,AK248+AL248)</f>
        <v/>
      </c>
      <c r="AN248" s="42">
        <f>MAX(0,MIN(AK248+AL248-AM248,AJ248))</f>
        <v/>
      </c>
      <c r="AO248" s="42">
        <f>ROUND(AK248+AL248-AM248-AN248,2)</f>
        <v/>
      </c>
      <c r="AP248">
        <f>AJ248-AN248</f>
        <v/>
      </c>
      <c r="AQ248" s="42">
        <f>AU247</f>
        <v/>
      </c>
      <c r="AR248" s="42">
        <f>ROUND(AQ248*AR$6/12,2)</f>
        <v/>
      </c>
      <c r="AS248" s="42">
        <f>MIN(AS$6,AQ248+AR248)</f>
        <v/>
      </c>
      <c r="AT248" s="42">
        <f>MAX(0,MIN(AQ248+AR248-AS248,AP248))</f>
        <v/>
      </c>
      <c r="AU248" s="42">
        <f>ROUND(AQ248+AR248-AS248-AT248,2)</f>
        <v/>
      </c>
      <c r="AV248">
        <f>AP248-AT248</f>
        <v/>
      </c>
      <c r="AW248" s="42">
        <f>BA247</f>
        <v/>
      </c>
      <c r="AX248" s="42">
        <f>ROUND(AW248*AX$6/12,2)</f>
        <v/>
      </c>
      <c r="AY248" s="42">
        <f>MIN(AY$6,AW248+AX248)</f>
        <v/>
      </c>
      <c r="AZ248" s="42">
        <f>MAX(0,MIN(AW248+AX248-AY248,AV248))</f>
        <v/>
      </c>
      <c r="BA248" s="42">
        <f>ROUND(AW248+AX248-AY248-AZ248,2)</f>
        <v/>
      </c>
      <c r="BB248">
        <f>AV248-AZ248</f>
        <v/>
      </c>
      <c r="BC248" s="42">
        <f>BG247</f>
        <v/>
      </c>
      <c r="BD248" s="42">
        <f>ROUND(BC248*BD$6/12,2)</f>
        <v/>
      </c>
      <c r="BE248" s="42">
        <f>MIN(BE$6,BC248+BD248)</f>
        <v/>
      </c>
      <c r="BF248" s="42">
        <f>MAX(0,MIN(BC248+BD248-BE248,BB248))</f>
        <v/>
      </c>
      <c r="BG248" s="42">
        <f>ROUND(BC248+BD248-BE248-BF248,2)</f>
        <v/>
      </c>
      <c r="BH248">
        <f>BB248-BF248</f>
        <v/>
      </c>
      <c r="BI248" s="42">
        <f>BM247</f>
        <v/>
      </c>
      <c r="BJ248" s="42">
        <f>ROUND(BI248*BJ$6/12,2)</f>
        <v/>
      </c>
      <c r="BK248" s="42">
        <f>MIN(BK$6,BI248+BJ248)</f>
        <v/>
      </c>
      <c r="BL248" s="42">
        <f>MAX(0,MIN(BI248+BJ248-BK248,BH248))</f>
        <v/>
      </c>
      <c r="BM248" s="42">
        <f>ROUND(BI248+BJ248-BK248-BL248,2)</f>
        <v/>
      </c>
      <c r="BN248">
        <f>BH248-BL248</f>
        <v/>
      </c>
    </row>
    <row r="249">
      <c r="A249" s="43" t="n">
        <v>242</v>
      </c>
      <c r="B249" s="44">
        <f>EDATE('My Debts'!$C$6,A249-1)</f>
        <v/>
      </c>
      <c r="C249" s="45">
        <f>K249+Q249+W249+AC249+AI249+AO249+AU249+BA249+BG249+BM249</f>
        <v/>
      </c>
      <c r="D249" s="46">
        <f>I249+O249+U249+AA249+AG249+AM249+AS249+AY249+BE249+BK249+J249+P249+V249+AB249+AH249+AN249+AT249+AZ249+BF249+BL249</f>
        <v/>
      </c>
      <c r="E249" s="46">
        <f>H249+N249+T249+Z249+AF249+AL249+AR249+AX249+BD249+BJ249</f>
        <v/>
      </c>
      <c r="F249">
        <f>MAX(0,'My Debts'!$E$21-(I249+O249+U249+AA249+AG249+AM249+AS249+AY249+BE249+BK249))</f>
        <v/>
      </c>
      <c r="G249" s="42">
        <f>K248</f>
        <v/>
      </c>
      <c r="H249" s="42">
        <f>ROUND(G249*H$6/12,2)</f>
        <v/>
      </c>
      <c r="I249" s="42">
        <f>MIN(I$6,G249+H249)</f>
        <v/>
      </c>
      <c r="J249" s="42">
        <f>MAX(0,MIN(G249+H249-I249,$F249))</f>
        <v/>
      </c>
      <c r="K249" s="42">
        <f>ROUND(G249+H249-I249-J249,2)</f>
        <v/>
      </c>
      <c r="L249">
        <f>$F249-J249</f>
        <v/>
      </c>
      <c r="M249" s="42">
        <f>Q248</f>
        <v/>
      </c>
      <c r="N249" s="42">
        <f>ROUND(M249*N$6/12,2)</f>
        <v/>
      </c>
      <c r="O249" s="42">
        <f>MIN(O$6,M249+N249)</f>
        <v/>
      </c>
      <c r="P249" s="42">
        <f>MAX(0,MIN(M249+N249-O249,L249))</f>
        <v/>
      </c>
      <c r="Q249" s="42">
        <f>ROUND(M249+N249-O249-P249,2)</f>
        <v/>
      </c>
      <c r="R249">
        <f>L249-P249</f>
        <v/>
      </c>
      <c r="S249" s="42">
        <f>W248</f>
        <v/>
      </c>
      <c r="T249" s="42">
        <f>ROUND(S249*T$6/12,2)</f>
        <v/>
      </c>
      <c r="U249" s="42">
        <f>MIN(U$6,S249+T249)</f>
        <v/>
      </c>
      <c r="V249" s="42">
        <f>MAX(0,MIN(S249+T249-U249,R249))</f>
        <v/>
      </c>
      <c r="W249" s="42">
        <f>ROUND(S249+T249-U249-V249,2)</f>
        <v/>
      </c>
      <c r="X249">
        <f>R249-V249</f>
        <v/>
      </c>
      <c r="Y249" s="42">
        <f>AC248</f>
        <v/>
      </c>
      <c r="Z249" s="42">
        <f>ROUND(Y249*Z$6/12,2)</f>
        <v/>
      </c>
      <c r="AA249" s="42">
        <f>MIN(AA$6,Y249+Z249)</f>
        <v/>
      </c>
      <c r="AB249" s="42">
        <f>MAX(0,MIN(Y249+Z249-AA249,X249))</f>
        <v/>
      </c>
      <c r="AC249" s="42">
        <f>ROUND(Y249+Z249-AA249-AB249,2)</f>
        <v/>
      </c>
      <c r="AD249">
        <f>X249-AB249</f>
        <v/>
      </c>
      <c r="AE249" s="42">
        <f>AI248</f>
        <v/>
      </c>
      <c r="AF249" s="42">
        <f>ROUND(AE249*AF$6/12,2)</f>
        <v/>
      </c>
      <c r="AG249" s="42">
        <f>MIN(AG$6,AE249+AF249)</f>
        <v/>
      </c>
      <c r="AH249" s="42">
        <f>MAX(0,MIN(AE249+AF249-AG249,AD249))</f>
        <v/>
      </c>
      <c r="AI249" s="42">
        <f>ROUND(AE249+AF249-AG249-AH249,2)</f>
        <v/>
      </c>
      <c r="AJ249">
        <f>AD249-AH249</f>
        <v/>
      </c>
      <c r="AK249" s="42">
        <f>AO248</f>
        <v/>
      </c>
      <c r="AL249" s="42">
        <f>ROUND(AK249*AL$6/12,2)</f>
        <v/>
      </c>
      <c r="AM249" s="42">
        <f>MIN(AM$6,AK249+AL249)</f>
        <v/>
      </c>
      <c r="AN249" s="42">
        <f>MAX(0,MIN(AK249+AL249-AM249,AJ249))</f>
        <v/>
      </c>
      <c r="AO249" s="42">
        <f>ROUND(AK249+AL249-AM249-AN249,2)</f>
        <v/>
      </c>
      <c r="AP249">
        <f>AJ249-AN249</f>
        <v/>
      </c>
      <c r="AQ249" s="42">
        <f>AU248</f>
        <v/>
      </c>
      <c r="AR249" s="42">
        <f>ROUND(AQ249*AR$6/12,2)</f>
        <v/>
      </c>
      <c r="AS249" s="42">
        <f>MIN(AS$6,AQ249+AR249)</f>
        <v/>
      </c>
      <c r="AT249" s="42">
        <f>MAX(0,MIN(AQ249+AR249-AS249,AP249))</f>
        <v/>
      </c>
      <c r="AU249" s="42">
        <f>ROUND(AQ249+AR249-AS249-AT249,2)</f>
        <v/>
      </c>
      <c r="AV249">
        <f>AP249-AT249</f>
        <v/>
      </c>
      <c r="AW249" s="42">
        <f>BA248</f>
        <v/>
      </c>
      <c r="AX249" s="42">
        <f>ROUND(AW249*AX$6/12,2)</f>
        <v/>
      </c>
      <c r="AY249" s="42">
        <f>MIN(AY$6,AW249+AX249)</f>
        <v/>
      </c>
      <c r="AZ249" s="42">
        <f>MAX(0,MIN(AW249+AX249-AY249,AV249))</f>
        <v/>
      </c>
      <c r="BA249" s="42">
        <f>ROUND(AW249+AX249-AY249-AZ249,2)</f>
        <v/>
      </c>
      <c r="BB249">
        <f>AV249-AZ249</f>
        <v/>
      </c>
      <c r="BC249" s="42">
        <f>BG248</f>
        <v/>
      </c>
      <c r="BD249" s="42">
        <f>ROUND(BC249*BD$6/12,2)</f>
        <v/>
      </c>
      <c r="BE249" s="42">
        <f>MIN(BE$6,BC249+BD249)</f>
        <v/>
      </c>
      <c r="BF249" s="42">
        <f>MAX(0,MIN(BC249+BD249-BE249,BB249))</f>
        <v/>
      </c>
      <c r="BG249" s="42">
        <f>ROUND(BC249+BD249-BE249-BF249,2)</f>
        <v/>
      </c>
      <c r="BH249">
        <f>BB249-BF249</f>
        <v/>
      </c>
      <c r="BI249" s="42">
        <f>BM248</f>
        <v/>
      </c>
      <c r="BJ249" s="42">
        <f>ROUND(BI249*BJ$6/12,2)</f>
        <v/>
      </c>
      <c r="BK249" s="42">
        <f>MIN(BK$6,BI249+BJ249)</f>
        <v/>
      </c>
      <c r="BL249" s="42">
        <f>MAX(0,MIN(BI249+BJ249-BK249,BH249))</f>
        <v/>
      </c>
      <c r="BM249" s="42">
        <f>ROUND(BI249+BJ249-BK249-BL249,2)</f>
        <v/>
      </c>
      <c r="BN249">
        <f>BH249-BL249</f>
        <v/>
      </c>
    </row>
    <row r="250">
      <c r="A250" s="39" t="n">
        <v>243</v>
      </c>
      <c r="B250" s="40">
        <f>EDATE('My Debts'!$C$6,A250-1)</f>
        <v/>
      </c>
      <c r="C250" s="41">
        <f>K250+Q250+W250+AC250+AI250+AO250+AU250+BA250+BG250+BM250</f>
        <v/>
      </c>
      <c r="D250" s="42">
        <f>I250+O250+U250+AA250+AG250+AM250+AS250+AY250+BE250+BK250+J250+P250+V250+AB250+AH250+AN250+AT250+AZ250+BF250+BL250</f>
        <v/>
      </c>
      <c r="E250" s="42">
        <f>H250+N250+T250+Z250+AF250+AL250+AR250+AX250+BD250+BJ250</f>
        <v/>
      </c>
      <c r="F250">
        <f>MAX(0,'My Debts'!$E$21-(I250+O250+U250+AA250+AG250+AM250+AS250+AY250+BE250+BK250))</f>
        <v/>
      </c>
      <c r="G250" s="42">
        <f>K249</f>
        <v/>
      </c>
      <c r="H250" s="42">
        <f>ROUND(G250*H$6/12,2)</f>
        <v/>
      </c>
      <c r="I250" s="42">
        <f>MIN(I$6,G250+H250)</f>
        <v/>
      </c>
      <c r="J250" s="42">
        <f>MAX(0,MIN(G250+H250-I250,$F250))</f>
        <v/>
      </c>
      <c r="K250" s="42">
        <f>ROUND(G250+H250-I250-J250,2)</f>
        <v/>
      </c>
      <c r="L250">
        <f>$F250-J250</f>
        <v/>
      </c>
      <c r="M250" s="42">
        <f>Q249</f>
        <v/>
      </c>
      <c r="N250" s="42">
        <f>ROUND(M250*N$6/12,2)</f>
        <v/>
      </c>
      <c r="O250" s="42">
        <f>MIN(O$6,M250+N250)</f>
        <v/>
      </c>
      <c r="P250" s="42">
        <f>MAX(0,MIN(M250+N250-O250,L250))</f>
        <v/>
      </c>
      <c r="Q250" s="42">
        <f>ROUND(M250+N250-O250-P250,2)</f>
        <v/>
      </c>
      <c r="R250">
        <f>L250-P250</f>
        <v/>
      </c>
      <c r="S250" s="42">
        <f>W249</f>
        <v/>
      </c>
      <c r="T250" s="42">
        <f>ROUND(S250*T$6/12,2)</f>
        <v/>
      </c>
      <c r="U250" s="42">
        <f>MIN(U$6,S250+T250)</f>
        <v/>
      </c>
      <c r="V250" s="42">
        <f>MAX(0,MIN(S250+T250-U250,R250))</f>
        <v/>
      </c>
      <c r="W250" s="42">
        <f>ROUND(S250+T250-U250-V250,2)</f>
        <v/>
      </c>
      <c r="X250">
        <f>R250-V250</f>
        <v/>
      </c>
      <c r="Y250" s="42">
        <f>AC249</f>
        <v/>
      </c>
      <c r="Z250" s="42">
        <f>ROUND(Y250*Z$6/12,2)</f>
        <v/>
      </c>
      <c r="AA250" s="42">
        <f>MIN(AA$6,Y250+Z250)</f>
        <v/>
      </c>
      <c r="AB250" s="42">
        <f>MAX(0,MIN(Y250+Z250-AA250,X250))</f>
        <v/>
      </c>
      <c r="AC250" s="42">
        <f>ROUND(Y250+Z250-AA250-AB250,2)</f>
        <v/>
      </c>
      <c r="AD250">
        <f>X250-AB250</f>
        <v/>
      </c>
      <c r="AE250" s="42">
        <f>AI249</f>
        <v/>
      </c>
      <c r="AF250" s="42">
        <f>ROUND(AE250*AF$6/12,2)</f>
        <v/>
      </c>
      <c r="AG250" s="42">
        <f>MIN(AG$6,AE250+AF250)</f>
        <v/>
      </c>
      <c r="AH250" s="42">
        <f>MAX(0,MIN(AE250+AF250-AG250,AD250))</f>
        <v/>
      </c>
      <c r="AI250" s="42">
        <f>ROUND(AE250+AF250-AG250-AH250,2)</f>
        <v/>
      </c>
      <c r="AJ250">
        <f>AD250-AH250</f>
        <v/>
      </c>
      <c r="AK250" s="42">
        <f>AO249</f>
        <v/>
      </c>
      <c r="AL250" s="42">
        <f>ROUND(AK250*AL$6/12,2)</f>
        <v/>
      </c>
      <c r="AM250" s="42">
        <f>MIN(AM$6,AK250+AL250)</f>
        <v/>
      </c>
      <c r="AN250" s="42">
        <f>MAX(0,MIN(AK250+AL250-AM250,AJ250))</f>
        <v/>
      </c>
      <c r="AO250" s="42">
        <f>ROUND(AK250+AL250-AM250-AN250,2)</f>
        <v/>
      </c>
      <c r="AP250">
        <f>AJ250-AN250</f>
        <v/>
      </c>
      <c r="AQ250" s="42">
        <f>AU249</f>
        <v/>
      </c>
      <c r="AR250" s="42">
        <f>ROUND(AQ250*AR$6/12,2)</f>
        <v/>
      </c>
      <c r="AS250" s="42">
        <f>MIN(AS$6,AQ250+AR250)</f>
        <v/>
      </c>
      <c r="AT250" s="42">
        <f>MAX(0,MIN(AQ250+AR250-AS250,AP250))</f>
        <v/>
      </c>
      <c r="AU250" s="42">
        <f>ROUND(AQ250+AR250-AS250-AT250,2)</f>
        <v/>
      </c>
      <c r="AV250">
        <f>AP250-AT250</f>
        <v/>
      </c>
      <c r="AW250" s="42">
        <f>BA249</f>
        <v/>
      </c>
      <c r="AX250" s="42">
        <f>ROUND(AW250*AX$6/12,2)</f>
        <v/>
      </c>
      <c r="AY250" s="42">
        <f>MIN(AY$6,AW250+AX250)</f>
        <v/>
      </c>
      <c r="AZ250" s="42">
        <f>MAX(0,MIN(AW250+AX250-AY250,AV250))</f>
        <v/>
      </c>
      <c r="BA250" s="42">
        <f>ROUND(AW250+AX250-AY250-AZ250,2)</f>
        <v/>
      </c>
      <c r="BB250">
        <f>AV250-AZ250</f>
        <v/>
      </c>
      <c r="BC250" s="42">
        <f>BG249</f>
        <v/>
      </c>
      <c r="BD250" s="42">
        <f>ROUND(BC250*BD$6/12,2)</f>
        <v/>
      </c>
      <c r="BE250" s="42">
        <f>MIN(BE$6,BC250+BD250)</f>
        <v/>
      </c>
      <c r="BF250" s="42">
        <f>MAX(0,MIN(BC250+BD250-BE250,BB250))</f>
        <v/>
      </c>
      <c r="BG250" s="42">
        <f>ROUND(BC250+BD250-BE250-BF250,2)</f>
        <v/>
      </c>
      <c r="BH250">
        <f>BB250-BF250</f>
        <v/>
      </c>
      <c r="BI250" s="42">
        <f>BM249</f>
        <v/>
      </c>
      <c r="BJ250" s="42">
        <f>ROUND(BI250*BJ$6/12,2)</f>
        <v/>
      </c>
      <c r="BK250" s="42">
        <f>MIN(BK$6,BI250+BJ250)</f>
        <v/>
      </c>
      <c r="BL250" s="42">
        <f>MAX(0,MIN(BI250+BJ250-BK250,BH250))</f>
        <v/>
      </c>
      <c r="BM250" s="42">
        <f>ROUND(BI250+BJ250-BK250-BL250,2)</f>
        <v/>
      </c>
      <c r="BN250">
        <f>BH250-BL250</f>
        <v/>
      </c>
    </row>
    <row r="251">
      <c r="A251" s="43" t="n">
        <v>244</v>
      </c>
      <c r="B251" s="44">
        <f>EDATE('My Debts'!$C$6,A251-1)</f>
        <v/>
      </c>
      <c r="C251" s="45">
        <f>K251+Q251+W251+AC251+AI251+AO251+AU251+BA251+BG251+BM251</f>
        <v/>
      </c>
      <c r="D251" s="46">
        <f>I251+O251+U251+AA251+AG251+AM251+AS251+AY251+BE251+BK251+J251+P251+V251+AB251+AH251+AN251+AT251+AZ251+BF251+BL251</f>
        <v/>
      </c>
      <c r="E251" s="46">
        <f>H251+N251+T251+Z251+AF251+AL251+AR251+AX251+BD251+BJ251</f>
        <v/>
      </c>
      <c r="F251">
        <f>MAX(0,'My Debts'!$E$21-(I251+O251+U251+AA251+AG251+AM251+AS251+AY251+BE251+BK251))</f>
        <v/>
      </c>
      <c r="G251" s="42">
        <f>K250</f>
        <v/>
      </c>
      <c r="H251" s="42">
        <f>ROUND(G251*H$6/12,2)</f>
        <v/>
      </c>
      <c r="I251" s="42">
        <f>MIN(I$6,G251+H251)</f>
        <v/>
      </c>
      <c r="J251" s="42">
        <f>MAX(0,MIN(G251+H251-I251,$F251))</f>
        <v/>
      </c>
      <c r="K251" s="42">
        <f>ROUND(G251+H251-I251-J251,2)</f>
        <v/>
      </c>
      <c r="L251">
        <f>$F251-J251</f>
        <v/>
      </c>
      <c r="M251" s="42">
        <f>Q250</f>
        <v/>
      </c>
      <c r="N251" s="42">
        <f>ROUND(M251*N$6/12,2)</f>
        <v/>
      </c>
      <c r="O251" s="42">
        <f>MIN(O$6,M251+N251)</f>
        <v/>
      </c>
      <c r="P251" s="42">
        <f>MAX(0,MIN(M251+N251-O251,L251))</f>
        <v/>
      </c>
      <c r="Q251" s="42">
        <f>ROUND(M251+N251-O251-P251,2)</f>
        <v/>
      </c>
      <c r="R251">
        <f>L251-P251</f>
        <v/>
      </c>
      <c r="S251" s="42">
        <f>W250</f>
        <v/>
      </c>
      <c r="T251" s="42">
        <f>ROUND(S251*T$6/12,2)</f>
        <v/>
      </c>
      <c r="U251" s="42">
        <f>MIN(U$6,S251+T251)</f>
        <v/>
      </c>
      <c r="V251" s="42">
        <f>MAX(0,MIN(S251+T251-U251,R251))</f>
        <v/>
      </c>
      <c r="W251" s="42">
        <f>ROUND(S251+T251-U251-V251,2)</f>
        <v/>
      </c>
      <c r="X251">
        <f>R251-V251</f>
        <v/>
      </c>
      <c r="Y251" s="42">
        <f>AC250</f>
        <v/>
      </c>
      <c r="Z251" s="42">
        <f>ROUND(Y251*Z$6/12,2)</f>
        <v/>
      </c>
      <c r="AA251" s="42">
        <f>MIN(AA$6,Y251+Z251)</f>
        <v/>
      </c>
      <c r="AB251" s="42">
        <f>MAX(0,MIN(Y251+Z251-AA251,X251))</f>
        <v/>
      </c>
      <c r="AC251" s="42">
        <f>ROUND(Y251+Z251-AA251-AB251,2)</f>
        <v/>
      </c>
      <c r="AD251">
        <f>X251-AB251</f>
        <v/>
      </c>
      <c r="AE251" s="42">
        <f>AI250</f>
        <v/>
      </c>
      <c r="AF251" s="42">
        <f>ROUND(AE251*AF$6/12,2)</f>
        <v/>
      </c>
      <c r="AG251" s="42">
        <f>MIN(AG$6,AE251+AF251)</f>
        <v/>
      </c>
      <c r="AH251" s="42">
        <f>MAX(0,MIN(AE251+AF251-AG251,AD251))</f>
        <v/>
      </c>
      <c r="AI251" s="42">
        <f>ROUND(AE251+AF251-AG251-AH251,2)</f>
        <v/>
      </c>
      <c r="AJ251">
        <f>AD251-AH251</f>
        <v/>
      </c>
      <c r="AK251" s="42">
        <f>AO250</f>
        <v/>
      </c>
      <c r="AL251" s="42">
        <f>ROUND(AK251*AL$6/12,2)</f>
        <v/>
      </c>
      <c r="AM251" s="42">
        <f>MIN(AM$6,AK251+AL251)</f>
        <v/>
      </c>
      <c r="AN251" s="42">
        <f>MAX(0,MIN(AK251+AL251-AM251,AJ251))</f>
        <v/>
      </c>
      <c r="AO251" s="42">
        <f>ROUND(AK251+AL251-AM251-AN251,2)</f>
        <v/>
      </c>
      <c r="AP251">
        <f>AJ251-AN251</f>
        <v/>
      </c>
      <c r="AQ251" s="42">
        <f>AU250</f>
        <v/>
      </c>
      <c r="AR251" s="42">
        <f>ROUND(AQ251*AR$6/12,2)</f>
        <v/>
      </c>
      <c r="AS251" s="42">
        <f>MIN(AS$6,AQ251+AR251)</f>
        <v/>
      </c>
      <c r="AT251" s="42">
        <f>MAX(0,MIN(AQ251+AR251-AS251,AP251))</f>
        <v/>
      </c>
      <c r="AU251" s="42">
        <f>ROUND(AQ251+AR251-AS251-AT251,2)</f>
        <v/>
      </c>
      <c r="AV251">
        <f>AP251-AT251</f>
        <v/>
      </c>
      <c r="AW251" s="42">
        <f>BA250</f>
        <v/>
      </c>
      <c r="AX251" s="42">
        <f>ROUND(AW251*AX$6/12,2)</f>
        <v/>
      </c>
      <c r="AY251" s="42">
        <f>MIN(AY$6,AW251+AX251)</f>
        <v/>
      </c>
      <c r="AZ251" s="42">
        <f>MAX(0,MIN(AW251+AX251-AY251,AV251))</f>
        <v/>
      </c>
      <c r="BA251" s="42">
        <f>ROUND(AW251+AX251-AY251-AZ251,2)</f>
        <v/>
      </c>
      <c r="BB251">
        <f>AV251-AZ251</f>
        <v/>
      </c>
      <c r="BC251" s="42">
        <f>BG250</f>
        <v/>
      </c>
      <c r="BD251" s="42">
        <f>ROUND(BC251*BD$6/12,2)</f>
        <v/>
      </c>
      <c r="BE251" s="42">
        <f>MIN(BE$6,BC251+BD251)</f>
        <v/>
      </c>
      <c r="BF251" s="42">
        <f>MAX(0,MIN(BC251+BD251-BE251,BB251))</f>
        <v/>
      </c>
      <c r="BG251" s="42">
        <f>ROUND(BC251+BD251-BE251-BF251,2)</f>
        <v/>
      </c>
      <c r="BH251">
        <f>BB251-BF251</f>
        <v/>
      </c>
      <c r="BI251" s="42">
        <f>BM250</f>
        <v/>
      </c>
      <c r="BJ251" s="42">
        <f>ROUND(BI251*BJ$6/12,2)</f>
        <v/>
      </c>
      <c r="BK251" s="42">
        <f>MIN(BK$6,BI251+BJ251)</f>
        <v/>
      </c>
      <c r="BL251" s="42">
        <f>MAX(0,MIN(BI251+BJ251-BK251,BH251))</f>
        <v/>
      </c>
      <c r="BM251" s="42">
        <f>ROUND(BI251+BJ251-BK251-BL251,2)</f>
        <v/>
      </c>
      <c r="BN251">
        <f>BH251-BL251</f>
        <v/>
      </c>
    </row>
    <row r="252">
      <c r="A252" s="39" t="n">
        <v>245</v>
      </c>
      <c r="B252" s="40">
        <f>EDATE('My Debts'!$C$6,A252-1)</f>
        <v/>
      </c>
      <c r="C252" s="41">
        <f>K252+Q252+W252+AC252+AI252+AO252+AU252+BA252+BG252+BM252</f>
        <v/>
      </c>
      <c r="D252" s="42">
        <f>I252+O252+U252+AA252+AG252+AM252+AS252+AY252+BE252+BK252+J252+P252+V252+AB252+AH252+AN252+AT252+AZ252+BF252+BL252</f>
        <v/>
      </c>
      <c r="E252" s="42">
        <f>H252+N252+T252+Z252+AF252+AL252+AR252+AX252+BD252+BJ252</f>
        <v/>
      </c>
      <c r="F252">
        <f>MAX(0,'My Debts'!$E$21-(I252+O252+U252+AA252+AG252+AM252+AS252+AY252+BE252+BK252))</f>
        <v/>
      </c>
      <c r="G252" s="42">
        <f>K251</f>
        <v/>
      </c>
      <c r="H252" s="42">
        <f>ROUND(G252*H$6/12,2)</f>
        <v/>
      </c>
      <c r="I252" s="42">
        <f>MIN(I$6,G252+H252)</f>
        <v/>
      </c>
      <c r="J252" s="42">
        <f>MAX(0,MIN(G252+H252-I252,$F252))</f>
        <v/>
      </c>
      <c r="K252" s="42">
        <f>ROUND(G252+H252-I252-J252,2)</f>
        <v/>
      </c>
      <c r="L252">
        <f>$F252-J252</f>
        <v/>
      </c>
      <c r="M252" s="42">
        <f>Q251</f>
        <v/>
      </c>
      <c r="N252" s="42">
        <f>ROUND(M252*N$6/12,2)</f>
        <v/>
      </c>
      <c r="O252" s="42">
        <f>MIN(O$6,M252+N252)</f>
        <v/>
      </c>
      <c r="P252" s="42">
        <f>MAX(0,MIN(M252+N252-O252,L252))</f>
        <v/>
      </c>
      <c r="Q252" s="42">
        <f>ROUND(M252+N252-O252-P252,2)</f>
        <v/>
      </c>
      <c r="R252">
        <f>L252-P252</f>
        <v/>
      </c>
      <c r="S252" s="42">
        <f>W251</f>
        <v/>
      </c>
      <c r="T252" s="42">
        <f>ROUND(S252*T$6/12,2)</f>
        <v/>
      </c>
      <c r="U252" s="42">
        <f>MIN(U$6,S252+T252)</f>
        <v/>
      </c>
      <c r="V252" s="42">
        <f>MAX(0,MIN(S252+T252-U252,R252))</f>
        <v/>
      </c>
      <c r="W252" s="42">
        <f>ROUND(S252+T252-U252-V252,2)</f>
        <v/>
      </c>
      <c r="X252">
        <f>R252-V252</f>
        <v/>
      </c>
      <c r="Y252" s="42">
        <f>AC251</f>
        <v/>
      </c>
      <c r="Z252" s="42">
        <f>ROUND(Y252*Z$6/12,2)</f>
        <v/>
      </c>
      <c r="AA252" s="42">
        <f>MIN(AA$6,Y252+Z252)</f>
        <v/>
      </c>
      <c r="AB252" s="42">
        <f>MAX(0,MIN(Y252+Z252-AA252,X252))</f>
        <v/>
      </c>
      <c r="AC252" s="42">
        <f>ROUND(Y252+Z252-AA252-AB252,2)</f>
        <v/>
      </c>
      <c r="AD252">
        <f>X252-AB252</f>
        <v/>
      </c>
      <c r="AE252" s="42">
        <f>AI251</f>
        <v/>
      </c>
      <c r="AF252" s="42">
        <f>ROUND(AE252*AF$6/12,2)</f>
        <v/>
      </c>
      <c r="AG252" s="42">
        <f>MIN(AG$6,AE252+AF252)</f>
        <v/>
      </c>
      <c r="AH252" s="42">
        <f>MAX(0,MIN(AE252+AF252-AG252,AD252))</f>
        <v/>
      </c>
      <c r="AI252" s="42">
        <f>ROUND(AE252+AF252-AG252-AH252,2)</f>
        <v/>
      </c>
      <c r="AJ252">
        <f>AD252-AH252</f>
        <v/>
      </c>
      <c r="AK252" s="42">
        <f>AO251</f>
        <v/>
      </c>
      <c r="AL252" s="42">
        <f>ROUND(AK252*AL$6/12,2)</f>
        <v/>
      </c>
      <c r="AM252" s="42">
        <f>MIN(AM$6,AK252+AL252)</f>
        <v/>
      </c>
      <c r="AN252" s="42">
        <f>MAX(0,MIN(AK252+AL252-AM252,AJ252))</f>
        <v/>
      </c>
      <c r="AO252" s="42">
        <f>ROUND(AK252+AL252-AM252-AN252,2)</f>
        <v/>
      </c>
      <c r="AP252">
        <f>AJ252-AN252</f>
        <v/>
      </c>
      <c r="AQ252" s="42">
        <f>AU251</f>
        <v/>
      </c>
      <c r="AR252" s="42">
        <f>ROUND(AQ252*AR$6/12,2)</f>
        <v/>
      </c>
      <c r="AS252" s="42">
        <f>MIN(AS$6,AQ252+AR252)</f>
        <v/>
      </c>
      <c r="AT252" s="42">
        <f>MAX(0,MIN(AQ252+AR252-AS252,AP252))</f>
        <v/>
      </c>
      <c r="AU252" s="42">
        <f>ROUND(AQ252+AR252-AS252-AT252,2)</f>
        <v/>
      </c>
      <c r="AV252">
        <f>AP252-AT252</f>
        <v/>
      </c>
      <c r="AW252" s="42">
        <f>BA251</f>
        <v/>
      </c>
      <c r="AX252" s="42">
        <f>ROUND(AW252*AX$6/12,2)</f>
        <v/>
      </c>
      <c r="AY252" s="42">
        <f>MIN(AY$6,AW252+AX252)</f>
        <v/>
      </c>
      <c r="AZ252" s="42">
        <f>MAX(0,MIN(AW252+AX252-AY252,AV252))</f>
        <v/>
      </c>
      <c r="BA252" s="42">
        <f>ROUND(AW252+AX252-AY252-AZ252,2)</f>
        <v/>
      </c>
      <c r="BB252">
        <f>AV252-AZ252</f>
        <v/>
      </c>
      <c r="BC252" s="42">
        <f>BG251</f>
        <v/>
      </c>
      <c r="BD252" s="42">
        <f>ROUND(BC252*BD$6/12,2)</f>
        <v/>
      </c>
      <c r="BE252" s="42">
        <f>MIN(BE$6,BC252+BD252)</f>
        <v/>
      </c>
      <c r="BF252" s="42">
        <f>MAX(0,MIN(BC252+BD252-BE252,BB252))</f>
        <v/>
      </c>
      <c r="BG252" s="42">
        <f>ROUND(BC252+BD252-BE252-BF252,2)</f>
        <v/>
      </c>
      <c r="BH252">
        <f>BB252-BF252</f>
        <v/>
      </c>
      <c r="BI252" s="42">
        <f>BM251</f>
        <v/>
      </c>
      <c r="BJ252" s="42">
        <f>ROUND(BI252*BJ$6/12,2)</f>
        <v/>
      </c>
      <c r="BK252" s="42">
        <f>MIN(BK$6,BI252+BJ252)</f>
        <v/>
      </c>
      <c r="BL252" s="42">
        <f>MAX(0,MIN(BI252+BJ252-BK252,BH252))</f>
        <v/>
      </c>
      <c r="BM252" s="42">
        <f>ROUND(BI252+BJ252-BK252-BL252,2)</f>
        <v/>
      </c>
      <c r="BN252">
        <f>BH252-BL252</f>
        <v/>
      </c>
    </row>
    <row r="253">
      <c r="A253" s="43" t="n">
        <v>246</v>
      </c>
      <c r="B253" s="44">
        <f>EDATE('My Debts'!$C$6,A253-1)</f>
        <v/>
      </c>
      <c r="C253" s="45">
        <f>K253+Q253+W253+AC253+AI253+AO253+AU253+BA253+BG253+BM253</f>
        <v/>
      </c>
      <c r="D253" s="46">
        <f>I253+O253+U253+AA253+AG253+AM253+AS253+AY253+BE253+BK253+J253+P253+V253+AB253+AH253+AN253+AT253+AZ253+BF253+BL253</f>
        <v/>
      </c>
      <c r="E253" s="46">
        <f>H253+N253+T253+Z253+AF253+AL253+AR253+AX253+BD253+BJ253</f>
        <v/>
      </c>
      <c r="F253">
        <f>MAX(0,'My Debts'!$E$21-(I253+O253+U253+AA253+AG253+AM253+AS253+AY253+BE253+BK253))</f>
        <v/>
      </c>
      <c r="G253" s="42">
        <f>K252</f>
        <v/>
      </c>
      <c r="H253" s="42">
        <f>ROUND(G253*H$6/12,2)</f>
        <v/>
      </c>
      <c r="I253" s="42">
        <f>MIN(I$6,G253+H253)</f>
        <v/>
      </c>
      <c r="J253" s="42">
        <f>MAX(0,MIN(G253+H253-I253,$F253))</f>
        <v/>
      </c>
      <c r="K253" s="42">
        <f>ROUND(G253+H253-I253-J253,2)</f>
        <v/>
      </c>
      <c r="L253">
        <f>$F253-J253</f>
        <v/>
      </c>
      <c r="M253" s="42">
        <f>Q252</f>
        <v/>
      </c>
      <c r="N253" s="42">
        <f>ROUND(M253*N$6/12,2)</f>
        <v/>
      </c>
      <c r="O253" s="42">
        <f>MIN(O$6,M253+N253)</f>
        <v/>
      </c>
      <c r="P253" s="42">
        <f>MAX(0,MIN(M253+N253-O253,L253))</f>
        <v/>
      </c>
      <c r="Q253" s="42">
        <f>ROUND(M253+N253-O253-P253,2)</f>
        <v/>
      </c>
      <c r="R253">
        <f>L253-P253</f>
        <v/>
      </c>
      <c r="S253" s="42">
        <f>W252</f>
        <v/>
      </c>
      <c r="T253" s="42">
        <f>ROUND(S253*T$6/12,2)</f>
        <v/>
      </c>
      <c r="U253" s="42">
        <f>MIN(U$6,S253+T253)</f>
        <v/>
      </c>
      <c r="V253" s="42">
        <f>MAX(0,MIN(S253+T253-U253,R253))</f>
        <v/>
      </c>
      <c r="W253" s="42">
        <f>ROUND(S253+T253-U253-V253,2)</f>
        <v/>
      </c>
      <c r="X253">
        <f>R253-V253</f>
        <v/>
      </c>
      <c r="Y253" s="42">
        <f>AC252</f>
        <v/>
      </c>
      <c r="Z253" s="42">
        <f>ROUND(Y253*Z$6/12,2)</f>
        <v/>
      </c>
      <c r="AA253" s="42">
        <f>MIN(AA$6,Y253+Z253)</f>
        <v/>
      </c>
      <c r="AB253" s="42">
        <f>MAX(0,MIN(Y253+Z253-AA253,X253))</f>
        <v/>
      </c>
      <c r="AC253" s="42">
        <f>ROUND(Y253+Z253-AA253-AB253,2)</f>
        <v/>
      </c>
      <c r="AD253">
        <f>X253-AB253</f>
        <v/>
      </c>
      <c r="AE253" s="42">
        <f>AI252</f>
        <v/>
      </c>
      <c r="AF253" s="42">
        <f>ROUND(AE253*AF$6/12,2)</f>
        <v/>
      </c>
      <c r="AG253" s="42">
        <f>MIN(AG$6,AE253+AF253)</f>
        <v/>
      </c>
      <c r="AH253" s="42">
        <f>MAX(0,MIN(AE253+AF253-AG253,AD253))</f>
        <v/>
      </c>
      <c r="AI253" s="42">
        <f>ROUND(AE253+AF253-AG253-AH253,2)</f>
        <v/>
      </c>
      <c r="AJ253">
        <f>AD253-AH253</f>
        <v/>
      </c>
      <c r="AK253" s="42">
        <f>AO252</f>
        <v/>
      </c>
      <c r="AL253" s="42">
        <f>ROUND(AK253*AL$6/12,2)</f>
        <v/>
      </c>
      <c r="AM253" s="42">
        <f>MIN(AM$6,AK253+AL253)</f>
        <v/>
      </c>
      <c r="AN253" s="42">
        <f>MAX(0,MIN(AK253+AL253-AM253,AJ253))</f>
        <v/>
      </c>
      <c r="AO253" s="42">
        <f>ROUND(AK253+AL253-AM253-AN253,2)</f>
        <v/>
      </c>
      <c r="AP253">
        <f>AJ253-AN253</f>
        <v/>
      </c>
      <c r="AQ253" s="42">
        <f>AU252</f>
        <v/>
      </c>
      <c r="AR253" s="42">
        <f>ROUND(AQ253*AR$6/12,2)</f>
        <v/>
      </c>
      <c r="AS253" s="42">
        <f>MIN(AS$6,AQ253+AR253)</f>
        <v/>
      </c>
      <c r="AT253" s="42">
        <f>MAX(0,MIN(AQ253+AR253-AS253,AP253))</f>
        <v/>
      </c>
      <c r="AU253" s="42">
        <f>ROUND(AQ253+AR253-AS253-AT253,2)</f>
        <v/>
      </c>
      <c r="AV253">
        <f>AP253-AT253</f>
        <v/>
      </c>
      <c r="AW253" s="42">
        <f>BA252</f>
        <v/>
      </c>
      <c r="AX253" s="42">
        <f>ROUND(AW253*AX$6/12,2)</f>
        <v/>
      </c>
      <c r="AY253" s="42">
        <f>MIN(AY$6,AW253+AX253)</f>
        <v/>
      </c>
      <c r="AZ253" s="42">
        <f>MAX(0,MIN(AW253+AX253-AY253,AV253))</f>
        <v/>
      </c>
      <c r="BA253" s="42">
        <f>ROUND(AW253+AX253-AY253-AZ253,2)</f>
        <v/>
      </c>
      <c r="BB253">
        <f>AV253-AZ253</f>
        <v/>
      </c>
      <c r="BC253" s="42">
        <f>BG252</f>
        <v/>
      </c>
      <c r="BD253" s="42">
        <f>ROUND(BC253*BD$6/12,2)</f>
        <v/>
      </c>
      <c r="BE253" s="42">
        <f>MIN(BE$6,BC253+BD253)</f>
        <v/>
      </c>
      <c r="BF253" s="42">
        <f>MAX(0,MIN(BC253+BD253-BE253,BB253))</f>
        <v/>
      </c>
      <c r="BG253" s="42">
        <f>ROUND(BC253+BD253-BE253-BF253,2)</f>
        <v/>
      </c>
      <c r="BH253">
        <f>BB253-BF253</f>
        <v/>
      </c>
      <c r="BI253" s="42">
        <f>BM252</f>
        <v/>
      </c>
      <c r="BJ253" s="42">
        <f>ROUND(BI253*BJ$6/12,2)</f>
        <v/>
      </c>
      <c r="BK253" s="42">
        <f>MIN(BK$6,BI253+BJ253)</f>
        <v/>
      </c>
      <c r="BL253" s="42">
        <f>MAX(0,MIN(BI253+BJ253-BK253,BH253))</f>
        <v/>
      </c>
      <c r="BM253" s="42">
        <f>ROUND(BI253+BJ253-BK253-BL253,2)</f>
        <v/>
      </c>
      <c r="BN253">
        <f>BH253-BL253</f>
        <v/>
      </c>
    </row>
    <row r="254">
      <c r="A254" s="39" t="n">
        <v>247</v>
      </c>
      <c r="B254" s="40">
        <f>EDATE('My Debts'!$C$6,A254-1)</f>
        <v/>
      </c>
      <c r="C254" s="41">
        <f>K254+Q254+W254+AC254+AI254+AO254+AU254+BA254+BG254+BM254</f>
        <v/>
      </c>
      <c r="D254" s="42">
        <f>I254+O254+U254+AA254+AG254+AM254+AS254+AY254+BE254+BK254+J254+P254+V254+AB254+AH254+AN254+AT254+AZ254+BF254+BL254</f>
        <v/>
      </c>
      <c r="E254" s="42">
        <f>H254+N254+T254+Z254+AF254+AL254+AR254+AX254+BD254+BJ254</f>
        <v/>
      </c>
      <c r="F254">
        <f>MAX(0,'My Debts'!$E$21-(I254+O254+U254+AA254+AG254+AM254+AS254+AY254+BE254+BK254))</f>
        <v/>
      </c>
      <c r="G254" s="42">
        <f>K253</f>
        <v/>
      </c>
      <c r="H254" s="42">
        <f>ROUND(G254*H$6/12,2)</f>
        <v/>
      </c>
      <c r="I254" s="42">
        <f>MIN(I$6,G254+H254)</f>
        <v/>
      </c>
      <c r="J254" s="42">
        <f>MAX(0,MIN(G254+H254-I254,$F254))</f>
        <v/>
      </c>
      <c r="K254" s="42">
        <f>ROUND(G254+H254-I254-J254,2)</f>
        <v/>
      </c>
      <c r="L254">
        <f>$F254-J254</f>
        <v/>
      </c>
      <c r="M254" s="42">
        <f>Q253</f>
        <v/>
      </c>
      <c r="N254" s="42">
        <f>ROUND(M254*N$6/12,2)</f>
        <v/>
      </c>
      <c r="O254" s="42">
        <f>MIN(O$6,M254+N254)</f>
        <v/>
      </c>
      <c r="P254" s="42">
        <f>MAX(0,MIN(M254+N254-O254,L254))</f>
        <v/>
      </c>
      <c r="Q254" s="42">
        <f>ROUND(M254+N254-O254-P254,2)</f>
        <v/>
      </c>
      <c r="R254">
        <f>L254-P254</f>
        <v/>
      </c>
      <c r="S254" s="42">
        <f>W253</f>
        <v/>
      </c>
      <c r="T254" s="42">
        <f>ROUND(S254*T$6/12,2)</f>
        <v/>
      </c>
      <c r="U254" s="42">
        <f>MIN(U$6,S254+T254)</f>
        <v/>
      </c>
      <c r="V254" s="42">
        <f>MAX(0,MIN(S254+T254-U254,R254))</f>
        <v/>
      </c>
      <c r="W254" s="42">
        <f>ROUND(S254+T254-U254-V254,2)</f>
        <v/>
      </c>
      <c r="X254">
        <f>R254-V254</f>
        <v/>
      </c>
      <c r="Y254" s="42">
        <f>AC253</f>
        <v/>
      </c>
      <c r="Z254" s="42">
        <f>ROUND(Y254*Z$6/12,2)</f>
        <v/>
      </c>
      <c r="AA254" s="42">
        <f>MIN(AA$6,Y254+Z254)</f>
        <v/>
      </c>
      <c r="AB254" s="42">
        <f>MAX(0,MIN(Y254+Z254-AA254,X254))</f>
        <v/>
      </c>
      <c r="AC254" s="42">
        <f>ROUND(Y254+Z254-AA254-AB254,2)</f>
        <v/>
      </c>
      <c r="AD254">
        <f>X254-AB254</f>
        <v/>
      </c>
      <c r="AE254" s="42">
        <f>AI253</f>
        <v/>
      </c>
      <c r="AF254" s="42">
        <f>ROUND(AE254*AF$6/12,2)</f>
        <v/>
      </c>
      <c r="AG254" s="42">
        <f>MIN(AG$6,AE254+AF254)</f>
        <v/>
      </c>
      <c r="AH254" s="42">
        <f>MAX(0,MIN(AE254+AF254-AG254,AD254))</f>
        <v/>
      </c>
      <c r="AI254" s="42">
        <f>ROUND(AE254+AF254-AG254-AH254,2)</f>
        <v/>
      </c>
      <c r="AJ254">
        <f>AD254-AH254</f>
        <v/>
      </c>
      <c r="AK254" s="42">
        <f>AO253</f>
        <v/>
      </c>
      <c r="AL254" s="42">
        <f>ROUND(AK254*AL$6/12,2)</f>
        <v/>
      </c>
      <c r="AM254" s="42">
        <f>MIN(AM$6,AK254+AL254)</f>
        <v/>
      </c>
      <c r="AN254" s="42">
        <f>MAX(0,MIN(AK254+AL254-AM254,AJ254))</f>
        <v/>
      </c>
      <c r="AO254" s="42">
        <f>ROUND(AK254+AL254-AM254-AN254,2)</f>
        <v/>
      </c>
      <c r="AP254">
        <f>AJ254-AN254</f>
        <v/>
      </c>
      <c r="AQ254" s="42">
        <f>AU253</f>
        <v/>
      </c>
      <c r="AR254" s="42">
        <f>ROUND(AQ254*AR$6/12,2)</f>
        <v/>
      </c>
      <c r="AS254" s="42">
        <f>MIN(AS$6,AQ254+AR254)</f>
        <v/>
      </c>
      <c r="AT254" s="42">
        <f>MAX(0,MIN(AQ254+AR254-AS254,AP254))</f>
        <v/>
      </c>
      <c r="AU254" s="42">
        <f>ROUND(AQ254+AR254-AS254-AT254,2)</f>
        <v/>
      </c>
      <c r="AV254">
        <f>AP254-AT254</f>
        <v/>
      </c>
      <c r="AW254" s="42">
        <f>BA253</f>
        <v/>
      </c>
      <c r="AX254" s="42">
        <f>ROUND(AW254*AX$6/12,2)</f>
        <v/>
      </c>
      <c r="AY254" s="42">
        <f>MIN(AY$6,AW254+AX254)</f>
        <v/>
      </c>
      <c r="AZ254" s="42">
        <f>MAX(0,MIN(AW254+AX254-AY254,AV254))</f>
        <v/>
      </c>
      <c r="BA254" s="42">
        <f>ROUND(AW254+AX254-AY254-AZ254,2)</f>
        <v/>
      </c>
      <c r="BB254">
        <f>AV254-AZ254</f>
        <v/>
      </c>
      <c r="BC254" s="42">
        <f>BG253</f>
        <v/>
      </c>
      <c r="BD254" s="42">
        <f>ROUND(BC254*BD$6/12,2)</f>
        <v/>
      </c>
      <c r="BE254" s="42">
        <f>MIN(BE$6,BC254+BD254)</f>
        <v/>
      </c>
      <c r="BF254" s="42">
        <f>MAX(0,MIN(BC254+BD254-BE254,BB254))</f>
        <v/>
      </c>
      <c r="BG254" s="42">
        <f>ROUND(BC254+BD254-BE254-BF254,2)</f>
        <v/>
      </c>
      <c r="BH254">
        <f>BB254-BF254</f>
        <v/>
      </c>
      <c r="BI254" s="42">
        <f>BM253</f>
        <v/>
      </c>
      <c r="BJ254" s="42">
        <f>ROUND(BI254*BJ$6/12,2)</f>
        <v/>
      </c>
      <c r="BK254" s="42">
        <f>MIN(BK$6,BI254+BJ254)</f>
        <v/>
      </c>
      <c r="BL254" s="42">
        <f>MAX(0,MIN(BI254+BJ254-BK254,BH254))</f>
        <v/>
      </c>
      <c r="BM254" s="42">
        <f>ROUND(BI254+BJ254-BK254-BL254,2)</f>
        <v/>
      </c>
      <c r="BN254">
        <f>BH254-BL254</f>
        <v/>
      </c>
    </row>
    <row r="255">
      <c r="A255" s="43" t="n">
        <v>248</v>
      </c>
      <c r="B255" s="44">
        <f>EDATE('My Debts'!$C$6,A255-1)</f>
        <v/>
      </c>
      <c r="C255" s="45">
        <f>K255+Q255+W255+AC255+AI255+AO255+AU255+BA255+BG255+BM255</f>
        <v/>
      </c>
      <c r="D255" s="46">
        <f>I255+O255+U255+AA255+AG255+AM255+AS255+AY255+BE255+BK255+J255+P255+V255+AB255+AH255+AN255+AT255+AZ255+BF255+BL255</f>
        <v/>
      </c>
      <c r="E255" s="46">
        <f>H255+N255+T255+Z255+AF255+AL255+AR255+AX255+BD255+BJ255</f>
        <v/>
      </c>
      <c r="F255">
        <f>MAX(0,'My Debts'!$E$21-(I255+O255+U255+AA255+AG255+AM255+AS255+AY255+BE255+BK255))</f>
        <v/>
      </c>
      <c r="G255" s="42">
        <f>K254</f>
        <v/>
      </c>
      <c r="H255" s="42">
        <f>ROUND(G255*H$6/12,2)</f>
        <v/>
      </c>
      <c r="I255" s="42">
        <f>MIN(I$6,G255+H255)</f>
        <v/>
      </c>
      <c r="J255" s="42">
        <f>MAX(0,MIN(G255+H255-I255,$F255))</f>
        <v/>
      </c>
      <c r="K255" s="42">
        <f>ROUND(G255+H255-I255-J255,2)</f>
        <v/>
      </c>
      <c r="L255">
        <f>$F255-J255</f>
        <v/>
      </c>
      <c r="M255" s="42">
        <f>Q254</f>
        <v/>
      </c>
      <c r="N255" s="42">
        <f>ROUND(M255*N$6/12,2)</f>
        <v/>
      </c>
      <c r="O255" s="42">
        <f>MIN(O$6,M255+N255)</f>
        <v/>
      </c>
      <c r="P255" s="42">
        <f>MAX(0,MIN(M255+N255-O255,L255))</f>
        <v/>
      </c>
      <c r="Q255" s="42">
        <f>ROUND(M255+N255-O255-P255,2)</f>
        <v/>
      </c>
      <c r="R255">
        <f>L255-P255</f>
        <v/>
      </c>
      <c r="S255" s="42">
        <f>W254</f>
        <v/>
      </c>
      <c r="T255" s="42">
        <f>ROUND(S255*T$6/12,2)</f>
        <v/>
      </c>
      <c r="U255" s="42">
        <f>MIN(U$6,S255+T255)</f>
        <v/>
      </c>
      <c r="V255" s="42">
        <f>MAX(0,MIN(S255+T255-U255,R255))</f>
        <v/>
      </c>
      <c r="W255" s="42">
        <f>ROUND(S255+T255-U255-V255,2)</f>
        <v/>
      </c>
      <c r="X255">
        <f>R255-V255</f>
        <v/>
      </c>
      <c r="Y255" s="42">
        <f>AC254</f>
        <v/>
      </c>
      <c r="Z255" s="42">
        <f>ROUND(Y255*Z$6/12,2)</f>
        <v/>
      </c>
      <c r="AA255" s="42">
        <f>MIN(AA$6,Y255+Z255)</f>
        <v/>
      </c>
      <c r="AB255" s="42">
        <f>MAX(0,MIN(Y255+Z255-AA255,X255))</f>
        <v/>
      </c>
      <c r="AC255" s="42">
        <f>ROUND(Y255+Z255-AA255-AB255,2)</f>
        <v/>
      </c>
      <c r="AD255">
        <f>X255-AB255</f>
        <v/>
      </c>
      <c r="AE255" s="42">
        <f>AI254</f>
        <v/>
      </c>
      <c r="AF255" s="42">
        <f>ROUND(AE255*AF$6/12,2)</f>
        <v/>
      </c>
      <c r="AG255" s="42">
        <f>MIN(AG$6,AE255+AF255)</f>
        <v/>
      </c>
      <c r="AH255" s="42">
        <f>MAX(0,MIN(AE255+AF255-AG255,AD255))</f>
        <v/>
      </c>
      <c r="AI255" s="42">
        <f>ROUND(AE255+AF255-AG255-AH255,2)</f>
        <v/>
      </c>
      <c r="AJ255">
        <f>AD255-AH255</f>
        <v/>
      </c>
      <c r="AK255" s="42">
        <f>AO254</f>
        <v/>
      </c>
      <c r="AL255" s="42">
        <f>ROUND(AK255*AL$6/12,2)</f>
        <v/>
      </c>
      <c r="AM255" s="42">
        <f>MIN(AM$6,AK255+AL255)</f>
        <v/>
      </c>
      <c r="AN255" s="42">
        <f>MAX(0,MIN(AK255+AL255-AM255,AJ255))</f>
        <v/>
      </c>
      <c r="AO255" s="42">
        <f>ROUND(AK255+AL255-AM255-AN255,2)</f>
        <v/>
      </c>
      <c r="AP255">
        <f>AJ255-AN255</f>
        <v/>
      </c>
      <c r="AQ255" s="42">
        <f>AU254</f>
        <v/>
      </c>
      <c r="AR255" s="42">
        <f>ROUND(AQ255*AR$6/12,2)</f>
        <v/>
      </c>
      <c r="AS255" s="42">
        <f>MIN(AS$6,AQ255+AR255)</f>
        <v/>
      </c>
      <c r="AT255" s="42">
        <f>MAX(0,MIN(AQ255+AR255-AS255,AP255))</f>
        <v/>
      </c>
      <c r="AU255" s="42">
        <f>ROUND(AQ255+AR255-AS255-AT255,2)</f>
        <v/>
      </c>
      <c r="AV255">
        <f>AP255-AT255</f>
        <v/>
      </c>
      <c r="AW255" s="42">
        <f>BA254</f>
        <v/>
      </c>
      <c r="AX255" s="42">
        <f>ROUND(AW255*AX$6/12,2)</f>
        <v/>
      </c>
      <c r="AY255" s="42">
        <f>MIN(AY$6,AW255+AX255)</f>
        <v/>
      </c>
      <c r="AZ255" s="42">
        <f>MAX(0,MIN(AW255+AX255-AY255,AV255))</f>
        <v/>
      </c>
      <c r="BA255" s="42">
        <f>ROUND(AW255+AX255-AY255-AZ255,2)</f>
        <v/>
      </c>
      <c r="BB255">
        <f>AV255-AZ255</f>
        <v/>
      </c>
      <c r="BC255" s="42">
        <f>BG254</f>
        <v/>
      </c>
      <c r="BD255" s="42">
        <f>ROUND(BC255*BD$6/12,2)</f>
        <v/>
      </c>
      <c r="BE255" s="42">
        <f>MIN(BE$6,BC255+BD255)</f>
        <v/>
      </c>
      <c r="BF255" s="42">
        <f>MAX(0,MIN(BC255+BD255-BE255,BB255))</f>
        <v/>
      </c>
      <c r="BG255" s="42">
        <f>ROUND(BC255+BD255-BE255-BF255,2)</f>
        <v/>
      </c>
      <c r="BH255">
        <f>BB255-BF255</f>
        <v/>
      </c>
      <c r="BI255" s="42">
        <f>BM254</f>
        <v/>
      </c>
      <c r="BJ255" s="42">
        <f>ROUND(BI255*BJ$6/12,2)</f>
        <v/>
      </c>
      <c r="BK255" s="42">
        <f>MIN(BK$6,BI255+BJ255)</f>
        <v/>
      </c>
      <c r="BL255" s="42">
        <f>MAX(0,MIN(BI255+BJ255-BK255,BH255))</f>
        <v/>
      </c>
      <c r="BM255" s="42">
        <f>ROUND(BI255+BJ255-BK255-BL255,2)</f>
        <v/>
      </c>
      <c r="BN255">
        <f>BH255-BL255</f>
        <v/>
      </c>
    </row>
    <row r="256">
      <c r="A256" s="39" t="n">
        <v>249</v>
      </c>
      <c r="B256" s="40">
        <f>EDATE('My Debts'!$C$6,A256-1)</f>
        <v/>
      </c>
      <c r="C256" s="41">
        <f>K256+Q256+W256+AC256+AI256+AO256+AU256+BA256+BG256+BM256</f>
        <v/>
      </c>
      <c r="D256" s="42">
        <f>I256+O256+U256+AA256+AG256+AM256+AS256+AY256+BE256+BK256+J256+P256+V256+AB256+AH256+AN256+AT256+AZ256+BF256+BL256</f>
        <v/>
      </c>
      <c r="E256" s="42">
        <f>H256+N256+T256+Z256+AF256+AL256+AR256+AX256+BD256+BJ256</f>
        <v/>
      </c>
      <c r="F256">
        <f>MAX(0,'My Debts'!$E$21-(I256+O256+U256+AA256+AG256+AM256+AS256+AY256+BE256+BK256))</f>
        <v/>
      </c>
      <c r="G256" s="42">
        <f>K255</f>
        <v/>
      </c>
      <c r="H256" s="42">
        <f>ROUND(G256*H$6/12,2)</f>
        <v/>
      </c>
      <c r="I256" s="42">
        <f>MIN(I$6,G256+H256)</f>
        <v/>
      </c>
      <c r="J256" s="42">
        <f>MAX(0,MIN(G256+H256-I256,$F256))</f>
        <v/>
      </c>
      <c r="K256" s="42">
        <f>ROUND(G256+H256-I256-J256,2)</f>
        <v/>
      </c>
      <c r="L256">
        <f>$F256-J256</f>
        <v/>
      </c>
      <c r="M256" s="42">
        <f>Q255</f>
        <v/>
      </c>
      <c r="N256" s="42">
        <f>ROUND(M256*N$6/12,2)</f>
        <v/>
      </c>
      <c r="O256" s="42">
        <f>MIN(O$6,M256+N256)</f>
        <v/>
      </c>
      <c r="P256" s="42">
        <f>MAX(0,MIN(M256+N256-O256,L256))</f>
        <v/>
      </c>
      <c r="Q256" s="42">
        <f>ROUND(M256+N256-O256-P256,2)</f>
        <v/>
      </c>
      <c r="R256">
        <f>L256-P256</f>
        <v/>
      </c>
      <c r="S256" s="42">
        <f>W255</f>
        <v/>
      </c>
      <c r="T256" s="42">
        <f>ROUND(S256*T$6/12,2)</f>
        <v/>
      </c>
      <c r="U256" s="42">
        <f>MIN(U$6,S256+T256)</f>
        <v/>
      </c>
      <c r="V256" s="42">
        <f>MAX(0,MIN(S256+T256-U256,R256))</f>
        <v/>
      </c>
      <c r="W256" s="42">
        <f>ROUND(S256+T256-U256-V256,2)</f>
        <v/>
      </c>
      <c r="X256">
        <f>R256-V256</f>
        <v/>
      </c>
      <c r="Y256" s="42">
        <f>AC255</f>
        <v/>
      </c>
      <c r="Z256" s="42">
        <f>ROUND(Y256*Z$6/12,2)</f>
        <v/>
      </c>
      <c r="AA256" s="42">
        <f>MIN(AA$6,Y256+Z256)</f>
        <v/>
      </c>
      <c r="AB256" s="42">
        <f>MAX(0,MIN(Y256+Z256-AA256,X256))</f>
        <v/>
      </c>
      <c r="AC256" s="42">
        <f>ROUND(Y256+Z256-AA256-AB256,2)</f>
        <v/>
      </c>
      <c r="AD256">
        <f>X256-AB256</f>
        <v/>
      </c>
      <c r="AE256" s="42">
        <f>AI255</f>
        <v/>
      </c>
      <c r="AF256" s="42">
        <f>ROUND(AE256*AF$6/12,2)</f>
        <v/>
      </c>
      <c r="AG256" s="42">
        <f>MIN(AG$6,AE256+AF256)</f>
        <v/>
      </c>
      <c r="AH256" s="42">
        <f>MAX(0,MIN(AE256+AF256-AG256,AD256))</f>
        <v/>
      </c>
      <c r="AI256" s="42">
        <f>ROUND(AE256+AF256-AG256-AH256,2)</f>
        <v/>
      </c>
      <c r="AJ256">
        <f>AD256-AH256</f>
        <v/>
      </c>
      <c r="AK256" s="42">
        <f>AO255</f>
        <v/>
      </c>
      <c r="AL256" s="42">
        <f>ROUND(AK256*AL$6/12,2)</f>
        <v/>
      </c>
      <c r="AM256" s="42">
        <f>MIN(AM$6,AK256+AL256)</f>
        <v/>
      </c>
      <c r="AN256" s="42">
        <f>MAX(0,MIN(AK256+AL256-AM256,AJ256))</f>
        <v/>
      </c>
      <c r="AO256" s="42">
        <f>ROUND(AK256+AL256-AM256-AN256,2)</f>
        <v/>
      </c>
      <c r="AP256">
        <f>AJ256-AN256</f>
        <v/>
      </c>
      <c r="AQ256" s="42">
        <f>AU255</f>
        <v/>
      </c>
      <c r="AR256" s="42">
        <f>ROUND(AQ256*AR$6/12,2)</f>
        <v/>
      </c>
      <c r="AS256" s="42">
        <f>MIN(AS$6,AQ256+AR256)</f>
        <v/>
      </c>
      <c r="AT256" s="42">
        <f>MAX(0,MIN(AQ256+AR256-AS256,AP256))</f>
        <v/>
      </c>
      <c r="AU256" s="42">
        <f>ROUND(AQ256+AR256-AS256-AT256,2)</f>
        <v/>
      </c>
      <c r="AV256">
        <f>AP256-AT256</f>
        <v/>
      </c>
      <c r="AW256" s="42">
        <f>BA255</f>
        <v/>
      </c>
      <c r="AX256" s="42">
        <f>ROUND(AW256*AX$6/12,2)</f>
        <v/>
      </c>
      <c r="AY256" s="42">
        <f>MIN(AY$6,AW256+AX256)</f>
        <v/>
      </c>
      <c r="AZ256" s="42">
        <f>MAX(0,MIN(AW256+AX256-AY256,AV256))</f>
        <v/>
      </c>
      <c r="BA256" s="42">
        <f>ROUND(AW256+AX256-AY256-AZ256,2)</f>
        <v/>
      </c>
      <c r="BB256">
        <f>AV256-AZ256</f>
        <v/>
      </c>
      <c r="BC256" s="42">
        <f>BG255</f>
        <v/>
      </c>
      <c r="BD256" s="42">
        <f>ROUND(BC256*BD$6/12,2)</f>
        <v/>
      </c>
      <c r="BE256" s="42">
        <f>MIN(BE$6,BC256+BD256)</f>
        <v/>
      </c>
      <c r="BF256" s="42">
        <f>MAX(0,MIN(BC256+BD256-BE256,BB256))</f>
        <v/>
      </c>
      <c r="BG256" s="42">
        <f>ROUND(BC256+BD256-BE256-BF256,2)</f>
        <v/>
      </c>
      <c r="BH256">
        <f>BB256-BF256</f>
        <v/>
      </c>
      <c r="BI256" s="42">
        <f>BM255</f>
        <v/>
      </c>
      <c r="BJ256" s="42">
        <f>ROUND(BI256*BJ$6/12,2)</f>
        <v/>
      </c>
      <c r="BK256" s="42">
        <f>MIN(BK$6,BI256+BJ256)</f>
        <v/>
      </c>
      <c r="BL256" s="42">
        <f>MAX(0,MIN(BI256+BJ256-BK256,BH256))</f>
        <v/>
      </c>
      <c r="BM256" s="42">
        <f>ROUND(BI256+BJ256-BK256-BL256,2)</f>
        <v/>
      </c>
      <c r="BN256">
        <f>BH256-BL256</f>
        <v/>
      </c>
    </row>
    <row r="257">
      <c r="A257" s="43" t="n">
        <v>250</v>
      </c>
      <c r="B257" s="44">
        <f>EDATE('My Debts'!$C$6,A257-1)</f>
        <v/>
      </c>
      <c r="C257" s="45">
        <f>K257+Q257+W257+AC257+AI257+AO257+AU257+BA257+BG257+BM257</f>
        <v/>
      </c>
      <c r="D257" s="46">
        <f>I257+O257+U257+AA257+AG257+AM257+AS257+AY257+BE257+BK257+J257+P257+V257+AB257+AH257+AN257+AT257+AZ257+BF257+BL257</f>
        <v/>
      </c>
      <c r="E257" s="46">
        <f>H257+N257+T257+Z257+AF257+AL257+AR257+AX257+BD257+BJ257</f>
        <v/>
      </c>
      <c r="F257">
        <f>MAX(0,'My Debts'!$E$21-(I257+O257+U257+AA257+AG257+AM257+AS257+AY257+BE257+BK257))</f>
        <v/>
      </c>
      <c r="G257" s="42">
        <f>K256</f>
        <v/>
      </c>
      <c r="H257" s="42">
        <f>ROUND(G257*H$6/12,2)</f>
        <v/>
      </c>
      <c r="I257" s="42">
        <f>MIN(I$6,G257+H257)</f>
        <v/>
      </c>
      <c r="J257" s="42">
        <f>MAX(0,MIN(G257+H257-I257,$F257))</f>
        <v/>
      </c>
      <c r="K257" s="42">
        <f>ROUND(G257+H257-I257-J257,2)</f>
        <v/>
      </c>
      <c r="L257">
        <f>$F257-J257</f>
        <v/>
      </c>
      <c r="M257" s="42">
        <f>Q256</f>
        <v/>
      </c>
      <c r="N257" s="42">
        <f>ROUND(M257*N$6/12,2)</f>
        <v/>
      </c>
      <c r="O257" s="42">
        <f>MIN(O$6,M257+N257)</f>
        <v/>
      </c>
      <c r="P257" s="42">
        <f>MAX(0,MIN(M257+N257-O257,L257))</f>
        <v/>
      </c>
      <c r="Q257" s="42">
        <f>ROUND(M257+N257-O257-P257,2)</f>
        <v/>
      </c>
      <c r="R257">
        <f>L257-P257</f>
        <v/>
      </c>
      <c r="S257" s="42">
        <f>W256</f>
        <v/>
      </c>
      <c r="T257" s="42">
        <f>ROUND(S257*T$6/12,2)</f>
        <v/>
      </c>
      <c r="U257" s="42">
        <f>MIN(U$6,S257+T257)</f>
        <v/>
      </c>
      <c r="V257" s="42">
        <f>MAX(0,MIN(S257+T257-U257,R257))</f>
        <v/>
      </c>
      <c r="W257" s="42">
        <f>ROUND(S257+T257-U257-V257,2)</f>
        <v/>
      </c>
      <c r="X257">
        <f>R257-V257</f>
        <v/>
      </c>
      <c r="Y257" s="42">
        <f>AC256</f>
        <v/>
      </c>
      <c r="Z257" s="42">
        <f>ROUND(Y257*Z$6/12,2)</f>
        <v/>
      </c>
      <c r="AA257" s="42">
        <f>MIN(AA$6,Y257+Z257)</f>
        <v/>
      </c>
      <c r="AB257" s="42">
        <f>MAX(0,MIN(Y257+Z257-AA257,X257))</f>
        <v/>
      </c>
      <c r="AC257" s="42">
        <f>ROUND(Y257+Z257-AA257-AB257,2)</f>
        <v/>
      </c>
      <c r="AD257">
        <f>X257-AB257</f>
        <v/>
      </c>
      <c r="AE257" s="42">
        <f>AI256</f>
        <v/>
      </c>
      <c r="AF257" s="42">
        <f>ROUND(AE257*AF$6/12,2)</f>
        <v/>
      </c>
      <c r="AG257" s="42">
        <f>MIN(AG$6,AE257+AF257)</f>
        <v/>
      </c>
      <c r="AH257" s="42">
        <f>MAX(0,MIN(AE257+AF257-AG257,AD257))</f>
        <v/>
      </c>
      <c r="AI257" s="42">
        <f>ROUND(AE257+AF257-AG257-AH257,2)</f>
        <v/>
      </c>
      <c r="AJ257">
        <f>AD257-AH257</f>
        <v/>
      </c>
      <c r="AK257" s="42">
        <f>AO256</f>
        <v/>
      </c>
      <c r="AL257" s="42">
        <f>ROUND(AK257*AL$6/12,2)</f>
        <v/>
      </c>
      <c r="AM257" s="42">
        <f>MIN(AM$6,AK257+AL257)</f>
        <v/>
      </c>
      <c r="AN257" s="42">
        <f>MAX(0,MIN(AK257+AL257-AM257,AJ257))</f>
        <v/>
      </c>
      <c r="AO257" s="42">
        <f>ROUND(AK257+AL257-AM257-AN257,2)</f>
        <v/>
      </c>
      <c r="AP257">
        <f>AJ257-AN257</f>
        <v/>
      </c>
      <c r="AQ257" s="42">
        <f>AU256</f>
        <v/>
      </c>
      <c r="AR257" s="42">
        <f>ROUND(AQ257*AR$6/12,2)</f>
        <v/>
      </c>
      <c r="AS257" s="42">
        <f>MIN(AS$6,AQ257+AR257)</f>
        <v/>
      </c>
      <c r="AT257" s="42">
        <f>MAX(0,MIN(AQ257+AR257-AS257,AP257))</f>
        <v/>
      </c>
      <c r="AU257" s="42">
        <f>ROUND(AQ257+AR257-AS257-AT257,2)</f>
        <v/>
      </c>
      <c r="AV257">
        <f>AP257-AT257</f>
        <v/>
      </c>
      <c r="AW257" s="42">
        <f>BA256</f>
        <v/>
      </c>
      <c r="AX257" s="42">
        <f>ROUND(AW257*AX$6/12,2)</f>
        <v/>
      </c>
      <c r="AY257" s="42">
        <f>MIN(AY$6,AW257+AX257)</f>
        <v/>
      </c>
      <c r="AZ257" s="42">
        <f>MAX(0,MIN(AW257+AX257-AY257,AV257))</f>
        <v/>
      </c>
      <c r="BA257" s="42">
        <f>ROUND(AW257+AX257-AY257-AZ257,2)</f>
        <v/>
      </c>
      <c r="BB257">
        <f>AV257-AZ257</f>
        <v/>
      </c>
      <c r="BC257" s="42">
        <f>BG256</f>
        <v/>
      </c>
      <c r="BD257" s="42">
        <f>ROUND(BC257*BD$6/12,2)</f>
        <v/>
      </c>
      <c r="BE257" s="42">
        <f>MIN(BE$6,BC257+BD257)</f>
        <v/>
      </c>
      <c r="BF257" s="42">
        <f>MAX(0,MIN(BC257+BD257-BE257,BB257))</f>
        <v/>
      </c>
      <c r="BG257" s="42">
        <f>ROUND(BC257+BD257-BE257-BF257,2)</f>
        <v/>
      </c>
      <c r="BH257">
        <f>BB257-BF257</f>
        <v/>
      </c>
      <c r="BI257" s="42">
        <f>BM256</f>
        <v/>
      </c>
      <c r="BJ257" s="42">
        <f>ROUND(BI257*BJ$6/12,2)</f>
        <v/>
      </c>
      <c r="BK257" s="42">
        <f>MIN(BK$6,BI257+BJ257)</f>
        <v/>
      </c>
      <c r="BL257" s="42">
        <f>MAX(0,MIN(BI257+BJ257-BK257,BH257))</f>
        <v/>
      </c>
      <c r="BM257" s="42">
        <f>ROUND(BI257+BJ257-BK257-BL257,2)</f>
        <v/>
      </c>
      <c r="BN257">
        <f>BH257-BL257</f>
        <v/>
      </c>
    </row>
    <row r="258">
      <c r="A258" s="39" t="n">
        <v>251</v>
      </c>
      <c r="B258" s="40">
        <f>EDATE('My Debts'!$C$6,A258-1)</f>
        <v/>
      </c>
      <c r="C258" s="41">
        <f>K258+Q258+W258+AC258+AI258+AO258+AU258+BA258+BG258+BM258</f>
        <v/>
      </c>
      <c r="D258" s="42">
        <f>I258+O258+U258+AA258+AG258+AM258+AS258+AY258+BE258+BK258+J258+P258+V258+AB258+AH258+AN258+AT258+AZ258+BF258+BL258</f>
        <v/>
      </c>
      <c r="E258" s="42">
        <f>H258+N258+T258+Z258+AF258+AL258+AR258+AX258+BD258+BJ258</f>
        <v/>
      </c>
      <c r="F258">
        <f>MAX(0,'My Debts'!$E$21-(I258+O258+U258+AA258+AG258+AM258+AS258+AY258+BE258+BK258))</f>
        <v/>
      </c>
      <c r="G258" s="42">
        <f>K257</f>
        <v/>
      </c>
      <c r="H258" s="42">
        <f>ROUND(G258*H$6/12,2)</f>
        <v/>
      </c>
      <c r="I258" s="42">
        <f>MIN(I$6,G258+H258)</f>
        <v/>
      </c>
      <c r="J258" s="42">
        <f>MAX(0,MIN(G258+H258-I258,$F258))</f>
        <v/>
      </c>
      <c r="K258" s="42">
        <f>ROUND(G258+H258-I258-J258,2)</f>
        <v/>
      </c>
      <c r="L258">
        <f>$F258-J258</f>
        <v/>
      </c>
      <c r="M258" s="42">
        <f>Q257</f>
        <v/>
      </c>
      <c r="N258" s="42">
        <f>ROUND(M258*N$6/12,2)</f>
        <v/>
      </c>
      <c r="O258" s="42">
        <f>MIN(O$6,M258+N258)</f>
        <v/>
      </c>
      <c r="P258" s="42">
        <f>MAX(0,MIN(M258+N258-O258,L258))</f>
        <v/>
      </c>
      <c r="Q258" s="42">
        <f>ROUND(M258+N258-O258-P258,2)</f>
        <v/>
      </c>
      <c r="R258">
        <f>L258-P258</f>
        <v/>
      </c>
      <c r="S258" s="42">
        <f>W257</f>
        <v/>
      </c>
      <c r="T258" s="42">
        <f>ROUND(S258*T$6/12,2)</f>
        <v/>
      </c>
      <c r="U258" s="42">
        <f>MIN(U$6,S258+T258)</f>
        <v/>
      </c>
      <c r="V258" s="42">
        <f>MAX(0,MIN(S258+T258-U258,R258))</f>
        <v/>
      </c>
      <c r="W258" s="42">
        <f>ROUND(S258+T258-U258-V258,2)</f>
        <v/>
      </c>
      <c r="X258">
        <f>R258-V258</f>
        <v/>
      </c>
      <c r="Y258" s="42">
        <f>AC257</f>
        <v/>
      </c>
      <c r="Z258" s="42">
        <f>ROUND(Y258*Z$6/12,2)</f>
        <v/>
      </c>
      <c r="AA258" s="42">
        <f>MIN(AA$6,Y258+Z258)</f>
        <v/>
      </c>
      <c r="AB258" s="42">
        <f>MAX(0,MIN(Y258+Z258-AA258,X258))</f>
        <v/>
      </c>
      <c r="AC258" s="42">
        <f>ROUND(Y258+Z258-AA258-AB258,2)</f>
        <v/>
      </c>
      <c r="AD258">
        <f>X258-AB258</f>
        <v/>
      </c>
      <c r="AE258" s="42">
        <f>AI257</f>
        <v/>
      </c>
      <c r="AF258" s="42">
        <f>ROUND(AE258*AF$6/12,2)</f>
        <v/>
      </c>
      <c r="AG258" s="42">
        <f>MIN(AG$6,AE258+AF258)</f>
        <v/>
      </c>
      <c r="AH258" s="42">
        <f>MAX(0,MIN(AE258+AF258-AG258,AD258))</f>
        <v/>
      </c>
      <c r="AI258" s="42">
        <f>ROUND(AE258+AF258-AG258-AH258,2)</f>
        <v/>
      </c>
      <c r="AJ258">
        <f>AD258-AH258</f>
        <v/>
      </c>
      <c r="AK258" s="42">
        <f>AO257</f>
        <v/>
      </c>
      <c r="AL258" s="42">
        <f>ROUND(AK258*AL$6/12,2)</f>
        <v/>
      </c>
      <c r="AM258" s="42">
        <f>MIN(AM$6,AK258+AL258)</f>
        <v/>
      </c>
      <c r="AN258" s="42">
        <f>MAX(0,MIN(AK258+AL258-AM258,AJ258))</f>
        <v/>
      </c>
      <c r="AO258" s="42">
        <f>ROUND(AK258+AL258-AM258-AN258,2)</f>
        <v/>
      </c>
      <c r="AP258">
        <f>AJ258-AN258</f>
        <v/>
      </c>
      <c r="AQ258" s="42">
        <f>AU257</f>
        <v/>
      </c>
      <c r="AR258" s="42">
        <f>ROUND(AQ258*AR$6/12,2)</f>
        <v/>
      </c>
      <c r="AS258" s="42">
        <f>MIN(AS$6,AQ258+AR258)</f>
        <v/>
      </c>
      <c r="AT258" s="42">
        <f>MAX(0,MIN(AQ258+AR258-AS258,AP258))</f>
        <v/>
      </c>
      <c r="AU258" s="42">
        <f>ROUND(AQ258+AR258-AS258-AT258,2)</f>
        <v/>
      </c>
      <c r="AV258">
        <f>AP258-AT258</f>
        <v/>
      </c>
      <c r="AW258" s="42">
        <f>BA257</f>
        <v/>
      </c>
      <c r="AX258" s="42">
        <f>ROUND(AW258*AX$6/12,2)</f>
        <v/>
      </c>
      <c r="AY258" s="42">
        <f>MIN(AY$6,AW258+AX258)</f>
        <v/>
      </c>
      <c r="AZ258" s="42">
        <f>MAX(0,MIN(AW258+AX258-AY258,AV258))</f>
        <v/>
      </c>
      <c r="BA258" s="42">
        <f>ROUND(AW258+AX258-AY258-AZ258,2)</f>
        <v/>
      </c>
      <c r="BB258">
        <f>AV258-AZ258</f>
        <v/>
      </c>
      <c r="BC258" s="42">
        <f>BG257</f>
        <v/>
      </c>
      <c r="BD258" s="42">
        <f>ROUND(BC258*BD$6/12,2)</f>
        <v/>
      </c>
      <c r="BE258" s="42">
        <f>MIN(BE$6,BC258+BD258)</f>
        <v/>
      </c>
      <c r="BF258" s="42">
        <f>MAX(0,MIN(BC258+BD258-BE258,BB258))</f>
        <v/>
      </c>
      <c r="BG258" s="42">
        <f>ROUND(BC258+BD258-BE258-BF258,2)</f>
        <v/>
      </c>
      <c r="BH258">
        <f>BB258-BF258</f>
        <v/>
      </c>
      <c r="BI258" s="42">
        <f>BM257</f>
        <v/>
      </c>
      <c r="BJ258" s="42">
        <f>ROUND(BI258*BJ$6/12,2)</f>
        <v/>
      </c>
      <c r="BK258" s="42">
        <f>MIN(BK$6,BI258+BJ258)</f>
        <v/>
      </c>
      <c r="BL258" s="42">
        <f>MAX(0,MIN(BI258+BJ258-BK258,BH258))</f>
        <v/>
      </c>
      <c r="BM258" s="42">
        <f>ROUND(BI258+BJ258-BK258-BL258,2)</f>
        <v/>
      </c>
      <c r="BN258">
        <f>BH258-BL258</f>
        <v/>
      </c>
    </row>
    <row r="259">
      <c r="A259" s="43" t="n">
        <v>252</v>
      </c>
      <c r="B259" s="44">
        <f>EDATE('My Debts'!$C$6,A259-1)</f>
        <v/>
      </c>
      <c r="C259" s="45">
        <f>K259+Q259+W259+AC259+AI259+AO259+AU259+BA259+BG259+BM259</f>
        <v/>
      </c>
      <c r="D259" s="46">
        <f>I259+O259+U259+AA259+AG259+AM259+AS259+AY259+BE259+BK259+J259+P259+V259+AB259+AH259+AN259+AT259+AZ259+BF259+BL259</f>
        <v/>
      </c>
      <c r="E259" s="46">
        <f>H259+N259+T259+Z259+AF259+AL259+AR259+AX259+BD259+BJ259</f>
        <v/>
      </c>
      <c r="F259">
        <f>MAX(0,'My Debts'!$E$21-(I259+O259+U259+AA259+AG259+AM259+AS259+AY259+BE259+BK259))</f>
        <v/>
      </c>
      <c r="G259" s="42">
        <f>K258</f>
        <v/>
      </c>
      <c r="H259" s="42">
        <f>ROUND(G259*H$6/12,2)</f>
        <v/>
      </c>
      <c r="I259" s="42">
        <f>MIN(I$6,G259+H259)</f>
        <v/>
      </c>
      <c r="J259" s="42">
        <f>MAX(0,MIN(G259+H259-I259,$F259))</f>
        <v/>
      </c>
      <c r="K259" s="42">
        <f>ROUND(G259+H259-I259-J259,2)</f>
        <v/>
      </c>
      <c r="L259">
        <f>$F259-J259</f>
        <v/>
      </c>
      <c r="M259" s="42">
        <f>Q258</f>
        <v/>
      </c>
      <c r="N259" s="42">
        <f>ROUND(M259*N$6/12,2)</f>
        <v/>
      </c>
      <c r="O259" s="42">
        <f>MIN(O$6,M259+N259)</f>
        <v/>
      </c>
      <c r="P259" s="42">
        <f>MAX(0,MIN(M259+N259-O259,L259))</f>
        <v/>
      </c>
      <c r="Q259" s="42">
        <f>ROUND(M259+N259-O259-P259,2)</f>
        <v/>
      </c>
      <c r="R259">
        <f>L259-P259</f>
        <v/>
      </c>
      <c r="S259" s="42">
        <f>W258</f>
        <v/>
      </c>
      <c r="T259" s="42">
        <f>ROUND(S259*T$6/12,2)</f>
        <v/>
      </c>
      <c r="U259" s="42">
        <f>MIN(U$6,S259+T259)</f>
        <v/>
      </c>
      <c r="V259" s="42">
        <f>MAX(0,MIN(S259+T259-U259,R259))</f>
        <v/>
      </c>
      <c r="W259" s="42">
        <f>ROUND(S259+T259-U259-V259,2)</f>
        <v/>
      </c>
      <c r="X259">
        <f>R259-V259</f>
        <v/>
      </c>
      <c r="Y259" s="42">
        <f>AC258</f>
        <v/>
      </c>
      <c r="Z259" s="42">
        <f>ROUND(Y259*Z$6/12,2)</f>
        <v/>
      </c>
      <c r="AA259" s="42">
        <f>MIN(AA$6,Y259+Z259)</f>
        <v/>
      </c>
      <c r="AB259" s="42">
        <f>MAX(0,MIN(Y259+Z259-AA259,X259))</f>
        <v/>
      </c>
      <c r="AC259" s="42">
        <f>ROUND(Y259+Z259-AA259-AB259,2)</f>
        <v/>
      </c>
      <c r="AD259">
        <f>X259-AB259</f>
        <v/>
      </c>
      <c r="AE259" s="42">
        <f>AI258</f>
        <v/>
      </c>
      <c r="AF259" s="42">
        <f>ROUND(AE259*AF$6/12,2)</f>
        <v/>
      </c>
      <c r="AG259" s="42">
        <f>MIN(AG$6,AE259+AF259)</f>
        <v/>
      </c>
      <c r="AH259" s="42">
        <f>MAX(0,MIN(AE259+AF259-AG259,AD259))</f>
        <v/>
      </c>
      <c r="AI259" s="42">
        <f>ROUND(AE259+AF259-AG259-AH259,2)</f>
        <v/>
      </c>
      <c r="AJ259">
        <f>AD259-AH259</f>
        <v/>
      </c>
      <c r="AK259" s="42">
        <f>AO258</f>
        <v/>
      </c>
      <c r="AL259" s="42">
        <f>ROUND(AK259*AL$6/12,2)</f>
        <v/>
      </c>
      <c r="AM259" s="42">
        <f>MIN(AM$6,AK259+AL259)</f>
        <v/>
      </c>
      <c r="AN259" s="42">
        <f>MAX(0,MIN(AK259+AL259-AM259,AJ259))</f>
        <v/>
      </c>
      <c r="AO259" s="42">
        <f>ROUND(AK259+AL259-AM259-AN259,2)</f>
        <v/>
      </c>
      <c r="AP259">
        <f>AJ259-AN259</f>
        <v/>
      </c>
      <c r="AQ259" s="42">
        <f>AU258</f>
        <v/>
      </c>
      <c r="AR259" s="42">
        <f>ROUND(AQ259*AR$6/12,2)</f>
        <v/>
      </c>
      <c r="AS259" s="42">
        <f>MIN(AS$6,AQ259+AR259)</f>
        <v/>
      </c>
      <c r="AT259" s="42">
        <f>MAX(0,MIN(AQ259+AR259-AS259,AP259))</f>
        <v/>
      </c>
      <c r="AU259" s="42">
        <f>ROUND(AQ259+AR259-AS259-AT259,2)</f>
        <v/>
      </c>
      <c r="AV259">
        <f>AP259-AT259</f>
        <v/>
      </c>
      <c r="AW259" s="42">
        <f>BA258</f>
        <v/>
      </c>
      <c r="AX259" s="42">
        <f>ROUND(AW259*AX$6/12,2)</f>
        <v/>
      </c>
      <c r="AY259" s="42">
        <f>MIN(AY$6,AW259+AX259)</f>
        <v/>
      </c>
      <c r="AZ259" s="42">
        <f>MAX(0,MIN(AW259+AX259-AY259,AV259))</f>
        <v/>
      </c>
      <c r="BA259" s="42">
        <f>ROUND(AW259+AX259-AY259-AZ259,2)</f>
        <v/>
      </c>
      <c r="BB259">
        <f>AV259-AZ259</f>
        <v/>
      </c>
      <c r="BC259" s="42">
        <f>BG258</f>
        <v/>
      </c>
      <c r="BD259" s="42">
        <f>ROUND(BC259*BD$6/12,2)</f>
        <v/>
      </c>
      <c r="BE259" s="42">
        <f>MIN(BE$6,BC259+BD259)</f>
        <v/>
      </c>
      <c r="BF259" s="42">
        <f>MAX(0,MIN(BC259+BD259-BE259,BB259))</f>
        <v/>
      </c>
      <c r="BG259" s="42">
        <f>ROUND(BC259+BD259-BE259-BF259,2)</f>
        <v/>
      </c>
      <c r="BH259">
        <f>BB259-BF259</f>
        <v/>
      </c>
      <c r="BI259" s="42">
        <f>BM258</f>
        <v/>
      </c>
      <c r="BJ259" s="42">
        <f>ROUND(BI259*BJ$6/12,2)</f>
        <v/>
      </c>
      <c r="BK259" s="42">
        <f>MIN(BK$6,BI259+BJ259)</f>
        <v/>
      </c>
      <c r="BL259" s="42">
        <f>MAX(0,MIN(BI259+BJ259-BK259,BH259))</f>
        <v/>
      </c>
      <c r="BM259" s="42">
        <f>ROUND(BI259+BJ259-BK259-BL259,2)</f>
        <v/>
      </c>
      <c r="BN259">
        <f>BH259-BL259</f>
        <v/>
      </c>
    </row>
    <row r="260">
      <c r="A260" s="39" t="n">
        <v>253</v>
      </c>
      <c r="B260" s="40">
        <f>EDATE('My Debts'!$C$6,A260-1)</f>
        <v/>
      </c>
      <c r="C260" s="41">
        <f>K260+Q260+W260+AC260+AI260+AO260+AU260+BA260+BG260+BM260</f>
        <v/>
      </c>
      <c r="D260" s="42">
        <f>I260+O260+U260+AA260+AG260+AM260+AS260+AY260+BE260+BK260+J260+P260+V260+AB260+AH260+AN260+AT260+AZ260+BF260+BL260</f>
        <v/>
      </c>
      <c r="E260" s="42">
        <f>H260+N260+T260+Z260+AF260+AL260+AR260+AX260+BD260+BJ260</f>
        <v/>
      </c>
      <c r="F260">
        <f>MAX(0,'My Debts'!$E$21-(I260+O260+U260+AA260+AG260+AM260+AS260+AY260+BE260+BK260))</f>
        <v/>
      </c>
      <c r="G260" s="42">
        <f>K259</f>
        <v/>
      </c>
      <c r="H260" s="42">
        <f>ROUND(G260*H$6/12,2)</f>
        <v/>
      </c>
      <c r="I260" s="42">
        <f>MIN(I$6,G260+H260)</f>
        <v/>
      </c>
      <c r="J260" s="42">
        <f>MAX(0,MIN(G260+H260-I260,$F260))</f>
        <v/>
      </c>
      <c r="K260" s="42">
        <f>ROUND(G260+H260-I260-J260,2)</f>
        <v/>
      </c>
      <c r="L260">
        <f>$F260-J260</f>
        <v/>
      </c>
      <c r="M260" s="42">
        <f>Q259</f>
        <v/>
      </c>
      <c r="N260" s="42">
        <f>ROUND(M260*N$6/12,2)</f>
        <v/>
      </c>
      <c r="O260" s="42">
        <f>MIN(O$6,M260+N260)</f>
        <v/>
      </c>
      <c r="P260" s="42">
        <f>MAX(0,MIN(M260+N260-O260,L260))</f>
        <v/>
      </c>
      <c r="Q260" s="42">
        <f>ROUND(M260+N260-O260-P260,2)</f>
        <v/>
      </c>
      <c r="R260">
        <f>L260-P260</f>
        <v/>
      </c>
      <c r="S260" s="42">
        <f>W259</f>
        <v/>
      </c>
      <c r="T260" s="42">
        <f>ROUND(S260*T$6/12,2)</f>
        <v/>
      </c>
      <c r="U260" s="42">
        <f>MIN(U$6,S260+T260)</f>
        <v/>
      </c>
      <c r="V260" s="42">
        <f>MAX(0,MIN(S260+T260-U260,R260))</f>
        <v/>
      </c>
      <c r="W260" s="42">
        <f>ROUND(S260+T260-U260-V260,2)</f>
        <v/>
      </c>
      <c r="X260">
        <f>R260-V260</f>
        <v/>
      </c>
      <c r="Y260" s="42">
        <f>AC259</f>
        <v/>
      </c>
      <c r="Z260" s="42">
        <f>ROUND(Y260*Z$6/12,2)</f>
        <v/>
      </c>
      <c r="AA260" s="42">
        <f>MIN(AA$6,Y260+Z260)</f>
        <v/>
      </c>
      <c r="AB260" s="42">
        <f>MAX(0,MIN(Y260+Z260-AA260,X260))</f>
        <v/>
      </c>
      <c r="AC260" s="42">
        <f>ROUND(Y260+Z260-AA260-AB260,2)</f>
        <v/>
      </c>
      <c r="AD260">
        <f>X260-AB260</f>
        <v/>
      </c>
      <c r="AE260" s="42">
        <f>AI259</f>
        <v/>
      </c>
      <c r="AF260" s="42">
        <f>ROUND(AE260*AF$6/12,2)</f>
        <v/>
      </c>
      <c r="AG260" s="42">
        <f>MIN(AG$6,AE260+AF260)</f>
        <v/>
      </c>
      <c r="AH260" s="42">
        <f>MAX(0,MIN(AE260+AF260-AG260,AD260))</f>
        <v/>
      </c>
      <c r="AI260" s="42">
        <f>ROUND(AE260+AF260-AG260-AH260,2)</f>
        <v/>
      </c>
      <c r="AJ260">
        <f>AD260-AH260</f>
        <v/>
      </c>
      <c r="AK260" s="42">
        <f>AO259</f>
        <v/>
      </c>
      <c r="AL260" s="42">
        <f>ROUND(AK260*AL$6/12,2)</f>
        <v/>
      </c>
      <c r="AM260" s="42">
        <f>MIN(AM$6,AK260+AL260)</f>
        <v/>
      </c>
      <c r="AN260" s="42">
        <f>MAX(0,MIN(AK260+AL260-AM260,AJ260))</f>
        <v/>
      </c>
      <c r="AO260" s="42">
        <f>ROUND(AK260+AL260-AM260-AN260,2)</f>
        <v/>
      </c>
      <c r="AP260">
        <f>AJ260-AN260</f>
        <v/>
      </c>
      <c r="AQ260" s="42">
        <f>AU259</f>
        <v/>
      </c>
      <c r="AR260" s="42">
        <f>ROUND(AQ260*AR$6/12,2)</f>
        <v/>
      </c>
      <c r="AS260" s="42">
        <f>MIN(AS$6,AQ260+AR260)</f>
        <v/>
      </c>
      <c r="AT260" s="42">
        <f>MAX(0,MIN(AQ260+AR260-AS260,AP260))</f>
        <v/>
      </c>
      <c r="AU260" s="42">
        <f>ROUND(AQ260+AR260-AS260-AT260,2)</f>
        <v/>
      </c>
      <c r="AV260">
        <f>AP260-AT260</f>
        <v/>
      </c>
      <c r="AW260" s="42">
        <f>BA259</f>
        <v/>
      </c>
      <c r="AX260" s="42">
        <f>ROUND(AW260*AX$6/12,2)</f>
        <v/>
      </c>
      <c r="AY260" s="42">
        <f>MIN(AY$6,AW260+AX260)</f>
        <v/>
      </c>
      <c r="AZ260" s="42">
        <f>MAX(0,MIN(AW260+AX260-AY260,AV260))</f>
        <v/>
      </c>
      <c r="BA260" s="42">
        <f>ROUND(AW260+AX260-AY260-AZ260,2)</f>
        <v/>
      </c>
      <c r="BB260">
        <f>AV260-AZ260</f>
        <v/>
      </c>
      <c r="BC260" s="42">
        <f>BG259</f>
        <v/>
      </c>
      <c r="BD260" s="42">
        <f>ROUND(BC260*BD$6/12,2)</f>
        <v/>
      </c>
      <c r="BE260" s="42">
        <f>MIN(BE$6,BC260+BD260)</f>
        <v/>
      </c>
      <c r="BF260" s="42">
        <f>MAX(0,MIN(BC260+BD260-BE260,BB260))</f>
        <v/>
      </c>
      <c r="BG260" s="42">
        <f>ROUND(BC260+BD260-BE260-BF260,2)</f>
        <v/>
      </c>
      <c r="BH260">
        <f>BB260-BF260</f>
        <v/>
      </c>
      <c r="BI260" s="42">
        <f>BM259</f>
        <v/>
      </c>
      <c r="BJ260" s="42">
        <f>ROUND(BI260*BJ$6/12,2)</f>
        <v/>
      </c>
      <c r="BK260" s="42">
        <f>MIN(BK$6,BI260+BJ260)</f>
        <v/>
      </c>
      <c r="BL260" s="42">
        <f>MAX(0,MIN(BI260+BJ260-BK260,BH260))</f>
        <v/>
      </c>
      <c r="BM260" s="42">
        <f>ROUND(BI260+BJ260-BK260-BL260,2)</f>
        <v/>
      </c>
      <c r="BN260">
        <f>BH260-BL260</f>
        <v/>
      </c>
    </row>
    <row r="261">
      <c r="A261" s="43" t="n">
        <v>254</v>
      </c>
      <c r="B261" s="44">
        <f>EDATE('My Debts'!$C$6,A261-1)</f>
        <v/>
      </c>
      <c r="C261" s="45">
        <f>K261+Q261+W261+AC261+AI261+AO261+AU261+BA261+BG261+BM261</f>
        <v/>
      </c>
      <c r="D261" s="46">
        <f>I261+O261+U261+AA261+AG261+AM261+AS261+AY261+BE261+BK261+J261+P261+V261+AB261+AH261+AN261+AT261+AZ261+BF261+BL261</f>
        <v/>
      </c>
      <c r="E261" s="46">
        <f>H261+N261+T261+Z261+AF261+AL261+AR261+AX261+BD261+BJ261</f>
        <v/>
      </c>
      <c r="F261">
        <f>MAX(0,'My Debts'!$E$21-(I261+O261+U261+AA261+AG261+AM261+AS261+AY261+BE261+BK261))</f>
        <v/>
      </c>
      <c r="G261" s="42">
        <f>K260</f>
        <v/>
      </c>
      <c r="H261" s="42">
        <f>ROUND(G261*H$6/12,2)</f>
        <v/>
      </c>
      <c r="I261" s="42">
        <f>MIN(I$6,G261+H261)</f>
        <v/>
      </c>
      <c r="J261" s="42">
        <f>MAX(0,MIN(G261+H261-I261,$F261))</f>
        <v/>
      </c>
      <c r="K261" s="42">
        <f>ROUND(G261+H261-I261-J261,2)</f>
        <v/>
      </c>
      <c r="L261">
        <f>$F261-J261</f>
        <v/>
      </c>
      <c r="M261" s="42">
        <f>Q260</f>
        <v/>
      </c>
      <c r="N261" s="42">
        <f>ROUND(M261*N$6/12,2)</f>
        <v/>
      </c>
      <c r="O261" s="42">
        <f>MIN(O$6,M261+N261)</f>
        <v/>
      </c>
      <c r="P261" s="42">
        <f>MAX(0,MIN(M261+N261-O261,L261))</f>
        <v/>
      </c>
      <c r="Q261" s="42">
        <f>ROUND(M261+N261-O261-P261,2)</f>
        <v/>
      </c>
      <c r="R261">
        <f>L261-P261</f>
        <v/>
      </c>
      <c r="S261" s="42">
        <f>W260</f>
        <v/>
      </c>
      <c r="T261" s="42">
        <f>ROUND(S261*T$6/12,2)</f>
        <v/>
      </c>
      <c r="U261" s="42">
        <f>MIN(U$6,S261+T261)</f>
        <v/>
      </c>
      <c r="V261" s="42">
        <f>MAX(0,MIN(S261+T261-U261,R261))</f>
        <v/>
      </c>
      <c r="W261" s="42">
        <f>ROUND(S261+T261-U261-V261,2)</f>
        <v/>
      </c>
      <c r="X261">
        <f>R261-V261</f>
        <v/>
      </c>
      <c r="Y261" s="42">
        <f>AC260</f>
        <v/>
      </c>
      <c r="Z261" s="42">
        <f>ROUND(Y261*Z$6/12,2)</f>
        <v/>
      </c>
      <c r="AA261" s="42">
        <f>MIN(AA$6,Y261+Z261)</f>
        <v/>
      </c>
      <c r="AB261" s="42">
        <f>MAX(0,MIN(Y261+Z261-AA261,X261))</f>
        <v/>
      </c>
      <c r="AC261" s="42">
        <f>ROUND(Y261+Z261-AA261-AB261,2)</f>
        <v/>
      </c>
      <c r="AD261">
        <f>X261-AB261</f>
        <v/>
      </c>
      <c r="AE261" s="42">
        <f>AI260</f>
        <v/>
      </c>
      <c r="AF261" s="42">
        <f>ROUND(AE261*AF$6/12,2)</f>
        <v/>
      </c>
      <c r="AG261" s="42">
        <f>MIN(AG$6,AE261+AF261)</f>
        <v/>
      </c>
      <c r="AH261" s="42">
        <f>MAX(0,MIN(AE261+AF261-AG261,AD261))</f>
        <v/>
      </c>
      <c r="AI261" s="42">
        <f>ROUND(AE261+AF261-AG261-AH261,2)</f>
        <v/>
      </c>
      <c r="AJ261">
        <f>AD261-AH261</f>
        <v/>
      </c>
      <c r="AK261" s="42">
        <f>AO260</f>
        <v/>
      </c>
      <c r="AL261" s="42">
        <f>ROUND(AK261*AL$6/12,2)</f>
        <v/>
      </c>
      <c r="AM261" s="42">
        <f>MIN(AM$6,AK261+AL261)</f>
        <v/>
      </c>
      <c r="AN261" s="42">
        <f>MAX(0,MIN(AK261+AL261-AM261,AJ261))</f>
        <v/>
      </c>
      <c r="AO261" s="42">
        <f>ROUND(AK261+AL261-AM261-AN261,2)</f>
        <v/>
      </c>
      <c r="AP261">
        <f>AJ261-AN261</f>
        <v/>
      </c>
      <c r="AQ261" s="42">
        <f>AU260</f>
        <v/>
      </c>
      <c r="AR261" s="42">
        <f>ROUND(AQ261*AR$6/12,2)</f>
        <v/>
      </c>
      <c r="AS261" s="42">
        <f>MIN(AS$6,AQ261+AR261)</f>
        <v/>
      </c>
      <c r="AT261" s="42">
        <f>MAX(0,MIN(AQ261+AR261-AS261,AP261))</f>
        <v/>
      </c>
      <c r="AU261" s="42">
        <f>ROUND(AQ261+AR261-AS261-AT261,2)</f>
        <v/>
      </c>
      <c r="AV261">
        <f>AP261-AT261</f>
        <v/>
      </c>
      <c r="AW261" s="42">
        <f>BA260</f>
        <v/>
      </c>
      <c r="AX261" s="42">
        <f>ROUND(AW261*AX$6/12,2)</f>
        <v/>
      </c>
      <c r="AY261" s="42">
        <f>MIN(AY$6,AW261+AX261)</f>
        <v/>
      </c>
      <c r="AZ261" s="42">
        <f>MAX(0,MIN(AW261+AX261-AY261,AV261))</f>
        <v/>
      </c>
      <c r="BA261" s="42">
        <f>ROUND(AW261+AX261-AY261-AZ261,2)</f>
        <v/>
      </c>
      <c r="BB261">
        <f>AV261-AZ261</f>
        <v/>
      </c>
      <c r="BC261" s="42">
        <f>BG260</f>
        <v/>
      </c>
      <c r="BD261" s="42">
        <f>ROUND(BC261*BD$6/12,2)</f>
        <v/>
      </c>
      <c r="BE261" s="42">
        <f>MIN(BE$6,BC261+BD261)</f>
        <v/>
      </c>
      <c r="BF261" s="42">
        <f>MAX(0,MIN(BC261+BD261-BE261,BB261))</f>
        <v/>
      </c>
      <c r="BG261" s="42">
        <f>ROUND(BC261+BD261-BE261-BF261,2)</f>
        <v/>
      </c>
      <c r="BH261">
        <f>BB261-BF261</f>
        <v/>
      </c>
      <c r="BI261" s="42">
        <f>BM260</f>
        <v/>
      </c>
      <c r="BJ261" s="42">
        <f>ROUND(BI261*BJ$6/12,2)</f>
        <v/>
      </c>
      <c r="BK261" s="42">
        <f>MIN(BK$6,BI261+BJ261)</f>
        <v/>
      </c>
      <c r="BL261" s="42">
        <f>MAX(0,MIN(BI261+BJ261-BK261,BH261))</f>
        <v/>
      </c>
      <c r="BM261" s="42">
        <f>ROUND(BI261+BJ261-BK261-BL261,2)</f>
        <v/>
      </c>
      <c r="BN261">
        <f>BH261-BL261</f>
        <v/>
      </c>
    </row>
    <row r="262">
      <c r="A262" s="39" t="n">
        <v>255</v>
      </c>
      <c r="B262" s="40">
        <f>EDATE('My Debts'!$C$6,A262-1)</f>
        <v/>
      </c>
      <c r="C262" s="41">
        <f>K262+Q262+W262+AC262+AI262+AO262+AU262+BA262+BG262+BM262</f>
        <v/>
      </c>
      <c r="D262" s="42">
        <f>I262+O262+U262+AA262+AG262+AM262+AS262+AY262+BE262+BK262+J262+P262+V262+AB262+AH262+AN262+AT262+AZ262+BF262+BL262</f>
        <v/>
      </c>
      <c r="E262" s="42">
        <f>H262+N262+T262+Z262+AF262+AL262+AR262+AX262+BD262+BJ262</f>
        <v/>
      </c>
      <c r="F262">
        <f>MAX(0,'My Debts'!$E$21-(I262+O262+U262+AA262+AG262+AM262+AS262+AY262+BE262+BK262))</f>
        <v/>
      </c>
      <c r="G262" s="42">
        <f>K261</f>
        <v/>
      </c>
      <c r="H262" s="42">
        <f>ROUND(G262*H$6/12,2)</f>
        <v/>
      </c>
      <c r="I262" s="42">
        <f>MIN(I$6,G262+H262)</f>
        <v/>
      </c>
      <c r="J262" s="42">
        <f>MAX(0,MIN(G262+H262-I262,$F262))</f>
        <v/>
      </c>
      <c r="K262" s="42">
        <f>ROUND(G262+H262-I262-J262,2)</f>
        <v/>
      </c>
      <c r="L262">
        <f>$F262-J262</f>
        <v/>
      </c>
      <c r="M262" s="42">
        <f>Q261</f>
        <v/>
      </c>
      <c r="N262" s="42">
        <f>ROUND(M262*N$6/12,2)</f>
        <v/>
      </c>
      <c r="O262" s="42">
        <f>MIN(O$6,M262+N262)</f>
        <v/>
      </c>
      <c r="P262" s="42">
        <f>MAX(0,MIN(M262+N262-O262,L262))</f>
        <v/>
      </c>
      <c r="Q262" s="42">
        <f>ROUND(M262+N262-O262-P262,2)</f>
        <v/>
      </c>
      <c r="R262">
        <f>L262-P262</f>
        <v/>
      </c>
      <c r="S262" s="42">
        <f>W261</f>
        <v/>
      </c>
      <c r="T262" s="42">
        <f>ROUND(S262*T$6/12,2)</f>
        <v/>
      </c>
      <c r="U262" s="42">
        <f>MIN(U$6,S262+T262)</f>
        <v/>
      </c>
      <c r="V262" s="42">
        <f>MAX(0,MIN(S262+T262-U262,R262))</f>
        <v/>
      </c>
      <c r="W262" s="42">
        <f>ROUND(S262+T262-U262-V262,2)</f>
        <v/>
      </c>
      <c r="X262">
        <f>R262-V262</f>
        <v/>
      </c>
      <c r="Y262" s="42">
        <f>AC261</f>
        <v/>
      </c>
      <c r="Z262" s="42">
        <f>ROUND(Y262*Z$6/12,2)</f>
        <v/>
      </c>
      <c r="AA262" s="42">
        <f>MIN(AA$6,Y262+Z262)</f>
        <v/>
      </c>
      <c r="AB262" s="42">
        <f>MAX(0,MIN(Y262+Z262-AA262,X262))</f>
        <v/>
      </c>
      <c r="AC262" s="42">
        <f>ROUND(Y262+Z262-AA262-AB262,2)</f>
        <v/>
      </c>
      <c r="AD262">
        <f>X262-AB262</f>
        <v/>
      </c>
      <c r="AE262" s="42">
        <f>AI261</f>
        <v/>
      </c>
      <c r="AF262" s="42">
        <f>ROUND(AE262*AF$6/12,2)</f>
        <v/>
      </c>
      <c r="AG262" s="42">
        <f>MIN(AG$6,AE262+AF262)</f>
        <v/>
      </c>
      <c r="AH262" s="42">
        <f>MAX(0,MIN(AE262+AF262-AG262,AD262))</f>
        <v/>
      </c>
      <c r="AI262" s="42">
        <f>ROUND(AE262+AF262-AG262-AH262,2)</f>
        <v/>
      </c>
      <c r="AJ262">
        <f>AD262-AH262</f>
        <v/>
      </c>
      <c r="AK262" s="42">
        <f>AO261</f>
        <v/>
      </c>
      <c r="AL262" s="42">
        <f>ROUND(AK262*AL$6/12,2)</f>
        <v/>
      </c>
      <c r="AM262" s="42">
        <f>MIN(AM$6,AK262+AL262)</f>
        <v/>
      </c>
      <c r="AN262" s="42">
        <f>MAX(0,MIN(AK262+AL262-AM262,AJ262))</f>
        <v/>
      </c>
      <c r="AO262" s="42">
        <f>ROUND(AK262+AL262-AM262-AN262,2)</f>
        <v/>
      </c>
      <c r="AP262">
        <f>AJ262-AN262</f>
        <v/>
      </c>
      <c r="AQ262" s="42">
        <f>AU261</f>
        <v/>
      </c>
      <c r="AR262" s="42">
        <f>ROUND(AQ262*AR$6/12,2)</f>
        <v/>
      </c>
      <c r="AS262" s="42">
        <f>MIN(AS$6,AQ262+AR262)</f>
        <v/>
      </c>
      <c r="AT262" s="42">
        <f>MAX(0,MIN(AQ262+AR262-AS262,AP262))</f>
        <v/>
      </c>
      <c r="AU262" s="42">
        <f>ROUND(AQ262+AR262-AS262-AT262,2)</f>
        <v/>
      </c>
      <c r="AV262">
        <f>AP262-AT262</f>
        <v/>
      </c>
      <c r="AW262" s="42">
        <f>BA261</f>
        <v/>
      </c>
      <c r="AX262" s="42">
        <f>ROUND(AW262*AX$6/12,2)</f>
        <v/>
      </c>
      <c r="AY262" s="42">
        <f>MIN(AY$6,AW262+AX262)</f>
        <v/>
      </c>
      <c r="AZ262" s="42">
        <f>MAX(0,MIN(AW262+AX262-AY262,AV262))</f>
        <v/>
      </c>
      <c r="BA262" s="42">
        <f>ROUND(AW262+AX262-AY262-AZ262,2)</f>
        <v/>
      </c>
      <c r="BB262">
        <f>AV262-AZ262</f>
        <v/>
      </c>
      <c r="BC262" s="42">
        <f>BG261</f>
        <v/>
      </c>
      <c r="BD262" s="42">
        <f>ROUND(BC262*BD$6/12,2)</f>
        <v/>
      </c>
      <c r="BE262" s="42">
        <f>MIN(BE$6,BC262+BD262)</f>
        <v/>
      </c>
      <c r="BF262" s="42">
        <f>MAX(0,MIN(BC262+BD262-BE262,BB262))</f>
        <v/>
      </c>
      <c r="BG262" s="42">
        <f>ROUND(BC262+BD262-BE262-BF262,2)</f>
        <v/>
      </c>
      <c r="BH262">
        <f>BB262-BF262</f>
        <v/>
      </c>
      <c r="BI262" s="42">
        <f>BM261</f>
        <v/>
      </c>
      <c r="BJ262" s="42">
        <f>ROUND(BI262*BJ$6/12,2)</f>
        <v/>
      </c>
      <c r="BK262" s="42">
        <f>MIN(BK$6,BI262+BJ262)</f>
        <v/>
      </c>
      <c r="BL262" s="42">
        <f>MAX(0,MIN(BI262+BJ262-BK262,BH262))</f>
        <v/>
      </c>
      <c r="BM262" s="42">
        <f>ROUND(BI262+BJ262-BK262-BL262,2)</f>
        <v/>
      </c>
      <c r="BN262">
        <f>BH262-BL262</f>
        <v/>
      </c>
    </row>
    <row r="263">
      <c r="A263" s="43" t="n">
        <v>256</v>
      </c>
      <c r="B263" s="44">
        <f>EDATE('My Debts'!$C$6,A263-1)</f>
        <v/>
      </c>
      <c r="C263" s="45">
        <f>K263+Q263+W263+AC263+AI263+AO263+AU263+BA263+BG263+BM263</f>
        <v/>
      </c>
      <c r="D263" s="46">
        <f>I263+O263+U263+AA263+AG263+AM263+AS263+AY263+BE263+BK263+J263+P263+V263+AB263+AH263+AN263+AT263+AZ263+BF263+BL263</f>
        <v/>
      </c>
      <c r="E263" s="46">
        <f>H263+N263+T263+Z263+AF263+AL263+AR263+AX263+BD263+BJ263</f>
        <v/>
      </c>
      <c r="F263">
        <f>MAX(0,'My Debts'!$E$21-(I263+O263+U263+AA263+AG263+AM263+AS263+AY263+BE263+BK263))</f>
        <v/>
      </c>
      <c r="G263" s="42">
        <f>K262</f>
        <v/>
      </c>
      <c r="H263" s="42">
        <f>ROUND(G263*H$6/12,2)</f>
        <v/>
      </c>
      <c r="I263" s="42">
        <f>MIN(I$6,G263+H263)</f>
        <v/>
      </c>
      <c r="J263" s="42">
        <f>MAX(0,MIN(G263+H263-I263,$F263))</f>
        <v/>
      </c>
      <c r="K263" s="42">
        <f>ROUND(G263+H263-I263-J263,2)</f>
        <v/>
      </c>
      <c r="L263">
        <f>$F263-J263</f>
        <v/>
      </c>
      <c r="M263" s="42">
        <f>Q262</f>
        <v/>
      </c>
      <c r="N263" s="42">
        <f>ROUND(M263*N$6/12,2)</f>
        <v/>
      </c>
      <c r="O263" s="42">
        <f>MIN(O$6,M263+N263)</f>
        <v/>
      </c>
      <c r="P263" s="42">
        <f>MAX(0,MIN(M263+N263-O263,L263))</f>
        <v/>
      </c>
      <c r="Q263" s="42">
        <f>ROUND(M263+N263-O263-P263,2)</f>
        <v/>
      </c>
      <c r="R263">
        <f>L263-P263</f>
        <v/>
      </c>
      <c r="S263" s="42">
        <f>W262</f>
        <v/>
      </c>
      <c r="T263" s="42">
        <f>ROUND(S263*T$6/12,2)</f>
        <v/>
      </c>
      <c r="U263" s="42">
        <f>MIN(U$6,S263+T263)</f>
        <v/>
      </c>
      <c r="V263" s="42">
        <f>MAX(0,MIN(S263+T263-U263,R263))</f>
        <v/>
      </c>
      <c r="W263" s="42">
        <f>ROUND(S263+T263-U263-V263,2)</f>
        <v/>
      </c>
      <c r="X263">
        <f>R263-V263</f>
        <v/>
      </c>
      <c r="Y263" s="42">
        <f>AC262</f>
        <v/>
      </c>
      <c r="Z263" s="42">
        <f>ROUND(Y263*Z$6/12,2)</f>
        <v/>
      </c>
      <c r="AA263" s="42">
        <f>MIN(AA$6,Y263+Z263)</f>
        <v/>
      </c>
      <c r="AB263" s="42">
        <f>MAX(0,MIN(Y263+Z263-AA263,X263))</f>
        <v/>
      </c>
      <c r="AC263" s="42">
        <f>ROUND(Y263+Z263-AA263-AB263,2)</f>
        <v/>
      </c>
      <c r="AD263">
        <f>X263-AB263</f>
        <v/>
      </c>
      <c r="AE263" s="42">
        <f>AI262</f>
        <v/>
      </c>
      <c r="AF263" s="42">
        <f>ROUND(AE263*AF$6/12,2)</f>
        <v/>
      </c>
      <c r="AG263" s="42">
        <f>MIN(AG$6,AE263+AF263)</f>
        <v/>
      </c>
      <c r="AH263" s="42">
        <f>MAX(0,MIN(AE263+AF263-AG263,AD263))</f>
        <v/>
      </c>
      <c r="AI263" s="42">
        <f>ROUND(AE263+AF263-AG263-AH263,2)</f>
        <v/>
      </c>
      <c r="AJ263">
        <f>AD263-AH263</f>
        <v/>
      </c>
      <c r="AK263" s="42">
        <f>AO262</f>
        <v/>
      </c>
      <c r="AL263" s="42">
        <f>ROUND(AK263*AL$6/12,2)</f>
        <v/>
      </c>
      <c r="AM263" s="42">
        <f>MIN(AM$6,AK263+AL263)</f>
        <v/>
      </c>
      <c r="AN263" s="42">
        <f>MAX(0,MIN(AK263+AL263-AM263,AJ263))</f>
        <v/>
      </c>
      <c r="AO263" s="42">
        <f>ROUND(AK263+AL263-AM263-AN263,2)</f>
        <v/>
      </c>
      <c r="AP263">
        <f>AJ263-AN263</f>
        <v/>
      </c>
      <c r="AQ263" s="42">
        <f>AU262</f>
        <v/>
      </c>
      <c r="AR263" s="42">
        <f>ROUND(AQ263*AR$6/12,2)</f>
        <v/>
      </c>
      <c r="AS263" s="42">
        <f>MIN(AS$6,AQ263+AR263)</f>
        <v/>
      </c>
      <c r="AT263" s="42">
        <f>MAX(0,MIN(AQ263+AR263-AS263,AP263))</f>
        <v/>
      </c>
      <c r="AU263" s="42">
        <f>ROUND(AQ263+AR263-AS263-AT263,2)</f>
        <v/>
      </c>
      <c r="AV263">
        <f>AP263-AT263</f>
        <v/>
      </c>
      <c r="AW263" s="42">
        <f>BA262</f>
        <v/>
      </c>
      <c r="AX263" s="42">
        <f>ROUND(AW263*AX$6/12,2)</f>
        <v/>
      </c>
      <c r="AY263" s="42">
        <f>MIN(AY$6,AW263+AX263)</f>
        <v/>
      </c>
      <c r="AZ263" s="42">
        <f>MAX(0,MIN(AW263+AX263-AY263,AV263))</f>
        <v/>
      </c>
      <c r="BA263" s="42">
        <f>ROUND(AW263+AX263-AY263-AZ263,2)</f>
        <v/>
      </c>
      <c r="BB263">
        <f>AV263-AZ263</f>
        <v/>
      </c>
      <c r="BC263" s="42">
        <f>BG262</f>
        <v/>
      </c>
      <c r="BD263" s="42">
        <f>ROUND(BC263*BD$6/12,2)</f>
        <v/>
      </c>
      <c r="BE263" s="42">
        <f>MIN(BE$6,BC263+BD263)</f>
        <v/>
      </c>
      <c r="BF263" s="42">
        <f>MAX(0,MIN(BC263+BD263-BE263,BB263))</f>
        <v/>
      </c>
      <c r="BG263" s="42">
        <f>ROUND(BC263+BD263-BE263-BF263,2)</f>
        <v/>
      </c>
      <c r="BH263">
        <f>BB263-BF263</f>
        <v/>
      </c>
      <c r="BI263" s="42">
        <f>BM262</f>
        <v/>
      </c>
      <c r="BJ263" s="42">
        <f>ROUND(BI263*BJ$6/12,2)</f>
        <v/>
      </c>
      <c r="BK263" s="42">
        <f>MIN(BK$6,BI263+BJ263)</f>
        <v/>
      </c>
      <c r="BL263" s="42">
        <f>MAX(0,MIN(BI263+BJ263-BK263,BH263))</f>
        <v/>
      </c>
      <c r="BM263" s="42">
        <f>ROUND(BI263+BJ263-BK263-BL263,2)</f>
        <v/>
      </c>
      <c r="BN263">
        <f>BH263-BL263</f>
        <v/>
      </c>
    </row>
    <row r="264">
      <c r="A264" s="39" t="n">
        <v>257</v>
      </c>
      <c r="B264" s="40">
        <f>EDATE('My Debts'!$C$6,A264-1)</f>
        <v/>
      </c>
      <c r="C264" s="41">
        <f>K264+Q264+W264+AC264+AI264+AO264+AU264+BA264+BG264+BM264</f>
        <v/>
      </c>
      <c r="D264" s="42">
        <f>I264+O264+U264+AA264+AG264+AM264+AS264+AY264+BE264+BK264+J264+P264+V264+AB264+AH264+AN264+AT264+AZ264+BF264+BL264</f>
        <v/>
      </c>
      <c r="E264" s="42">
        <f>H264+N264+T264+Z264+AF264+AL264+AR264+AX264+BD264+BJ264</f>
        <v/>
      </c>
      <c r="F264">
        <f>MAX(0,'My Debts'!$E$21-(I264+O264+U264+AA264+AG264+AM264+AS264+AY264+BE264+BK264))</f>
        <v/>
      </c>
      <c r="G264" s="42">
        <f>K263</f>
        <v/>
      </c>
      <c r="H264" s="42">
        <f>ROUND(G264*H$6/12,2)</f>
        <v/>
      </c>
      <c r="I264" s="42">
        <f>MIN(I$6,G264+H264)</f>
        <v/>
      </c>
      <c r="J264" s="42">
        <f>MAX(0,MIN(G264+H264-I264,$F264))</f>
        <v/>
      </c>
      <c r="K264" s="42">
        <f>ROUND(G264+H264-I264-J264,2)</f>
        <v/>
      </c>
      <c r="L264">
        <f>$F264-J264</f>
        <v/>
      </c>
      <c r="M264" s="42">
        <f>Q263</f>
        <v/>
      </c>
      <c r="N264" s="42">
        <f>ROUND(M264*N$6/12,2)</f>
        <v/>
      </c>
      <c r="O264" s="42">
        <f>MIN(O$6,M264+N264)</f>
        <v/>
      </c>
      <c r="P264" s="42">
        <f>MAX(0,MIN(M264+N264-O264,L264))</f>
        <v/>
      </c>
      <c r="Q264" s="42">
        <f>ROUND(M264+N264-O264-P264,2)</f>
        <v/>
      </c>
      <c r="R264">
        <f>L264-P264</f>
        <v/>
      </c>
      <c r="S264" s="42">
        <f>W263</f>
        <v/>
      </c>
      <c r="T264" s="42">
        <f>ROUND(S264*T$6/12,2)</f>
        <v/>
      </c>
      <c r="U264" s="42">
        <f>MIN(U$6,S264+T264)</f>
        <v/>
      </c>
      <c r="V264" s="42">
        <f>MAX(0,MIN(S264+T264-U264,R264))</f>
        <v/>
      </c>
      <c r="W264" s="42">
        <f>ROUND(S264+T264-U264-V264,2)</f>
        <v/>
      </c>
      <c r="X264">
        <f>R264-V264</f>
        <v/>
      </c>
      <c r="Y264" s="42">
        <f>AC263</f>
        <v/>
      </c>
      <c r="Z264" s="42">
        <f>ROUND(Y264*Z$6/12,2)</f>
        <v/>
      </c>
      <c r="AA264" s="42">
        <f>MIN(AA$6,Y264+Z264)</f>
        <v/>
      </c>
      <c r="AB264" s="42">
        <f>MAX(0,MIN(Y264+Z264-AA264,X264))</f>
        <v/>
      </c>
      <c r="AC264" s="42">
        <f>ROUND(Y264+Z264-AA264-AB264,2)</f>
        <v/>
      </c>
      <c r="AD264">
        <f>X264-AB264</f>
        <v/>
      </c>
      <c r="AE264" s="42">
        <f>AI263</f>
        <v/>
      </c>
      <c r="AF264" s="42">
        <f>ROUND(AE264*AF$6/12,2)</f>
        <v/>
      </c>
      <c r="AG264" s="42">
        <f>MIN(AG$6,AE264+AF264)</f>
        <v/>
      </c>
      <c r="AH264" s="42">
        <f>MAX(0,MIN(AE264+AF264-AG264,AD264))</f>
        <v/>
      </c>
      <c r="AI264" s="42">
        <f>ROUND(AE264+AF264-AG264-AH264,2)</f>
        <v/>
      </c>
      <c r="AJ264">
        <f>AD264-AH264</f>
        <v/>
      </c>
      <c r="AK264" s="42">
        <f>AO263</f>
        <v/>
      </c>
      <c r="AL264" s="42">
        <f>ROUND(AK264*AL$6/12,2)</f>
        <v/>
      </c>
      <c r="AM264" s="42">
        <f>MIN(AM$6,AK264+AL264)</f>
        <v/>
      </c>
      <c r="AN264" s="42">
        <f>MAX(0,MIN(AK264+AL264-AM264,AJ264))</f>
        <v/>
      </c>
      <c r="AO264" s="42">
        <f>ROUND(AK264+AL264-AM264-AN264,2)</f>
        <v/>
      </c>
      <c r="AP264">
        <f>AJ264-AN264</f>
        <v/>
      </c>
      <c r="AQ264" s="42">
        <f>AU263</f>
        <v/>
      </c>
      <c r="AR264" s="42">
        <f>ROUND(AQ264*AR$6/12,2)</f>
        <v/>
      </c>
      <c r="AS264" s="42">
        <f>MIN(AS$6,AQ264+AR264)</f>
        <v/>
      </c>
      <c r="AT264" s="42">
        <f>MAX(0,MIN(AQ264+AR264-AS264,AP264))</f>
        <v/>
      </c>
      <c r="AU264" s="42">
        <f>ROUND(AQ264+AR264-AS264-AT264,2)</f>
        <v/>
      </c>
      <c r="AV264">
        <f>AP264-AT264</f>
        <v/>
      </c>
      <c r="AW264" s="42">
        <f>BA263</f>
        <v/>
      </c>
      <c r="AX264" s="42">
        <f>ROUND(AW264*AX$6/12,2)</f>
        <v/>
      </c>
      <c r="AY264" s="42">
        <f>MIN(AY$6,AW264+AX264)</f>
        <v/>
      </c>
      <c r="AZ264" s="42">
        <f>MAX(0,MIN(AW264+AX264-AY264,AV264))</f>
        <v/>
      </c>
      <c r="BA264" s="42">
        <f>ROUND(AW264+AX264-AY264-AZ264,2)</f>
        <v/>
      </c>
      <c r="BB264">
        <f>AV264-AZ264</f>
        <v/>
      </c>
      <c r="BC264" s="42">
        <f>BG263</f>
        <v/>
      </c>
      <c r="BD264" s="42">
        <f>ROUND(BC264*BD$6/12,2)</f>
        <v/>
      </c>
      <c r="BE264" s="42">
        <f>MIN(BE$6,BC264+BD264)</f>
        <v/>
      </c>
      <c r="BF264" s="42">
        <f>MAX(0,MIN(BC264+BD264-BE264,BB264))</f>
        <v/>
      </c>
      <c r="BG264" s="42">
        <f>ROUND(BC264+BD264-BE264-BF264,2)</f>
        <v/>
      </c>
      <c r="BH264">
        <f>BB264-BF264</f>
        <v/>
      </c>
      <c r="BI264" s="42">
        <f>BM263</f>
        <v/>
      </c>
      <c r="BJ264" s="42">
        <f>ROUND(BI264*BJ$6/12,2)</f>
        <v/>
      </c>
      <c r="BK264" s="42">
        <f>MIN(BK$6,BI264+BJ264)</f>
        <v/>
      </c>
      <c r="BL264" s="42">
        <f>MAX(0,MIN(BI264+BJ264-BK264,BH264))</f>
        <v/>
      </c>
      <c r="BM264" s="42">
        <f>ROUND(BI264+BJ264-BK264-BL264,2)</f>
        <v/>
      </c>
      <c r="BN264">
        <f>BH264-BL264</f>
        <v/>
      </c>
    </row>
    <row r="265">
      <c r="A265" s="43" t="n">
        <v>258</v>
      </c>
      <c r="B265" s="44">
        <f>EDATE('My Debts'!$C$6,A265-1)</f>
        <v/>
      </c>
      <c r="C265" s="45">
        <f>K265+Q265+W265+AC265+AI265+AO265+AU265+BA265+BG265+BM265</f>
        <v/>
      </c>
      <c r="D265" s="46">
        <f>I265+O265+U265+AA265+AG265+AM265+AS265+AY265+BE265+BK265+J265+P265+V265+AB265+AH265+AN265+AT265+AZ265+BF265+BL265</f>
        <v/>
      </c>
      <c r="E265" s="46">
        <f>H265+N265+T265+Z265+AF265+AL265+AR265+AX265+BD265+BJ265</f>
        <v/>
      </c>
      <c r="F265">
        <f>MAX(0,'My Debts'!$E$21-(I265+O265+U265+AA265+AG265+AM265+AS265+AY265+BE265+BK265))</f>
        <v/>
      </c>
      <c r="G265" s="42">
        <f>K264</f>
        <v/>
      </c>
      <c r="H265" s="42">
        <f>ROUND(G265*H$6/12,2)</f>
        <v/>
      </c>
      <c r="I265" s="42">
        <f>MIN(I$6,G265+H265)</f>
        <v/>
      </c>
      <c r="J265" s="42">
        <f>MAX(0,MIN(G265+H265-I265,$F265))</f>
        <v/>
      </c>
      <c r="K265" s="42">
        <f>ROUND(G265+H265-I265-J265,2)</f>
        <v/>
      </c>
      <c r="L265">
        <f>$F265-J265</f>
        <v/>
      </c>
      <c r="M265" s="42">
        <f>Q264</f>
        <v/>
      </c>
      <c r="N265" s="42">
        <f>ROUND(M265*N$6/12,2)</f>
        <v/>
      </c>
      <c r="O265" s="42">
        <f>MIN(O$6,M265+N265)</f>
        <v/>
      </c>
      <c r="P265" s="42">
        <f>MAX(0,MIN(M265+N265-O265,L265))</f>
        <v/>
      </c>
      <c r="Q265" s="42">
        <f>ROUND(M265+N265-O265-P265,2)</f>
        <v/>
      </c>
      <c r="R265">
        <f>L265-P265</f>
        <v/>
      </c>
      <c r="S265" s="42">
        <f>W264</f>
        <v/>
      </c>
      <c r="T265" s="42">
        <f>ROUND(S265*T$6/12,2)</f>
        <v/>
      </c>
      <c r="U265" s="42">
        <f>MIN(U$6,S265+T265)</f>
        <v/>
      </c>
      <c r="V265" s="42">
        <f>MAX(0,MIN(S265+T265-U265,R265))</f>
        <v/>
      </c>
      <c r="W265" s="42">
        <f>ROUND(S265+T265-U265-V265,2)</f>
        <v/>
      </c>
      <c r="X265">
        <f>R265-V265</f>
        <v/>
      </c>
      <c r="Y265" s="42">
        <f>AC264</f>
        <v/>
      </c>
      <c r="Z265" s="42">
        <f>ROUND(Y265*Z$6/12,2)</f>
        <v/>
      </c>
      <c r="AA265" s="42">
        <f>MIN(AA$6,Y265+Z265)</f>
        <v/>
      </c>
      <c r="AB265" s="42">
        <f>MAX(0,MIN(Y265+Z265-AA265,X265))</f>
        <v/>
      </c>
      <c r="AC265" s="42">
        <f>ROUND(Y265+Z265-AA265-AB265,2)</f>
        <v/>
      </c>
      <c r="AD265">
        <f>X265-AB265</f>
        <v/>
      </c>
      <c r="AE265" s="42">
        <f>AI264</f>
        <v/>
      </c>
      <c r="AF265" s="42">
        <f>ROUND(AE265*AF$6/12,2)</f>
        <v/>
      </c>
      <c r="AG265" s="42">
        <f>MIN(AG$6,AE265+AF265)</f>
        <v/>
      </c>
      <c r="AH265" s="42">
        <f>MAX(0,MIN(AE265+AF265-AG265,AD265))</f>
        <v/>
      </c>
      <c r="AI265" s="42">
        <f>ROUND(AE265+AF265-AG265-AH265,2)</f>
        <v/>
      </c>
      <c r="AJ265">
        <f>AD265-AH265</f>
        <v/>
      </c>
      <c r="AK265" s="42">
        <f>AO264</f>
        <v/>
      </c>
      <c r="AL265" s="42">
        <f>ROUND(AK265*AL$6/12,2)</f>
        <v/>
      </c>
      <c r="AM265" s="42">
        <f>MIN(AM$6,AK265+AL265)</f>
        <v/>
      </c>
      <c r="AN265" s="42">
        <f>MAX(0,MIN(AK265+AL265-AM265,AJ265))</f>
        <v/>
      </c>
      <c r="AO265" s="42">
        <f>ROUND(AK265+AL265-AM265-AN265,2)</f>
        <v/>
      </c>
      <c r="AP265">
        <f>AJ265-AN265</f>
        <v/>
      </c>
      <c r="AQ265" s="42">
        <f>AU264</f>
        <v/>
      </c>
      <c r="AR265" s="42">
        <f>ROUND(AQ265*AR$6/12,2)</f>
        <v/>
      </c>
      <c r="AS265" s="42">
        <f>MIN(AS$6,AQ265+AR265)</f>
        <v/>
      </c>
      <c r="AT265" s="42">
        <f>MAX(0,MIN(AQ265+AR265-AS265,AP265))</f>
        <v/>
      </c>
      <c r="AU265" s="42">
        <f>ROUND(AQ265+AR265-AS265-AT265,2)</f>
        <v/>
      </c>
      <c r="AV265">
        <f>AP265-AT265</f>
        <v/>
      </c>
      <c r="AW265" s="42">
        <f>BA264</f>
        <v/>
      </c>
      <c r="AX265" s="42">
        <f>ROUND(AW265*AX$6/12,2)</f>
        <v/>
      </c>
      <c r="AY265" s="42">
        <f>MIN(AY$6,AW265+AX265)</f>
        <v/>
      </c>
      <c r="AZ265" s="42">
        <f>MAX(0,MIN(AW265+AX265-AY265,AV265))</f>
        <v/>
      </c>
      <c r="BA265" s="42">
        <f>ROUND(AW265+AX265-AY265-AZ265,2)</f>
        <v/>
      </c>
      <c r="BB265">
        <f>AV265-AZ265</f>
        <v/>
      </c>
      <c r="BC265" s="42">
        <f>BG264</f>
        <v/>
      </c>
      <c r="BD265" s="42">
        <f>ROUND(BC265*BD$6/12,2)</f>
        <v/>
      </c>
      <c r="BE265" s="42">
        <f>MIN(BE$6,BC265+BD265)</f>
        <v/>
      </c>
      <c r="BF265" s="42">
        <f>MAX(0,MIN(BC265+BD265-BE265,BB265))</f>
        <v/>
      </c>
      <c r="BG265" s="42">
        <f>ROUND(BC265+BD265-BE265-BF265,2)</f>
        <v/>
      </c>
      <c r="BH265">
        <f>BB265-BF265</f>
        <v/>
      </c>
      <c r="BI265" s="42">
        <f>BM264</f>
        <v/>
      </c>
      <c r="BJ265" s="42">
        <f>ROUND(BI265*BJ$6/12,2)</f>
        <v/>
      </c>
      <c r="BK265" s="42">
        <f>MIN(BK$6,BI265+BJ265)</f>
        <v/>
      </c>
      <c r="BL265" s="42">
        <f>MAX(0,MIN(BI265+BJ265-BK265,BH265))</f>
        <v/>
      </c>
      <c r="BM265" s="42">
        <f>ROUND(BI265+BJ265-BK265-BL265,2)</f>
        <v/>
      </c>
      <c r="BN265">
        <f>BH265-BL265</f>
        <v/>
      </c>
    </row>
    <row r="266">
      <c r="A266" s="39" t="n">
        <v>259</v>
      </c>
      <c r="B266" s="40">
        <f>EDATE('My Debts'!$C$6,A266-1)</f>
        <v/>
      </c>
      <c r="C266" s="41">
        <f>K266+Q266+W266+AC266+AI266+AO266+AU266+BA266+BG266+BM266</f>
        <v/>
      </c>
      <c r="D266" s="42">
        <f>I266+O266+U266+AA266+AG266+AM266+AS266+AY266+BE266+BK266+J266+P266+V266+AB266+AH266+AN266+AT266+AZ266+BF266+BL266</f>
        <v/>
      </c>
      <c r="E266" s="42">
        <f>H266+N266+T266+Z266+AF266+AL266+AR266+AX266+BD266+BJ266</f>
        <v/>
      </c>
      <c r="F266">
        <f>MAX(0,'My Debts'!$E$21-(I266+O266+U266+AA266+AG266+AM266+AS266+AY266+BE266+BK266))</f>
        <v/>
      </c>
      <c r="G266" s="42">
        <f>K265</f>
        <v/>
      </c>
      <c r="H266" s="42">
        <f>ROUND(G266*H$6/12,2)</f>
        <v/>
      </c>
      <c r="I266" s="42">
        <f>MIN(I$6,G266+H266)</f>
        <v/>
      </c>
      <c r="J266" s="42">
        <f>MAX(0,MIN(G266+H266-I266,$F266))</f>
        <v/>
      </c>
      <c r="K266" s="42">
        <f>ROUND(G266+H266-I266-J266,2)</f>
        <v/>
      </c>
      <c r="L266">
        <f>$F266-J266</f>
        <v/>
      </c>
      <c r="M266" s="42">
        <f>Q265</f>
        <v/>
      </c>
      <c r="N266" s="42">
        <f>ROUND(M266*N$6/12,2)</f>
        <v/>
      </c>
      <c r="O266" s="42">
        <f>MIN(O$6,M266+N266)</f>
        <v/>
      </c>
      <c r="P266" s="42">
        <f>MAX(0,MIN(M266+N266-O266,L266))</f>
        <v/>
      </c>
      <c r="Q266" s="42">
        <f>ROUND(M266+N266-O266-P266,2)</f>
        <v/>
      </c>
      <c r="R266">
        <f>L266-P266</f>
        <v/>
      </c>
      <c r="S266" s="42">
        <f>W265</f>
        <v/>
      </c>
      <c r="T266" s="42">
        <f>ROUND(S266*T$6/12,2)</f>
        <v/>
      </c>
      <c r="U266" s="42">
        <f>MIN(U$6,S266+T266)</f>
        <v/>
      </c>
      <c r="V266" s="42">
        <f>MAX(0,MIN(S266+T266-U266,R266))</f>
        <v/>
      </c>
      <c r="W266" s="42">
        <f>ROUND(S266+T266-U266-V266,2)</f>
        <v/>
      </c>
      <c r="X266">
        <f>R266-V266</f>
        <v/>
      </c>
      <c r="Y266" s="42">
        <f>AC265</f>
        <v/>
      </c>
      <c r="Z266" s="42">
        <f>ROUND(Y266*Z$6/12,2)</f>
        <v/>
      </c>
      <c r="AA266" s="42">
        <f>MIN(AA$6,Y266+Z266)</f>
        <v/>
      </c>
      <c r="AB266" s="42">
        <f>MAX(0,MIN(Y266+Z266-AA266,X266))</f>
        <v/>
      </c>
      <c r="AC266" s="42">
        <f>ROUND(Y266+Z266-AA266-AB266,2)</f>
        <v/>
      </c>
      <c r="AD266">
        <f>X266-AB266</f>
        <v/>
      </c>
      <c r="AE266" s="42">
        <f>AI265</f>
        <v/>
      </c>
      <c r="AF266" s="42">
        <f>ROUND(AE266*AF$6/12,2)</f>
        <v/>
      </c>
      <c r="AG266" s="42">
        <f>MIN(AG$6,AE266+AF266)</f>
        <v/>
      </c>
      <c r="AH266" s="42">
        <f>MAX(0,MIN(AE266+AF266-AG266,AD266))</f>
        <v/>
      </c>
      <c r="AI266" s="42">
        <f>ROUND(AE266+AF266-AG266-AH266,2)</f>
        <v/>
      </c>
      <c r="AJ266">
        <f>AD266-AH266</f>
        <v/>
      </c>
      <c r="AK266" s="42">
        <f>AO265</f>
        <v/>
      </c>
      <c r="AL266" s="42">
        <f>ROUND(AK266*AL$6/12,2)</f>
        <v/>
      </c>
      <c r="AM266" s="42">
        <f>MIN(AM$6,AK266+AL266)</f>
        <v/>
      </c>
      <c r="AN266" s="42">
        <f>MAX(0,MIN(AK266+AL266-AM266,AJ266))</f>
        <v/>
      </c>
      <c r="AO266" s="42">
        <f>ROUND(AK266+AL266-AM266-AN266,2)</f>
        <v/>
      </c>
      <c r="AP266">
        <f>AJ266-AN266</f>
        <v/>
      </c>
      <c r="AQ266" s="42">
        <f>AU265</f>
        <v/>
      </c>
      <c r="AR266" s="42">
        <f>ROUND(AQ266*AR$6/12,2)</f>
        <v/>
      </c>
      <c r="AS266" s="42">
        <f>MIN(AS$6,AQ266+AR266)</f>
        <v/>
      </c>
      <c r="AT266" s="42">
        <f>MAX(0,MIN(AQ266+AR266-AS266,AP266))</f>
        <v/>
      </c>
      <c r="AU266" s="42">
        <f>ROUND(AQ266+AR266-AS266-AT266,2)</f>
        <v/>
      </c>
      <c r="AV266">
        <f>AP266-AT266</f>
        <v/>
      </c>
      <c r="AW266" s="42">
        <f>BA265</f>
        <v/>
      </c>
      <c r="AX266" s="42">
        <f>ROUND(AW266*AX$6/12,2)</f>
        <v/>
      </c>
      <c r="AY266" s="42">
        <f>MIN(AY$6,AW266+AX266)</f>
        <v/>
      </c>
      <c r="AZ266" s="42">
        <f>MAX(0,MIN(AW266+AX266-AY266,AV266))</f>
        <v/>
      </c>
      <c r="BA266" s="42">
        <f>ROUND(AW266+AX266-AY266-AZ266,2)</f>
        <v/>
      </c>
      <c r="BB266">
        <f>AV266-AZ266</f>
        <v/>
      </c>
      <c r="BC266" s="42">
        <f>BG265</f>
        <v/>
      </c>
      <c r="BD266" s="42">
        <f>ROUND(BC266*BD$6/12,2)</f>
        <v/>
      </c>
      <c r="BE266" s="42">
        <f>MIN(BE$6,BC266+BD266)</f>
        <v/>
      </c>
      <c r="BF266" s="42">
        <f>MAX(0,MIN(BC266+BD266-BE266,BB266))</f>
        <v/>
      </c>
      <c r="BG266" s="42">
        <f>ROUND(BC266+BD266-BE266-BF266,2)</f>
        <v/>
      </c>
      <c r="BH266">
        <f>BB266-BF266</f>
        <v/>
      </c>
      <c r="BI266" s="42">
        <f>BM265</f>
        <v/>
      </c>
      <c r="BJ266" s="42">
        <f>ROUND(BI266*BJ$6/12,2)</f>
        <v/>
      </c>
      <c r="BK266" s="42">
        <f>MIN(BK$6,BI266+BJ266)</f>
        <v/>
      </c>
      <c r="BL266" s="42">
        <f>MAX(0,MIN(BI266+BJ266-BK266,BH266))</f>
        <v/>
      </c>
      <c r="BM266" s="42">
        <f>ROUND(BI266+BJ266-BK266-BL266,2)</f>
        <v/>
      </c>
      <c r="BN266">
        <f>BH266-BL266</f>
        <v/>
      </c>
    </row>
    <row r="267">
      <c r="A267" s="43" t="n">
        <v>260</v>
      </c>
      <c r="B267" s="44">
        <f>EDATE('My Debts'!$C$6,A267-1)</f>
        <v/>
      </c>
      <c r="C267" s="45">
        <f>K267+Q267+W267+AC267+AI267+AO267+AU267+BA267+BG267+BM267</f>
        <v/>
      </c>
      <c r="D267" s="46">
        <f>I267+O267+U267+AA267+AG267+AM267+AS267+AY267+BE267+BK267+J267+P267+V267+AB267+AH267+AN267+AT267+AZ267+BF267+BL267</f>
        <v/>
      </c>
      <c r="E267" s="46">
        <f>H267+N267+T267+Z267+AF267+AL267+AR267+AX267+BD267+BJ267</f>
        <v/>
      </c>
      <c r="F267">
        <f>MAX(0,'My Debts'!$E$21-(I267+O267+U267+AA267+AG267+AM267+AS267+AY267+BE267+BK267))</f>
        <v/>
      </c>
      <c r="G267" s="42">
        <f>K266</f>
        <v/>
      </c>
      <c r="H267" s="42">
        <f>ROUND(G267*H$6/12,2)</f>
        <v/>
      </c>
      <c r="I267" s="42">
        <f>MIN(I$6,G267+H267)</f>
        <v/>
      </c>
      <c r="J267" s="42">
        <f>MAX(0,MIN(G267+H267-I267,$F267))</f>
        <v/>
      </c>
      <c r="K267" s="42">
        <f>ROUND(G267+H267-I267-J267,2)</f>
        <v/>
      </c>
      <c r="L267">
        <f>$F267-J267</f>
        <v/>
      </c>
      <c r="M267" s="42">
        <f>Q266</f>
        <v/>
      </c>
      <c r="N267" s="42">
        <f>ROUND(M267*N$6/12,2)</f>
        <v/>
      </c>
      <c r="O267" s="42">
        <f>MIN(O$6,M267+N267)</f>
        <v/>
      </c>
      <c r="P267" s="42">
        <f>MAX(0,MIN(M267+N267-O267,L267))</f>
        <v/>
      </c>
      <c r="Q267" s="42">
        <f>ROUND(M267+N267-O267-P267,2)</f>
        <v/>
      </c>
      <c r="R267">
        <f>L267-P267</f>
        <v/>
      </c>
      <c r="S267" s="42">
        <f>W266</f>
        <v/>
      </c>
      <c r="T267" s="42">
        <f>ROUND(S267*T$6/12,2)</f>
        <v/>
      </c>
      <c r="U267" s="42">
        <f>MIN(U$6,S267+T267)</f>
        <v/>
      </c>
      <c r="V267" s="42">
        <f>MAX(0,MIN(S267+T267-U267,R267))</f>
        <v/>
      </c>
      <c r="W267" s="42">
        <f>ROUND(S267+T267-U267-V267,2)</f>
        <v/>
      </c>
      <c r="X267">
        <f>R267-V267</f>
        <v/>
      </c>
      <c r="Y267" s="42">
        <f>AC266</f>
        <v/>
      </c>
      <c r="Z267" s="42">
        <f>ROUND(Y267*Z$6/12,2)</f>
        <v/>
      </c>
      <c r="AA267" s="42">
        <f>MIN(AA$6,Y267+Z267)</f>
        <v/>
      </c>
      <c r="AB267" s="42">
        <f>MAX(0,MIN(Y267+Z267-AA267,X267))</f>
        <v/>
      </c>
      <c r="AC267" s="42">
        <f>ROUND(Y267+Z267-AA267-AB267,2)</f>
        <v/>
      </c>
      <c r="AD267">
        <f>X267-AB267</f>
        <v/>
      </c>
      <c r="AE267" s="42">
        <f>AI266</f>
        <v/>
      </c>
      <c r="AF267" s="42">
        <f>ROUND(AE267*AF$6/12,2)</f>
        <v/>
      </c>
      <c r="AG267" s="42">
        <f>MIN(AG$6,AE267+AF267)</f>
        <v/>
      </c>
      <c r="AH267" s="42">
        <f>MAX(0,MIN(AE267+AF267-AG267,AD267))</f>
        <v/>
      </c>
      <c r="AI267" s="42">
        <f>ROUND(AE267+AF267-AG267-AH267,2)</f>
        <v/>
      </c>
      <c r="AJ267">
        <f>AD267-AH267</f>
        <v/>
      </c>
      <c r="AK267" s="42">
        <f>AO266</f>
        <v/>
      </c>
      <c r="AL267" s="42">
        <f>ROUND(AK267*AL$6/12,2)</f>
        <v/>
      </c>
      <c r="AM267" s="42">
        <f>MIN(AM$6,AK267+AL267)</f>
        <v/>
      </c>
      <c r="AN267" s="42">
        <f>MAX(0,MIN(AK267+AL267-AM267,AJ267))</f>
        <v/>
      </c>
      <c r="AO267" s="42">
        <f>ROUND(AK267+AL267-AM267-AN267,2)</f>
        <v/>
      </c>
      <c r="AP267">
        <f>AJ267-AN267</f>
        <v/>
      </c>
      <c r="AQ267" s="42">
        <f>AU266</f>
        <v/>
      </c>
      <c r="AR267" s="42">
        <f>ROUND(AQ267*AR$6/12,2)</f>
        <v/>
      </c>
      <c r="AS267" s="42">
        <f>MIN(AS$6,AQ267+AR267)</f>
        <v/>
      </c>
      <c r="AT267" s="42">
        <f>MAX(0,MIN(AQ267+AR267-AS267,AP267))</f>
        <v/>
      </c>
      <c r="AU267" s="42">
        <f>ROUND(AQ267+AR267-AS267-AT267,2)</f>
        <v/>
      </c>
      <c r="AV267">
        <f>AP267-AT267</f>
        <v/>
      </c>
      <c r="AW267" s="42">
        <f>BA266</f>
        <v/>
      </c>
      <c r="AX267" s="42">
        <f>ROUND(AW267*AX$6/12,2)</f>
        <v/>
      </c>
      <c r="AY267" s="42">
        <f>MIN(AY$6,AW267+AX267)</f>
        <v/>
      </c>
      <c r="AZ267" s="42">
        <f>MAX(0,MIN(AW267+AX267-AY267,AV267))</f>
        <v/>
      </c>
      <c r="BA267" s="42">
        <f>ROUND(AW267+AX267-AY267-AZ267,2)</f>
        <v/>
      </c>
      <c r="BB267">
        <f>AV267-AZ267</f>
        <v/>
      </c>
      <c r="BC267" s="42">
        <f>BG266</f>
        <v/>
      </c>
      <c r="BD267" s="42">
        <f>ROUND(BC267*BD$6/12,2)</f>
        <v/>
      </c>
      <c r="BE267" s="42">
        <f>MIN(BE$6,BC267+BD267)</f>
        <v/>
      </c>
      <c r="BF267" s="42">
        <f>MAX(0,MIN(BC267+BD267-BE267,BB267))</f>
        <v/>
      </c>
      <c r="BG267" s="42">
        <f>ROUND(BC267+BD267-BE267-BF267,2)</f>
        <v/>
      </c>
      <c r="BH267">
        <f>BB267-BF267</f>
        <v/>
      </c>
      <c r="BI267" s="42">
        <f>BM266</f>
        <v/>
      </c>
      <c r="BJ267" s="42">
        <f>ROUND(BI267*BJ$6/12,2)</f>
        <v/>
      </c>
      <c r="BK267" s="42">
        <f>MIN(BK$6,BI267+BJ267)</f>
        <v/>
      </c>
      <c r="BL267" s="42">
        <f>MAX(0,MIN(BI267+BJ267-BK267,BH267))</f>
        <v/>
      </c>
      <c r="BM267" s="42">
        <f>ROUND(BI267+BJ267-BK267-BL267,2)</f>
        <v/>
      </c>
      <c r="BN267">
        <f>BH267-BL267</f>
        <v/>
      </c>
    </row>
    <row r="268">
      <c r="A268" s="39" t="n">
        <v>261</v>
      </c>
      <c r="B268" s="40">
        <f>EDATE('My Debts'!$C$6,A268-1)</f>
        <v/>
      </c>
      <c r="C268" s="41">
        <f>K268+Q268+W268+AC268+AI268+AO268+AU268+BA268+BG268+BM268</f>
        <v/>
      </c>
      <c r="D268" s="42">
        <f>I268+O268+U268+AA268+AG268+AM268+AS268+AY268+BE268+BK268+J268+P268+V268+AB268+AH268+AN268+AT268+AZ268+BF268+BL268</f>
        <v/>
      </c>
      <c r="E268" s="42">
        <f>H268+N268+T268+Z268+AF268+AL268+AR268+AX268+BD268+BJ268</f>
        <v/>
      </c>
      <c r="F268">
        <f>MAX(0,'My Debts'!$E$21-(I268+O268+U268+AA268+AG268+AM268+AS268+AY268+BE268+BK268))</f>
        <v/>
      </c>
      <c r="G268" s="42">
        <f>K267</f>
        <v/>
      </c>
      <c r="H268" s="42">
        <f>ROUND(G268*H$6/12,2)</f>
        <v/>
      </c>
      <c r="I268" s="42">
        <f>MIN(I$6,G268+H268)</f>
        <v/>
      </c>
      <c r="J268" s="42">
        <f>MAX(0,MIN(G268+H268-I268,$F268))</f>
        <v/>
      </c>
      <c r="K268" s="42">
        <f>ROUND(G268+H268-I268-J268,2)</f>
        <v/>
      </c>
      <c r="L268">
        <f>$F268-J268</f>
        <v/>
      </c>
      <c r="M268" s="42">
        <f>Q267</f>
        <v/>
      </c>
      <c r="N268" s="42">
        <f>ROUND(M268*N$6/12,2)</f>
        <v/>
      </c>
      <c r="O268" s="42">
        <f>MIN(O$6,M268+N268)</f>
        <v/>
      </c>
      <c r="P268" s="42">
        <f>MAX(0,MIN(M268+N268-O268,L268))</f>
        <v/>
      </c>
      <c r="Q268" s="42">
        <f>ROUND(M268+N268-O268-P268,2)</f>
        <v/>
      </c>
      <c r="R268">
        <f>L268-P268</f>
        <v/>
      </c>
      <c r="S268" s="42">
        <f>W267</f>
        <v/>
      </c>
      <c r="T268" s="42">
        <f>ROUND(S268*T$6/12,2)</f>
        <v/>
      </c>
      <c r="U268" s="42">
        <f>MIN(U$6,S268+T268)</f>
        <v/>
      </c>
      <c r="V268" s="42">
        <f>MAX(0,MIN(S268+T268-U268,R268))</f>
        <v/>
      </c>
      <c r="W268" s="42">
        <f>ROUND(S268+T268-U268-V268,2)</f>
        <v/>
      </c>
      <c r="X268">
        <f>R268-V268</f>
        <v/>
      </c>
      <c r="Y268" s="42">
        <f>AC267</f>
        <v/>
      </c>
      <c r="Z268" s="42">
        <f>ROUND(Y268*Z$6/12,2)</f>
        <v/>
      </c>
      <c r="AA268" s="42">
        <f>MIN(AA$6,Y268+Z268)</f>
        <v/>
      </c>
      <c r="AB268" s="42">
        <f>MAX(0,MIN(Y268+Z268-AA268,X268))</f>
        <v/>
      </c>
      <c r="AC268" s="42">
        <f>ROUND(Y268+Z268-AA268-AB268,2)</f>
        <v/>
      </c>
      <c r="AD268">
        <f>X268-AB268</f>
        <v/>
      </c>
      <c r="AE268" s="42">
        <f>AI267</f>
        <v/>
      </c>
      <c r="AF268" s="42">
        <f>ROUND(AE268*AF$6/12,2)</f>
        <v/>
      </c>
      <c r="AG268" s="42">
        <f>MIN(AG$6,AE268+AF268)</f>
        <v/>
      </c>
      <c r="AH268" s="42">
        <f>MAX(0,MIN(AE268+AF268-AG268,AD268))</f>
        <v/>
      </c>
      <c r="AI268" s="42">
        <f>ROUND(AE268+AF268-AG268-AH268,2)</f>
        <v/>
      </c>
      <c r="AJ268">
        <f>AD268-AH268</f>
        <v/>
      </c>
      <c r="AK268" s="42">
        <f>AO267</f>
        <v/>
      </c>
      <c r="AL268" s="42">
        <f>ROUND(AK268*AL$6/12,2)</f>
        <v/>
      </c>
      <c r="AM268" s="42">
        <f>MIN(AM$6,AK268+AL268)</f>
        <v/>
      </c>
      <c r="AN268" s="42">
        <f>MAX(0,MIN(AK268+AL268-AM268,AJ268))</f>
        <v/>
      </c>
      <c r="AO268" s="42">
        <f>ROUND(AK268+AL268-AM268-AN268,2)</f>
        <v/>
      </c>
      <c r="AP268">
        <f>AJ268-AN268</f>
        <v/>
      </c>
      <c r="AQ268" s="42">
        <f>AU267</f>
        <v/>
      </c>
      <c r="AR268" s="42">
        <f>ROUND(AQ268*AR$6/12,2)</f>
        <v/>
      </c>
      <c r="AS268" s="42">
        <f>MIN(AS$6,AQ268+AR268)</f>
        <v/>
      </c>
      <c r="AT268" s="42">
        <f>MAX(0,MIN(AQ268+AR268-AS268,AP268))</f>
        <v/>
      </c>
      <c r="AU268" s="42">
        <f>ROUND(AQ268+AR268-AS268-AT268,2)</f>
        <v/>
      </c>
      <c r="AV268">
        <f>AP268-AT268</f>
        <v/>
      </c>
      <c r="AW268" s="42">
        <f>BA267</f>
        <v/>
      </c>
      <c r="AX268" s="42">
        <f>ROUND(AW268*AX$6/12,2)</f>
        <v/>
      </c>
      <c r="AY268" s="42">
        <f>MIN(AY$6,AW268+AX268)</f>
        <v/>
      </c>
      <c r="AZ268" s="42">
        <f>MAX(0,MIN(AW268+AX268-AY268,AV268))</f>
        <v/>
      </c>
      <c r="BA268" s="42">
        <f>ROUND(AW268+AX268-AY268-AZ268,2)</f>
        <v/>
      </c>
      <c r="BB268">
        <f>AV268-AZ268</f>
        <v/>
      </c>
      <c r="BC268" s="42">
        <f>BG267</f>
        <v/>
      </c>
      <c r="BD268" s="42">
        <f>ROUND(BC268*BD$6/12,2)</f>
        <v/>
      </c>
      <c r="BE268" s="42">
        <f>MIN(BE$6,BC268+BD268)</f>
        <v/>
      </c>
      <c r="BF268" s="42">
        <f>MAX(0,MIN(BC268+BD268-BE268,BB268))</f>
        <v/>
      </c>
      <c r="BG268" s="42">
        <f>ROUND(BC268+BD268-BE268-BF268,2)</f>
        <v/>
      </c>
      <c r="BH268">
        <f>BB268-BF268</f>
        <v/>
      </c>
      <c r="BI268" s="42">
        <f>BM267</f>
        <v/>
      </c>
      <c r="BJ268" s="42">
        <f>ROUND(BI268*BJ$6/12,2)</f>
        <v/>
      </c>
      <c r="BK268" s="42">
        <f>MIN(BK$6,BI268+BJ268)</f>
        <v/>
      </c>
      <c r="BL268" s="42">
        <f>MAX(0,MIN(BI268+BJ268-BK268,BH268))</f>
        <v/>
      </c>
      <c r="BM268" s="42">
        <f>ROUND(BI268+BJ268-BK268-BL268,2)</f>
        <v/>
      </c>
      <c r="BN268">
        <f>BH268-BL268</f>
        <v/>
      </c>
    </row>
    <row r="269">
      <c r="A269" s="43" t="n">
        <v>262</v>
      </c>
      <c r="B269" s="44">
        <f>EDATE('My Debts'!$C$6,A269-1)</f>
        <v/>
      </c>
      <c r="C269" s="45">
        <f>K269+Q269+W269+AC269+AI269+AO269+AU269+BA269+BG269+BM269</f>
        <v/>
      </c>
      <c r="D269" s="46">
        <f>I269+O269+U269+AA269+AG269+AM269+AS269+AY269+BE269+BK269+J269+P269+V269+AB269+AH269+AN269+AT269+AZ269+BF269+BL269</f>
        <v/>
      </c>
      <c r="E269" s="46">
        <f>H269+N269+T269+Z269+AF269+AL269+AR269+AX269+BD269+BJ269</f>
        <v/>
      </c>
      <c r="F269">
        <f>MAX(0,'My Debts'!$E$21-(I269+O269+U269+AA269+AG269+AM269+AS269+AY269+BE269+BK269))</f>
        <v/>
      </c>
      <c r="G269" s="42">
        <f>K268</f>
        <v/>
      </c>
      <c r="H269" s="42">
        <f>ROUND(G269*H$6/12,2)</f>
        <v/>
      </c>
      <c r="I269" s="42">
        <f>MIN(I$6,G269+H269)</f>
        <v/>
      </c>
      <c r="J269" s="42">
        <f>MAX(0,MIN(G269+H269-I269,$F269))</f>
        <v/>
      </c>
      <c r="K269" s="42">
        <f>ROUND(G269+H269-I269-J269,2)</f>
        <v/>
      </c>
      <c r="L269">
        <f>$F269-J269</f>
        <v/>
      </c>
      <c r="M269" s="42">
        <f>Q268</f>
        <v/>
      </c>
      <c r="N269" s="42">
        <f>ROUND(M269*N$6/12,2)</f>
        <v/>
      </c>
      <c r="O269" s="42">
        <f>MIN(O$6,M269+N269)</f>
        <v/>
      </c>
      <c r="P269" s="42">
        <f>MAX(0,MIN(M269+N269-O269,L269))</f>
        <v/>
      </c>
      <c r="Q269" s="42">
        <f>ROUND(M269+N269-O269-P269,2)</f>
        <v/>
      </c>
      <c r="R269">
        <f>L269-P269</f>
        <v/>
      </c>
      <c r="S269" s="42">
        <f>W268</f>
        <v/>
      </c>
      <c r="T269" s="42">
        <f>ROUND(S269*T$6/12,2)</f>
        <v/>
      </c>
      <c r="U269" s="42">
        <f>MIN(U$6,S269+T269)</f>
        <v/>
      </c>
      <c r="V269" s="42">
        <f>MAX(0,MIN(S269+T269-U269,R269))</f>
        <v/>
      </c>
      <c r="W269" s="42">
        <f>ROUND(S269+T269-U269-V269,2)</f>
        <v/>
      </c>
      <c r="X269">
        <f>R269-V269</f>
        <v/>
      </c>
      <c r="Y269" s="42">
        <f>AC268</f>
        <v/>
      </c>
      <c r="Z269" s="42">
        <f>ROUND(Y269*Z$6/12,2)</f>
        <v/>
      </c>
      <c r="AA269" s="42">
        <f>MIN(AA$6,Y269+Z269)</f>
        <v/>
      </c>
      <c r="AB269" s="42">
        <f>MAX(0,MIN(Y269+Z269-AA269,X269))</f>
        <v/>
      </c>
      <c r="AC269" s="42">
        <f>ROUND(Y269+Z269-AA269-AB269,2)</f>
        <v/>
      </c>
      <c r="AD269">
        <f>X269-AB269</f>
        <v/>
      </c>
      <c r="AE269" s="42">
        <f>AI268</f>
        <v/>
      </c>
      <c r="AF269" s="42">
        <f>ROUND(AE269*AF$6/12,2)</f>
        <v/>
      </c>
      <c r="AG269" s="42">
        <f>MIN(AG$6,AE269+AF269)</f>
        <v/>
      </c>
      <c r="AH269" s="42">
        <f>MAX(0,MIN(AE269+AF269-AG269,AD269))</f>
        <v/>
      </c>
      <c r="AI269" s="42">
        <f>ROUND(AE269+AF269-AG269-AH269,2)</f>
        <v/>
      </c>
      <c r="AJ269">
        <f>AD269-AH269</f>
        <v/>
      </c>
      <c r="AK269" s="42">
        <f>AO268</f>
        <v/>
      </c>
      <c r="AL269" s="42">
        <f>ROUND(AK269*AL$6/12,2)</f>
        <v/>
      </c>
      <c r="AM269" s="42">
        <f>MIN(AM$6,AK269+AL269)</f>
        <v/>
      </c>
      <c r="AN269" s="42">
        <f>MAX(0,MIN(AK269+AL269-AM269,AJ269))</f>
        <v/>
      </c>
      <c r="AO269" s="42">
        <f>ROUND(AK269+AL269-AM269-AN269,2)</f>
        <v/>
      </c>
      <c r="AP269">
        <f>AJ269-AN269</f>
        <v/>
      </c>
      <c r="AQ269" s="42">
        <f>AU268</f>
        <v/>
      </c>
      <c r="AR269" s="42">
        <f>ROUND(AQ269*AR$6/12,2)</f>
        <v/>
      </c>
      <c r="AS269" s="42">
        <f>MIN(AS$6,AQ269+AR269)</f>
        <v/>
      </c>
      <c r="AT269" s="42">
        <f>MAX(0,MIN(AQ269+AR269-AS269,AP269))</f>
        <v/>
      </c>
      <c r="AU269" s="42">
        <f>ROUND(AQ269+AR269-AS269-AT269,2)</f>
        <v/>
      </c>
      <c r="AV269">
        <f>AP269-AT269</f>
        <v/>
      </c>
      <c r="AW269" s="42">
        <f>BA268</f>
        <v/>
      </c>
      <c r="AX269" s="42">
        <f>ROUND(AW269*AX$6/12,2)</f>
        <v/>
      </c>
      <c r="AY269" s="42">
        <f>MIN(AY$6,AW269+AX269)</f>
        <v/>
      </c>
      <c r="AZ269" s="42">
        <f>MAX(0,MIN(AW269+AX269-AY269,AV269))</f>
        <v/>
      </c>
      <c r="BA269" s="42">
        <f>ROUND(AW269+AX269-AY269-AZ269,2)</f>
        <v/>
      </c>
      <c r="BB269">
        <f>AV269-AZ269</f>
        <v/>
      </c>
      <c r="BC269" s="42">
        <f>BG268</f>
        <v/>
      </c>
      <c r="BD269" s="42">
        <f>ROUND(BC269*BD$6/12,2)</f>
        <v/>
      </c>
      <c r="BE269" s="42">
        <f>MIN(BE$6,BC269+BD269)</f>
        <v/>
      </c>
      <c r="BF269" s="42">
        <f>MAX(0,MIN(BC269+BD269-BE269,BB269))</f>
        <v/>
      </c>
      <c r="BG269" s="42">
        <f>ROUND(BC269+BD269-BE269-BF269,2)</f>
        <v/>
      </c>
      <c r="BH269">
        <f>BB269-BF269</f>
        <v/>
      </c>
      <c r="BI269" s="42">
        <f>BM268</f>
        <v/>
      </c>
      <c r="BJ269" s="42">
        <f>ROUND(BI269*BJ$6/12,2)</f>
        <v/>
      </c>
      <c r="BK269" s="42">
        <f>MIN(BK$6,BI269+BJ269)</f>
        <v/>
      </c>
      <c r="BL269" s="42">
        <f>MAX(0,MIN(BI269+BJ269-BK269,BH269))</f>
        <v/>
      </c>
      <c r="BM269" s="42">
        <f>ROUND(BI269+BJ269-BK269-BL269,2)</f>
        <v/>
      </c>
      <c r="BN269">
        <f>BH269-BL269</f>
        <v/>
      </c>
    </row>
    <row r="270">
      <c r="A270" s="39" t="n">
        <v>263</v>
      </c>
      <c r="B270" s="40">
        <f>EDATE('My Debts'!$C$6,A270-1)</f>
        <v/>
      </c>
      <c r="C270" s="41">
        <f>K270+Q270+W270+AC270+AI270+AO270+AU270+BA270+BG270+BM270</f>
        <v/>
      </c>
      <c r="D270" s="42">
        <f>I270+O270+U270+AA270+AG270+AM270+AS270+AY270+BE270+BK270+J270+P270+V270+AB270+AH270+AN270+AT270+AZ270+BF270+BL270</f>
        <v/>
      </c>
      <c r="E270" s="42">
        <f>H270+N270+T270+Z270+AF270+AL270+AR270+AX270+BD270+BJ270</f>
        <v/>
      </c>
      <c r="F270">
        <f>MAX(0,'My Debts'!$E$21-(I270+O270+U270+AA270+AG270+AM270+AS270+AY270+BE270+BK270))</f>
        <v/>
      </c>
      <c r="G270" s="42">
        <f>K269</f>
        <v/>
      </c>
      <c r="H270" s="42">
        <f>ROUND(G270*H$6/12,2)</f>
        <v/>
      </c>
      <c r="I270" s="42">
        <f>MIN(I$6,G270+H270)</f>
        <v/>
      </c>
      <c r="J270" s="42">
        <f>MAX(0,MIN(G270+H270-I270,$F270))</f>
        <v/>
      </c>
      <c r="K270" s="42">
        <f>ROUND(G270+H270-I270-J270,2)</f>
        <v/>
      </c>
      <c r="L270">
        <f>$F270-J270</f>
        <v/>
      </c>
      <c r="M270" s="42">
        <f>Q269</f>
        <v/>
      </c>
      <c r="N270" s="42">
        <f>ROUND(M270*N$6/12,2)</f>
        <v/>
      </c>
      <c r="O270" s="42">
        <f>MIN(O$6,M270+N270)</f>
        <v/>
      </c>
      <c r="P270" s="42">
        <f>MAX(0,MIN(M270+N270-O270,L270))</f>
        <v/>
      </c>
      <c r="Q270" s="42">
        <f>ROUND(M270+N270-O270-P270,2)</f>
        <v/>
      </c>
      <c r="R270">
        <f>L270-P270</f>
        <v/>
      </c>
      <c r="S270" s="42">
        <f>W269</f>
        <v/>
      </c>
      <c r="T270" s="42">
        <f>ROUND(S270*T$6/12,2)</f>
        <v/>
      </c>
      <c r="U270" s="42">
        <f>MIN(U$6,S270+T270)</f>
        <v/>
      </c>
      <c r="V270" s="42">
        <f>MAX(0,MIN(S270+T270-U270,R270))</f>
        <v/>
      </c>
      <c r="W270" s="42">
        <f>ROUND(S270+T270-U270-V270,2)</f>
        <v/>
      </c>
      <c r="X270">
        <f>R270-V270</f>
        <v/>
      </c>
      <c r="Y270" s="42">
        <f>AC269</f>
        <v/>
      </c>
      <c r="Z270" s="42">
        <f>ROUND(Y270*Z$6/12,2)</f>
        <v/>
      </c>
      <c r="AA270" s="42">
        <f>MIN(AA$6,Y270+Z270)</f>
        <v/>
      </c>
      <c r="AB270" s="42">
        <f>MAX(0,MIN(Y270+Z270-AA270,X270))</f>
        <v/>
      </c>
      <c r="AC270" s="42">
        <f>ROUND(Y270+Z270-AA270-AB270,2)</f>
        <v/>
      </c>
      <c r="AD270">
        <f>X270-AB270</f>
        <v/>
      </c>
      <c r="AE270" s="42">
        <f>AI269</f>
        <v/>
      </c>
      <c r="AF270" s="42">
        <f>ROUND(AE270*AF$6/12,2)</f>
        <v/>
      </c>
      <c r="AG270" s="42">
        <f>MIN(AG$6,AE270+AF270)</f>
        <v/>
      </c>
      <c r="AH270" s="42">
        <f>MAX(0,MIN(AE270+AF270-AG270,AD270))</f>
        <v/>
      </c>
      <c r="AI270" s="42">
        <f>ROUND(AE270+AF270-AG270-AH270,2)</f>
        <v/>
      </c>
      <c r="AJ270">
        <f>AD270-AH270</f>
        <v/>
      </c>
      <c r="AK270" s="42">
        <f>AO269</f>
        <v/>
      </c>
      <c r="AL270" s="42">
        <f>ROUND(AK270*AL$6/12,2)</f>
        <v/>
      </c>
      <c r="AM270" s="42">
        <f>MIN(AM$6,AK270+AL270)</f>
        <v/>
      </c>
      <c r="AN270" s="42">
        <f>MAX(0,MIN(AK270+AL270-AM270,AJ270))</f>
        <v/>
      </c>
      <c r="AO270" s="42">
        <f>ROUND(AK270+AL270-AM270-AN270,2)</f>
        <v/>
      </c>
      <c r="AP270">
        <f>AJ270-AN270</f>
        <v/>
      </c>
      <c r="AQ270" s="42">
        <f>AU269</f>
        <v/>
      </c>
      <c r="AR270" s="42">
        <f>ROUND(AQ270*AR$6/12,2)</f>
        <v/>
      </c>
      <c r="AS270" s="42">
        <f>MIN(AS$6,AQ270+AR270)</f>
        <v/>
      </c>
      <c r="AT270" s="42">
        <f>MAX(0,MIN(AQ270+AR270-AS270,AP270))</f>
        <v/>
      </c>
      <c r="AU270" s="42">
        <f>ROUND(AQ270+AR270-AS270-AT270,2)</f>
        <v/>
      </c>
      <c r="AV270">
        <f>AP270-AT270</f>
        <v/>
      </c>
      <c r="AW270" s="42">
        <f>BA269</f>
        <v/>
      </c>
      <c r="AX270" s="42">
        <f>ROUND(AW270*AX$6/12,2)</f>
        <v/>
      </c>
      <c r="AY270" s="42">
        <f>MIN(AY$6,AW270+AX270)</f>
        <v/>
      </c>
      <c r="AZ270" s="42">
        <f>MAX(0,MIN(AW270+AX270-AY270,AV270))</f>
        <v/>
      </c>
      <c r="BA270" s="42">
        <f>ROUND(AW270+AX270-AY270-AZ270,2)</f>
        <v/>
      </c>
      <c r="BB270">
        <f>AV270-AZ270</f>
        <v/>
      </c>
      <c r="BC270" s="42">
        <f>BG269</f>
        <v/>
      </c>
      <c r="BD270" s="42">
        <f>ROUND(BC270*BD$6/12,2)</f>
        <v/>
      </c>
      <c r="BE270" s="42">
        <f>MIN(BE$6,BC270+BD270)</f>
        <v/>
      </c>
      <c r="BF270" s="42">
        <f>MAX(0,MIN(BC270+BD270-BE270,BB270))</f>
        <v/>
      </c>
      <c r="BG270" s="42">
        <f>ROUND(BC270+BD270-BE270-BF270,2)</f>
        <v/>
      </c>
      <c r="BH270">
        <f>BB270-BF270</f>
        <v/>
      </c>
      <c r="BI270" s="42">
        <f>BM269</f>
        <v/>
      </c>
      <c r="BJ270" s="42">
        <f>ROUND(BI270*BJ$6/12,2)</f>
        <v/>
      </c>
      <c r="BK270" s="42">
        <f>MIN(BK$6,BI270+BJ270)</f>
        <v/>
      </c>
      <c r="BL270" s="42">
        <f>MAX(0,MIN(BI270+BJ270-BK270,BH270))</f>
        <v/>
      </c>
      <c r="BM270" s="42">
        <f>ROUND(BI270+BJ270-BK270-BL270,2)</f>
        <v/>
      </c>
      <c r="BN270">
        <f>BH270-BL270</f>
        <v/>
      </c>
    </row>
    <row r="271">
      <c r="A271" s="43" t="n">
        <v>264</v>
      </c>
      <c r="B271" s="44">
        <f>EDATE('My Debts'!$C$6,A271-1)</f>
        <v/>
      </c>
      <c r="C271" s="45">
        <f>K271+Q271+W271+AC271+AI271+AO271+AU271+BA271+BG271+BM271</f>
        <v/>
      </c>
      <c r="D271" s="46">
        <f>I271+O271+U271+AA271+AG271+AM271+AS271+AY271+BE271+BK271+J271+P271+V271+AB271+AH271+AN271+AT271+AZ271+BF271+BL271</f>
        <v/>
      </c>
      <c r="E271" s="46">
        <f>H271+N271+T271+Z271+AF271+AL271+AR271+AX271+BD271+BJ271</f>
        <v/>
      </c>
      <c r="F271">
        <f>MAX(0,'My Debts'!$E$21-(I271+O271+U271+AA271+AG271+AM271+AS271+AY271+BE271+BK271))</f>
        <v/>
      </c>
      <c r="G271" s="42">
        <f>K270</f>
        <v/>
      </c>
      <c r="H271" s="42">
        <f>ROUND(G271*H$6/12,2)</f>
        <v/>
      </c>
      <c r="I271" s="42">
        <f>MIN(I$6,G271+H271)</f>
        <v/>
      </c>
      <c r="J271" s="42">
        <f>MAX(0,MIN(G271+H271-I271,$F271))</f>
        <v/>
      </c>
      <c r="K271" s="42">
        <f>ROUND(G271+H271-I271-J271,2)</f>
        <v/>
      </c>
      <c r="L271">
        <f>$F271-J271</f>
        <v/>
      </c>
      <c r="M271" s="42">
        <f>Q270</f>
        <v/>
      </c>
      <c r="N271" s="42">
        <f>ROUND(M271*N$6/12,2)</f>
        <v/>
      </c>
      <c r="O271" s="42">
        <f>MIN(O$6,M271+N271)</f>
        <v/>
      </c>
      <c r="P271" s="42">
        <f>MAX(0,MIN(M271+N271-O271,L271))</f>
        <v/>
      </c>
      <c r="Q271" s="42">
        <f>ROUND(M271+N271-O271-P271,2)</f>
        <v/>
      </c>
      <c r="R271">
        <f>L271-P271</f>
        <v/>
      </c>
      <c r="S271" s="42">
        <f>W270</f>
        <v/>
      </c>
      <c r="T271" s="42">
        <f>ROUND(S271*T$6/12,2)</f>
        <v/>
      </c>
      <c r="U271" s="42">
        <f>MIN(U$6,S271+T271)</f>
        <v/>
      </c>
      <c r="V271" s="42">
        <f>MAX(0,MIN(S271+T271-U271,R271))</f>
        <v/>
      </c>
      <c r="W271" s="42">
        <f>ROUND(S271+T271-U271-V271,2)</f>
        <v/>
      </c>
      <c r="X271">
        <f>R271-V271</f>
        <v/>
      </c>
      <c r="Y271" s="42">
        <f>AC270</f>
        <v/>
      </c>
      <c r="Z271" s="42">
        <f>ROUND(Y271*Z$6/12,2)</f>
        <v/>
      </c>
      <c r="AA271" s="42">
        <f>MIN(AA$6,Y271+Z271)</f>
        <v/>
      </c>
      <c r="AB271" s="42">
        <f>MAX(0,MIN(Y271+Z271-AA271,X271))</f>
        <v/>
      </c>
      <c r="AC271" s="42">
        <f>ROUND(Y271+Z271-AA271-AB271,2)</f>
        <v/>
      </c>
      <c r="AD271">
        <f>X271-AB271</f>
        <v/>
      </c>
      <c r="AE271" s="42">
        <f>AI270</f>
        <v/>
      </c>
      <c r="AF271" s="42">
        <f>ROUND(AE271*AF$6/12,2)</f>
        <v/>
      </c>
      <c r="AG271" s="42">
        <f>MIN(AG$6,AE271+AF271)</f>
        <v/>
      </c>
      <c r="AH271" s="42">
        <f>MAX(0,MIN(AE271+AF271-AG271,AD271))</f>
        <v/>
      </c>
      <c r="AI271" s="42">
        <f>ROUND(AE271+AF271-AG271-AH271,2)</f>
        <v/>
      </c>
      <c r="AJ271">
        <f>AD271-AH271</f>
        <v/>
      </c>
      <c r="AK271" s="42">
        <f>AO270</f>
        <v/>
      </c>
      <c r="AL271" s="42">
        <f>ROUND(AK271*AL$6/12,2)</f>
        <v/>
      </c>
      <c r="AM271" s="42">
        <f>MIN(AM$6,AK271+AL271)</f>
        <v/>
      </c>
      <c r="AN271" s="42">
        <f>MAX(0,MIN(AK271+AL271-AM271,AJ271))</f>
        <v/>
      </c>
      <c r="AO271" s="42">
        <f>ROUND(AK271+AL271-AM271-AN271,2)</f>
        <v/>
      </c>
      <c r="AP271">
        <f>AJ271-AN271</f>
        <v/>
      </c>
      <c r="AQ271" s="42">
        <f>AU270</f>
        <v/>
      </c>
      <c r="AR271" s="42">
        <f>ROUND(AQ271*AR$6/12,2)</f>
        <v/>
      </c>
      <c r="AS271" s="42">
        <f>MIN(AS$6,AQ271+AR271)</f>
        <v/>
      </c>
      <c r="AT271" s="42">
        <f>MAX(0,MIN(AQ271+AR271-AS271,AP271))</f>
        <v/>
      </c>
      <c r="AU271" s="42">
        <f>ROUND(AQ271+AR271-AS271-AT271,2)</f>
        <v/>
      </c>
      <c r="AV271">
        <f>AP271-AT271</f>
        <v/>
      </c>
      <c r="AW271" s="42">
        <f>BA270</f>
        <v/>
      </c>
      <c r="AX271" s="42">
        <f>ROUND(AW271*AX$6/12,2)</f>
        <v/>
      </c>
      <c r="AY271" s="42">
        <f>MIN(AY$6,AW271+AX271)</f>
        <v/>
      </c>
      <c r="AZ271" s="42">
        <f>MAX(0,MIN(AW271+AX271-AY271,AV271))</f>
        <v/>
      </c>
      <c r="BA271" s="42">
        <f>ROUND(AW271+AX271-AY271-AZ271,2)</f>
        <v/>
      </c>
      <c r="BB271">
        <f>AV271-AZ271</f>
        <v/>
      </c>
      <c r="BC271" s="42">
        <f>BG270</f>
        <v/>
      </c>
      <c r="BD271" s="42">
        <f>ROUND(BC271*BD$6/12,2)</f>
        <v/>
      </c>
      <c r="BE271" s="42">
        <f>MIN(BE$6,BC271+BD271)</f>
        <v/>
      </c>
      <c r="BF271" s="42">
        <f>MAX(0,MIN(BC271+BD271-BE271,BB271))</f>
        <v/>
      </c>
      <c r="BG271" s="42">
        <f>ROUND(BC271+BD271-BE271-BF271,2)</f>
        <v/>
      </c>
      <c r="BH271">
        <f>BB271-BF271</f>
        <v/>
      </c>
      <c r="BI271" s="42">
        <f>BM270</f>
        <v/>
      </c>
      <c r="BJ271" s="42">
        <f>ROUND(BI271*BJ$6/12,2)</f>
        <v/>
      </c>
      <c r="BK271" s="42">
        <f>MIN(BK$6,BI271+BJ271)</f>
        <v/>
      </c>
      <c r="BL271" s="42">
        <f>MAX(0,MIN(BI271+BJ271-BK271,BH271))</f>
        <v/>
      </c>
      <c r="BM271" s="42">
        <f>ROUND(BI271+BJ271-BK271-BL271,2)</f>
        <v/>
      </c>
      <c r="BN271">
        <f>BH271-BL271</f>
        <v/>
      </c>
    </row>
    <row r="272">
      <c r="A272" s="39" t="n">
        <v>265</v>
      </c>
      <c r="B272" s="40">
        <f>EDATE('My Debts'!$C$6,A272-1)</f>
        <v/>
      </c>
      <c r="C272" s="41">
        <f>K272+Q272+W272+AC272+AI272+AO272+AU272+BA272+BG272+BM272</f>
        <v/>
      </c>
      <c r="D272" s="42">
        <f>I272+O272+U272+AA272+AG272+AM272+AS272+AY272+BE272+BK272+J272+P272+V272+AB272+AH272+AN272+AT272+AZ272+BF272+BL272</f>
        <v/>
      </c>
      <c r="E272" s="42">
        <f>H272+N272+T272+Z272+AF272+AL272+AR272+AX272+BD272+BJ272</f>
        <v/>
      </c>
      <c r="F272">
        <f>MAX(0,'My Debts'!$E$21-(I272+O272+U272+AA272+AG272+AM272+AS272+AY272+BE272+BK272))</f>
        <v/>
      </c>
      <c r="G272" s="42">
        <f>K271</f>
        <v/>
      </c>
      <c r="H272" s="42">
        <f>ROUND(G272*H$6/12,2)</f>
        <v/>
      </c>
      <c r="I272" s="42">
        <f>MIN(I$6,G272+H272)</f>
        <v/>
      </c>
      <c r="J272" s="42">
        <f>MAX(0,MIN(G272+H272-I272,$F272))</f>
        <v/>
      </c>
      <c r="K272" s="42">
        <f>ROUND(G272+H272-I272-J272,2)</f>
        <v/>
      </c>
      <c r="L272">
        <f>$F272-J272</f>
        <v/>
      </c>
      <c r="M272" s="42">
        <f>Q271</f>
        <v/>
      </c>
      <c r="N272" s="42">
        <f>ROUND(M272*N$6/12,2)</f>
        <v/>
      </c>
      <c r="O272" s="42">
        <f>MIN(O$6,M272+N272)</f>
        <v/>
      </c>
      <c r="P272" s="42">
        <f>MAX(0,MIN(M272+N272-O272,L272))</f>
        <v/>
      </c>
      <c r="Q272" s="42">
        <f>ROUND(M272+N272-O272-P272,2)</f>
        <v/>
      </c>
      <c r="R272">
        <f>L272-P272</f>
        <v/>
      </c>
      <c r="S272" s="42">
        <f>W271</f>
        <v/>
      </c>
      <c r="T272" s="42">
        <f>ROUND(S272*T$6/12,2)</f>
        <v/>
      </c>
      <c r="U272" s="42">
        <f>MIN(U$6,S272+T272)</f>
        <v/>
      </c>
      <c r="V272" s="42">
        <f>MAX(0,MIN(S272+T272-U272,R272))</f>
        <v/>
      </c>
      <c r="W272" s="42">
        <f>ROUND(S272+T272-U272-V272,2)</f>
        <v/>
      </c>
      <c r="X272">
        <f>R272-V272</f>
        <v/>
      </c>
      <c r="Y272" s="42">
        <f>AC271</f>
        <v/>
      </c>
      <c r="Z272" s="42">
        <f>ROUND(Y272*Z$6/12,2)</f>
        <v/>
      </c>
      <c r="AA272" s="42">
        <f>MIN(AA$6,Y272+Z272)</f>
        <v/>
      </c>
      <c r="AB272" s="42">
        <f>MAX(0,MIN(Y272+Z272-AA272,X272))</f>
        <v/>
      </c>
      <c r="AC272" s="42">
        <f>ROUND(Y272+Z272-AA272-AB272,2)</f>
        <v/>
      </c>
      <c r="AD272">
        <f>X272-AB272</f>
        <v/>
      </c>
      <c r="AE272" s="42">
        <f>AI271</f>
        <v/>
      </c>
      <c r="AF272" s="42">
        <f>ROUND(AE272*AF$6/12,2)</f>
        <v/>
      </c>
      <c r="AG272" s="42">
        <f>MIN(AG$6,AE272+AF272)</f>
        <v/>
      </c>
      <c r="AH272" s="42">
        <f>MAX(0,MIN(AE272+AF272-AG272,AD272))</f>
        <v/>
      </c>
      <c r="AI272" s="42">
        <f>ROUND(AE272+AF272-AG272-AH272,2)</f>
        <v/>
      </c>
      <c r="AJ272">
        <f>AD272-AH272</f>
        <v/>
      </c>
      <c r="AK272" s="42">
        <f>AO271</f>
        <v/>
      </c>
      <c r="AL272" s="42">
        <f>ROUND(AK272*AL$6/12,2)</f>
        <v/>
      </c>
      <c r="AM272" s="42">
        <f>MIN(AM$6,AK272+AL272)</f>
        <v/>
      </c>
      <c r="AN272" s="42">
        <f>MAX(0,MIN(AK272+AL272-AM272,AJ272))</f>
        <v/>
      </c>
      <c r="AO272" s="42">
        <f>ROUND(AK272+AL272-AM272-AN272,2)</f>
        <v/>
      </c>
      <c r="AP272">
        <f>AJ272-AN272</f>
        <v/>
      </c>
      <c r="AQ272" s="42">
        <f>AU271</f>
        <v/>
      </c>
      <c r="AR272" s="42">
        <f>ROUND(AQ272*AR$6/12,2)</f>
        <v/>
      </c>
      <c r="AS272" s="42">
        <f>MIN(AS$6,AQ272+AR272)</f>
        <v/>
      </c>
      <c r="AT272" s="42">
        <f>MAX(0,MIN(AQ272+AR272-AS272,AP272))</f>
        <v/>
      </c>
      <c r="AU272" s="42">
        <f>ROUND(AQ272+AR272-AS272-AT272,2)</f>
        <v/>
      </c>
      <c r="AV272">
        <f>AP272-AT272</f>
        <v/>
      </c>
      <c r="AW272" s="42">
        <f>BA271</f>
        <v/>
      </c>
      <c r="AX272" s="42">
        <f>ROUND(AW272*AX$6/12,2)</f>
        <v/>
      </c>
      <c r="AY272" s="42">
        <f>MIN(AY$6,AW272+AX272)</f>
        <v/>
      </c>
      <c r="AZ272" s="42">
        <f>MAX(0,MIN(AW272+AX272-AY272,AV272))</f>
        <v/>
      </c>
      <c r="BA272" s="42">
        <f>ROUND(AW272+AX272-AY272-AZ272,2)</f>
        <v/>
      </c>
      <c r="BB272">
        <f>AV272-AZ272</f>
        <v/>
      </c>
      <c r="BC272" s="42">
        <f>BG271</f>
        <v/>
      </c>
      <c r="BD272" s="42">
        <f>ROUND(BC272*BD$6/12,2)</f>
        <v/>
      </c>
      <c r="BE272" s="42">
        <f>MIN(BE$6,BC272+BD272)</f>
        <v/>
      </c>
      <c r="BF272" s="42">
        <f>MAX(0,MIN(BC272+BD272-BE272,BB272))</f>
        <v/>
      </c>
      <c r="BG272" s="42">
        <f>ROUND(BC272+BD272-BE272-BF272,2)</f>
        <v/>
      </c>
      <c r="BH272">
        <f>BB272-BF272</f>
        <v/>
      </c>
      <c r="BI272" s="42">
        <f>BM271</f>
        <v/>
      </c>
      <c r="BJ272" s="42">
        <f>ROUND(BI272*BJ$6/12,2)</f>
        <v/>
      </c>
      <c r="BK272" s="42">
        <f>MIN(BK$6,BI272+BJ272)</f>
        <v/>
      </c>
      <c r="BL272" s="42">
        <f>MAX(0,MIN(BI272+BJ272-BK272,BH272))</f>
        <v/>
      </c>
      <c r="BM272" s="42">
        <f>ROUND(BI272+BJ272-BK272-BL272,2)</f>
        <v/>
      </c>
      <c r="BN272">
        <f>BH272-BL272</f>
        <v/>
      </c>
    </row>
    <row r="273">
      <c r="A273" s="43" t="n">
        <v>266</v>
      </c>
      <c r="B273" s="44">
        <f>EDATE('My Debts'!$C$6,A273-1)</f>
        <v/>
      </c>
      <c r="C273" s="45">
        <f>K273+Q273+W273+AC273+AI273+AO273+AU273+BA273+BG273+BM273</f>
        <v/>
      </c>
      <c r="D273" s="46">
        <f>I273+O273+U273+AA273+AG273+AM273+AS273+AY273+BE273+BK273+J273+P273+V273+AB273+AH273+AN273+AT273+AZ273+BF273+BL273</f>
        <v/>
      </c>
      <c r="E273" s="46">
        <f>H273+N273+T273+Z273+AF273+AL273+AR273+AX273+BD273+BJ273</f>
        <v/>
      </c>
      <c r="F273">
        <f>MAX(0,'My Debts'!$E$21-(I273+O273+U273+AA273+AG273+AM273+AS273+AY273+BE273+BK273))</f>
        <v/>
      </c>
      <c r="G273" s="42">
        <f>K272</f>
        <v/>
      </c>
      <c r="H273" s="42">
        <f>ROUND(G273*H$6/12,2)</f>
        <v/>
      </c>
      <c r="I273" s="42">
        <f>MIN(I$6,G273+H273)</f>
        <v/>
      </c>
      <c r="J273" s="42">
        <f>MAX(0,MIN(G273+H273-I273,$F273))</f>
        <v/>
      </c>
      <c r="K273" s="42">
        <f>ROUND(G273+H273-I273-J273,2)</f>
        <v/>
      </c>
      <c r="L273">
        <f>$F273-J273</f>
        <v/>
      </c>
      <c r="M273" s="42">
        <f>Q272</f>
        <v/>
      </c>
      <c r="N273" s="42">
        <f>ROUND(M273*N$6/12,2)</f>
        <v/>
      </c>
      <c r="O273" s="42">
        <f>MIN(O$6,M273+N273)</f>
        <v/>
      </c>
      <c r="P273" s="42">
        <f>MAX(0,MIN(M273+N273-O273,L273))</f>
        <v/>
      </c>
      <c r="Q273" s="42">
        <f>ROUND(M273+N273-O273-P273,2)</f>
        <v/>
      </c>
      <c r="R273">
        <f>L273-P273</f>
        <v/>
      </c>
      <c r="S273" s="42">
        <f>W272</f>
        <v/>
      </c>
      <c r="T273" s="42">
        <f>ROUND(S273*T$6/12,2)</f>
        <v/>
      </c>
      <c r="U273" s="42">
        <f>MIN(U$6,S273+T273)</f>
        <v/>
      </c>
      <c r="V273" s="42">
        <f>MAX(0,MIN(S273+T273-U273,R273))</f>
        <v/>
      </c>
      <c r="W273" s="42">
        <f>ROUND(S273+T273-U273-V273,2)</f>
        <v/>
      </c>
      <c r="X273">
        <f>R273-V273</f>
        <v/>
      </c>
      <c r="Y273" s="42">
        <f>AC272</f>
        <v/>
      </c>
      <c r="Z273" s="42">
        <f>ROUND(Y273*Z$6/12,2)</f>
        <v/>
      </c>
      <c r="AA273" s="42">
        <f>MIN(AA$6,Y273+Z273)</f>
        <v/>
      </c>
      <c r="AB273" s="42">
        <f>MAX(0,MIN(Y273+Z273-AA273,X273))</f>
        <v/>
      </c>
      <c r="AC273" s="42">
        <f>ROUND(Y273+Z273-AA273-AB273,2)</f>
        <v/>
      </c>
      <c r="AD273">
        <f>X273-AB273</f>
        <v/>
      </c>
      <c r="AE273" s="42">
        <f>AI272</f>
        <v/>
      </c>
      <c r="AF273" s="42">
        <f>ROUND(AE273*AF$6/12,2)</f>
        <v/>
      </c>
      <c r="AG273" s="42">
        <f>MIN(AG$6,AE273+AF273)</f>
        <v/>
      </c>
      <c r="AH273" s="42">
        <f>MAX(0,MIN(AE273+AF273-AG273,AD273))</f>
        <v/>
      </c>
      <c r="AI273" s="42">
        <f>ROUND(AE273+AF273-AG273-AH273,2)</f>
        <v/>
      </c>
      <c r="AJ273">
        <f>AD273-AH273</f>
        <v/>
      </c>
      <c r="AK273" s="42">
        <f>AO272</f>
        <v/>
      </c>
      <c r="AL273" s="42">
        <f>ROUND(AK273*AL$6/12,2)</f>
        <v/>
      </c>
      <c r="AM273" s="42">
        <f>MIN(AM$6,AK273+AL273)</f>
        <v/>
      </c>
      <c r="AN273" s="42">
        <f>MAX(0,MIN(AK273+AL273-AM273,AJ273))</f>
        <v/>
      </c>
      <c r="AO273" s="42">
        <f>ROUND(AK273+AL273-AM273-AN273,2)</f>
        <v/>
      </c>
      <c r="AP273">
        <f>AJ273-AN273</f>
        <v/>
      </c>
      <c r="AQ273" s="42">
        <f>AU272</f>
        <v/>
      </c>
      <c r="AR273" s="42">
        <f>ROUND(AQ273*AR$6/12,2)</f>
        <v/>
      </c>
      <c r="AS273" s="42">
        <f>MIN(AS$6,AQ273+AR273)</f>
        <v/>
      </c>
      <c r="AT273" s="42">
        <f>MAX(0,MIN(AQ273+AR273-AS273,AP273))</f>
        <v/>
      </c>
      <c r="AU273" s="42">
        <f>ROUND(AQ273+AR273-AS273-AT273,2)</f>
        <v/>
      </c>
      <c r="AV273">
        <f>AP273-AT273</f>
        <v/>
      </c>
      <c r="AW273" s="42">
        <f>BA272</f>
        <v/>
      </c>
      <c r="AX273" s="42">
        <f>ROUND(AW273*AX$6/12,2)</f>
        <v/>
      </c>
      <c r="AY273" s="42">
        <f>MIN(AY$6,AW273+AX273)</f>
        <v/>
      </c>
      <c r="AZ273" s="42">
        <f>MAX(0,MIN(AW273+AX273-AY273,AV273))</f>
        <v/>
      </c>
      <c r="BA273" s="42">
        <f>ROUND(AW273+AX273-AY273-AZ273,2)</f>
        <v/>
      </c>
      <c r="BB273">
        <f>AV273-AZ273</f>
        <v/>
      </c>
      <c r="BC273" s="42">
        <f>BG272</f>
        <v/>
      </c>
      <c r="BD273" s="42">
        <f>ROUND(BC273*BD$6/12,2)</f>
        <v/>
      </c>
      <c r="BE273" s="42">
        <f>MIN(BE$6,BC273+BD273)</f>
        <v/>
      </c>
      <c r="BF273" s="42">
        <f>MAX(0,MIN(BC273+BD273-BE273,BB273))</f>
        <v/>
      </c>
      <c r="BG273" s="42">
        <f>ROUND(BC273+BD273-BE273-BF273,2)</f>
        <v/>
      </c>
      <c r="BH273">
        <f>BB273-BF273</f>
        <v/>
      </c>
      <c r="BI273" s="42">
        <f>BM272</f>
        <v/>
      </c>
      <c r="BJ273" s="42">
        <f>ROUND(BI273*BJ$6/12,2)</f>
        <v/>
      </c>
      <c r="BK273" s="42">
        <f>MIN(BK$6,BI273+BJ273)</f>
        <v/>
      </c>
      <c r="BL273" s="42">
        <f>MAX(0,MIN(BI273+BJ273-BK273,BH273))</f>
        <v/>
      </c>
      <c r="BM273" s="42">
        <f>ROUND(BI273+BJ273-BK273-BL273,2)</f>
        <v/>
      </c>
      <c r="BN273">
        <f>BH273-BL273</f>
        <v/>
      </c>
    </row>
    <row r="274">
      <c r="A274" s="39" t="n">
        <v>267</v>
      </c>
      <c r="B274" s="40">
        <f>EDATE('My Debts'!$C$6,A274-1)</f>
        <v/>
      </c>
      <c r="C274" s="41">
        <f>K274+Q274+W274+AC274+AI274+AO274+AU274+BA274+BG274+BM274</f>
        <v/>
      </c>
      <c r="D274" s="42">
        <f>I274+O274+U274+AA274+AG274+AM274+AS274+AY274+BE274+BK274+J274+P274+V274+AB274+AH274+AN274+AT274+AZ274+BF274+BL274</f>
        <v/>
      </c>
      <c r="E274" s="42">
        <f>H274+N274+T274+Z274+AF274+AL274+AR274+AX274+BD274+BJ274</f>
        <v/>
      </c>
      <c r="F274">
        <f>MAX(0,'My Debts'!$E$21-(I274+O274+U274+AA274+AG274+AM274+AS274+AY274+BE274+BK274))</f>
        <v/>
      </c>
      <c r="G274" s="42">
        <f>K273</f>
        <v/>
      </c>
      <c r="H274" s="42">
        <f>ROUND(G274*H$6/12,2)</f>
        <v/>
      </c>
      <c r="I274" s="42">
        <f>MIN(I$6,G274+H274)</f>
        <v/>
      </c>
      <c r="J274" s="42">
        <f>MAX(0,MIN(G274+H274-I274,$F274))</f>
        <v/>
      </c>
      <c r="K274" s="42">
        <f>ROUND(G274+H274-I274-J274,2)</f>
        <v/>
      </c>
      <c r="L274">
        <f>$F274-J274</f>
        <v/>
      </c>
      <c r="M274" s="42">
        <f>Q273</f>
        <v/>
      </c>
      <c r="N274" s="42">
        <f>ROUND(M274*N$6/12,2)</f>
        <v/>
      </c>
      <c r="O274" s="42">
        <f>MIN(O$6,M274+N274)</f>
        <v/>
      </c>
      <c r="P274" s="42">
        <f>MAX(0,MIN(M274+N274-O274,L274))</f>
        <v/>
      </c>
      <c r="Q274" s="42">
        <f>ROUND(M274+N274-O274-P274,2)</f>
        <v/>
      </c>
      <c r="R274">
        <f>L274-P274</f>
        <v/>
      </c>
      <c r="S274" s="42">
        <f>W273</f>
        <v/>
      </c>
      <c r="T274" s="42">
        <f>ROUND(S274*T$6/12,2)</f>
        <v/>
      </c>
      <c r="U274" s="42">
        <f>MIN(U$6,S274+T274)</f>
        <v/>
      </c>
      <c r="V274" s="42">
        <f>MAX(0,MIN(S274+T274-U274,R274))</f>
        <v/>
      </c>
      <c r="W274" s="42">
        <f>ROUND(S274+T274-U274-V274,2)</f>
        <v/>
      </c>
      <c r="X274">
        <f>R274-V274</f>
        <v/>
      </c>
      <c r="Y274" s="42">
        <f>AC273</f>
        <v/>
      </c>
      <c r="Z274" s="42">
        <f>ROUND(Y274*Z$6/12,2)</f>
        <v/>
      </c>
      <c r="AA274" s="42">
        <f>MIN(AA$6,Y274+Z274)</f>
        <v/>
      </c>
      <c r="AB274" s="42">
        <f>MAX(0,MIN(Y274+Z274-AA274,X274))</f>
        <v/>
      </c>
      <c r="AC274" s="42">
        <f>ROUND(Y274+Z274-AA274-AB274,2)</f>
        <v/>
      </c>
      <c r="AD274">
        <f>X274-AB274</f>
        <v/>
      </c>
      <c r="AE274" s="42">
        <f>AI273</f>
        <v/>
      </c>
      <c r="AF274" s="42">
        <f>ROUND(AE274*AF$6/12,2)</f>
        <v/>
      </c>
      <c r="AG274" s="42">
        <f>MIN(AG$6,AE274+AF274)</f>
        <v/>
      </c>
      <c r="AH274" s="42">
        <f>MAX(0,MIN(AE274+AF274-AG274,AD274))</f>
        <v/>
      </c>
      <c r="AI274" s="42">
        <f>ROUND(AE274+AF274-AG274-AH274,2)</f>
        <v/>
      </c>
      <c r="AJ274">
        <f>AD274-AH274</f>
        <v/>
      </c>
      <c r="AK274" s="42">
        <f>AO273</f>
        <v/>
      </c>
      <c r="AL274" s="42">
        <f>ROUND(AK274*AL$6/12,2)</f>
        <v/>
      </c>
      <c r="AM274" s="42">
        <f>MIN(AM$6,AK274+AL274)</f>
        <v/>
      </c>
      <c r="AN274" s="42">
        <f>MAX(0,MIN(AK274+AL274-AM274,AJ274))</f>
        <v/>
      </c>
      <c r="AO274" s="42">
        <f>ROUND(AK274+AL274-AM274-AN274,2)</f>
        <v/>
      </c>
      <c r="AP274">
        <f>AJ274-AN274</f>
        <v/>
      </c>
      <c r="AQ274" s="42">
        <f>AU273</f>
        <v/>
      </c>
      <c r="AR274" s="42">
        <f>ROUND(AQ274*AR$6/12,2)</f>
        <v/>
      </c>
      <c r="AS274" s="42">
        <f>MIN(AS$6,AQ274+AR274)</f>
        <v/>
      </c>
      <c r="AT274" s="42">
        <f>MAX(0,MIN(AQ274+AR274-AS274,AP274))</f>
        <v/>
      </c>
      <c r="AU274" s="42">
        <f>ROUND(AQ274+AR274-AS274-AT274,2)</f>
        <v/>
      </c>
      <c r="AV274">
        <f>AP274-AT274</f>
        <v/>
      </c>
      <c r="AW274" s="42">
        <f>BA273</f>
        <v/>
      </c>
      <c r="AX274" s="42">
        <f>ROUND(AW274*AX$6/12,2)</f>
        <v/>
      </c>
      <c r="AY274" s="42">
        <f>MIN(AY$6,AW274+AX274)</f>
        <v/>
      </c>
      <c r="AZ274" s="42">
        <f>MAX(0,MIN(AW274+AX274-AY274,AV274))</f>
        <v/>
      </c>
      <c r="BA274" s="42">
        <f>ROUND(AW274+AX274-AY274-AZ274,2)</f>
        <v/>
      </c>
      <c r="BB274">
        <f>AV274-AZ274</f>
        <v/>
      </c>
      <c r="BC274" s="42">
        <f>BG273</f>
        <v/>
      </c>
      <c r="BD274" s="42">
        <f>ROUND(BC274*BD$6/12,2)</f>
        <v/>
      </c>
      <c r="BE274" s="42">
        <f>MIN(BE$6,BC274+BD274)</f>
        <v/>
      </c>
      <c r="BF274" s="42">
        <f>MAX(0,MIN(BC274+BD274-BE274,BB274))</f>
        <v/>
      </c>
      <c r="BG274" s="42">
        <f>ROUND(BC274+BD274-BE274-BF274,2)</f>
        <v/>
      </c>
      <c r="BH274">
        <f>BB274-BF274</f>
        <v/>
      </c>
      <c r="BI274" s="42">
        <f>BM273</f>
        <v/>
      </c>
      <c r="BJ274" s="42">
        <f>ROUND(BI274*BJ$6/12,2)</f>
        <v/>
      </c>
      <c r="BK274" s="42">
        <f>MIN(BK$6,BI274+BJ274)</f>
        <v/>
      </c>
      <c r="BL274" s="42">
        <f>MAX(0,MIN(BI274+BJ274-BK274,BH274))</f>
        <v/>
      </c>
      <c r="BM274" s="42">
        <f>ROUND(BI274+BJ274-BK274-BL274,2)</f>
        <v/>
      </c>
      <c r="BN274">
        <f>BH274-BL274</f>
        <v/>
      </c>
    </row>
    <row r="275">
      <c r="A275" s="43" t="n">
        <v>268</v>
      </c>
      <c r="B275" s="44">
        <f>EDATE('My Debts'!$C$6,A275-1)</f>
        <v/>
      </c>
      <c r="C275" s="45">
        <f>K275+Q275+W275+AC275+AI275+AO275+AU275+BA275+BG275+BM275</f>
        <v/>
      </c>
      <c r="D275" s="46">
        <f>I275+O275+U275+AA275+AG275+AM275+AS275+AY275+BE275+BK275+J275+P275+V275+AB275+AH275+AN275+AT275+AZ275+BF275+BL275</f>
        <v/>
      </c>
      <c r="E275" s="46">
        <f>H275+N275+T275+Z275+AF275+AL275+AR275+AX275+BD275+BJ275</f>
        <v/>
      </c>
      <c r="F275">
        <f>MAX(0,'My Debts'!$E$21-(I275+O275+U275+AA275+AG275+AM275+AS275+AY275+BE275+BK275))</f>
        <v/>
      </c>
      <c r="G275" s="42">
        <f>K274</f>
        <v/>
      </c>
      <c r="H275" s="42">
        <f>ROUND(G275*H$6/12,2)</f>
        <v/>
      </c>
      <c r="I275" s="42">
        <f>MIN(I$6,G275+H275)</f>
        <v/>
      </c>
      <c r="J275" s="42">
        <f>MAX(0,MIN(G275+H275-I275,$F275))</f>
        <v/>
      </c>
      <c r="K275" s="42">
        <f>ROUND(G275+H275-I275-J275,2)</f>
        <v/>
      </c>
      <c r="L275">
        <f>$F275-J275</f>
        <v/>
      </c>
      <c r="M275" s="42">
        <f>Q274</f>
        <v/>
      </c>
      <c r="N275" s="42">
        <f>ROUND(M275*N$6/12,2)</f>
        <v/>
      </c>
      <c r="O275" s="42">
        <f>MIN(O$6,M275+N275)</f>
        <v/>
      </c>
      <c r="P275" s="42">
        <f>MAX(0,MIN(M275+N275-O275,L275))</f>
        <v/>
      </c>
      <c r="Q275" s="42">
        <f>ROUND(M275+N275-O275-P275,2)</f>
        <v/>
      </c>
      <c r="R275">
        <f>L275-P275</f>
        <v/>
      </c>
      <c r="S275" s="42">
        <f>W274</f>
        <v/>
      </c>
      <c r="T275" s="42">
        <f>ROUND(S275*T$6/12,2)</f>
        <v/>
      </c>
      <c r="U275" s="42">
        <f>MIN(U$6,S275+T275)</f>
        <v/>
      </c>
      <c r="V275" s="42">
        <f>MAX(0,MIN(S275+T275-U275,R275))</f>
        <v/>
      </c>
      <c r="W275" s="42">
        <f>ROUND(S275+T275-U275-V275,2)</f>
        <v/>
      </c>
      <c r="X275">
        <f>R275-V275</f>
        <v/>
      </c>
      <c r="Y275" s="42">
        <f>AC274</f>
        <v/>
      </c>
      <c r="Z275" s="42">
        <f>ROUND(Y275*Z$6/12,2)</f>
        <v/>
      </c>
      <c r="AA275" s="42">
        <f>MIN(AA$6,Y275+Z275)</f>
        <v/>
      </c>
      <c r="AB275" s="42">
        <f>MAX(0,MIN(Y275+Z275-AA275,X275))</f>
        <v/>
      </c>
      <c r="AC275" s="42">
        <f>ROUND(Y275+Z275-AA275-AB275,2)</f>
        <v/>
      </c>
      <c r="AD275">
        <f>X275-AB275</f>
        <v/>
      </c>
      <c r="AE275" s="42">
        <f>AI274</f>
        <v/>
      </c>
      <c r="AF275" s="42">
        <f>ROUND(AE275*AF$6/12,2)</f>
        <v/>
      </c>
      <c r="AG275" s="42">
        <f>MIN(AG$6,AE275+AF275)</f>
        <v/>
      </c>
      <c r="AH275" s="42">
        <f>MAX(0,MIN(AE275+AF275-AG275,AD275))</f>
        <v/>
      </c>
      <c r="AI275" s="42">
        <f>ROUND(AE275+AF275-AG275-AH275,2)</f>
        <v/>
      </c>
      <c r="AJ275">
        <f>AD275-AH275</f>
        <v/>
      </c>
      <c r="AK275" s="42">
        <f>AO274</f>
        <v/>
      </c>
      <c r="AL275" s="42">
        <f>ROUND(AK275*AL$6/12,2)</f>
        <v/>
      </c>
      <c r="AM275" s="42">
        <f>MIN(AM$6,AK275+AL275)</f>
        <v/>
      </c>
      <c r="AN275" s="42">
        <f>MAX(0,MIN(AK275+AL275-AM275,AJ275))</f>
        <v/>
      </c>
      <c r="AO275" s="42">
        <f>ROUND(AK275+AL275-AM275-AN275,2)</f>
        <v/>
      </c>
      <c r="AP275">
        <f>AJ275-AN275</f>
        <v/>
      </c>
      <c r="AQ275" s="42">
        <f>AU274</f>
        <v/>
      </c>
      <c r="AR275" s="42">
        <f>ROUND(AQ275*AR$6/12,2)</f>
        <v/>
      </c>
      <c r="AS275" s="42">
        <f>MIN(AS$6,AQ275+AR275)</f>
        <v/>
      </c>
      <c r="AT275" s="42">
        <f>MAX(0,MIN(AQ275+AR275-AS275,AP275))</f>
        <v/>
      </c>
      <c r="AU275" s="42">
        <f>ROUND(AQ275+AR275-AS275-AT275,2)</f>
        <v/>
      </c>
      <c r="AV275">
        <f>AP275-AT275</f>
        <v/>
      </c>
      <c r="AW275" s="42">
        <f>BA274</f>
        <v/>
      </c>
      <c r="AX275" s="42">
        <f>ROUND(AW275*AX$6/12,2)</f>
        <v/>
      </c>
      <c r="AY275" s="42">
        <f>MIN(AY$6,AW275+AX275)</f>
        <v/>
      </c>
      <c r="AZ275" s="42">
        <f>MAX(0,MIN(AW275+AX275-AY275,AV275))</f>
        <v/>
      </c>
      <c r="BA275" s="42">
        <f>ROUND(AW275+AX275-AY275-AZ275,2)</f>
        <v/>
      </c>
      <c r="BB275">
        <f>AV275-AZ275</f>
        <v/>
      </c>
      <c r="BC275" s="42">
        <f>BG274</f>
        <v/>
      </c>
      <c r="BD275" s="42">
        <f>ROUND(BC275*BD$6/12,2)</f>
        <v/>
      </c>
      <c r="BE275" s="42">
        <f>MIN(BE$6,BC275+BD275)</f>
        <v/>
      </c>
      <c r="BF275" s="42">
        <f>MAX(0,MIN(BC275+BD275-BE275,BB275))</f>
        <v/>
      </c>
      <c r="BG275" s="42">
        <f>ROUND(BC275+BD275-BE275-BF275,2)</f>
        <v/>
      </c>
      <c r="BH275">
        <f>BB275-BF275</f>
        <v/>
      </c>
      <c r="BI275" s="42">
        <f>BM274</f>
        <v/>
      </c>
      <c r="BJ275" s="42">
        <f>ROUND(BI275*BJ$6/12,2)</f>
        <v/>
      </c>
      <c r="BK275" s="42">
        <f>MIN(BK$6,BI275+BJ275)</f>
        <v/>
      </c>
      <c r="BL275" s="42">
        <f>MAX(0,MIN(BI275+BJ275-BK275,BH275))</f>
        <v/>
      </c>
      <c r="BM275" s="42">
        <f>ROUND(BI275+BJ275-BK275-BL275,2)</f>
        <v/>
      </c>
      <c r="BN275">
        <f>BH275-BL275</f>
        <v/>
      </c>
    </row>
    <row r="276">
      <c r="A276" s="39" t="n">
        <v>269</v>
      </c>
      <c r="B276" s="40">
        <f>EDATE('My Debts'!$C$6,A276-1)</f>
        <v/>
      </c>
      <c r="C276" s="41">
        <f>K276+Q276+W276+AC276+AI276+AO276+AU276+BA276+BG276+BM276</f>
        <v/>
      </c>
      <c r="D276" s="42">
        <f>I276+O276+U276+AA276+AG276+AM276+AS276+AY276+BE276+BK276+J276+P276+V276+AB276+AH276+AN276+AT276+AZ276+BF276+BL276</f>
        <v/>
      </c>
      <c r="E276" s="42">
        <f>H276+N276+T276+Z276+AF276+AL276+AR276+AX276+BD276+BJ276</f>
        <v/>
      </c>
      <c r="F276">
        <f>MAX(0,'My Debts'!$E$21-(I276+O276+U276+AA276+AG276+AM276+AS276+AY276+BE276+BK276))</f>
        <v/>
      </c>
      <c r="G276" s="42">
        <f>K275</f>
        <v/>
      </c>
      <c r="H276" s="42">
        <f>ROUND(G276*H$6/12,2)</f>
        <v/>
      </c>
      <c r="I276" s="42">
        <f>MIN(I$6,G276+H276)</f>
        <v/>
      </c>
      <c r="J276" s="42">
        <f>MAX(0,MIN(G276+H276-I276,$F276))</f>
        <v/>
      </c>
      <c r="K276" s="42">
        <f>ROUND(G276+H276-I276-J276,2)</f>
        <v/>
      </c>
      <c r="L276">
        <f>$F276-J276</f>
        <v/>
      </c>
      <c r="M276" s="42">
        <f>Q275</f>
        <v/>
      </c>
      <c r="N276" s="42">
        <f>ROUND(M276*N$6/12,2)</f>
        <v/>
      </c>
      <c r="O276" s="42">
        <f>MIN(O$6,M276+N276)</f>
        <v/>
      </c>
      <c r="P276" s="42">
        <f>MAX(0,MIN(M276+N276-O276,L276))</f>
        <v/>
      </c>
      <c r="Q276" s="42">
        <f>ROUND(M276+N276-O276-P276,2)</f>
        <v/>
      </c>
      <c r="R276">
        <f>L276-P276</f>
        <v/>
      </c>
      <c r="S276" s="42">
        <f>W275</f>
        <v/>
      </c>
      <c r="T276" s="42">
        <f>ROUND(S276*T$6/12,2)</f>
        <v/>
      </c>
      <c r="U276" s="42">
        <f>MIN(U$6,S276+T276)</f>
        <v/>
      </c>
      <c r="V276" s="42">
        <f>MAX(0,MIN(S276+T276-U276,R276))</f>
        <v/>
      </c>
      <c r="W276" s="42">
        <f>ROUND(S276+T276-U276-V276,2)</f>
        <v/>
      </c>
      <c r="X276">
        <f>R276-V276</f>
        <v/>
      </c>
      <c r="Y276" s="42">
        <f>AC275</f>
        <v/>
      </c>
      <c r="Z276" s="42">
        <f>ROUND(Y276*Z$6/12,2)</f>
        <v/>
      </c>
      <c r="AA276" s="42">
        <f>MIN(AA$6,Y276+Z276)</f>
        <v/>
      </c>
      <c r="AB276" s="42">
        <f>MAX(0,MIN(Y276+Z276-AA276,X276))</f>
        <v/>
      </c>
      <c r="AC276" s="42">
        <f>ROUND(Y276+Z276-AA276-AB276,2)</f>
        <v/>
      </c>
      <c r="AD276">
        <f>X276-AB276</f>
        <v/>
      </c>
      <c r="AE276" s="42">
        <f>AI275</f>
        <v/>
      </c>
      <c r="AF276" s="42">
        <f>ROUND(AE276*AF$6/12,2)</f>
        <v/>
      </c>
      <c r="AG276" s="42">
        <f>MIN(AG$6,AE276+AF276)</f>
        <v/>
      </c>
      <c r="AH276" s="42">
        <f>MAX(0,MIN(AE276+AF276-AG276,AD276))</f>
        <v/>
      </c>
      <c r="AI276" s="42">
        <f>ROUND(AE276+AF276-AG276-AH276,2)</f>
        <v/>
      </c>
      <c r="AJ276">
        <f>AD276-AH276</f>
        <v/>
      </c>
      <c r="AK276" s="42">
        <f>AO275</f>
        <v/>
      </c>
      <c r="AL276" s="42">
        <f>ROUND(AK276*AL$6/12,2)</f>
        <v/>
      </c>
      <c r="AM276" s="42">
        <f>MIN(AM$6,AK276+AL276)</f>
        <v/>
      </c>
      <c r="AN276" s="42">
        <f>MAX(0,MIN(AK276+AL276-AM276,AJ276))</f>
        <v/>
      </c>
      <c r="AO276" s="42">
        <f>ROUND(AK276+AL276-AM276-AN276,2)</f>
        <v/>
      </c>
      <c r="AP276">
        <f>AJ276-AN276</f>
        <v/>
      </c>
      <c r="AQ276" s="42">
        <f>AU275</f>
        <v/>
      </c>
      <c r="AR276" s="42">
        <f>ROUND(AQ276*AR$6/12,2)</f>
        <v/>
      </c>
      <c r="AS276" s="42">
        <f>MIN(AS$6,AQ276+AR276)</f>
        <v/>
      </c>
      <c r="AT276" s="42">
        <f>MAX(0,MIN(AQ276+AR276-AS276,AP276))</f>
        <v/>
      </c>
      <c r="AU276" s="42">
        <f>ROUND(AQ276+AR276-AS276-AT276,2)</f>
        <v/>
      </c>
      <c r="AV276">
        <f>AP276-AT276</f>
        <v/>
      </c>
      <c r="AW276" s="42">
        <f>BA275</f>
        <v/>
      </c>
      <c r="AX276" s="42">
        <f>ROUND(AW276*AX$6/12,2)</f>
        <v/>
      </c>
      <c r="AY276" s="42">
        <f>MIN(AY$6,AW276+AX276)</f>
        <v/>
      </c>
      <c r="AZ276" s="42">
        <f>MAX(0,MIN(AW276+AX276-AY276,AV276))</f>
        <v/>
      </c>
      <c r="BA276" s="42">
        <f>ROUND(AW276+AX276-AY276-AZ276,2)</f>
        <v/>
      </c>
      <c r="BB276">
        <f>AV276-AZ276</f>
        <v/>
      </c>
      <c r="BC276" s="42">
        <f>BG275</f>
        <v/>
      </c>
      <c r="BD276" s="42">
        <f>ROUND(BC276*BD$6/12,2)</f>
        <v/>
      </c>
      <c r="BE276" s="42">
        <f>MIN(BE$6,BC276+BD276)</f>
        <v/>
      </c>
      <c r="BF276" s="42">
        <f>MAX(0,MIN(BC276+BD276-BE276,BB276))</f>
        <v/>
      </c>
      <c r="BG276" s="42">
        <f>ROUND(BC276+BD276-BE276-BF276,2)</f>
        <v/>
      </c>
      <c r="BH276">
        <f>BB276-BF276</f>
        <v/>
      </c>
      <c r="BI276" s="42">
        <f>BM275</f>
        <v/>
      </c>
      <c r="BJ276" s="42">
        <f>ROUND(BI276*BJ$6/12,2)</f>
        <v/>
      </c>
      <c r="BK276" s="42">
        <f>MIN(BK$6,BI276+BJ276)</f>
        <v/>
      </c>
      <c r="BL276" s="42">
        <f>MAX(0,MIN(BI276+BJ276-BK276,BH276))</f>
        <v/>
      </c>
      <c r="BM276" s="42">
        <f>ROUND(BI276+BJ276-BK276-BL276,2)</f>
        <v/>
      </c>
      <c r="BN276">
        <f>BH276-BL276</f>
        <v/>
      </c>
    </row>
    <row r="277">
      <c r="A277" s="43" t="n">
        <v>270</v>
      </c>
      <c r="B277" s="44">
        <f>EDATE('My Debts'!$C$6,A277-1)</f>
        <v/>
      </c>
      <c r="C277" s="45">
        <f>K277+Q277+W277+AC277+AI277+AO277+AU277+BA277+BG277+BM277</f>
        <v/>
      </c>
      <c r="D277" s="46">
        <f>I277+O277+U277+AA277+AG277+AM277+AS277+AY277+BE277+BK277+J277+P277+V277+AB277+AH277+AN277+AT277+AZ277+BF277+BL277</f>
        <v/>
      </c>
      <c r="E277" s="46">
        <f>H277+N277+T277+Z277+AF277+AL277+AR277+AX277+BD277+BJ277</f>
        <v/>
      </c>
      <c r="F277">
        <f>MAX(0,'My Debts'!$E$21-(I277+O277+U277+AA277+AG277+AM277+AS277+AY277+BE277+BK277))</f>
        <v/>
      </c>
      <c r="G277" s="42">
        <f>K276</f>
        <v/>
      </c>
      <c r="H277" s="42">
        <f>ROUND(G277*H$6/12,2)</f>
        <v/>
      </c>
      <c r="I277" s="42">
        <f>MIN(I$6,G277+H277)</f>
        <v/>
      </c>
      <c r="J277" s="42">
        <f>MAX(0,MIN(G277+H277-I277,$F277))</f>
        <v/>
      </c>
      <c r="K277" s="42">
        <f>ROUND(G277+H277-I277-J277,2)</f>
        <v/>
      </c>
      <c r="L277">
        <f>$F277-J277</f>
        <v/>
      </c>
      <c r="M277" s="42">
        <f>Q276</f>
        <v/>
      </c>
      <c r="N277" s="42">
        <f>ROUND(M277*N$6/12,2)</f>
        <v/>
      </c>
      <c r="O277" s="42">
        <f>MIN(O$6,M277+N277)</f>
        <v/>
      </c>
      <c r="P277" s="42">
        <f>MAX(0,MIN(M277+N277-O277,L277))</f>
        <v/>
      </c>
      <c r="Q277" s="42">
        <f>ROUND(M277+N277-O277-P277,2)</f>
        <v/>
      </c>
      <c r="R277">
        <f>L277-P277</f>
        <v/>
      </c>
      <c r="S277" s="42">
        <f>W276</f>
        <v/>
      </c>
      <c r="T277" s="42">
        <f>ROUND(S277*T$6/12,2)</f>
        <v/>
      </c>
      <c r="U277" s="42">
        <f>MIN(U$6,S277+T277)</f>
        <v/>
      </c>
      <c r="V277" s="42">
        <f>MAX(0,MIN(S277+T277-U277,R277))</f>
        <v/>
      </c>
      <c r="W277" s="42">
        <f>ROUND(S277+T277-U277-V277,2)</f>
        <v/>
      </c>
      <c r="X277">
        <f>R277-V277</f>
        <v/>
      </c>
      <c r="Y277" s="42">
        <f>AC276</f>
        <v/>
      </c>
      <c r="Z277" s="42">
        <f>ROUND(Y277*Z$6/12,2)</f>
        <v/>
      </c>
      <c r="AA277" s="42">
        <f>MIN(AA$6,Y277+Z277)</f>
        <v/>
      </c>
      <c r="AB277" s="42">
        <f>MAX(0,MIN(Y277+Z277-AA277,X277))</f>
        <v/>
      </c>
      <c r="AC277" s="42">
        <f>ROUND(Y277+Z277-AA277-AB277,2)</f>
        <v/>
      </c>
      <c r="AD277">
        <f>X277-AB277</f>
        <v/>
      </c>
      <c r="AE277" s="42">
        <f>AI276</f>
        <v/>
      </c>
      <c r="AF277" s="42">
        <f>ROUND(AE277*AF$6/12,2)</f>
        <v/>
      </c>
      <c r="AG277" s="42">
        <f>MIN(AG$6,AE277+AF277)</f>
        <v/>
      </c>
      <c r="AH277" s="42">
        <f>MAX(0,MIN(AE277+AF277-AG277,AD277))</f>
        <v/>
      </c>
      <c r="AI277" s="42">
        <f>ROUND(AE277+AF277-AG277-AH277,2)</f>
        <v/>
      </c>
      <c r="AJ277">
        <f>AD277-AH277</f>
        <v/>
      </c>
      <c r="AK277" s="42">
        <f>AO276</f>
        <v/>
      </c>
      <c r="AL277" s="42">
        <f>ROUND(AK277*AL$6/12,2)</f>
        <v/>
      </c>
      <c r="AM277" s="42">
        <f>MIN(AM$6,AK277+AL277)</f>
        <v/>
      </c>
      <c r="AN277" s="42">
        <f>MAX(0,MIN(AK277+AL277-AM277,AJ277))</f>
        <v/>
      </c>
      <c r="AO277" s="42">
        <f>ROUND(AK277+AL277-AM277-AN277,2)</f>
        <v/>
      </c>
      <c r="AP277">
        <f>AJ277-AN277</f>
        <v/>
      </c>
      <c r="AQ277" s="42">
        <f>AU276</f>
        <v/>
      </c>
      <c r="AR277" s="42">
        <f>ROUND(AQ277*AR$6/12,2)</f>
        <v/>
      </c>
      <c r="AS277" s="42">
        <f>MIN(AS$6,AQ277+AR277)</f>
        <v/>
      </c>
      <c r="AT277" s="42">
        <f>MAX(0,MIN(AQ277+AR277-AS277,AP277))</f>
        <v/>
      </c>
      <c r="AU277" s="42">
        <f>ROUND(AQ277+AR277-AS277-AT277,2)</f>
        <v/>
      </c>
      <c r="AV277">
        <f>AP277-AT277</f>
        <v/>
      </c>
      <c r="AW277" s="42">
        <f>BA276</f>
        <v/>
      </c>
      <c r="AX277" s="42">
        <f>ROUND(AW277*AX$6/12,2)</f>
        <v/>
      </c>
      <c r="AY277" s="42">
        <f>MIN(AY$6,AW277+AX277)</f>
        <v/>
      </c>
      <c r="AZ277" s="42">
        <f>MAX(0,MIN(AW277+AX277-AY277,AV277))</f>
        <v/>
      </c>
      <c r="BA277" s="42">
        <f>ROUND(AW277+AX277-AY277-AZ277,2)</f>
        <v/>
      </c>
      <c r="BB277">
        <f>AV277-AZ277</f>
        <v/>
      </c>
      <c r="BC277" s="42">
        <f>BG276</f>
        <v/>
      </c>
      <c r="BD277" s="42">
        <f>ROUND(BC277*BD$6/12,2)</f>
        <v/>
      </c>
      <c r="BE277" s="42">
        <f>MIN(BE$6,BC277+BD277)</f>
        <v/>
      </c>
      <c r="BF277" s="42">
        <f>MAX(0,MIN(BC277+BD277-BE277,BB277))</f>
        <v/>
      </c>
      <c r="BG277" s="42">
        <f>ROUND(BC277+BD277-BE277-BF277,2)</f>
        <v/>
      </c>
      <c r="BH277">
        <f>BB277-BF277</f>
        <v/>
      </c>
      <c r="BI277" s="42">
        <f>BM276</f>
        <v/>
      </c>
      <c r="BJ277" s="42">
        <f>ROUND(BI277*BJ$6/12,2)</f>
        <v/>
      </c>
      <c r="BK277" s="42">
        <f>MIN(BK$6,BI277+BJ277)</f>
        <v/>
      </c>
      <c r="BL277" s="42">
        <f>MAX(0,MIN(BI277+BJ277-BK277,BH277))</f>
        <v/>
      </c>
      <c r="BM277" s="42">
        <f>ROUND(BI277+BJ277-BK277-BL277,2)</f>
        <v/>
      </c>
      <c r="BN277">
        <f>BH277-BL277</f>
        <v/>
      </c>
    </row>
    <row r="278">
      <c r="A278" s="39" t="n">
        <v>271</v>
      </c>
      <c r="B278" s="40">
        <f>EDATE('My Debts'!$C$6,A278-1)</f>
        <v/>
      </c>
      <c r="C278" s="41">
        <f>K278+Q278+W278+AC278+AI278+AO278+AU278+BA278+BG278+BM278</f>
        <v/>
      </c>
      <c r="D278" s="42">
        <f>I278+O278+U278+AA278+AG278+AM278+AS278+AY278+BE278+BK278+J278+P278+V278+AB278+AH278+AN278+AT278+AZ278+BF278+BL278</f>
        <v/>
      </c>
      <c r="E278" s="42">
        <f>H278+N278+T278+Z278+AF278+AL278+AR278+AX278+BD278+BJ278</f>
        <v/>
      </c>
      <c r="F278">
        <f>MAX(0,'My Debts'!$E$21-(I278+O278+U278+AA278+AG278+AM278+AS278+AY278+BE278+BK278))</f>
        <v/>
      </c>
      <c r="G278" s="42">
        <f>K277</f>
        <v/>
      </c>
      <c r="H278" s="42">
        <f>ROUND(G278*H$6/12,2)</f>
        <v/>
      </c>
      <c r="I278" s="42">
        <f>MIN(I$6,G278+H278)</f>
        <v/>
      </c>
      <c r="J278" s="42">
        <f>MAX(0,MIN(G278+H278-I278,$F278))</f>
        <v/>
      </c>
      <c r="K278" s="42">
        <f>ROUND(G278+H278-I278-J278,2)</f>
        <v/>
      </c>
      <c r="L278">
        <f>$F278-J278</f>
        <v/>
      </c>
      <c r="M278" s="42">
        <f>Q277</f>
        <v/>
      </c>
      <c r="N278" s="42">
        <f>ROUND(M278*N$6/12,2)</f>
        <v/>
      </c>
      <c r="O278" s="42">
        <f>MIN(O$6,M278+N278)</f>
        <v/>
      </c>
      <c r="P278" s="42">
        <f>MAX(0,MIN(M278+N278-O278,L278))</f>
        <v/>
      </c>
      <c r="Q278" s="42">
        <f>ROUND(M278+N278-O278-P278,2)</f>
        <v/>
      </c>
      <c r="R278">
        <f>L278-P278</f>
        <v/>
      </c>
      <c r="S278" s="42">
        <f>W277</f>
        <v/>
      </c>
      <c r="T278" s="42">
        <f>ROUND(S278*T$6/12,2)</f>
        <v/>
      </c>
      <c r="U278" s="42">
        <f>MIN(U$6,S278+T278)</f>
        <v/>
      </c>
      <c r="V278" s="42">
        <f>MAX(0,MIN(S278+T278-U278,R278))</f>
        <v/>
      </c>
      <c r="W278" s="42">
        <f>ROUND(S278+T278-U278-V278,2)</f>
        <v/>
      </c>
      <c r="X278">
        <f>R278-V278</f>
        <v/>
      </c>
      <c r="Y278" s="42">
        <f>AC277</f>
        <v/>
      </c>
      <c r="Z278" s="42">
        <f>ROUND(Y278*Z$6/12,2)</f>
        <v/>
      </c>
      <c r="AA278" s="42">
        <f>MIN(AA$6,Y278+Z278)</f>
        <v/>
      </c>
      <c r="AB278" s="42">
        <f>MAX(0,MIN(Y278+Z278-AA278,X278))</f>
        <v/>
      </c>
      <c r="AC278" s="42">
        <f>ROUND(Y278+Z278-AA278-AB278,2)</f>
        <v/>
      </c>
      <c r="AD278">
        <f>X278-AB278</f>
        <v/>
      </c>
      <c r="AE278" s="42">
        <f>AI277</f>
        <v/>
      </c>
      <c r="AF278" s="42">
        <f>ROUND(AE278*AF$6/12,2)</f>
        <v/>
      </c>
      <c r="AG278" s="42">
        <f>MIN(AG$6,AE278+AF278)</f>
        <v/>
      </c>
      <c r="AH278" s="42">
        <f>MAX(0,MIN(AE278+AF278-AG278,AD278))</f>
        <v/>
      </c>
      <c r="AI278" s="42">
        <f>ROUND(AE278+AF278-AG278-AH278,2)</f>
        <v/>
      </c>
      <c r="AJ278">
        <f>AD278-AH278</f>
        <v/>
      </c>
      <c r="AK278" s="42">
        <f>AO277</f>
        <v/>
      </c>
      <c r="AL278" s="42">
        <f>ROUND(AK278*AL$6/12,2)</f>
        <v/>
      </c>
      <c r="AM278" s="42">
        <f>MIN(AM$6,AK278+AL278)</f>
        <v/>
      </c>
      <c r="AN278" s="42">
        <f>MAX(0,MIN(AK278+AL278-AM278,AJ278))</f>
        <v/>
      </c>
      <c r="AO278" s="42">
        <f>ROUND(AK278+AL278-AM278-AN278,2)</f>
        <v/>
      </c>
      <c r="AP278">
        <f>AJ278-AN278</f>
        <v/>
      </c>
      <c r="AQ278" s="42">
        <f>AU277</f>
        <v/>
      </c>
      <c r="AR278" s="42">
        <f>ROUND(AQ278*AR$6/12,2)</f>
        <v/>
      </c>
      <c r="AS278" s="42">
        <f>MIN(AS$6,AQ278+AR278)</f>
        <v/>
      </c>
      <c r="AT278" s="42">
        <f>MAX(0,MIN(AQ278+AR278-AS278,AP278))</f>
        <v/>
      </c>
      <c r="AU278" s="42">
        <f>ROUND(AQ278+AR278-AS278-AT278,2)</f>
        <v/>
      </c>
      <c r="AV278">
        <f>AP278-AT278</f>
        <v/>
      </c>
      <c r="AW278" s="42">
        <f>BA277</f>
        <v/>
      </c>
      <c r="AX278" s="42">
        <f>ROUND(AW278*AX$6/12,2)</f>
        <v/>
      </c>
      <c r="AY278" s="42">
        <f>MIN(AY$6,AW278+AX278)</f>
        <v/>
      </c>
      <c r="AZ278" s="42">
        <f>MAX(0,MIN(AW278+AX278-AY278,AV278))</f>
        <v/>
      </c>
      <c r="BA278" s="42">
        <f>ROUND(AW278+AX278-AY278-AZ278,2)</f>
        <v/>
      </c>
      <c r="BB278">
        <f>AV278-AZ278</f>
        <v/>
      </c>
      <c r="BC278" s="42">
        <f>BG277</f>
        <v/>
      </c>
      <c r="BD278" s="42">
        <f>ROUND(BC278*BD$6/12,2)</f>
        <v/>
      </c>
      <c r="BE278" s="42">
        <f>MIN(BE$6,BC278+BD278)</f>
        <v/>
      </c>
      <c r="BF278" s="42">
        <f>MAX(0,MIN(BC278+BD278-BE278,BB278))</f>
        <v/>
      </c>
      <c r="BG278" s="42">
        <f>ROUND(BC278+BD278-BE278-BF278,2)</f>
        <v/>
      </c>
      <c r="BH278">
        <f>BB278-BF278</f>
        <v/>
      </c>
      <c r="BI278" s="42">
        <f>BM277</f>
        <v/>
      </c>
      <c r="BJ278" s="42">
        <f>ROUND(BI278*BJ$6/12,2)</f>
        <v/>
      </c>
      <c r="BK278" s="42">
        <f>MIN(BK$6,BI278+BJ278)</f>
        <v/>
      </c>
      <c r="BL278" s="42">
        <f>MAX(0,MIN(BI278+BJ278-BK278,BH278))</f>
        <v/>
      </c>
      <c r="BM278" s="42">
        <f>ROUND(BI278+BJ278-BK278-BL278,2)</f>
        <v/>
      </c>
      <c r="BN278">
        <f>BH278-BL278</f>
        <v/>
      </c>
    </row>
    <row r="279">
      <c r="A279" s="43" t="n">
        <v>272</v>
      </c>
      <c r="B279" s="44">
        <f>EDATE('My Debts'!$C$6,A279-1)</f>
        <v/>
      </c>
      <c r="C279" s="45">
        <f>K279+Q279+W279+AC279+AI279+AO279+AU279+BA279+BG279+BM279</f>
        <v/>
      </c>
      <c r="D279" s="46">
        <f>I279+O279+U279+AA279+AG279+AM279+AS279+AY279+BE279+BK279+J279+P279+V279+AB279+AH279+AN279+AT279+AZ279+BF279+BL279</f>
        <v/>
      </c>
      <c r="E279" s="46">
        <f>H279+N279+T279+Z279+AF279+AL279+AR279+AX279+BD279+BJ279</f>
        <v/>
      </c>
      <c r="F279">
        <f>MAX(0,'My Debts'!$E$21-(I279+O279+U279+AA279+AG279+AM279+AS279+AY279+BE279+BK279))</f>
        <v/>
      </c>
      <c r="G279" s="42">
        <f>K278</f>
        <v/>
      </c>
      <c r="H279" s="42">
        <f>ROUND(G279*H$6/12,2)</f>
        <v/>
      </c>
      <c r="I279" s="42">
        <f>MIN(I$6,G279+H279)</f>
        <v/>
      </c>
      <c r="J279" s="42">
        <f>MAX(0,MIN(G279+H279-I279,$F279))</f>
        <v/>
      </c>
      <c r="K279" s="42">
        <f>ROUND(G279+H279-I279-J279,2)</f>
        <v/>
      </c>
      <c r="L279">
        <f>$F279-J279</f>
        <v/>
      </c>
      <c r="M279" s="42">
        <f>Q278</f>
        <v/>
      </c>
      <c r="N279" s="42">
        <f>ROUND(M279*N$6/12,2)</f>
        <v/>
      </c>
      <c r="O279" s="42">
        <f>MIN(O$6,M279+N279)</f>
        <v/>
      </c>
      <c r="P279" s="42">
        <f>MAX(0,MIN(M279+N279-O279,L279))</f>
        <v/>
      </c>
      <c r="Q279" s="42">
        <f>ROUND(M279+N279-O279-P279,2)</f>
        <v/>
      </c>
      <c r="R279">
        <f>L279-P279</f>
        <v/>
      </c>
      <c r="S279" s="42">
        <f>W278</f>
        <v/>
      </c>
      <c r="T279" s="42">
        <f>ROUND(S279*T$6/12,2)</f>
        <v/>
      </c>
      <c r="U279" s="42">
        <f>MIN(U$6,S279+T279)</f>
        <v/>
      </c>
      <c r="V279" s="42">
        <f>MAX(0,MIN(S279+T279-U279,R279))</f>
        <v/>
      </c>
      <c r="W279" s="42">
        <f>ROUND(S279+T279-U279-V279,2)</f>
        <v/>
      </c>
      <c r="X279">
        <f>R279-V279</f>
        <v/>
      </c>
      <c r="Y279" s="42">
        <f>AC278</f>
        <v/>
      </c>
      <c r="Z279" s="42">
        <f>ROUND(Y279*Z$6/12,2)</f>
        <v/>
      </c>
      <c r="AA279" s="42">
        <f>MIN(AA$6,Y279+Z279)</f>
        <v/>
      </c>
      <c r="AB279" s="42">
        <f>MAX(0,MIN(Y279+Z279-AA279,X279))</f>
        <v/>
      </c>
      <c r="AC279" s="42">
        <f>ROUND(Y279+Z279-AA279-AB279,2)</f>
        <v/>
      </c>
      <c r="AD279">
        <f>X279-AB279</f>
        <v/>
      </c>
      <c r="AE279" s="42">
        <f>AI278</f>
        <v/>
      </c>
      <c r="AF279" s="42">
        <f>ROUND(AE279*AF$6/12,2)</f>
        <v/>
      </c>
      <c r="AG279" s="42">
        <f>MIN(AG$6,AE279+AF279)</f>
        <v/>
      </c>
      <c r="AH279" s="42">
        <f>MAX(0,MIN(AE279+AF279-AG279,AD279))</f>
        <v/>
      </c>
      <c r="AI279" s="42">
        <f>ROUND(AE279+AF279-AG279-AH279,2)</f>
        <v/>
      </c>
      <c r="AJ279">
        <f>AD279-AH279</f>
        <v/>
      </c>
      <c r="AK279" s="42">
        <f>AO278</f>
        <v/>
      </c>
      <c r="AL279" s="42">
        <f>ROUND(AK279*AL$6/12,2)</f>
        <v/>
      </c>
      <c r="AM279" s="42">
        <f>MIN(AM$6,AK279+AL279)</f>
        <v/>
      </c>
      <c r="AN279" s="42">
        <f>MAX(0,MIN(AK279+AL279-AM279,AJ279))</f>
        <v/>
      </c>
      <c r="AO279" s="42">
        <f>ROUND(AK279+AL279-AM279-AN279,2)</f>
        <v/>
      </c>
      <c r="AP279">
        <f>AJ279-AN279</f>
        <v/>
      </c>
      <c r="AQ279" s="42">
        <f>AU278</f>
        <v/>
      </c>
      <c r="AR279" s="42">
        <f>ROUND(AQ279*AR$6/12,2)</f>
        <v/>
      </c>
      <c r="AS279" s="42">
        <f>MIN(AS$6,AQ279+AR279)</f>
        <v/>
      </c>
      <c r="AT279" s="42">
        <f>MAX(0,MIN(AQ279+AR279-AS279,AP279))</f>
        <v/>
      </c>
      <c r="AU279" s="42">
        <f>ROUND(AQ279+AR279-AS279-AT279,2)</f>
        <v/>
      </c>
      <c r="AV279">
        <f>AP279-AT279</f>
        <v/>
      </c>
      <c r="AW279" s="42">
        <f>BA278</f>
        <v/>
      </c>
      <c r="AX279" s="42">
        <f>ROUND(AW279*AX$6/12,2)</f>
        <v/>
      </c>
      <c r="AY279" s="42">
        <f>MIN(AY$6,AW279+AX279)</f>
        <v/>
      </c>
      <c r="AZ279" s="42">
        <f>MAX(0,MIN(AW279+AX279-AY279,AV279))</f>
        <v/>
      </c>
      <c r="BA279" s="42">
        <f>ROUND(AW279+AX279-AY279-AZ279,2)</f>
        <v/>
      </c>
      <c r="BB279">
        <f>AV279-AZ279</f>
        <v/>
      </c>
      <c r="BC279" s="42">
        <f>BG278</f>
        <v/>
      </c>
      <c r="BD279" s="42">
        <f>ROUND(BC279*BD$6/12,2)</f>
        <v/>
      </c>
      <c r="BE279" s="42">
        <f>MIN(BE$6,BC279+BD279)</f>
        <v/>
      </c>
      <c r="BF279" s="42">
        <f>MAX(0,MIN(BC279+BD279-BE279,BB279))</f>
        <v/>
      </c>
      <c r="BG279" s="42">
        <f>ROUND(BC279+BD279-BE279-BF279,2)</f>
        <v/>
      </c>
      <c r="BH279">
        <f>BB279-BF279</f>
        <v/>
      </c>
      <c r="BI279" s="42">
        <f>BM278</f>
        <v/>
      </c>
      <c r="BJ279" s="42">
        <f>ROUND(BI279*BJ$6/12,2)</f>
        <v/>
      </c>
      <c r="BK279" s="42">
        <f>MIN(BK$6,BI279+BJ279)</f>
        <v/>
      </c>
      <c r="BL279" s="42">
        <f>MAX(0,MIN(BI279+BJ279-BK279,BH279))</f>
        <v/>
      </c>
      <c r="BM279" s="42">
        <f>ROUND(BI279+BJ279-BK279-BL279,2)</f>
        <v/>
      </c>
      <c r="BN279">
        <f>BH279-BL279</f>
        <v/>
      </c>
    </row>
    <row r="280">
      <c r="A280" s="39" t="n">
        <v>273</v>
      </c>
      <c r="B280" s="40">
        <f>EDATE('My Debts'!$C$6,A280-1)</f>
        <v/>
      </c>
      <c r="C280" s="41">
        <f>K280+Q280+W280+AC280+AI280+AO280+AU280+BA280+BG280+BM280</f>
        <v/>
      </c>
      <c r="D280" s="42">
        <f>I280+O280+U280+AA280+AG280+AM280+AS280+AY280+BE280+BK280+J280+P280+V280+AB280+AH280+AN280+AT280+AZ280+BF280+BL280</f>
        <v/>
      </c>
      <c r="E280" s="42">
        <f>H280+N280+T280+Z280+AF280+AL280+AR280+AX280+BD280+BJ280</f>
        <v/>
      </c>
      <c r="F280">
        <f>MAX(0,'My Debts'!$E$21-(I280+O280+U280+AA280+AG280+AM280+AS280+AY280+BE280+BK280))</f>
        <v/>
      </c>
      <c r="G280" s="42">
        <f>K279</f>
        <v/>
      </c>
      <c r="H280" s="42">
        <f>ROUND(G280*H$6/12,2)</f>
        <v/>
      </c>
      <c r="I280" s="42">
        <f>MIN(I$6,G280+H280)</f>
        <v/>
      </c>
      <c r="J280" s="42">
        <f>MAX(0,MIN(G280+H280-I280,$F280))</f>
        <v/>
      </c>
      <c r="K280" s="42">
        <f>ROUND(G280+H280-I280-J280,2)</f>
        <v/>
      </c>
      <c r="L280">
        <f>$F280-J280</f>
        <v/>
      </c>
      <c r="M280" s="42">
        <f>Q279</f>
        <v/>
      </c>
      <c r="N280" s="42">
        <f>ROUND(M280*N$6/12,2)</f>
        <v/>
      </c>
      <c r="O280" s="42">
        <f>MIN(O$6,M280+N280)</f>
        <v/>
      </c>
      <c r="P280" s="42">
        <f>MAX(0,MIN(M280+N280-O280,L280))</f>
        <v/>
      </c>
      <c r="Q280" s="42">
        <f>ROUND(M280+N280-O280-P280,2)</f>
        <v/>
      </c>
      <c r="R280">
        <f>L280-P280</f>
        <v/>
      </c>
      <c r="S280" s="42">
        <f>W279</f>
        <v/>
      </c>
      <c r="T280" s="42">
        <f>ROUND(S280*T$6/12,2)</f>
        <v/>
      </c>
      <c r="U280" s="42">
        <f>MIN(U$6,S280+T280)</f>
        <v/>
      </c>
      <c r="V280" s="42">
        <f>MAX(0,MIN(S280+T280-U280,R280))</f>
        <v/>
      </c>
      <c r="W280" s="42">
        <f>ROUND(S280+T280-U280-V280,2)</f>
        <v/>
      </c>
      <c r="X280">
        <f>R280-V280</f>
        <v/>
      </c>
      <c r="Y280" s="42">
        <f>AC279</f>
        <v/>
      </c>
      <c r="Z280" s="42">
        <f>ROUND(Y280*Z$6/12,2)</f>
        <v/>
      </c>
      <c r="AA280" s="42">
        <f>MIN(AA$6,Y280+Z280)</f>
        <v/>
      </c>
      <c r="AB280" s="42">
        <f>MAX(0,MIN(Y280+Z280-AA280,X280))</f>
        <v/>
      </c>
      <c r="AC280" s="42">
        <f>ROUND(Y280+Z280-AA280-AB280,2)</f>
        <v/>
      </c>
      <c r="AD280">
        <f>X280-AB280</f>
        <v/>
      </c>
      <c r="AE280" s="42">
        <f>AI279</f>
        <v/>
      </c>
      <c r="AF280" s="42">
        <f>ROUND(AE280*AF$6/12,2)</f>
        <v/>
      </c>
      <c r="AG280" s="42">
        <f>MIN(AG$6,AE280+AF280)</f>
        <v/>
      </c>
      <c r="AH280" s="42">
        <f>MAX(0,MIN(AE280+AF280-AG280,AD280))</f>
        <v/>
      </c>
      <c r="AI280" s="42">
        <f>ROUND(AE280+AF280-AG280-AH280,2)</f>
        <v/>
      </c>
      <c r="AJ280">
        <f>AD280-AH280</f>
        <v/>
      </c>
      <c r="AK280" s="42">
        <f>AO279</f>
        <v/>
      </c>
      <c r="AL280" s="42">
        <f>ROUND(AK280*AL$6/12,2)</f>
        <v/>
      </c>
      <c r="AM280" s="42">
        <f>MIN(AM$6,AK280+AL280)</f>
        <v/>
      </c>
      <c r="AN280" s="42">
        <f>MAX(0,MIN(AK280+AL280-AM280,AJ280))</f>
        <v/>
      </c>
      <c r="AO280" s="42">
        <f>ROUND(AK280+AL280-AM280-AN280,2)</f>
        <v/>
      </c>
      <c r="AP280">
        <f>AJ280-AN280</f>
        <v/>
      </c>
      <c r="AQ280" s="42">
        <f>AU279</f>
        <v/>
      </c>
      <c r="AR280" s="42">
        <f>ROUND(AQ280*AR$6/12,2)</f>
        <v/>
      </c>
      <c r="AS280" s="42">
        <f>MIN(AS$6,AQ280+AR280)</f>
        <v/>
      </c>
      <c r="AT280" s="42">
        <f>MAX(0,MIN(AQ280+AR280-AS280,AP280))</f>
        <v/>
      </c>
      <c r="AU280" s="42">
        <f>ROUND(AQ280+AR280-AS280-AT280,2)</f>
        <v/>
      </c>
      <c r="AV280">
        <f>AP280-AT280</f>
        <v/>
      </c>
      <c r="AW280" s="42">
        <f>BA279</f>
        <v/>
      </c>
      <c r="AX280" s="42">
        <f>ROUND(AW280*AX$6/12,2)</f>
        <v/>
      </c>
      <c r="AY280" s="42">
        <f>MIN(AY$6,AW280+AX280)</f>
        <v/>
      </c>
      <c r="AZ280" s="42">
        <f>MAX(0,MIN(AW280+AX280-AY280,AV280))</f>
        <v/>
      </c>
      <c r="BA280" s="42">
        <f>ROUND(AW280+AX280-AY280-AZ280,2)</f>
        <v/>
      </c>
      <c r="BB280">
        <f>AV280-AZ280</f>
        <v/>
      </c>
      <c r="BC280" s="42">
        <f>BG279</f>
        <v/>
      </c>
      <c r="BD280" s="42">
        <f>ROUND(BC280*BD$6/12,2)</f>
        <v/>
      </c>
      <c r="BE280" s="42">
        <f>MIN(BE$6,BC280+BD280)</f>
        <v/>
      </c>
      <c r="BF280" s="42">
        <f>MAX(0,MIN(BC280+BD280-BE280,BB280))</f>
        <v/>
      </c>
      <c r="BG280" s="42">
        <f>ROUND(BC280+BD280-BE280-BF280,2)</f>
        <v/>
      </c>
      <c r="BH280">
        <f>BB280-BF280</f>
        <v/>
      </c>
      <c r="BI280" s="42">
        <f>BM279</f>
        <v/>
      </c>
      <c r="BJ280" s="42">
        <f>ROUND(BI280*BJ$6/12,2)</f>
        <v/>
      </c>
      <c r="BK280" s="42">
        <f>MIN(BK$6,BI280+BJ280)</f>
        <v/>
      </c>
      <c r="BL280" s="42">
        <f>MAX(0,MIN(BI280+BJ280-BK280,BH280))</f>
        <v/>
      </c>
      <c r="BM280" s="42">
        <f>ROUND(BI280+BJ280-BK280-BL280,2)</f>
        <v/>
      </c>
      <c r="BN280">
        <f>BH280-BL280</f>
        <v/>
      </c>
    </row>
    <row r="281">
      <c r="A281" s="43" t="n">
        <v>274</v>
      </c>
      <c r="B281" s="44">
        <f>EDATE('My Debts'!$C$6,A281-1)</f>
        <v/>
      </c>
      <c r="C281" s="45">
        <f>K281+Q281+W281+AC281+AI281+AO281+AU281+BA281+BG281+BM281</f>
        <v/>
      </c>
      <c r="D281" s="46">
        <f>I281+O281+U281+AA281+AG281+AM281+AS281+AY281+BE281+BK281+J281+P281+V281+AB281+AH281+AN281+AT281+AZ281+BF281+BL281</f>
        <v/>
      </c>
      <c r="E281" s="46">
        <f>H281+N281+T281+Z281+AF281+AL281+AR281+AX281+BD281+BJ281</f>
        <v/>
      </c>
      <c r="F281">
        <f>MAX(0,'My Debts'!$E$21-(I281+O281+U281+AA281+AG281+AM281+AS281+AY281+BE281+BK281))</f>
        <v/>
      </c>
      <c r="G281" s="42">
        <f>K280</f>
        <v/>
      </c>
      <c r="H281" s="42">
        <f>ROUND(G281*H$6/12,2)</f>
        <v/>
      </c>
      <c r="I281" s="42">
        <f>MIN(I$6,G281+H281)</f>
        <v/>
      </c>
      <c r="J281" s="42">
        <f>MAX(0,MIN(G281+H281-I281,$F281))</f>
        <v/>
      </c>
      <c r="K281" s="42">
        <f>ROUND(G281+H281-I281-J281,2)</f>
        <v/>
      </c>
      <c r="L281">
        <f>$F281-J281</f>
        <v/>
      </c>
      <c r="M281" s="42">
        <f>Q280</f>
        <v/>
      </c>
      <c r="N281" s="42">
        <f>ROUND(M281*N$6/12,2)</f>
        <v/>
      </c>
      <c r="O281" s="42">
        <f>MIN(O$6,M281+N281)</f>
        <v/>
      </c>
      <c r="P281" s="42">
        <f>MAX(0,MIN(M281+N281-O281,L281))</f>
        <v/>
      </c>
      <c r="Q281" s="42">
        <f>ROUND(M281+N281-O281-P281,2)</f>
        <v/>
      </c>
      <c r="R281">
        <f>L281-P281</f>
        <v/>
      </c>
      <c r="S281" s="42">
        <f>W280</f>
        <v/>
      </c>
      <c r="T281" s="42">
        <f>ROUND(S281*T$6/12,2)</f>
        <v/>
      </c>
      <c r="U281" s="42">
        <f>MIN(U$6,S281+T281)</f>
        <v/>
      </c>
      <c r="V281" s="42">
        <f>MAX(0,MIN(S281+T281-U281,R281))</f>
        <v/>
      </c>
      <c r="W281" s="42">
        <f>ROUND(S281+T281-U281-V281,2)</f>
        <v/>
      </c>
      <c r="X281">
        <f>R281-V281</f>
        <v/>
      </c>
      <c r="Y281" s="42">
        <f>AC280</f>
        <v/>
      </c>
      <c r="Z281" s="42">
        <f>ROUND(Y281*Z$6/12,2)</f>
        <v/>
      </c>
      <c r="AA281" s="42">
        <f>MIN(AA$6,Y281+Z281)</f>
        <v/>
      </c>
      <c r="AB281" s="42">
        <f>MAX(0,MIN(Y281+Z281-AA281,X281))</f>
        <v/>
      </c>
      <c r="AC281" s="42">
        <f>ROUND(Y281+Z281-AA281-AB281,2)</f>
        <v/>
      </c>
      <c r="AD281">
        <f>X281-AB281</f>
        <v/>
      </c>
      <c r="AE281" s="42">
        <f>AI280</f>
        <v/>
      </c>
      <c r="AF281" s="42">
        <f>ROUND(AE281*AF$6/12,2)</f>
        <v/>
      </c>
      <c r="AG281" s="42">
        <f>MIN(AG$6,AE281+AF281)</f>
        <v/>
      </c>
      <c r="AH281" s="42">
        <f>MAX(0,MIN(AE281+AF281-AG281,AD281))</f>
        <v/>
      </c>
      <c r="AI281" s="42">
        <f>ROUND(AE281+AF281-AG281-AH281,2)</f>
        <v/>
      </c>
      <c r="AJ281">
        <f>AD281-AH281</f>
        <v/>
      </c>
      <c r="AK281" s="42">
        <f>AO280</f>
        <v/>
      </c>
      <c r="AL281" s="42">
        <f>ROUND(AK281*AL$6/12,2)</f>
        <v/>
      </c>
      <c r="AM281" s="42">
        <f>MIN(AM$6,AK281+AL281)</f>
        <v/>
      </c>
      <c r="AN281" s="42">
        <f>MAX(0,MIN(AK281+AL281-AM281,AJ281))</f>
        <v/>
      </c>
      <c r="AO281" s="42">
        <f>ROUND(AK281+AL281-AM281-AN281,2)</f>
        <v/>
      </c>
      <c r="AP281">
        <f>AJ281-AN281</f>
        <v/>
      </c>
      <c r="AQ281" s="42">
        <f>AU280</f>
        <v/>
      </c>
      <c r="AR281" s="42">
        <f>ROUND(AQ281*AR$6/12,2)</f>
        <v/>
      </c>
      <c r="AS281" s="42">
        <f>MIN(AS$6,AQ281+AR281)</f>
        <v/>
      </c>
      <c r="AT281" s="42">
        <f>MAX(0,MIN(AQ281+AR281-AS281,AP281))</f>
        <v/>
      </c>
      <c r="AU281" s="42">
        <f>ROUND(AQ281+AR281-AS281-AT281,2)</f>
        <v/>
      </c>
      <c r="AV281">
        <f>AP281-AT281</f>
        <v/>
      </c>
      <c r="AW281" s="42">
        <f>BA280</f>
        <v/>
      </c>
      <c r="AX281" s="42">
        <f>ROUND(AW281*AX$6/12,2)</f>
        <v/>
      </c>
      <c r="AY281" s="42">
        <f>MIN(AY$6,AW281+AX281)</f>
        <v/>
      </c>
      <c r="AZ281" s="42">
        <f>MAX(0,MIN(AW281+AX281-AY281,AV281))</f>
        <v/>
      </c>
      <c r="BA281" s="42">
        <f>ROUND(AW281+AX281-AY281-AZ281,2)</f>
        <v/>
      </c>
      <c r="BB281">
        <f>AV281-AZ281</f>
        <v/>
      </c>
      <c r="BC281" s="42">
        <f>BG280</f>
        <v/>
      </c>
      <c r="BD281" s="42">
        <f>ROUND(BC281*BD$6/12,2)</f>
        <v/>
      </c>
      <c r="BE281" s="42">
        <f>MIN(BE$6,BC281+BD281)</f>
        <v/>
      </c>
      <c r="BF281" s="42">
        <f>MAX(0,MIN(BC281+BD281-BE281,BB281))</f>
        <v/>
      </c>
      <c r="BG281" s="42">
        <f>ROUND(BC281+BD281-BE281-BF281,2)</f>
        <v/>
      </c>
      <c r="BH281">
        <f>BB281-BF281</f>
        <v/>
      </c>
      <c r="BI281" s="42">
        <f>BM280</f>
        <v/>
      </c>
      <c r="BJ281" s="42">
        <f>ROUND(BI281*BJ$6/12,2)</f>
        <v/>
      </c>
      <c r="BK281" s="42">
        <f>MIN(BK$6,BI281+BJ281)</f>
        <v/>
      </c>
      <c r="BL281" s="42">
        <f>MAX(0,MIN(BI281+BJ281-BK281,BH281))</f>
        <v/>
      </c>
      <c r="BM281" s="42">
        <f>ROUND(BI281+BJ281-BK281-BL281,2)</f>
        <v/>
      </c>
      <c r="BN281">
        <f>BH281-BL281</f>
        <v/>
      </c>
    </row>
    <row r="282">
      <c r="A282" s="39" t="n">
        <v>275</v>
      </c>
      <c r="B282" s="40">
        <f>EDATE('My Debts'!$C$6,A282-1)</f>
        <v/>
      </c>
      <c r="C282" s="41">
        <f>K282+Q282+W282+AC282+AI282+AO282+AU282+BA282+BG282+BM282</f>
        <v/>
      </c>
      <c r="D282" s="42">
        <f>I282+O282+U282+AA282+AG282+AM282+AS282+AY282+BE282+BK282+J282+P282+V282+AB282+AH282+AN282+AT282+AZ282+BF282+BL282</f>
        <v/>
      </c>
      <c r="E282" s="42">
        <f>H282+N282+T282+Z282+AF282+AL282+AR282+AX282+BD282+BJ282</f>
        <v/>
      </c>
      <c r="F282">
        <f>MAX(0,'My Debts'!$E$21-(I282+O282+U282+AA282+AG282+AM282+AS282+AY282+BE282+BK282))</f>
        <v/>
      </c>
      <c r="G282" s="42">
        <f>K281</f>
        <v/>
      </c>
      <c r="H282" s="42">
        <f>ROUND(G282*H$6/12,2)</f>
        <v/>
      </c>
      <c r="I282" s="42">
        <f>MIN(I$6,G282+H282)</f>
        <v/>
      </c>
      <c r="J282" s="42">
        <f>MAX(0,MIN(G282+H282-I282,$F282))</f>
        <v/>
      </c>
      <c r="K282" s="42">
        <f>ROUND(G282+H282-I282-J282,2)</f>
        <v/>
      </c>
      <c r="L282">
        <f>$F282-J282</f>
        <v/>
      </c>
      <c r="M282" s="42">
        <f>Q281</f>
        <v/>
      </c>
      <c r="N282" s="42">
        <f>ROUND(M282*N$6/12,2)</f>
        <v/>
      </c>
      <c r="O282" s="42">
        <f>MIN(O$6,M282+N282)</f>
        <v/>
      </c>
      <c r="P282" s="42">
        <f>MAX(0,MIN(M282+N282-O282,L282))</f>
        <v/>
      </c>
      <c r="Q282" s="42">
        <f>ROUND(M282+N282-O282-P282,2)</f>
        <v/>
      </c>
      <c r="R282">
        <f>L282-P282</f>
        <v/>
      </c>
      <c r="S282" s="42">
        <f>W281</f>
        <v/>
      </c>
      <c r="T282" s="42">
        <f>ROUND(S282*T$6/12,2)</f>
        <v/>
      </c>
      <c r="U282" s="42">
        <f>MIN(U$6,S282+T282)</f>
        <v/>
      </c>
      <c r="V282" s="42">
        <f>MAX(0,MIN(S282+T282-U282,R282))</f>
        <v/>
      </c>
      <c r="W282" s="42">
        <f>ROUND(S282+T282-U282-V282,2)</f>
        <v/>
      </c>
      <c r="X282">
        <f>R282-V282</f>
        <v/>
      </c>
      <c r="Y282" s="42">
        <f>AC281</f>
        <v/>
      </c>
      <c r="Z282" s="42">
        <f>ROUND(Y282*Z$6/12,2)</f>
        <v/>
      </c>
      <c r="AA282" s="42">
        <f>MIN(AA$6,Y282+Z282)</f>
        <v/>
      </c>
      <c r="AB282" s="42">
        <f>MAX(0,MIN(Y282+Z282-AA282,X282))</f>
        <v/>
      </c>
      <c r="AC282" s="42">
        <f>ROUND(Y282+Z282-AA282-AB282,2)</f>
        <v/>
      </c>
      <c r="AD282">
        <f>X282-AB282</f>
        <v/>
      </c>
      <c r="AE282" s="42">
        <f>AI281</f>
        <v/>
      </c>
      <c r="AF282" s="42">
        <f>ROUND(AE282*AF$6/12,2)</f>
        <v/>
      </c>
      <c r="AG282" s="42">
        <f>MIN(AG$6,AE282+AF282)</f>
        <v/>
      </c>
      <c r="AH282" s="42">
        <f>MAX(0,MIN(AE282+AF282-AG282,AD282))</f>
        <v/>
      </c>
      <c r="AI282" s="42">
        <f>ROUND(AE282+AF282-AG282-AH282,2)</f>
        <v/>
      </c>
      <c r="AJ282">
        <f>AD282-AH282</f>
        <v/>
      </c>
      <c r="AK282" s="42">
        <f>AO281</f>
        <v/>
      </c>
      <c r="AL282" s="42">
        <f>ROUND(AK282*AL$6/12,2)</f>
        <v/>
      </c>
      <c r="AM282" s="42">
        <f>MIN(AM$6,AK282+AL282)</f>
        <v/>
      </c>
      <c r="AN282" s="42">
        <f>MAX(0,MIN(AK282+AL282-AM282,AJ282))</f>
        <v/>
      </c>
      <c r="AO282" s="42">
        <f>ROUND(AK282+AL282-AM282-AN282,2)</f>
        <v/>
      </c>
      <c r="AP282">
        <f>AJ282-AN282</f>
        <v/>
      </c>
      <c r="AQ282" s="42">
        <f>AU281</f>
        <v/>
      </c>
      <c r="AR282" s="42">
        <f>ROUND(AQ282*AR$6/12,2)</f>
        <v/>
      </c>
      <c r="AS282" s="42">
        <f>MIN(AS$6,AQ282+AR282)</f>
        <v/>
      </c>
      <c r="AT282" s="42">
        <f>MAX(0,MIN(AQ282+AR282-AS282,AP282))</f>
        <v/>
      </c>
      <c r="AU282" s="42">
        <f>ROUND(AQ282+AR282-AS282-AT282,2)</f>
        <v/>
      </c>
      <c r="AV282">
        <f>AP282-AT282</f>
        <v/>
      </c>
      <c r="AW282" s="42">
        <f>BA281</f>
        <v/>
      </c>
      <c r="AX282" s="42">
        <f>ROUND(AW282*AX$6/12,2)</f>
        <v/>
      </c>
      <c r="AY282" s="42">
        <f>MIN(AY$6,AW282+AX282)</f>
        <v/>
      </c>
      <c r="AZ282" s="42">
        <f>MAX(0,MIN(AW282+AX282-AY282,AV282))</f>
        <v/>
      </c>
      <c r="BA282" s="42">
        <f>ROUND(AW282+AX282-AY282-AZ282,2)</f>
        <v/>
      </c>
      <c r="BB282">
        <f>AV282-AZ282</f>
        <v/>
      </c>
      <c r="BC282" s="42">
        <f>BG281</f>
        <v/>
      </c>
      <c r="BD282" s="42">
        <f>ROUND(BC282*BD$6/12,2)</f>
        <v/>
      </c>
      <c r="BE282" s="42">
        <f>MIN(BE$6,BC282+BD282)</f>
        <v/>
      </c>
      <c r="BF282" s="42">
        <f>MAX(0,MIN(BC282+BD282-BE282,BB282))</f>
        <v/>
      </c>
      <c r="BG282" s="42">
        <f>ROUND(BC282+BD282-BE282-BF282,2)</f>
        <v/>
      </c>
      <c r="BH282">
        <f>BB282-BF282</f>
        <v/>
      </c>
      <c r="BI282" s="42">
        <f>BM281</f>
        <v/>
      </c>
      <c r="BJ282" s="42">
        <f>ROUND(BI282*BJ$6/12,2)</f>
        <v/>
      </c>
      <c r="BK282" s="42">
        <f>MIN(BK$6,BI282+BJ282)</f>
        <v/>
      </c>
      <c r="BL282" s="42">
        <f>MAX(0,MIN(BI282+BJ282-BK282,BH282))</f>
        <v/>
      </c>
      <c r="BM282" s="42">
        <f>ROUND(BI282+BJ282-BK282-BL282,2)</f>
        <v/>
      </c>
      <c r="BN282">
        <f>BH282-BL282</f>
        <v/>
      </c>
    </row>
    <row r="283">
      <c r="A283" s="43" t="n">
        <v>276</v>
      </c>
      <c r="B283" s="44">
        <f>EDATE('My Debts'!$C$6,A283-1)</f>
        <v/>
      </c>
      <c r="C283" s="45">
        <f>K283+Q283+W283+AC283+AI283+AO283+AU283+BA283+BG283+BM283</f>
        <v/>
      </c>
      <c r="D283" s="46">
        <f>I283+O283+U283+AA283+AG283+AM283+AS283+AY283+BE283+BK283+J283+P283+V283+AB283+AH283+AN283+AT283+AZ283+BF283+BL283</f>
        <v/>
      </c>
      <c r="E283" s="46">
        <f>H283+N283+T283+Z283+AF283+AL283+AR283+AX283+BD283+BJ283</f>
        <v/>
      </c>
      <c r="F283">
        <f>MAX(0,'My Debts'!$E$21-(I283+O283+U283+AA283+AG283+AM283+AS283+AY283+BE283+BK283))</f>
        <v/>
      </c>
      <c r="G283" s="42">
        <f>K282</f>
        <v/>
      </c>
      <c r="H283" s="42">
        <f>ROUND(G283*H$6/12,2)</f>
        <v/>
      </c>
      <c r="I283" s="42">
        <f>MIN(I$6,G283+H283)</f>
        <v/>
      </c>
      <c r="J283" s="42">
        <f>MAX(0,MIN(G283+H283-I283,$F283))</f>
        <v/>
      </c>
      <c r="K283" s="42">
        <f>ROUND(G283+H283-I283-J283,2)</f>
        <v/>
      </c>
      <c r="L283">
        <f>$F283-J283</f>
        <v/>
      </c>
      <c r="M283" s="42">
        <f>Q282</f>
        <v/>
      </c>
      <c r="N283" s="42">
        <f>ROUND(M283*N$6/12,2)</f>
        <v/>
      </c>
      <c r="O283" s="42">
        <f>MIN(O$6,M283+N283)</f>
        <v/>
      </c>
      <c r="P283" s="42">
        <f>MAX(0,MIN(M283+N283-O283,L283))</f>
        <v/>
      </c>
      <c r="Q283" s="42">
        <f>ROUND(M283+N283-O283-P283,2)</f>
        <v/>
      </c>
      <c r="R283">
        <f>L283-P283</f>
        <v/>
      </c>
      <c r="S283" s="42">
        <f>W282</f>
        <v/>
      </c>
      <c r="T283" s="42">
        <f>ROUND(S283*T$6/12,2)</f>
        <v/>
      </c>
      <c r="U283" s="42">
        <f>MIN(U$6,S283+T283)</f>
        <v/>
      </c>
      <c r="V283" s="42">
        <f>MAX(0,MIN(S283+T283-U283,R283))</f>
        <v/>
      </c>
      <c r="W283" s="42">
        <f>ROUND(S283+T283-U283-V283,2)</f>
        <v/>
      </c>
      <c r="X283">
        <f>R283-V283</f>
        <v/>
      </c>
      <c r="Y283" s="42">
        <f>AC282</f>
        <v/>
      </c>
      <c r="Z283" s="42">
        <f>ROUND(Y283*Z$6/12,2)</f>
        <v/>
      </c>
      <c r="AA283" s="42">
        <f>MIN(AA$6,Y283+Z283)</f>
        <v/>
      </c>
      <c r="AB283" s="42">
        <f>MAX(0,MIN(Y283+Z283-AA283,X283))</f>
        <v/>
      </c>
      <c r="AC283" s="42">
        <f>ROUND(Y283+Z283-AA283-AB283,2)</f>
        <v/>
      </c>
      <c r="AD283">
        <f>X283-AB283</f>
        <v/>
      </c>
      <c r="AE283" s="42">
        <f>AI282</f>
        <v/>
      </c>
      <c r="AF283" s="42">
        <f>ROUND(AE283*AF$6/12,2)</f>
        <v/>
      </c>
      <c r="AG283" s="42">
        <f>MIN(AG$6,AE283+AF283)</f>
        <v/>
      </c>
      <c r="AH283" s="42">
        <f>MAX(0,MIN(AE283+AF283-AG283,AD283))</f>
        <v/>
      </c>
      <c r="AI283" s="42">
        <f>ROUND(AE283+AF283-AG283-AH283,2)</f>
        <v/>
      </c>
      <c r="AJ283">
        <f>AD283-AH283</f>
        <v/>
      </c>
      <c r="AK283" s="42">
        <f>AO282</f>
        <v/>
      </c>
      <c r="AL283" s="42">
        <f>ROUND(AK283*AL$6/12,2)</f>
        <v/>
      </c>
      <c r="AM283" s="42">
        <f>MIN(AM$6,AK283+AL283)</f>
        <v/>
      </c>
      <c r="AN283" s="42">
        <f>MAX(0,MIN(AK283+AL283-AM283,AJ283))</f>
        <v/>
      </c>
      <c r="AO283" s="42">
        <f>ROUND(AK283+AL283-AM283-AN283,2)</f>
        <v/>
      </c>
      <c r="AP283">
        <f>AJ283-AN283</f>
        <v/>
      </c>
      <c r="AQ283" s="42">
        <f>AU282</f>
        <v/>
      </c>
      <c r="AR283" s="42">
        <f>ROUND(AQ283*AR$6/12,2)</f>
        <v/>
      </c>
      <c r="AS283" s="42">
        <f>MIN(AS$6,AQ283+AR283)</f>
        <v/>
      </c>
      <c r="AT283" s="42">
        <f>MAX(0,MIN(AQ283+AR283-AS283,AP283))</f>
        <v/>
      </c>
      <c r="AU283" s="42">
        <f>ROUND(AQ283+AR283-AS283-AT283,2)</f>
        <v/>
      </c>
      <c r="AV283">
        <f>AP283-AT283</f>
        <v/>
      </c>
      <c r="AW283" s="42">
        <f>BA282</f>
        <v/>
      </c>
      <c r="AX283" s="42">
        <f>ROUND(AW283*AX$6/12,2)</f>
        <v/>
      </c>
      <c r="AY283" s="42">
        <f>MIN(AY$6,AW283+AX283)</f>
        <v/>
      </c>
      <c r="AZ283" s="42">
        <f>MAX(0,MIN(AW283+AX283-AY283,AV283))</f>
        <v/>
      </c>
      <c r="BA283" s="42">
        <f>ROUND(AW283+AX283-AY283-AZ283,2)</f>
        <v/>
      </c>
      <c r="BB283">
        <f>AV283-AZ283</f>
        <v/>
      </c>
      <c r="BC283" s="42">
        <f>BG282</f>
        <v/>
      </c>
      <c r="BD283" s="42">
        <f>ROUND(BC283*BD$6/12,2)</f>
        <v/>
      </c>
      <c r="BE283" s="42">
        <f>MIN(BE$6,BC283+BD283)</f>
        <v/>
      </c>
      <c r="BF283" s="42">
        <f>MAX(0,MIN(BC283+BD283-BE283,BB283))</f>
        <v/>
      </c>
      <c r="BG283" s="42">
        <f>ROUND(BC283+BD283-BE283-BF283,2)</f>
        <v/>
      </c>
      <c r="BH283">
        <f>BB283-BF283</f>
        <v/>
      </c>
      <c r="BI283" s="42">
        <f>BM282</f>
        <v/>
      </c>
      <c r="BJ283" s="42">
        <f>ROUND(BI283*BJ$6/12,2)</f>
        <v/>
      </c>
      <c r="BK283" s="42">
        <f>MIN(BK$6,BI283+BJ283)</f>
        <v/>
      </c>
      <c r="BL283" s="42">
        <f>MAX(0,MIN(BI283+BJ283-BK283,BH283))</f>
        <v/>
      </c>
      <c r="BM283" s="42">
        <f>ROUND(BI283+BJ283-BK283-BL283,2)</f>
        <v/>
      </c>
      <c r="BN283">
        <f>BH283-BL283</f>
        <v/>
      </c>
    </row>
    <row r="284">
      <c r="A284" s="39" t="n">
        <v>277</v>
      </c>
      <c r="B284" s="40">
        <f>EDATE('My Debts'!$C$6,A284-1)</f>
        <v/>
      </c>
      <c r="C284" s="41">
        <f>K284+Q284+W284+AC284+AI284+AO284+AU284+BA284+BG284+BM284</f>
        <v/>
      </c>
      <c r="D284" s="42">
        <f>I284+O284+U284+AA284+AG284+AM284+AS284+AY284+BE284+BK284+J284+P284+V284+AB284+AH284+AN284+AT284+AZ284+BF284+BL284</f>
        <v/>
      </c>
      <c r="E284" s="42">
        <f>H284+N284+T284+Z284+AF284+AL284+AR284+AX284+BD284+BJ284</f>
        <v/>
      </c>
      <c r="F284">
        <f>MAX(0,'My Debts'!$E$21-(I284+O284+U284+AA284+AG284+AM284+AS284+AY284+BE284+BK284))</f>
        <v/>
      </c>
      <c r="G284" s="42">
        <f>K283</f>
        <v/>
      </c>
      <c r="H284" s="42">
        <f>ROUND(G284*H$6/12,2)</f>
        <v/>
      </c>
      <c r="I284" s="42">
        <f>MIN(I$6,G284+H284)</f>
        <v/>
      </c>
      <c r="J284" s="42">
        <f>MAX(0,MIN(G284+H284-I284,$F284))</f>
        <v/>
      </c>
      <c r="K284" s="42">
        <f>ROUND(G284+H284-I284-J284,2)</f>
        <v/>
      </c>
      <c r="L284">
        <f>$F284-J284</f>
        <v/>
      </c>
      <c r="M284" s="42">
        <f>Q283</f>
        <v/>
      </c>
      <c r="N284" s="42">
        <f>ROUND(M284*N$6/12,2)</f>
        <v/>
      </c>
      <c r="O284" s="42">
        <f>MIN(O$6,M284+N284)</f>
        <v/>
      </c>
      <c r="P284" s="42">
        <f>MAX(0,MIN(M284+N284-O284,L284))</f>
        <v/>
      </c>
      <c r="Q284" s="42">
        <f>ROUND(M284+N284-O284-P284,2)</f>
        <v/>
      </c>
      <c r="R284">
        <f>L284-P284</f>
        <v/>
      </c>
      <c r="S284" s="42">
        <f>W283</f>
        <v/>
      </c>
      <c r="T284" s="42">
        <f>ROUND(S284*T$6/12,2)</f>
        <v/>
      </c>
      <c r="U284" s="42">
        <f>MIN(U$6,S284+T284)</f>
        <v/>
      </c>
      <c r="V284" s="42">
        <f>MAX(0,MIN(S284+T284-U284,R284))</f>
        <v/>
      </c>
      <c r="W284" s="42">
        <f>ROUND(S284+T284-U284-V284,2)</f>
        <v/>
      </c>
      <c r="X284">
        <f>R284-V284</f>
        <v/>
      </c>
      <c r="Y284" s="42">
        <f>AC283</f>
        <v/>
      </c>
      <c r="Z284" s="42">
        <f>ROUND(Y284*Z$6/12,2)</f>
        <v/>
      </c>
      <c r="AA284" s="42">
        <f>MIN(AA$6,Y284+Z284)</f>
        <v/>
      </c>
      <c r="AB284" s="42">
        <f>MAX(0,MIN(Y284+Z284-AA284,X284))</f>
        <v/>
      </c>
      <c r="AC284" s="42">
        <f>ROUND(Y284+Z284-AA284-AB284,2)</f>
        <v/>
      </c>
      <c r="AD284">
        <f>X284-AB284</f>
        <v/>
      </c>
      <c r="AE284" s="42">
        <f>AI283</f>
        <v/>
      </c>
      <c r="AF284" s="42">
        <f>ROUND(AE284*AF$6/12,2)</f>
        <v/>
      </c>
      <c r="AG284" s="42">
        <f>MIN(AG$6,AE284+AF284)</f>
        <v/>
      </c>
      <c r="AH284" s="42">
        <f>MAX(0,MIN(AE284+AF284-AG284,AD284))</f>
        <v/>
      </c>
      <c r="AI284" s="42">
        <f>ROUND(AE284+AF284-AG284-AH284,2)</f>
        <v/>
      </c>
      <c r="AJ284">
        <f>AD284-AH284</f>
        <v/>
      </c>
      <c r="AK284" s="42">
        <f>AO283</f>
        <v/>
      </c>
      <c r="AL284" s="42">
        <f>ROUND(AK284*AL$6/12,2)</f>
        <v/>
      </c>
      <c r="AM284" s="42">
        <f>MIN(AM$6,AK284+AL284)</f>
        <v/>
      </c>
      <c r="AN284" s="42">
        <f>MAX(0,MIN(AK284+AL284-AM284,AJ284))</f>
        <v/>
      </c>
      <c r="AO284" s="42">
        <f>ROUND(AK284+AL284-AM284-AN284,2)</f>
        <v/>
      </c>
      <c r="AP284">
        <f>AJ284-AN284</f>
        <v/>
      </c>
      <c r="AQ284" s="42">
        <f>AU283</f>
        <v/>
      </c>
      <c r="AR284" s="42">
        <f>ROUND(AQ284*AR$6/12,2)</f>
        <v/>
      </c>
      <c r="AS284" s="42">
        <f>MIN(AS$6,AQ284+AR284)</f>
        <v/>
      </c>
      <c r="AT284" s="42">
        <f>MAX(0,MIN(AQ284+AR284-AS284,AP284))</f>
        <v/>
      </c>
      <c r="AU284" s="42">
        <f>ROUND(AQ284+AR284-AS284-AT284,2)</f>
        <v/>
      </c>
      <c r="AV284">
        <f>AP284-AT284</f>
        <v/>
      </c>
      <c r="AW284" s="42">
        <f>BA283</f>
        <v/>
      </c>
      <c r="AX284" s="42">
        <f>ROUND(AW284*AX$6/12,2)</f>
        <v/>
      </c>
      <c r="AY284" s="42">
        <f>MIN(AY$6,AW284+AX284)</f>
        <v/>
      </c>
      <c r="AZ284" s="42">
        <f>MAX(0,MIN(AW284+AX284-AY284,AV284))</f>
        <v/>
      </c>
      <c r="BA284" s="42">
        <f>ROUND(AW284+AX284-AY284-AZ284,2)</f>
        <v/>
      </c>
      <c r="BB284">
        <f>AV284-AZ284</f>
        <v/>
      </c>
      <c r="BC284" s="42">
        <f>BG283</f>
        <v/>
      </c>
      <c r="BD284" s="42">
        <f>ROUND(BC284*BD$6/12,2)</f>
        <v/>
      </c>
      <c r="BE284" s="42">
        <f>MIN(BE$6,BC284+BD284)</f>
        <v/>
      </c>
      <c r="BF284" s="42">
        <f>MAX(0,MIN(BC284+BD284-BE284,BB284))</f>
        <v/>
      </c>
      <c r="BG284" s="42">
        <f>ROUND(BC284+BD284-BE284-BF284,2)</f>
        <v/>
      </c>
      <c r="BH284">
        <f>BB284-BF284</f>
        <v/>
      </c>
      <c r="BI284" s="42">
        <f>BM283</f>
        <v/>
      </c>
      <c r="BJ284" s="42">
        <f>ROUND(BI284*BJ$6/12,2)</f>
        <v/>
      </c>
      <c r="BK284" s="42">
        <f>MIN(BK$6,BI284+BJ284)</f>
        <v/>
      </c>
      <c r="BL284" s="42">
        <f>MAX(0,MIN(BI284+BJ284-BK284,BH284))</f>
        <v/>
      </c>
      <c r="BM284" s="42">
        <f>ROUND(BI284+BJ284-BK284-BL284,2)</f>
        <v/>
      </c>
      <c r="BN284">
        <f>BH284-BL284</f>
        <v/>
      </c>
    </row>
    <row r="285">
      <c r="A285" s="43" t="n">
        <v>278</v>
      </c>
      <c r="B285" s="44">
        <f>EDATE('My Debts'!$C$6,A285-1)</f>
        <v/>
      </c>
      <c r="C285" s="45">
        <f>K285+Q285+W285+AC285+AI285+AO285+AU285+BA285+BG285+BM285</f>
        <v/>
      </c>
      <c r="D285" s="46">
        <f>I285+O285+U285+AA285+AG285+AM285+AS285+AY285+BE285+BK285+J285+P285+V285+AB285+AH285+AN285+AT285+AZ285+BF285+BL285</f>
        <v/>
      </c>
      <c r="E285" s="46">
        <f>H285+N285+T285+Z285+AF285+AL285+AR285+AX285+BD285+BJ285</f>
        <v/>
      </c>
      <c r="F285">
        <f>MAX(0,'My Debts'!$E$21-(I285+O285+U285+AA285+AG285+AM285+AS285+AY285+BE285+BK285))</f>
        <v/>
      </c>
      <c r="G285" s="42">
        <f>K284</f>
        <v/>
      </c>
      <c r="H285" s="42">
        <f>ROUND(G285*H$6/12,2)</f>
        <v/>
      </c>
      <c r="I285" s="42">
        <f>MIN(I$6,G285+H285)</f>
        <v/>
      </c>
      <c r="J285" s="42">
        <f>MAX(0,MIN(G285+H285-I285,$F285))</f>
        <v/>
      </c>
      <c r="K285" s="42">
        <f>ROUND(G285+H285-I285-J285,2)</f>
        <v/>
      </c>
      <c r="L285">
        <f>$F285-J285</f>
        <v/>
      </c>
      <c r="M285" s="42">
        <f>Q284</f>
        <v/>
      </c>
      <c r="N285" s="42">
        <f>ROUND(M285*N$6/12,2)</f>
        <v/>
      </c>
      <c r="O285" s="42">
        <f>MIN(O$6,M285+N285)</f>
        <v/>
      </c>
      <c r="P285" s="42">
        <f>MAX(0,MIN(M285+N285-O285,L285))</f>
        <v/>
      </c>
      <c r="Q285" s="42">
        <f>ROUND(M285+N285-O285-P285,2)</f>
        <v/>
      </c>
      <c r="R285">
        <f>L285-P285</f>
        <v/>
      </c>
      <c r="S285" s="42">
        <f>W284</f>
        <v/>
      </c>
      <c r="T285" s="42">
        <f>ROUND(S285*T$6/12,2)</f>
        <v/>
      </c>
      <c r="U285" s="42">
        <f>MIN(U$6,S285+T285)</f>
        <v/>
      </c>
      <c r="V285" s="42">
        <f>MAX(0,MIN(S285+T285-U285,R285))</f>
        <v/>
      </c>
      <c r="W285" s="42">
        <f>ROUND(S285+T285-U285-V285,2)</f>
        <v/>
      </c>
      <c r="X285">
        <f>R285-V285</f>
        <v/>
      </c>
      <c r="Y285" s="42">
        <f>AC284</f>
        <v/>
      </c>
      <c r="Z285" s="42">
        <f>ROUND(Y285*Z$6/12,2)</f>
        <v/>
      </c>
      <c r="AA285" s="42">
        <f>MIN(AA$6,Y285+Z285)</f>
        <v/>
      </c>
      <c r="AB285" s="42">
        <f>MAX(0,MIN(Y285+Z285-AA285,X285))</f>
        <v/>
      </c>
      <c r="AC285" s="42">
        <f>ROUND(Y285+Z285-AA285-AB285,2)</f>
        <v/>
      </c>
      <c r="AD285">
        <f>X285-AB285</f>
        <v/>
      </c>
      <c r="AE285" s="42">
        <f>AI284</f>
        <v/>
      </c>
      <c r="AF285" s="42">
        <f>ROUND(AE285*AF$6/12,2)</f>
        <v/>
      </c>
      <c r="AG285" s="42">
        <f>MIN(AG$6,AE285+AF285)</f>
        <v/>
      </c>
      <c r="AH285" s="42">
        <f>MAX(0,MIN(AE285+AF285-AG285,AD285))</f>
        <v/>
      </c>
      <c r="AI285" s="42">
        <f>ROUND(AE285+AF285-AG285-AH285,2)</f>
        <v/>
      </c>
      <c r="AJ285">
        <f>AD285-AH285</f>
        <v/>
      </c>
      <c r="AK285" s="42">
        <f>AO284</f>
        <v/>
      </c>
      <c r="AL285" s="42">
        <f>ROUND(AK285*AL$6/12,2)</f>
        <v/>
      </c>
      <c r="AM285" s="42">
        <f>MIN(AM$6,AK285+AL285)</f>
        <v/>
      </c>
      <c r="AN285" s="42">
        <f>MAX(0,MIN(AK285+AL285-AM285,AJ285))</f>
        <v/>
      </c>
      <c r="AO285" s="42">
        <f>ROUND(AK285+AL285-AM285-AN285,2)</f>
        <v/>
      </c>
      <c r="AP285">
        <f>AJ285-AN285</f>
        <v/>
      </c>
      <c r="AQ285" s="42">
        <f>AU284</f>
        <v/>
      </c>
      <c r="AR285" s="42">
        <f>ROUND(AQ285*AR$6/12,2)</f>
        <v/>
      </c>
      <c r="AS285" s="42">
        <f>MIN(AS$6,AQ285+AR285)</f>
        <v/>
      </c>
      <c r="AT285" s="42">
        <f>MAX(0,MIN(AQ285+AR285-AS285,AP285))</f>
        <v/>
      </c>
      <c r="AU285" s="42">
        <f>ROUND(AQ285+AR285-AS285-AT285,2)</f>
        <v/>
      </c>
      <c r="AV285">
        <f>AP285-AT285</f>
        <v/>
      </c>
      <c r="AW285" s="42">
        <f>BA284</f>
        <v/>
      </c>
      <c r="AX285" s="42">
        <f>ROUND(AW285*AX$6/12,2)</f>
        <v/>
      </c>
      <c r="AY285" s="42">
        <f>MIN(AY$6,AW285+AX285)</f>
        <v/>
      </c>
      <c r="AZ285" s="42">
        <f>MAX(0,MIN(AW285+AX285-AY285,AV285))</f>
        <v/>
      </c>
      <c r="BA285" s="42">
        <f>ROUND(AW285+AX285-AY285-AZ285,2)</f>
        <v/>
      </c>
      <c r="BB285">
        <f>AV285-AZ285</f>
        <v/>
      </c>
      <c r="BC285" s="42">
        <f>BG284</f>
        <v/>
      </c>
      <c r="BD285" s="42">
        <f>ROUND(BC285*BD$6/12,2)</f>
        <v/>
      </c>
      <c r="BE285" s="42">
        <f>MIN(BE$6,BC285+BD285)</f>
        <v/>
      </c>
      <c r="BF285" s="42">
        <f>MAX(0,MIN(BC285+BD285-BE285,BB285))</f>
        <v/>
      </c>
      <c r="BG285" s="42">
        <f>ROUND(BC285+BD285-BE285-BF285,2)</f>
        <v/>
      </c>
      <c r="BH285">
        <f>BB285-BF285</f>
        <v/>
      </c>
      <c r="BI285" s="42">
        <f>BM284</f>
        <v/>
      </c>
      <c r="BJ285" s="42">
        <f>ROUND(BI285*BJ$6/12,2)</f>
        <v/>
      </c>
      <c r="BK285" s="42">
        <f>MIN(BK$6,BI285+BJ285)</f>
        <v/>
      </c>
      <c r="BL285" s="42">
        <f>MAX(0,MIN(BI285+BJ285-BK285,BH285))</f>
        <v/>
      </c>
      <c r="BM285" s="42">
        <f>ROUND(BI285+BJ285-BK285-BL285,2)</f>
        <v/>
      </c>
      <c r="BN285">
        <f>BH285-BL285</f>
        <v/>
      </c>
    </row>
    <row r="286">
      <c r="A286" s="39" t="n">
        <v>279</v>
      </c>
      <c r="B286" s="40">
        <f>EDATE('My Debts'!$C$6,A286-1)</f>
        <v/>
      </c>
      <c r="C286" s="41">
        <f>K286+Q286+W286+AC286+AI286+AO286+AU286+BA286+BG286+BM286</f>
        <v/>
      </c>
      <c r="D286" s="42">
        <f>I286+O286+U286+AA286+AG286+AM286+AS286+AY286+BE286+BK286+J286+P286+V286+AB286+AH286+AN286+AT286+AZ286+BF286+BL286</f>
        <v/>
      </c>
      <c r="E286" s="42">
        <f>H286+N286+T286+Z286+AF286+AL286+AR286+AX286+BD286+BJ286</f>
        <v/>
      </c>
      <c r="F286">
        <f>MAX(0,'My Debts'!$E$21-(I286+O286+U286+AA286+AG286+AM286+AS286+AY286+BE286+BK286))</f>
        <v/>
      </c>
      <c r="G286" s="42">
        <f>K285</f>
        <v/>
      </c>
      <c r="H286" s="42">
        <f>ROUND(G286*H$6/12,2)</f>
        <v/>
      </c>
      <c r="I286" s="42">
        <f>MIN(I$6,G286+H286)</f>
        <v/>
      </c>
      <c r="J286" s="42">
        <f>MAX(0,MIN(G286+H286-I286,$F286))</f>
        <v/>
      </c>
      <c r="K286" s="42">
        <f>ROUND(G286+H286-I286-J286,2)</f>
        <v/>
      </c>
      <c r="L286">
        <f>$F286-J286</f>
        <v/>
      </c>
      <c r="M286" s="42">
        <f>Q285</f>
        <v/>
      </c>
      <c r="N286" s="42">
        <f>ROUND(M286*N$6/12,2)</f>
        <v/>
      </c>
      <c r="O286" s="42">
        <f>MIN(O$6,M286+N286)</f>
        <v/>
      </c>
      <c r="P286" s="42">
        <f>MAX(0,MIN(M286+N286-O286,L286))</f>
        <v/>
      </c>
      <c r="Q286" s="42">
        <f>ROUND(M286+N286-O286-P286,2)</f>
        <v/>
      </c>
      <c r="R286">
        <f>L286-P286</f>
        <v/>
      </c>
      <c r="S286" s="42">
        <f>W285</f>
        <v/>
      </c>
      <c r="T286" s="42">
        <f>ROUND(S286*T$6/12,2)</f>
        <v/>
      </c>
      <c r="U286" s="42">
        <f>MIN(U$6,S286+T286)</f>
        <v/>
      </c>
      <c r="V286" s="42">
        <f>MAX(0,MIN(S286+T286-U286,R286))</f>
        <v/>
      </c>
      <c r="W286" s="42">
        <f>ROUND(S286+T286-U286-V286,2)</f>
        <v/>
      </c>
      <c r="X286">
        <f>R286-V286</f>
        <v/>
      </c>
      <c r="Y286" s="42">
        <f>AC285</f>
        <v/>
      </c>
      <c r="Z286" s="42">
        <f>ROUND(Y286*Z$6/12,2)</f>
        <v/>
      </c>
      <c r="AA286" s="42">
        <f>MIN(AA$6,Y286+Z286)</f>
        <v/>
      </c>
      <c r="AB286" s="42">
        <f>MAX(0,MIN(Y286+Z286-AA286,X286))</f>
        <v/>
      </c>
      <c r="AC286" s="42">
        <f>ROUND(Y286+Z286-AA286-AB286,2)</f>
        <v/>
      </c>
      <c r="AD286">
        <f>X286-AB286</f>
        <v/>
      </c>
      <c r="AE286" s="42">
        <f>AI285</f>
        <v/>
      </c>
      <c r="AF286" s="42">
        <f>ROUND(AE286*AF$6/12,2)</f>
        <v/>
      </c>
      <c r="AG286" s="42">
        <f>MIN(AG$6,AE286+AF286)</f>
        <v/>
      </c>
      <c r="AH286" s="42">
        <f>MAX(0,MIN(AE286+AF286-AG286,AD286))</f>
        <v/>
      </c>
      <c r="AI286" s="42">
        <f>ROUND(AE286+AF286-AG286-AH286,2)</f>
        <v/>
      </c>
      <c r="AJ286">
        <f>AD286-AH286</f>
        <v/>
      </c>
      <c r="AK286" s="42">
        <f>AO285</f>
        <v/>
      </c>
      <c r="AL286" s="42">
        <f>ROUND(AK286*AL$6/12,2)</f>
        <v/>
      </c>
      <c r="AM286" s="42">
        <f>MIN(AM$6,AK286+AL286)</f>
        <v/>
      </c>
      <c r="AN286" s="42">
        <f>MAX(0,MIN(AK286+AL286-AM286,AJ286))</f>
        <v/>
      </c>
      <c r="AO286" s="42">
        <f>ROUND(AK286+AL286-AM286-AN286,2)</f>
        <v/>
      </c>
      <c r="AP286">
        <f>AJ286-AN286</f>
        <v/>
      </c>
      <c r="AQ286" s="42">
        <f>AU285</f>
        <v/>
      </c>
      <c r="AR286" s="42">
        <f>ROUND(AQ286*AR$6/12,2)</f>
        <v/>
      </c>
      <c r="AS286" s="42">
        <f>MIN(AS$6,AQ286+AR286)</f>
        <v/>
      </c>
      <c r="AT286" s="42">
        <f>MAX(0,MIN(AQ286+AR286-AS286,AP286))</f>
        <v/>
      </c>
      <c r="AU286" s="42">
        <f>ROUND(AQ286+AR286-AS286-AT286,2)</f>
        <v/>
      </c>
      <c r="AV286">
        <f>AP286-AT286</f>
        <v/>
      </c>
      <c r="AW286" s="42">
        <f>BA285</f>
        <v/>
      </c>
      <c r="AX286" s="42">
        <f>ROUND(AW286*AX$6/12,2)</f>
        <v/>
      </c>
      <c r="AY286" s="42">
        <f>MIN(AY$6,AW286+AX286)</f>
        <v/>
      </c>
      <c r="AZ286" s="42">
        <f>MAX(0,MIN(AW286+AX286-AY286,AV286))</f>
        <v/>
      </c>
      <c r="BA286" s="42">
        <f>ROUND(AW286+AX286-AY286-AZ286,2)</f>
        <v/>
      </c>
      <c r="BB286">
        <f>AV286-AZ286</f>
        <v/>
      </c>
      <c r="BC286" s="42">
        <f>BG285</f>
        <v/>
      </c>
      <c r="BD286" s="42">
        <f>ROUND(BC286*BD$6/12,2)</f>
        <v/>
      </c>
      <c r="BE286" s="42">
        <f>MIN(BE$6,BC286+BD286)</f>
        <v/>
      </c>
      <c r="BF286" s="42">
        <f>MAX(0,MIN(BC286+BD286-BE286,BB286))</f>
        <v/>
      </c>
      <c r="BG286" s="42">
        <f>ROUND(BC286+BD286-BE286-BF286,2)</f>
        <v/>
      </c>
      <c r="BH286">
        <f>BB286-BF286</f>
        <v/>
      </c>
      <c r="BI286" s="42">
        <f>BM285</f>
        <v/>
      </c>
      <c r="BJ286" s="42">
        <f>ROUND(BI286*BJ$6/12,2)</f>
        <v/>
      </c>
      <c r="BK286" s="42">
        <f>MIN(BK$6,BI286+BJ286)</f>
        <v/>
      </c>
      <c r="BL286" s="42">
        <f>MAX(0,MIN(BI286+BJ286-BK286,BH286))</f>
        <v/>
      </c>
      <c r="BM286" s="42">
        <f>ROUND(BI286+BJ286-BK286-BL286,2)</f>
        <v/>
      </c>
      <c r="BN286">
        <f>BH286-BL286</f>
        <v/>
      </c>
    </row>
    <row r="287">
      <c r="A287" s="43" t="n">
        <v>280</v>
      </c>
      <c r="B287" s="44">
        <f>EDATE('My Debts'!$C$6,A287-1)</f>
        <v/>
      </c>
      <c r="C287" s="45">
        <f>K287+Q287+W287+AC287+AI287+AO287+AU287+BA287+BG287+BM287</f>
        <v/>
      </c>
      <c r="D287" s="46">
        <f>I287+O287+U287+AA287+AG287+AM287+AS287+AY287+BE287+BK287+J287+P287+V287+AB287+AH287+AN287+AT287+AZ287+BF287+BL287</f>
        <v/>
      </c>
      <c r="E287" s="46">
        <f>H287+N287+T287+Z287+AF287+AL287+AR287+AX287+BD287+BJ287</f>
        <v/>
      </c>
      <c r="F287">
        <f>MAX(0,'My Debts'!$E$21-(I287+O287+U287+AA287+AG287+AM287+AS287+AY287+BE287+BK287))</f>
        <v/>
      </c>
      <c r="G287" s="42">
        <f>K286</f>
        <v/>
      </c>
      <c r="H287" s="42">
        <f>ROUND(G287*H$6/12,2)</f>
        <v/>
      </c>
      <c r="I287" s="42">
        <f>MIN(I$6,G287+H287)</f>
        <v/>
      </c>
      <c r="J287" s="42">
        <f>MAX(0,MIN(G287+H287-I287,$F287))</f>
        <v/>
      </c>
      <c r="K287" s="42">
        <f>ROUND(G287+H287-I287-J287,2)</f>
        <v/>
      </c>
      <c r="L287">
        <f>$F287-J287</f>
        <v/>
      </c>
      <c r="M287" s="42">
        <f>Q286</f>
        <v/>
      </c>
      <c r="N287" s="42">
        <f>ROUND(M287*N$6/12,2)</f>
        <v/>
      </c>
      <c r="O287" s="42">
        <f>MIN(O$6,M287+N287)</f>
        <v/>
      </c>
      <c r="P287" s="42">
        <f>MAX(0,MIN(M287+N287-O287,L287))</f>
        <v/>
      </c>
      <c r="Q287" s="42">
        <f>ROUND(M287+N287-O287-P287,2)</f>
        <v/>
      </c>
      <c r="R287">
        <f>L287-P287</f>
        <v/>
      </c>
      <c r="S287" s="42">
        <f>W286</f>
        <v/>
      </c>
      <c r="T287" s="42">
        <f>ROUND(S287*T$6/12,2)</f>
        <v/>
      </c>
      <c r="U287" s="42">
        <f>MIN(U$6,S287+T287)</f>
        <v/>
      </c>
      <c r="V287" s="42">
        <f>MAX(0,MIN(S287+T287-U287,R287))</f>
        <v/>
      </c>
      <c r="W287" s="42">
        <f>ROUND(S287+T287-U287-V287,2)</f>
        <v/>
      </c>
      <c r="X287">
        <f>R287-V287</f>
        <v/>
      </c>
      <c r="Y287" s="42">
        <f>AC286</f>
        <v/>
      </c>
      <c r="Z287" s="42">
        <f>ROUND(Y287*Z$6/12,2)</f>
        <v/>
      </c>
      <c r="AA287" s="42">
        <f>MIN(AA$6,Y287+Z287)</f>
        <v/>
      </c>
      <c r="AB287" s="42">
        <f>MAX(0,MIN(Y287+Z287-AA287,X287))</f>
        <v/>
      </c>
      <c r="AC287" s="42">
        <f>ROUND(Y287+Z287-AA287-AB287,2)</f>
        <v/>
      </c>
      <c r="AD287">
        <f>X287-AB287</f>
        <v/>
      </c>
      <c r="AE287" s="42">
        <f>AI286</f>
        <v/>
      </c>
      <c r="AF287" s="42">
        <f>ROUND(AE287*AF$6/12,2)</f>
        <v/>
      </c>
      <c r="AG287" s="42">
        <f>MIN(AG$6,AE287+AF287)</f>
        <v/>
      </c>
      <c r="AH287" s="42">
        <f>MAX(0,MIN(AE287+AF287-AG287,AD287))</f>
        <v/>
      </c>
      <c r="AI287" s="42">
        <f>ROUND(AE287+AF287-AG287-AH287,2)</f>
        <v/>
      </c>
      <c r="AJ287">
        <f>AD287-AH287</f>
        <v/>
      </c>
      <c r="AK287" s="42">
        <f>AO286</f>
        <v/>
      </c>
      <c r="AL287" s="42">
        <f>ROUND(AK287*AL$6/12,2)</f>
        <v/>
      </c>
      <c r="AM287" s="42">
        <f>MIN(AM$6,AK287+AL287)</f>
        <v/>
      </c>
      <c r="AN287" s="42">
        <f>MAX(0,MIN(AK287+AL287-AM287,AJ287))</f>
        <v/>
      </c>
      <c r="AO287" s="42">
        <f>ROUND(AK287+AL287-AM287-AN287,2)</f>
        <v/>
      </c>
      <c r="AP287">
        <f>AJ287-AN287</f>
        <v/>
      </c>
      <c r="AQ287" s="42">
        <f>AU286</f>
        <v/>
      </c>
      <c r="AR287" s="42">
        <f>ROUND(AQ287*AR$6/12,2)</f>
        <v/>
      </c>
      <c r="AS287" s="42">
        <f>MIN(AS$6,AQ287+AR287)</f>
        <v/>
      </c>
      <c r="AT287" s="42">
        <f>MAX(0,MIN(AQ287+AR287-AS287,AP287))</f>
        <v/>
      </c>
      <c r="AU287" s="42">
        <f>ROUND(AQ287+AR287-AS287-AT287,2)</f>
        <v/>
      </c>
      <c r="AV287">
        <f>AP287-AT287</f>
        <v/>
      </c>
      <c r="AW287" s="42">
        <f>BA286</f>
        <v/>
      </c>
      <c r="AX287" s="42">
        <f>ROUND(AW287*AX$6/12,2)</f>
        <v/>
      </c>
      <c r="AY287" s="42">
        <f>MIN(AY$6,AW287+AX287)</f>
        <v/>
      </c>
      <c r="AZ287" s="42">
        <f>MAX(0,MIN(AW287+AX287-AY287,AV287))</f>
        <v/>
      </c>
      <c r="BA287" s="42">
        <f>ROUND(AW287+AX287-AY287-AZ287,2)</f>
        <v/>
      </c>
      <c r="BB287">
        <f>AV287-AZ287</f>
        <v/>
      </c>
      <c r="BC287" s="42">
        <f>BG286</f>
        <v/>
      </c>
      <c r="BD287" s="42">
        <f>ROUND(BC287*BD$6/12,2)</f>
        <v/>
      </c>
      <c r="BE287" s="42">
        <f>MIN(BE$6,BC287+BD287)</f>
        <v/>
      </c>
      <c r="BF287" s="42">
        <f>MAX(0,MIN(BC287+BD287-BE287,BB287))</f>
        <v/>
      </c>
      <c r="BG287" s="42">
        <f>ROUND(BC287+BD287-BE287-BF287,2)</f>
        <v/>
      </c>
      <c r="BH287">
        <f>BB287-BF287</f>
        <v/>
      </c>
      <c r="BI287" s="42">
        <f>BM286</f>
        <v/>
      </c>
      <c r="BJ287" s="42">
        <f>ROUND(BI287*BJ$6/12,2)</f>
        <v/>
      </c>
      <c r="BK287" s="42">
        <f>MIN(BK$6,BI287+BJ287)</f>
        <v/>
      </c>
      <c r="BL287" s="42">
        <f>MAX(0,MIN(BI287+BJ287-BK287,BH287))</f>
        <v/>
      </c>
      <c r="BM287" s="42">
        <f>ROUND(BI287+BJ287-BK287-BL287,2)</f>
        <v/>
      </c>
      <c r="BN287">
        <f>BH287-BL287</f>
        <v/>
      </c>
    </row>
    <row r="288">
      <c r="A288" s="39" t="n">
        <v>281</v>
      </c>
      <c r="B288" s="40">
        <f>EDATE('My Debts'!$C$6,A288-1)</f>
        <v/>
      </c>
      <c r="C288" s="41">
        <f>K288+Q288+W288+AC288+AI288+AO288+AU288+BA288+BG288+BM288</f>
        <v/>
      </c>
      <c r="D288" s="42">
        <f>I288+O288+U288+AA288+AG288+AM288+AS288+AY288+BE288+BK288+J288+P288+V288+AB288+AH288+AN288+AT288+AZ288+BF288+BL288</f>
        <v/>
      </c>
      <c r="E288" s="42">
        <f>H288+N288+T288+Z288+AF288+AL288+AR288+AX288+BD288+BJ288</f>
        <v/>
      </c>
      <c r="F288">
        <f>MAX(0,'My Debts'!$E$21-(I288+O288+U288+AA288+AG288+AM288+AS288+AY288+BE288+BK288))</f>
        <v/>
      </c>
      <c r="G288" s="42">
        <f>K287</f>
        <v/>
      </c>
      <c r="H288" s="42">
        <f>ROUND(G288*H$6/12,2)</f>
        <v/>
      </c>
      <c r="I288" s="42">
        <f>MIN(I$6,G288+H288)</f>
        <v/>
      </c>
      <c r="J288" s="42">
        <f>MAX(0,MIN(G288+H288-I288,$F288))</f>
        <v/>
      </c>
      <c r="K288" s="42">
        <f>ROUND(G288+H288-I288-J288,2)</f>
        <v/>
      </c>
      <c r="L288">
        <f>$F288-J288</f>
        <v/>
      </c>
      <c r="M288" s="42">
        <f>Q287</f>
        <v/>
      </c>
      <c r="N288" s="42">
        <f>ROUND(M288*N$6/12,2)</f>
        <v/>
      </c>
      <c r="O288" s="42">
        <f>MIN(O$6,M288+N288)</f>
        <v/>
      </c>
      <c r="P288" s="42">
        <f>MAX(0,MIN(M288+N288-O288,L288))</f>
        <v/>
      </c>
      <c r="Q288" s="42">
        <f>ROUND(M288+N288-O288-P288,2)</f>
        <v/>
      </c>
      <c r="R288">
        <f>L288-P288</f>
        <v/>
      </c>
      <c r="S288" s="42">
        <f>W287</f>
        <v/>
      </c>
      <c r="T288" s="42">
        <f>ROUND(S288*T$6/12,2)</f>
        <v/>
      </c>
      <c r="U288" s="42">
        <f>MIN(U$6,S288+T288)</f>
        <v/>
      </c>
      <c r="V288" s="42">
        <f>MAX(0,MIN(S288+T288-U288,R288))</f>
        <v/>
      </c>
      <c r="W288" s="42">
        <f>ROUND(S288+T288-U288-V288,2)</f>
        <v/>
      </c>
      <c r="X288">
        <f>R288-V288</f>
        <v/>
      </c>
      <c r="Y288" s="42">
        <f>AC287</f>
        <v/>
      </c>
      <c r="Z288" s="42">
        <f>ROUND(Y288*Z$6/12,2)</f>
        <v/>
      </c>
      <c r="AA288" s="42">
        <f>MIN(AA$6,Y288+Z288)</f>
        <v/>
      </c>
      <c r="AB288" s="42">
        <f>MAX(0,MIN(Y288+Z288-AA288,X288))</f>
        <v/>
      </c>
      <c r="AC288" s="42">
        <f>ROUND(Y288+Z288-AA288-AB288,2)</f>
        <v/>
      </c>
      <c r="AD288">
        <f>X288-AB288</f>
        <v/>
      </c>
      <c r="AE288" s="42">
        <f>AI287</f>
        <v/>
      </c>
      <c r="AF288" s="42">
        <f>ROUND(AE288*AF$6/12,2)</f>
        <v/>
      </c>
      <c r="AG288" s="42">
        <f>MIN(AG$6,AE288+AF288)</f>
        <v/>
      </c>
      <c r="AH288" s="42">
        <f>MAX(0,MIN(AE288+AF288-AG288,AD288))</f>
        <v/>
      </c>
      <c r="AI288" s="42">
        <f>ROUND(AE288+AF288-AG288-AH288,2)</f>
        <v/>
      </c>
      <c r="AJ288">
        <f>AD288-AH288</f>
        <v/>
      </c>
      <c r="AK288" s="42">
        <f>AO287</f>
        <v/>
      </c>
      <c r="AL288" s="42">
        <f>ROUND(AK288*AL$6/12,2)</f>
        <v/>
      </c>
      <c r="AM288" s="42">
        <f>MIN(AM$6,AK288+AL288)</f>
        <v/>
      </c>
      <c r="AN288" s="42">
        <f>MAX(0,MIN(AK288+AL288-AM288,AJ288))</f>
        <v/>
      </c>
      <c r="AO288" s="42">
        <f>ROUND(AK288+AL288-AM288-AN288,2)</f>
        <v/>
      </c>
      <c r="AP288">
        <f>AJ288-AN288</f>
        <v/>
      </c>
      <c r="AQ288" s="42">
        <f>AU287</f>
        <v/>
      </c>
      <c r="AR288" s="42">
        <f>ROUND(AQ288*AR$6/12,2)</f>
        <v/>
      </c>
      <c r="AS288" s="42">
        <f>MIN(AS$6,AQ288+AR288)</f>
        <v/>
      </c>
      <c r="AT288" s="42">
        <f>MAX(0,MIN(AQ288+AR288-AS288,AP288))</f>
        <v/>
      </c>
      <c r="AU288" s="42">
        <f>ROUND(AQ288+AR288-AS288-AT288,2)</f>
        <v/>
      </c>
      <c r="AV288">
        <f>AP288-AT288</f>
        <v/>
      </c>
      <c r="AW288" s="42">
        <f>BA287</f>
        <v/>
      </c>
      <c r="AX288" s="42">
        <f>ROUND(AW288*AX$6/12,2)</f>
        <v/>
      </c>
      <c r="AY288" s="42">
        <f>MIN(AY$6,AW288+AX288)</f>
        <v/>
      </c>
      <c r="AZ288" s="42">
        <f>MAX(0,MIN(AW288+AX288-AY288,AV288))</f>
        <v/>
      </c>
      <c r="BA288" s="42">
        <f>ROUND(AW288+AX288-AY288-AZ288,2)</f>
        <v/>
      </c>
      <c r="BB288">
        <f>AV288-AZ288</f>
        <v/>
      </c>
      <c r="BC288" s="42">
        <f>BG287</f>
        <v/>
      </c>
      <c r="BD288" s="42">
        <f>ROUND(BC288*BD$6/12,2)</f>
        <v/>
      </c>
      <c r="BE288" s="42">
        <f>MIN(BE$6,BC288+BD288)</f>
        <v/>
      </c>
      <c r="BF288" s="42">
        <f>MAX(0,MIN(BC288+BD288-BE288,BB288))</f>
        <v/>
      </c>
      <c r="BG288" s="42">
        <f>ROUND(BC288+BD288-BE288-BF288,2)</f>
        <v/>
      </c>
      <c r="BH288">
        <f>BB288-BF288</f>
        <v/>
      </c>
      <c r="BI288" s="42">
        <f>BM287</f>
        <v/>
      </c>
      <c r="BJ288" s="42">
        <f>ROUND(BI288*BJ$6/12,2)</f>
        <v/>
      </c>
      <c r="BK288" s="42">
        <f>MIN(BK$6,BI288+BJ288)</f>
        <v/>
      </c>
      <c r="BL288" s="42">
        <f>MAX(0,MIN(BI288+BJ288-BK288,BH288))</f>
        <v/>
      </c>
      <c r="BM288" s="42">
        <f>ROUND(BI288+BJ288-BK288-BL288,2)</f>
        <v/>
      </c>
      <c r="BN288">
        <f>BH288-BL288</f>
        <v/>
      </c>
    </row>
    <row r="289">
      <c r="A289" s="43" t="n">
        <v>282</v>
      </c>
      <c r="B289" s="44">
        <f>EDATE('My Debts'!$C$6,A289-1)</f>
        <v/>
      </c>
      <c r="C289" s="45">
        <f>K289+Q289+W289+AC289+AI289+AO289+AU289+BA289+BG289+BM289</f>
        <v/>
      </c>
      <c r="D289" s="46">
        <f>I289+O289+U289+AA289+AG289+AM289+AS289+AY289+BE289+BK289+J289+P289+V289+AB289+AH289+AN289+AT289+AZ289+BF289+BL289</f>
        <v/>
      </c>
      <c r="E289" s="46">
        <f>H289+N289+T289+Z289+AF289+AL289+AR289+AX289+BD289+BJ289</f>
        <v/>
      </c>
      <c r="F289">
        <f>MAX(0,'My Debts'!$E$21-(I289+O289+U289+AA289+AG289+AM289+AS289+AY289+BE289+BK289))</f>
        <v/>
      </c>
      <c r="G289" s="42">
        <f>K288</f>
        <v/>
      </c>
      <c r="H289" s="42">
        <f>ROUND(G289*H$6/12,2)</f>
        <v/>
      </c>
      <c r="I289" s="42">
        <f>MIN(I$6,G289+H289)</f>
        <v/>
      </c>
      <c r="J289" s="42">
        <f>MAX(0,MIN(G289+H289-I289,$F289))</f>
        <v/>
      </c>
      <c r="K289" s="42">
        <f>ROUND(G289+H289-I289-J289,2)</f>
        <v/>
      </c>
      <c r="L289">
        <f>$F289-J289</f>
        <v/>
      </c>
      <c r="M289" s="42">
        <f>Q288</f>
        <v/>
      </c>
      <c r="N289" s="42">
        <f>ROUND(M289*N$6/12,2)</f>
        <v/>
      </c>
      <c r="O289" s="42">
        <f>MIN(O$6,M289+N289)</f>
        <v/>
      </c>
      <c r="P289" s="42">
        <f>MAX(0,MIN(M289+N289-O289,L289))</f>
        <v/>
      </c>
      <c r="Q289" s="42">
        <f>ROUND(M289+N289-O289-P289,2)</f>
        <v/>
      </c>
      <c r="R289">
        <f>L289-P289</f>
        <v/>
      </c>
      <c r="S289" s="42">
        <f>W288</f>
        <v/>
      </c>
      <c r="T289" s="42">
        <f>ROUND(S289*T$6/12,2)</f>
        <v/>
      </c>
      <c r="U289" s="42">
        <f>MIN(U$6,S289+T289)</f>
        <v/>
      </c>
      <c r="V289" s="42">
        <f>MAX(0,MIN(S289+T289-U289,R289))</f>
        <v/>
      </c>
      <c r="W289" s="42">
        <f>ROUND(S289+T289-U289-V289,2)</f>
        <v/>
      </c>
      <c r="X289">
        <f>R289-V289</f>
        <v/>
      </c>
      <c r="Y289" s="42">
        <f>AC288</f>
        <v/>
      </c>
      <c r="Z289" s="42">
        <f>ROUND(Y289*Z$6/12,2)</f>
        <v/>
      </c>
      <c r="AA289" s="42">
        <f>MIN(AA$6,Y289+Z289)</f>
        <v/>
      </c>
      <c r="AB289" s="42">
        <f>MAX(0,MIN(Y289+Z289-AA289,X289))</f>
        <v/>
      </c>
      <c r="AC289" s="42">
        <f>ROUND(Y289+Z289-AA289-AB289,2)</f>
        <v/>
      </c>
      <c r="AD289">
        <f>X289-AB289</f>
        <v/>
      </c>
      <c r="AE289" s="42">
        <f>AI288</f>
        <v/>
      </c>
      <c r="AF289" s="42">
        <f>ROUND(AE289*AF$6/12,2)</f>
        <v/>
      </c>
      <c r="AG289" s="42">
        <f>MIN(AG$6,AE289+AF289)</f>
        <v/>
      </c>
      <c r="AH289" s="42">
        <f>MAX(0,MIN(AE289+AF289-AG289,AD289))</f>
        <v/>
      </c>
      <c r="AI289" s="42">
        <f>ROUND(AE289+AF289-AG289-AH289,2)</f>
        <v/>
      </c>
      <c r="AJ289">
        <f>AD289-AH289</f>
        <v/>
      </c>
      <c r="AK289" s="42">
        <f>AO288</f>
        <v/>
      </c>
      <c r="AL289" s="42">
        <f>ROUND(AK289*AL$6/12,2)</f>
        <v/>
      </c>
      <c r="AM289" s="42">
        <f>MIN(AM$6,AK289+AL289)</f>
        <v/>
      </c>
      <c r="AN289" s="42">
        <f>MAX(0,MIN(AK289+AL289-AM289,AJ289))</f>
        <v/>
      </c>
      <c r="AO289" s="42">
        <f>ROUND(AK289+AL289-AM289-AN289,2)</f>
        <v/>
      </c>
      <c r="AP289">
        <f>AJ289-AN289</f>
        <v/>
      </c>
      <c r="AQ289" s="42">
        <f>AU288</f>
        <v/>
      </c>
      <c r="AR289" s="42">
        <f>ROUND(AQ289*AR$6/12,2)</f>
        <v/>
      </c>
      <c r="AS289" s="42">
        <f>MIN(AS$6,AQ289+AR289)</f>
        <v/>
      </c>
      <c r="AT289" s="42">
        <f>MAX(0,MIN(AQ289+AR289-AS289,AP289))</f>
        <v/>
      </c>
      <c r="AU289" s="42">
        <f>ROUND(AQ289+AR289-AS289-AT289,2)</f>
        <v/>
      </c>
      <c r="AV289">
        <f>AP289-AT289</f>
        <v/>
      </c>
      <c r="AW289" s="42">
        <f>BA288</f>
        <v/>
      </c>
      <c r="AX289" s="42">
        <f>ROUND(AW289*AX$6/12,2)</f>
        <v/>
      </c>
      <c r="AY289" s="42">
        <f>MIN(AY$6,AW289+AX289)</f>
        <v/>
      </c>
      <c r="AZ289" s="42">
        <f>MAX(0,MIN(AW289+AX289-AY289,AV289))</f>
        <v/>
      </c>
      <c r="BA289" s="42">
        <f>ROUND(AW289+AX289-AY289-AZ289,2)</f>
        <v/>
      </c>
      <c r="BB289">
        <f>AV289-AZ289</f>
        <v/>
      </c>
      <c r="BC289" s="42">
        <f>BG288</f>
        <v/>
      </c>
      <c r="BD289" s="42">
        <f>ROUND(BC289*BD$6/12,2)</f>
        <v/>
      </c>
      <c r="BE289" s="42">
        <f>MIN(BE$6,BC289+BD289)</f>
        <v/>
      </c>
      <c r="BF289" s="42">
        <f>MAX(0,MIN(BC289+BD289-BE289,BB289))</f>
        <v/>
      </c>
      <c r="BG289" s="42">
        <f>ROUND(BC289+BD289-BE289-BF289,2)</f>
        <v/>
      </c>
      <c r="BH289">
        <f>BB289-BF289</f>
        <v/>
      </c>
      <c r="BI289" s="42">
        <f>BM288</f>
        <v/>
      </c>
      <c r="BJ289" s="42">
        <f>ROUND(BI289*BJ$6/12,2)</f>
        <v/>
      </c>
      <c r="BK289" s="42">
        <f>MIN(BK$6,BI289+BJ289)</f>
        <v/>
      </c>
      <c r="BL289" s="42">
        <f>MAX(0,MIN(BI289+BJ289-BK289,BH289))</f>
        <v/>
      </c>
      <c r="BM289" s="42">
        <f>ROUND(BI289+BJ289-BK289-BL289,2)</f>
        <v/>
      </c>
      <c r="BN289">
        <f>BH289-BL289</f>
        <v/>
      </c>
    </row>
    <row r="290">
      <c r="A290" s="39" t="n">
        <v>283</v>
      </c>
      <c r="B290" s="40">
        <f>EDATE('My Debts'!$C$6,A290-1)</f>
        <v/>
      </c>
      <c r="C290" s="41">
        <f>K290+Q290+W290+AC290+AI290+AO290+AU290+BA290+BG290+BM290</f>
        <v/>
      </c>
      <c r="D290" s="42">
        <f>I290+O290+U290+AA290+AG290+AM290+AS290+AY290+BE290+BK290+J290+P290+V290+AB290+AH290+AN290+AT290+AZ290+BF290+BL290</f>
        <v/>
      </c>
      <c r="E290" s="42">
        <f>H290+N290+T290+Z290+AF290+AL290+AR290+AX290+BD290+BJ290</f>
        <v/>
      </c>
      <c r="F290">
        <f>MAX(0,'My Debts'!$E$21-(I290+O290+U290+AA290+AG290+AM290+AS290+AY290+BE290+BK290))</f>
        <v/>
      </c>
      <c r="G290" s="42">
        <f>K289</f>
        <v/>
      </c>
      <c r="H290" s="42">
        <f>ROUND(G290*H$6/12,2)</f>
        <v/>
      </c>
      <c r="I290" s="42">
        <f>MIN(I$6,G290+H290)</f>
        <v/>
      </c>
      <c r="J290" s="42">
        <f>MAX(0,MIN(G290+H290-I290,$F290))</f>
        <v/>
      </c>
      <c r="K290" s="42">
        <f>ROUND(G290+H290-I290-J290,2)</f>
        <v/>
      </c>
      <c r="L290">
        <f>$F290-J290</f>
        <v/>
      </c>
      <c r="M290" s="42">
        <f>Q289</f>
        <v/>
      </c>
      <c r="N290" s="42">
        <f>ROUND(M290*N$6/12,2)</f>
        <v/>
      </c>
      <c r="O290" s="42">
        <f>MIN(O$6,M290+N290)</f>
        <v/>
      </c>
      <c r="P290" s="42">
        <f>MAX(0,MIN(M290+N290-O290,L290))</f>
        <v/>
      </c>
      <c r="Q290" s="42">
        <f>ROUND(M290+N290-O290-P290,2)</f>
        <v/>
      </c>
      <c r="R290">
        <f>L290-P290</f>
        <v/>
      </c>
      <c r="S290" s="42">
        <f>W289</f>
        <v/>
      </c>
      <c r="T290" s="42">
        <f>ROUND(S290*T$6/12,2)</f>
        <v/>
      </c>
      <c r="U290" s="42">
        <f>MIN(U$6,S290+T290)</f>
        <v/>
      </c>
      <c r="V290" s="42">
        <f>MAX(0,MIN(S290+T290-U290,R290))</f>
        <v/>
      </c>
      <c r="W290" s="42">
        <f>ROUND(S290+T290-U290-V290,2)</f>
        <v/>
      </c>
      <c r="X290">
        <f>R290-V290</f>
        <v/>
      </c>
      <c r="Y290" s="42">
        <f>AC289</f>
        <v/>
      </c>
      <c r="Z290" s="42">
        <f>ROUND(Y290*Z$6/12,2)</f>
        <v/>
      </c>
      <c r="AA290" s="42">
        <f>MIN(AA$6,Y290+Z290)</f>
        <v/>
      </c>
      <c r="AB290" s="42">
        <f>MAX(0,MIN(Y290+Z290-AA290,X290))</f>
        <v/>
      </c>
      <c r="AC290" s="42">
        <f>ROUND(Y290+Z290-AA290-AB290,2)</f>
        <v/>
      </c>
      <c r="AD290">
        <f>X290-AB290</f>
        <v/>
      </c>
      <c r="AE290" s="42">
        <f>AI289</f>
        <v/>
      </c>
      <c r="AF290" s="42">
        <f>ROUND(AE290*AF$6/12,2)</f>
        <v/>
      </c>
      <c r="AG290" s="42">
        <f>MIN(AG$6,AE290+AF290)</f>
        <v/>
      </c>
      <c r="AH290" s="42">
        <f>MAX(0,MIN(AE290+AF290-AG290,AD290))</f>
        <v/>
      </c>
      <c r="AI290" s="42">
        <f>ROUND(AE290+AF290-AG290-AH290,2)</f>
        <v/>
      </c>
      <c r="AJ290">
        <f>AD290-AH290</f>
        <v/>
      </c>
      <c r="AK290" s="42">
        <f>AO289</f>
        <v/>
      </c>
      <c r="AL290" s="42">
        <f>ROUND(AK290*AL$6/12,2)</f>
        <v/>
      </c>
      <c r="AM290" s="42">
        <f>MIN(AM$6,AK290+AL290)</f>
        <v/>
      </c>
      <c r="AN290" s="42">
        <f>MAX(0,MIN(AK290+AL290-AM290,AJ290))</f>
        <v/>
      </c>
      <c r="AO290" s="42">
        <f>ROUND(AK290+AL290-AM290-AN290,2)</f>
        <v/>
      </c>
      <c r="AP290">
        <f>AJ290-AN290</f>
        <v/>
      </c>
      <c r="AQ290" s="42">
        <f>AU289</f>
        <v/>
      </c>
      <c r="AR290" s="42">
        <f>ROUND(AQ290*AR$6/12,2)</f>
        <v/>
      </c>
      <c r="AS290" s="42">
        <f>MIN(AS$6,AQ290+AR290)</f>
        <v/>
      </c>
      <c r="AT290" s="42">
        <f>MAX(0,MIN(AQ290+AR290-AS290,AP290))</f>
        <v/>
      </c>
      <c r="AU290" s="42">
        <f>ROUND(AQ290+AR290-AS290-AT290,2)</f>
        <v/>
      </c>
      <c r="AV290">
        <f>AP290-AT290</f>
        <v/>
      </c>
      <c r="AW290" s="42">
        <f>BA289</f>
        <v/>
      </c>
      <c r="AX290" s="42">
        <f>ROUND(AW290*AX$6/12,2)</f>
        <v/>
      </c>
      <c r="AY290" s="42">
        <f>MIN(AY$6,AW290+AX290)</f>
        <v/>
      </c>
      <c r="AZ290" s="42">
        <f>MAX(0,MIN(AW290+AX290-AY290,AV290))</f>
        <v/>
      </c>
      <c r="BA290" s="42">
        <f>ROUND(AW290+AX290-AY290-AZ290,2)</f>
        <v/>
      </c>
      <c r="BB290">
        <f>AV290-AZ290</f>
        <v/>
      </c>
      <c r="BC290" s="42">
        <f>BG289</f>
        <v/>
      </c>
      <c r="BD290" s="42">
        <f>ROUND(BC290*BD$6/12,2)</f>
        <v/>
      </c>
      <c r="BE290" s="42">
        <f>MIN(BE$6,BC290+BD290)</f>
        <v/>
      </c>
      <c r="BF290" s="42">
        <f>MAX(0,MIN(BC290+BD290-BE290,BB290))</f>
        <v/>
      </c>
      <c r="BG290" s="42">
        <f>ROUND(BC290+BD290-BE290-BF290,2)</f>
        <v/>
      </c>
      <c r="BH290">
        <f>BB290-BF290</f>
        <v/>
      </c>
      <c r="BI290" s="42">
        <f>BM289</f>
        <v/>
      </c>
      <c r="BJ290" s="42">
        <f>ROUND(BI290*BJ$6/12,2)</f>
        <v/>
      </c>
      <c r="BK290" s="42">
        <f>MIN(BK$6,BI290+BJ290)</f>
        <v/>
      </c>
      <c r="BL290" s="42">
        <f>MAX(0,MIN(BI290+BJ290-BK290,BH290))</f>
        <v/>
      </c>
      <c r="BM290" s="42">
        <f>ROUND(BI290+BJ290-BK290-BL290,2)</f>
        <v/>
      </c>
      <c r="BN290">
        <f>BH290-BL290</f>
        <v/>
      </c>
    </row>
    <row r="291">
      <c r="A291" s="43" t="n">
        <v>284</v>
      </c>
      <c r="B291" s="44">
        <f>EDATE('My Debts'!$C$6,A291-1)</f>
        <v/>
      </c>
      <c r="C291" s="45">
        <f>K291+Q291+W291+AC291+AI291+AO291+AU291+BA291+BG291+BM291</f>
        <v/>
      </c>
      <c r="D291" s="46">
        <f>I291+O291+U291+AA291+AG291+AM291+AS291+AY291+BE291+BK291+J291+P291+V291+AB291+AH291+AN291+AT291+AZ291+BF291+BL291</f>
        <v/>
      </c>
      <c r="E291" s="46">
        <f>H291+N291+T291+Z291+AF291+AL291+AR291+AX291+BD291+BJ291</f>
        <v/>
      </c>
      <c r="F291">
        <f>MAX(0,'My Debts'!$E$21-(I291+O291+U291+AA291+AG291+AM291+AS291+AY291+BE291+BK291))</f>
        <v/>
      </c>
      <c r="G291" s="42">
        <f>K290</f>
        <v/>
      </c>
      <c r="H291" s="42">
        <f>ROUND(G291*H$6/12,2)</f>
        <v/>
      </c>
      <c r="I291" s="42">
        <f>MIN(I$6,G291+H291)</f>
        <v/>
      </c>
      <c r="J291" s="42">
        <f>MAX(0,MIN(G291+H291-I291,$F291))</f>
        <v/>
      </c>
      <c r="K291" s="42">
        <f>ROUND(G291+H291-I291-J291,2)</f>
        <v/>
      </c>
      <c r="L291">
        <f>$F291-J291</f>
        <v/>
      </c>
      <c r="M291" s="42">
        <f>Q290</f>
        <v/>
      </c>
      <c r="N291" s="42">
        <f>ROUND(M291*N$6/12,2)</f>
        <v/>
      </c>
      <c r="O291" s="42">
        <f>MIN(O$6,M291+N291)</f>
        <v/>
      </c>
      <c r="P291" s="42">
        <f>MAX(0,MIN(M291+N291-O291,L291))</f>
        <v/>
      </c>
      <c r="Q291" s="42">
        <f>ROUND(M291+N291-O291-P291,2)</f>
        <v/>
      </c>
      <c r="R291">
        <f>L291-P291</f>
        <v/>
      </c>
      <c r="S291" s="42">
        <f>W290</f>
        <v/>
      </c>
      <c r="T291" s="42">
        <f>ROUND(S291*T$6/12,2)</f>
        <v/>
      </c>
      <c r="U291" s="42">
        <f>MIN(U$6,S291+T291)</f>
        <v/>
      </c>
      <c r="V291" s="42">
        <f>MAX(0,MIN(S291+T291-U291,R291))</f>
        <v/>
      </c>
      <c r="W291" s="42">
        <f>ROUND(S291+T291-U291-V291,2)</f>
        <v/>
      </c>
      <c r="X291">
        <f>R291-V291</f>
        <v/>
      </c>
      <c r="Y291" s="42">
        <f>AC290</f>
        <v/>
      </c>
      <c r="Z291" s="42">
        <f>ROUND(Y291*Z$6/12,2)</f>
        <v/>
      </c>
      <c r="AA291" s="42">
        <f>MIN(AA$6,Y291+Z291)</f>
        <v/>
      </c>
      <c r="AB291" s="42">
        <f>MAX(0,MIN(Y291+Z291-AA291,X291))</f>
        <v/>
      </c>
      <c r="AC291" s="42">
        <f>ROUND(Y291+Z291-AA291-AB291,2)</f>
        <v/>
      </c>
      <c r="AD291">
        <f>X291-AB291</f>
        <v/>
      </c>
      <c r="AE291" s="42">
        <f>AI290</f>
        <v/>
      </c>
      <c r="AF291" s="42">
        <f>ROUND(AE291*AF$6/12,2)</f>
        <v/>
      </c>
      <c r="AG291" s="42">
        <f>MIN(AG$6,AE291+AF291)</f>
        <v/>
      </c>
      <c r="AH291" s="42">
        <f>MAX(0,MIN(AE291+AF291-AG291,AD291))</f>
        <v/>
      </c>
      <c r="AI291" s="42">
        <f>ROUND(AE291+AF291-AG291-AH291,2)</f>
        <v/>
      </c>
      <c r="AJ291">
        <f>AD291-AH291</f>
        <v/>
      </c>
      <c r="AK291" s="42">
        <f>AO290</f>
        <v/>
      </c>
      <c r="AL291" s="42">
        <f>ROUND(AK291*AL$6/12,2)</f>
        <v/>
      </c>
      <c r="AM291" s="42">
        <f>MIN(AM$6,AK291+AL291)</f>
        <v/>
      </c>
      <c r="AN291" s="42">
        <f>MAX(0,MIN(AK291+AL291-AM291,AJ291))</f>
        <v/>
      </c>
      <c r="AO291" s="42">
        <f>ROUND(AK291+AL291-AM291-AN291,2)</f>
        <v/>
      </c>
      <c r="AP291">
        <f>AJ291-AN291</f>
        <v/>
      </c>
      <c r="AQ291" s="42">
        <f>AU290</f>
        <v/>
      </c>
      <c r="AR291" s="42">
        <f>ROUND(AQ291*AR$6/12,2)</f>
        <v/>
      </c>
      <c r="AS291" s="42">
        <f>MIN(AS$6,AQ291+AR291)</f>
        <v/>
      </c>
      <c r="AT291" s="42">
        <f>MAX(0,MIN(AQ291+AR291-AS291,AP291))</f>
        <v/>
      </c>
      <c r="AU291" s="42">
        <f>ROUND(AQ291+AR291-AS291-AT291,2)</f>
        <v/>
      </c>
      <c r="AV291">
        <f>AP291-AT291</f>
        <v/>
      </c>
      <c r="AW291" s="42">
        <f>BA290</f>
        <v/>
      </c>
      <c r="AX291" s="42">
        <f>ROUND(AW291*AX$6/12,2)</f>
        <v/>
      </c>
      <c r="AY291" s="42">
        <f>MIN(AY$6,AW291+AX291)</f>
        <v/>
      </c>
      <c r="AZ291" s="42">
        <f>MAX(0,MIN(AW291+AX291-AY291,AV291))</f>
        <v/>
      </c>
      <c r="BA291" s="42">
        <f>ROUND(AW291+AX291-AY291-AZ291,2)</f>
        <v/>
      </c>
      <c r="BB291">
        <f>AV291-AZ291</f>
        <v/>
      </c>
      <c r="BC291" s="42">
        <f>BG290</f>
        <v/>
      </c>
      <c r="BD291" s="42">
        <f>ROUND(BC291*BD$6/12,2)</f>
        <v/>
      </c>
      <c r="BE291" s="42">
        <f>MIN(BE$6,BC291+BD291)</f>
        <v/>
      </c>
      <c r="BF291" s="42">
        <f>MAX(0,MIN(BC291+BD291-BE291,BB291))</f>
        <v/>
      </c>
      <c r="BG291" s="42">
        <f>ROUND(BC291+BD291-BE291-BF291,2)</f>
        <v/>
      </c>
      <c r="BH291">
        <f>BB291-BF291</f>
        <v/>
      </c>
      <c r="BI291" s="42">
        <f>BM290</f>
        <v/>
      </c>
      <c r="BJ291" s="42">
        <f>ROUND(BI291*BJ$6/12,2)</f>
        <v/>
      </c>
      <c r="BK291" s="42">
        <f>MIN(BK$6,BI291+BJ291)</f>
        <v/>
      </c>
      <c r="BL291" s="42">
        <f>MAX(0,MIN(BI291+BJ291-BK291,BH291))</f>
        <v/>
      </c>
      <c r="BM291" s="42">
        <f>ROUND(BI291+BJ291-BK291-BL291,2)</f>
        <v/>
      </c>
      <c r="BN291">
        <f>BH291-BL291</f>
        <v/>
      </c>
    </row>
    <row r="292">
      <c r="A292" s="39" t="n">
        <v>285</v>
      </c>
      <c r="B292" s="40">
        <f>EDATE('My Debts'!$C$6,A292-1)</f>
        <v/>
      </c>
      <c r="C292" s="41">
        <f>K292+Q292+W292+AC292+AI292+AO292+AU292+BA292+BG292+BM292</f>
        <v/>
      </c>
      <c r="D292" s="42">
        <f>I292+O292+U292+AA292+AG292+AM292+AS292+AY292+BE292+BK292+J292+P292+V292+AB292+AH292+AN292+AT292+AZ292+BF292+BL292</f>
        <v/>
      </c>
      <c r="E292" s="42">
        <f>H292+N292+T292+Z292+AF292+AL292+AR292+AX292+BD292+BJ292</f>
        <v/>
      </c>
      <c r="F292">
        <f>MAX(0,'My Debts'!$E$21-(I292+O292+U292+AA292+AG292+AM292+AS292+AY292+BE292+BK292))</f>
        <v/>
      </c>
      <c r="G292" s="42">
        <f>K291</f>
        <v/>
      </c>
      <c r="H292" s="42">
        <f>ROUND(G292*H$6/12,2)</f>
        <v/>
      </c>
      <c r="I292" s="42">
        <f>MIN(I$6,G292+H292)</f>
        <v/>
      </c>
      <c r="J292" s="42">
        <f>MAX(0,MIN(G292+H292-I292,$F292))</f>
        <v/>
      </c>
      <c r="K292" s="42">
        <f>ROUND(G292+H292-I292-J292,2)</f>
        <v/>
      </c>
      <c r="L292">
        <f>$F292-J292</f>
        <v/>
      </c>
      <c r="M292" s="42">
        <f>Q291</f>
        <v/>
      </c>
      <c r="N292" s="42">
        <f>ROUND(M292*N$6/12,2)</f>
        <v/>
      </c>
      <c r="O292" s="42">
        <f>MIN(O$6,M292+N292)</f>
        <v/>
      </c>
      <c r="P292" s="42">
        <f>MAX(0,MIN(M292+N292-O292,L292))</f>
        <v/>
      </c>
      <c r="Q292" s="42">
        <f>ROUND(M292+N292-O292-P292,2)</f>
        <v/>
      </c>
      <c r="R292">
        <f>L292-P292</f>
        <v/>
      </c>
      <c r="S292" s="42">
        <f>W291</f>
        <v/>
      </c>
      <c r="T292" s="42">
        <f>ROUND(S292*T$6/12,2)</f>
        <v/>
      </c>
      <c r="U292" s="42">
        <f>MIN(U$6,S292+T292)</f>
        <v/>
      </c>
      <c r="V292" s="42">
        <f>MAX(0,MIN(S292+T292-U292,R292))</f>
        <v/>
      </c>
      <c r="W292" s="42">
        <f>ROUND(S292+T292-U292-V292,2)</f>
        <v/>
      </c>
      <c r="X292">
        <f>R292-V292</f>
        <v/>
      </c>
      <c r="Y292" s="42">
        <f>AC291</f>
        <v/>
      </c>
      <c r="Z292" s="42">
        <f>ROUND(Y292*Z$6/12,2)</f>
        <v/>
      </c>
      <c r="AA292" s="42">
        <f>MIN(AA$6,Y292+Z292)</f>
        <v/>
      </c>
      <c r="AB292" s="42">
        <f>MAX(0,MIN(Y292+Z292-AA292,X292))</f>
        <v/>
      </c>
      <c r="AC292" s="42">
        <f>ROUND(Y292+Z292-AA292-AB292,2)</f>
        <v/>
      </c>
      <c r="AD292">
        <f>X292-AB292</f>
        <v/>
      </c>
      <c r="AE292" s="42">
        <f>AI291</f>
        <v/>
      </c>
      <c r="AF292" s="42">
        <f>ROUND(AE292*AF$6/12,2)</f>
        <v/>
      </c>
      <c r="AG292" s="42">
        <f>MIN(AG$6,AE292+AF292)</f>
        <v/>
      </c>
      <c r="AH292" s="42">
        <f>MAX(0,MIN(AE292+AF292-AG292,AD292))</f>
        <v/>
      </c>
      <c r="AI292" s="42">
        <f>ROUND(AE292+AF292-AG292-AH292,2)</f>
        <v/>
      </c>
      <c r="AJ292">
        <f>AD292-AH292</f>
        <v/>
      </c>
      <c r="AK292" s="42">
        <f>AO291</f>
        <v/>
      </c>
      <c r="AL292" s="42">
        <f>ROUND(AK292*AL$6/12,2)</f>
        <v/>
      </c>
      <c r="AM292" s="42">
        <f>MIN(AM$6,AK292+AL292)</f>
        <v/>
      </c>
      <c r="AN292" s="42">
        <f>MAX(0,MIN(AK292+AL292-AM292,AJ292))</f>
        <v/>
      </c>
      <c r="AO292" s="42">
        <f>ROUND(AK292+AL292-AM292-AN292,2)</f>
        <v/>
      </c>
      <c r="AP292">
        <f>AJ292-AN292</f>
        <v/>
      </c>
      <c r="AQ292" s="42">
        <f>AU291</f>
        <v/>
      </c>
      <c r="AR292" s="42">
        <f>ROUND(AQ292*AR$6/12,2)</f>
        <v/>
      </c>
      <c r="AS292" s="42">
        <f>MIN(AS$6,AQ292+AR292)</f>
        <v/>
      </c>
      <c r="AT292" s="42">
        <f>MAX(0,MIN(AQ292+AR292-AS292,AP292))</f>
        <v/>
      </c>
      <c r="AU292" s="42">
        <f>ROUND(AQ292+AR292-AS292-AT292,2)</f>
        <v/>
      </c>
      <c r="AV292">
        <f>AP292-AT292</f>
        <v/>
      </c>
      <c r="AW292" s="42">
        <f>BA291</f>
        <v/>
      </c>
      <c r="AX292" s="42">
        <f>ROUND(AW292*AX$6/12,2)</f>
        <v/>
      </c>
      <c r="AY292" s="42">
        <f>MIN(AY$6,AW292+AX292)</f>
        <v/>
      </c>
      <c r="AZ292" s="42">
        <f>MAX(0,MIN(AW292+AX292-AY292,AV292))</f>
        <v/>
      </c>
      <c r="BA292" s="42">
        <f>ROUND(AW292+AX292-AY292-AZ292,2)</f>
        <v/>
      </c>
      <c r="BB292">
        <f>AV292-AZ292</f>
        <v/>
      </c>
      <c r="BC292" s="42">
        <f>BG291</f>
        <v/>
      </c>
      <c r="BD292" s="42">
        <f>ROUND(BC292*BD$6/12,2)</f>
        <v/>
      </c>
      <c r="BE292" s="42">
        <f>MIN(BE$6,BC292+BD292)</f>
        <v/>
      </c>
      <c r="BF292" s="42">
        <f>MAX(0,MIN(BC292+BD292-BE292,BB292))</f>
        <v/>
      </c>
      <c r="BG292" s="42">
        <f>ROUND(BC292+BD292-BE292-BF292,2)</f>
        <v/>
      </c>
      <c r="BH292">
        <f>BB292-BF292</f>
        <v/>
      </c>
      <c r="BI292" s="42">
        <f>BM291</f>
        <v/>
      </c>
      <c r="BJ292" s="42">
        <f>ROUND(BI292*BJ$6/12,2)</f>
        <v/>
      </c>
      <c r="BK292" s="42">
        <f>MIN(BK$6,BI292+BJ292)</f>
        <v/>
      </c>
      <c r="BL292" s="42">
        <f>MAX(0,MIN(BI292+BJ292-BK292,BH292))</f>
        <v/>
      </c>
      <c r="BM292" s="42">
        <f>ROUND(BI292+BJ292-BK292-BL292,2)</f>
        <v/>
      </c>
      <c r="BN292">
        <f>BH292-BL292</f>
        <v/>
      </c>
    </row>
    <row r="293">
      <c r="A293" s="43" t="n">
        <v>286</v>
      </c>
      <c r="B293" s="44">
        <f>EDATE('My Debts'!$C$6,A293-1)</f>
        <v/>
      </c>
      <c r="C293" s="45">
        <f>K293+Q293+W293+AC293+AI293+AO293+AU293+BA293+BG293+BM293</f>
        <v/>
      </c>
      <c r="D293" s="46">
        <f>I293+O293+U293+AA293+AG293+AM293+AS293+AY293+BE293+BK293+J293+P293+V293+AB293+AH293+AN293+AT293+AZ293+BF293+BL293</f>
        <v/>
      </c>
      <c r="E293" s="46">
        <f>H293+N293+T293+Z293+AF293+AL293+AR293+AX293+BD293+BJ293</f>
        <v/>
      </c>
      <c r="F293">
        <f>MAX(0,'My Debts'!$E$21-(I293+O293+U293+AA293+AG293+AM293+AS293+AY293+BE293+BK293))</f>
        <v/>
      </c>
      <c r="G293" s="42">
        <f>K292</f>
        <v/>
      </c>
      <c r="H293" s="42">
        <f>ROUND(G293*H$6/12,2)</f>
        <v/>
      </c>
      <c r="I293" s="42">
        <f>MIN(I$6,G293+H293)</f>
        <v/>
      </c>
      <c r="J293" s="42">
        <f>MAX(0,MIN(G293+H293-I293,$F293))</f>
        <v/>
      </c>
      <c r="K293" s="42">
        <f>ROUND(G293+H293-I293-J293,2)</f>
        <v/>
      </c>
      <c r="L293">
        <f>$F293-J293</f>
        <v/>
      </c>
      <c r="M293" s="42">
        <f>Q292</f>
        <v/>
      </c>
      <c r="N293" s="42">
        <f>ROUND(M293*N$6/12,2)</f>
        <v/>
      </c>
      <c r="O293" s="42">
        <f>MIN(O$6,M293+N293)</f>
        <v/>
      </c>
      <c r="P293" s="42">
        <f>MAX(0,MIN(M293+N293-O293,L293))</f>
        <v/>
      </c>
      <c r="Q293" s="42">
        <f>ROUND(M293+N293-O293-P293,2)</f>
        <v/>
      </c>
      <c r="R293">
        <f>L293-P293</f>
        <v/>
      </c>
      <c r="S293" s="42">
        <f>W292</f>
        <v/>
      </c>
      <c r="T293" s="42">
        <f>ROUND(S293*T$6/12,2)</f>
        <v/>
      </c>
      <c r="U293" s="42">
        <f>MIN(U$6,S293+T293)</f>
        <v/>
      </c>
      <c r="V293" s="42">
        <f>MAX(0,MIN(S293+T293-U293,R293))</f>
        <v/>
      </c>
      <c r="W293" s="42">
        <f>ROUND(S293+T293-U293-V293,2)</f>
        <v/>
      </c>
      <c r="X293">
        <f>R293-V293</f>
        <v/>
      </c>
      <c r="Y293" s="42">
        <f>AC292</f>
        <v/>
      </c>
      <c r="Z293" s="42">
        <f>ROUND(Y293*Z$6/12,2)</f>
        <v/>
      </c>
      <c r="AA293" s="42">
        <f>MIN(AA$6,Y293+Z293)</f>
        <v/>
      </c>
      <c r="AB293" s="42">
        <f>MAX(0,MIN(Y293+Z293-AA293,X293))</f>
        <v/>
      </c>
      <c r="AC293" s="42">
        <f>ROUND(Y293+Z293-AA293-AB293,2)</f>
        <v/>
      </c>
      <c r="AD293">
        <f>X293-AB293</f>
        <v/>
      </c>
      <c r="AE293" s="42">
        <f>AI292</f>
        <v/>
      </c>
      <c r="AF293" s="42">
        <f>ROUND(AE293*AF$6/12,2)</f>
        <v/>
      </c>
      <c r="AG293" s="42">
        <f>MIN(AG$6,AE293+AF293)</f>
        <v/>
      </c>
      <c r="AH293" s="42">
        <f>MAX(0,MIN(AE293+AF293-AG293,AD293))</f>
        <v/>
      </c>
      <c r="AI293" s="42">
        <f>ROUND(AE293+AF293-AG293-AH293,2)</f>
        <v/>
      </c>
      <c r="AJ293">
        <f>AD293-AH293</f>
        <v/>
      </c>
      <c r="AK293" s="42">
        <f>AO292</f>
        <v/>
      </c>
      <c r="AL293" s="42">
        <f>ROUND(AK293*AL$6/12,2)</f>
        <v/>
      </c>
      <c r="AM293" s="42">
        <f>MIN(AM$6,AK293+AL293)</f>
        <v/>
      </c>
      <c r="AN293" s="42">
        <f>MAX(0,MIN(AK293+AL293-AM293,AJ293))</f>
        <v/>
      </c>
      <c r="AO293" s="42">
        <f>ROUND(AK293+AL293-AM293-AN293,2)</f>
        <v/>
      </c>
      <c r="AP293">
        <f>AJ293-AN293</f>
        <v/>
      </c>
      <c r="AQ293" s="42">
        <f>AU292</f>
        <v/>
      </c>
      <c r="AR293" s="42">
        <f>ROUND(AQ293*AR$6/12,2)</f>
        <v/>
      </c>
      <c r="AS293" s="42">
        <f>MIN(AS$6,AQ293+AR293)</f>
        <v/>
      </c>
      <c r="AT293" s="42">
        <f>MAX(0,MIN(AQ293+AR293-AS293,AP293))</f>
        <v/>
      </c>
      <c r="AU293" s="42">
        <f>ROUND(AQ293+AR293-AS293-AT293,2)</f>
        <v/>
      </c>
      <c r="AV293">
        <f>AP293-AT293</f>
        <v/>
      </c>
      <c r="AW293" s="42">
        <f>BA292</f>
        <v/>
      </c>
      <c r="AX293" s="42">
        <f>ROUND(AW293*AX$6/12,2)</f>
        <v/>
      </c>
      <c r="AY293" s="42">
        <f>MIN(AY$6,AW293+AX293)</f>
        <v/>
      </c>
      <c r="AZ293" s="42">
        <f>MAX(0,MIN(AW293+AX293-AY293,AV293))</f>
        <v/>
      </c>
      <c r="BA293" s="42">
        <f>ROUND(AW293+AX293-AY293-AZ293,2)</f>
        <v/>
      </c>
      <c r="BB293">
        <f>AV293-AZ293</f>
        <v/>
      </c>
      <c r="BC293" s="42">
        <f>BG292</f>
        <v/>
      </c>
      <c r="BD293" s="42">
        <f>ROUND(BC293*BD$6/12,2)</f>
        <v/>
      </c>
      <c r="BE293" s="42">
        <f>MIN(BE$6,BC293+BD293)</f>
        <v/>
      </c>
      <c r="BF293" s="42">
        <f>MAX(0,MIN(BC293+BD293-BE293,BB293))</f>
        <v/>
      </c>
      <c r="BG293" s="42">
        <f>ROUND(BC293+BD293-BE293-BF293,2)</f>
        <v/>
      </c>
      <c r="BH293">
        <f>BB293-BF293</f>
        <v/>
      </c>
      <c r="BI293" s="42">
        <f>BM292</f>
        <v/>
      </c>
      <c r="BJ293" s="42">
        <f>ROUND(BI293*BJ$6/12,2)</f>
        <v/>
      </c>
      <c r="BK293" s="42">
        <f>MIN(BK$6,BI293+BJ293)</f>
        <v/>
      </c>
      <c r="BL293" s="42">
        <f>MAX(0,MIN(BI293+BJ293-BK293,BH293))</f>
        <v/>
      </c>
      <c r="BM293" s="42">
        <f>ROUND(BI293+BJ293-BK293-BL293,2)</f>
        <v/>
      </c>
      <c r="BN293">
        <f>BH293-BL293</f>
        <v/>
      </c>
    </row>
    <row r="294">
      <c r="A294" s="39" t="n">
        <v>287</v>
      </c>
      <c r="B294" s="40">
        <f>EDATE('My Debts'!$C$6,A294-1)</f>
        <v/>
      </c>
      <c r="C294" s="41">
        <f>K294+Q294+W294+AC294+AI294+AO294+AU294+BA294+BG294+BM294</f>
        <v/>
      </c>
      <c r="D294" s="42">
        <f>I294+O294+U294+AA294+AG294+AM294+AS294+AY294+BE294+BK294+J294+P294+V294+AB294+AH294+AN294+AT294+AZ294+BF294+BL294</f>
        <v/>
      </c>
      <c r="E294" s="42">
        <f>H294+N294+T294+Z294+AF294+AL294+AR294+AX294+BD294+BJ294</f>
        <v/>
      </c>
      <c r="F294">
        <f>MAX(0,'My Debts'!$E$21-(I294+O294+U294+AA294+AG294+AM294+AS294+AY294+BE294+BK294))</f>
        <v/>
      </c>
      <c r="G294" s="42">
        <f>K293</f>
        <v/>
      </c>
      <c r="H294" s="42">
        <f>ROUND(G294*H$6/12,2)</f>
        <v/>
      </c>
      <c r="I294" s="42">
        <f>MIN(I$6,G294+H294)</f>
        <v/>
      </c>
      <c r="J294" s="42">
        <f>MAX(0,MIN(G294+H294-I294,$F294))</f>
        <v/>
      </c>
      <c r="K294" s="42">
        <f>ROUND(G294+H294-I294-J294,2)</f>
        <v/>
      </c>
      <c r="L294">
        <f>$F294-J294</f>
        <v/>
      </c>
      <c r="M294" s="42">
        <f>Q293</f>
        <v/>
      </c>
      <c r="N294" s="42">
        <f>ROUND(M294*N$6/12,2)</f>
        <v/>
      </c>
      <c r="O294" s="42">
        <f>MIN(O$6,M294+N294)</f>
        <v/>
      </c>
      <c r="P294" s="42">
        <f>MAX(0,MIN(M294+N294-O294,L294))</f>
        <v/>
      </c>
      <c r="Q294" s="42">
        <f>ROUND(M294+N294-O294-P294,2)</f>
        <v/>
      </c>
      <c r="R294">
        <f>L294-P294</f>
        <v/>
      </c>
      <c r="S294" s="42">
        <f>W293</f>
        <v/>
      </c>
      <c r="T294" s="42">
        <f>ROUND(S294*T$6/12,2)</f>
        <v/>
      </c>
      <c r="U294" s="42">
        <f>MIN(U$6,S294+T294)</f>
        <v/>
      </c>
      <c r="V294" s="42">
        <f>MAX(0,MIN(S294+T294-U294,R294))</f>
        <v/>
      </c>
      <c r="W294" s="42">
        <f>ROUND(S294+T294-U294-V294,2)</f>
        <v/>
      </c>
      <c r="X294">
        <f>R294-V294</f>
        <v/>
      </c>
      <c r="Y294" s="42">
        <f>AC293</f>
        <v/>
      </c>
      <c r="Z294" s="42">
        <f>ROUND(Y294*Z$6/12,2)</f>
        <v/>
      </c>
      <c r="AA294" s="42">
        <f>MIN(AA$6,Y294+Z294)</f>
        <v/>
      </c>
      <c r="AB294" s="42">
        <f>MAX(0,MIN(Y294+Z294-AA294,X294))</f>
        <v/>
      </c>
      <c r="AC294" s="42">
        <f>ROUND(Y294+Z294-AA294-AB294,2)</f>
        <v/>
      </c>
      <c r="AD294">
        <f>X294-AB294</f>
        <v/>
      </c>
      <c r="AE294" s="42">
        <f>AI293</f>
        <v/>
      </c>
      <c r="AF294" s="42">
        <f>ROUND(AE294*AF$6/12,2)</f>
        <v/>
      </c>
      <c r="AG294" s="42">
        <f>MIN(AG$6,AE294+AF294)</f>
        <v/>
      </c>
      <c r="AH294" s="42">
        <f>MAX(0,MIN(AE294+AF294-AG294,AD294))</f>
        <v/>
      </c>
      <c r="AI294" s="42">
        <f>ROUND(AE294+AF294-AG294-AH294,2)</f>
        <v/>
      </c>
      <c r="AJ294">
        <f>AD294-AH294</f>
        <v/>
      </c>
      <c r="AK294" s="42">
        <f>AO293</f>
        <v/>
      </c>
      <c r="AL294" s="42">
        <f>ROUND(AK294*AL$6/12,2)</f>
        <v/>
      </c>
      <c r="AM294" s="42">
        <f>MIN(AM$6,AK294+AL294)</f>
        <v/>
      </c>
      <c r="AN294" s="42">
        <f>MAX(0,MIN(AK294+AL294-AM294,AJ294))</f>
        <v/>
      </c>
      <c r="AO294" s="42">
        <f>ROUND(AK294+AL294-AM294-AN294,2)</f>
        <v/>
      </c>
      <c r="AP294">
        <f>AJ294-AN294</f>
        <v/>
      </c>
      <c r="AQ294" s="42">
        <f>AU293</f>
        <v/>
      </c>
      <c r="AR294" s="42">
        <f>ROUND(AQ294*AR$6/12,2)</f>
        <v/>
      </c>
      <c r="AS294" s="42">
        <f>MIN(AS$6,AQ294+AR294)</f>
        <v/>
      </c>
      <c r="AT294" s="42">
        <f>MAX(0,MIN(AQ294+AR294-AS294,AP294))</f>
        <v/>
      </c>
      <c r="AU294" s="42">
        <f>ROUND(AQ294+AR294-AS294-AT294,2)</f>
        <v/>
      </c>
      <c r="AV294">
        <f>AP294-AT294</f>
        <v/>
      </c>
      <c r="AW294" s="42">
        <f>BA293</f>
        <v/>
      </c>
      <c r="AX294" s="42">
        <f>ROUND(AW294*AX$6/12,2)</f>
        <v/>
      </c>
      <c r="AY294" s="42">
        <f>MIN(AY$6,AW294+AX294)</f>
        <v/>
      </c>
      <c r="AZ294" s="42">
        <f>MAX(0,MIN(AW294+AX294-AY294,AV294))</f>
        <v/>
      </c>
      <c r="BA294" s="42">
        <f>ROUND(AW294+AX294-AY294-AZ294,2)</f>
        <v/>
      </c>
      <c r="BB294">
        <f>AV294-AZ294</f>
        <v/>
      </c>
      <c r="BC294" s="42">
        <f>BG293</f>
        <v/>
      </c>
      <c r="BD294" s="42">
        <f>ROUND(BC294*BD$6/12,2)</f>
        <v/>
      </c>
      <c r="BE294" s="42">
        <f>MIN(BE$6,BC294+BD294)</f>
        <v/>
      </c>
      <c r="BF294" s="42">
        <f>MAX(0,MIN(BC294+BD294-BE294,BB294))</f>
        <v/>
      </c>
      <c r="BG294" s="42">
        <f>ROUND(BC294+BD294-BE294-BF294,2)</f>
        <v/>
      </c>
      <c r="BH294">
        <f>BB294-BF294</f>
        <v/>
      </c>
      <c r="BI294" s="42">
        <f>BM293</f>
        <v/>
      </c>
      <c r="BJ294" s="42">
        <f>ROUND(BI294*BJ$6/12,2)</f>
        <v/>
      </c>
      <c r="BK294" s="42">
        <f>MIN(BK$6,BI294+BJ294)</f>
        <v/>
      </c>
      <c r="BL294" s="42">
        <f>MAX(0,MIN(BI294+BJ294-BK294,BH294))</f>
        <v/>
      </c>
      <c r="BM294" s="42">
        <f>ROUND(BI294+BJ294-BK294-BL294,2)</f>
        <v/>
      </c>
      <c r="BN294">
        <f>BH294-BL294</f>
        <v/>
      </c>
    </row>
    <row r="295">
      <c r="A295" s="43" t="n">
        <v>288</v>
      </c>
      <c r="B295" s="44">
        <f>EDATE('My Debts'!$C$6,A295-1)</f>
        <v/>
      </c>
      <c r="C295" s="45">
        <f>K295+Q295+W295+AC295+AI295+AO295+AU295+BA295+BG295+BM295</f>
        <v/>
      </c>
      <c r="D295" s="46">
        <f>I295+O295+U295+AA295+AG295+AM295+AS295+AY295+BE295+BK295+J295+P295+V295+AB295+AH295+AN295+AT295+AZ295+BF295+BL295</f>
        <v/>
      </c>
      <c r="E295" s="46">
        <f>H295+N295+T295+Z295+AF295+AL295+AR295+AX295+BD295+BJ295</f>
        <v/>
      </c>
      <c r="F295">
        <f>MAX(0,'My Debts'!$E$21-(I295+O295+U295+AA295+AG295+AM295+AS295+AY295+BE295+BK295))</f>
        <v/>
      </c>
      <c r="G295" s="42">
        <f>K294</f>
        <v/>
      </c>
      <c r="H295" s="42">
        <f>ROUND(G295*H$6/12,2)</f>
        <v/>
      </c>
      <c r="I295" s="42">
        <f>MIN(I$6,G295+H295)</f>
        <v/>
      </c>
      <c r="J295" s="42">
        <f>MAX(0,MIN(G295+H295-I295,$F295))</f>
        <v/>
      </c>
      <c r="K295" s="42">
        <f>ROUND(G295+H295-I295-J295,2)</f>
        <v/>
      </c>
      <c r="L295">
        <f>$F295-J295</f>
        <v/>
      </c>
      <c r="M295" s="42">
        <f>Q294</f>
        <v/>
      </c>
      <c r="N295" s="42">
        <f>ROUND(M295*N$6/12,2)</f>
        <v/>
      </c>
      <c r="O295" s="42">
        <f>MIN(O$6,M295+N295)</f>
        <v/>
      </c>
      <c r="P295" s="42">
        <f>MAX(0,MIN(M295+N295-O295,L295))</f>
        <v/>
      </c>
      <c r="Q295" s="42">
        <f>ROUND(M295+N295-O295-P295,2)</f>
        <v/>
      </c>
      <c r="R295">
        <f>L295-P295</f>
        <v/>
      </c>
      <c r="S295" s="42">
        <f>W294</f>
        <v/>
      </c>
      <c r="T295" s="42">
        <f>ROUND(S295*T$6/12,2)</f>
        <v/>
      </c>
      <c r="U295" s="42">
        <f>MIN(U$6,S295+T295)</f>
        <v/>
      </c>
      <c r="V295" s="42">
        <f>MAX(0,MIN(S295+T295-U295,R295))</f>
        <v/>
      </c>
      <c r="W295" s="42">
        <f>ROUND(S295+T295-U295-V295,2)</f>
        <v/>
      </c>
      <c r="X295">
        <f>R295-V295</f>
        <v/>
      </c>
      <c r="Y295" s="42">
        <f>AC294</f>
        <v/>
      </c>
      <c r="Z295" s="42">
        <f>ROUND(Y295*Z$6/12,2)</f>
        <v/>
      </c>
      <c r="AA295" s="42">
        <f>MIN(AA$6,Y295+Z295)</f>
        <v/>
      </c>
      <c r="AB295" s="42">
        <f>MAX(0,MIN(Y295+Z295-AA295,X295))</f>
        <v/>
      </c>
      <c r="AC295" s="42">
        <f>ROUND(Y295+Z295-AA295-AB295,2)</f>
        <v/>
      </c>
      <c r="AD295">
        <f>X295-AB295</f>
        <v/>
      </c>
      <c r="AE295" s="42">
        <f>AI294</f>
        <v/>
      </c>
      <c r="AF295" s="42">
        <f>ROUND(AE295*AF$6/12,2)</f>
        <v/>
      </c>
      <c r="AG295" s="42">
        <f>MIN(AG$6,AE295+AF295)</f>
        <v/>
      </c>
      <c r="AH295" s="42">
        <f>MAX(0,MIN(AE295+AF295-AG295,AD295))</f>
        <v/>
      </c>
      <c r="AI295" s="42">
        <f>ROUND(AE295+AF295-AG295-AH295,2)</f>
        <v/>
      </c>
      <c r="AJ295">
        <f>AD295-AH295</f>
        <v/>
      </c>
      <c r="AK295" s="42">
        <f>AO294</f>
        <v/>
      </c>
      <c r="AL295" s="42">
        <f>ROUND(AK295*AL$6/12,2)</f>
        <v/>
      </c>
      <c r="AM295" s="42">
        <f>MIN(AM$6,AK295+AL295)</f>
        <v/>
      </c>
      <c r="AN295" s="42">
        <f>MAX(0,MIN(AK295+AL295-AM295,AJ295))</f>
        <v/>
      </c>
      <c r="AO295" s="42">
        <f>ROUND(AK295+AL295-AM295-AN295,2)</f>
        <v/>
      </c>
      <c r="AP295">
        <f>AJ295-AN295</f>
        <v/>
      </c>
      <c r="AQ295" s="42">
        <f>AU294</f>
        <v/>
      </c>
      <c r="AR295" s="42">
        <f>ROUND(AQ295*AR$6/12,2)</f>
        <v/>
      </c>
      <c r="AS295" s="42">
        <f>MIN(AS$6,AQ295+AR295)</f>
        <v/>
      </c>
      <c r="AT295" s="42">
        <f>MAX(0,MIN(AQ295+AR295-AS295,AP295))</f>
        <v/>
      </c>
      <c r="AU295" s="42">
        <f>ROUND(AQ295+AR295-AS295-AT295,2)</f>
        <v/>
      </c>
      <c r="AV295">
        <f>AP295-AT295</f>
        <v/>
      </c>
      <c r="AW295" s="42">
        <f>BA294</f>
        <v/>
      </c>
      <c r="AX295" s="42">
        <f>ROUND(AW295*AX$6/12,2)</f>
        <v/>
      </c>
      <c r="AY295" s="42">
        <f>MIN(AY$6,AW295+AX295)</f>
        <v/>
      </c>
      <c r="AZ295" s="42">
        <f>MAX(0,MIN(AW295+AX295-AY295,AV295))</f>
        <v/>
      </c>
      <c r="BA295" s="42">
        <f>ROUND(AW295+AX295-AY295-AZ295,2)</f>
        <v/>
      </c>
      <c r="BB295">
        <f>AV295-AZ295</f>
        <v/>
      </c>
      <c r="BC295" s="42">
        <f>BG294</f>
        <v/>
      </c>
      <c r="BD295" s="42">
        <f>ROUND(BC295*BD$6/12,2)</f>
        <v/>
      </c>
      <c r="BE295" s="42">
        <f>MIN(BE$6,BC295+BD295)</f>
        <v/>
      </c>
      <c r="BF295" s="42">
        <f>MAX(0,MIN(BC295+BD295-BE295,BB295))</f>
        <v/>
      </c>
      <c r="BG295" s="42">
        <f>ROUND(BC295+BD295-BE295-BF295,2)</f>
        <v/>
      </c>
      <c r="BH295">
        <f>BB295-BF295</f>
        <v/>
      </c>
      <c r="BI295" s="42">
        <f>BM294</f>
        <v/>
      </c>
      <c r="BJ295" s="42">
        <f>ROUND(BI295*BJ$6/12,2)</f>
        <v/>
      </c>
      <c r="BK295" s="42">
        <f>MIN(BK$6,BI295+BJ295)</f>
        <v/>
      </c>
      <c r="BL295" s="42">
        <f>MAX(0,MIN(BI295+BJ295-BK295,BH295))</f>
        <v/>
      </c>
      <c r="BM295" s="42">
        <f>ROUND(BI295+BJ295-BK295-BL295,2)</f>
        <v/>
      </c>
      <c r="BN295">
        <f>BH295-BL295</f>
        <v/>
      </c>
    </row>
    <row r="296">
      <c r="A296" s="39" t="n">
        <v>289</v>
      </c>
      <c r="B296" s="40">
        <f>EDATE('My Debts'!$C$6,A296-1)</f>
        <v/>
      </c>
      <c r="C296" s="41">
        <f>K296+Q296+W296+AC296+AI296+AO296+AU296+BA296+BG296+BM296</f>
        <v/>
      </c>
      <c r="D296" s="42">
        <f>I296+O296+U296+AA296+AG296+AM296+AS296+AY296+BE296+BK296+J296+P296+V296+AB296+AH296+AN296+AT296+AZ296+BF296+BL296</f>
        <v/>
      </c>
      <c r="E296" s="42">
        <f>H296+N296+T296+Z296+AF296+AL296+AR296+AX296+BD296+BJ296</f>
        <v/>
      </c>
      <c r="F296">
        <f>MAX(0,'My Debts'!$E$21-(I296+O296+U296+AA296+AG296+AM296+AS296+AY296+BE296+BK296))</f>
        <v/>
      </c>
      <c r="G296" s="42">
        <f>K295</f>
        <v/>
      </c>
      <c r="H296" s="42">
        <f>ROUND(G296*H$6/12,2)</f>
        <v/>
      </c>
      <c r="I296" s="42">
        <f>MIN(I$6,G296+H296)</f>
        <v/>
      </c>
      <c r="J296" s="42">
        <f>MAX(0,MIN(G296+H296-I296,$F296))</f>
        <v/>
      </c>
      <c r="K296" s="42">
        <f>ROUND(G296+H296-I296-J296,2)</f>
        <v/>
      </c>
      <c r="L296">
        <f>$F296-J296</f>
        <v/>
      </c>
      <c r="M296" s="42">
        <f>Q295</f>
        <v/>
      </c>
      <c r="N296" s="42">
        <f>ROUND(M296*N$6/12,2)</f>
        <v/>
      </c>
      <c r="O296" s="42">
        <f>MIN(O$6,M296+N296)</f>
        <v/>
      </c>
      <c r="P296" s="42">
        <f>MAX(0,MIN(M296+N296-O296,L296))</f>
        <v/>
      </c>
      <c r="Q296" s="42">
        <f>ROUND(M296+N296-O296-P296,2)</f>
        <v/>
      </c>
      <c r="R296">
        <f>L296-P296</f>
        <v/>
      </c>
      <c r="S296" s="42">
        <f>W295</f>
        <v/>
      </c>
      <c r="T296" s="42">
        <f>ROUND(S296*T$6/12,2)</f>
        <v/>
      </c>
      <c r="U296" s="42">
        <f>MIN(U$6,S296+T296)</f>
        <v/>
      </c>
      <c r="V296" s="42">
        <f>MAX(0,MIN(S296+T296-U296,R296))</f>
        <v/>
      </c>
      <c r="W296" s="42">
        <f>ROUND(S296+T296-U296-V296,2)</f>
        <v/>
      </c>
      <c r="X296">
        <f>R296-V296</f>
        <v/>
      </c>
      <c r="Y296" s="42">
        <f>AC295</f>
        <v/>
      </c>
      <c r="Z296" s="42">
        <f>ROUND(Y296*Z$6/12,2)</f>
        <v/>
      </c>
      <c r="AA296" s="42">
        <f>MIN(AA$6,Y296+Z296)</f>
        <v/>
      </c>
      <c r="AB296" s="42">
        <f>MAX(0,MIN(Y296+Z296-AA296,X296))</f>
        <v/>
      </c>
      <c r="AC296" s="42">
        <f>ROUND(Y296+Z296-AA296-AB296,2)</f>
        <v/>
      </c>
      <c r="AD296">
        <f>X296-AB296</f>
        <v/>
      </c>
      <c r="AE296" s="42">
        <f>AI295</f>
        <v/>
      </c>
      <c r="AF296" s="42">
        <f>ROUND(AE296*AF$6/12,2)</f>
        <v/>
      </c>
      <c r="AG296" s="42">
        <f>MIN(AG$6,AE296+AF296)</f>
        <v/>
      </c>
      <c r="AH296" s="42">
        <f>MAX(0,MIN(AE296+AF296-AG296,AD296))</f>
        <v/>
      </c>
      <c r="AI296" s="42">
        <f>ROUND(AE296+AF296-AG296-AH296,2)</f>
        <v/>
      </c>
      <c r="AJ296">
        <f>AD296-AH296</f>
        <v/>
      </c>
      <c r="AK296" s="42">
        <f>AO295</f>
        <v/>
      </c>
      <c r="AL296" s="42">
        <f>ROUND(AK296*AL$6/12,2)</f>
        <v/>
      </c>
      <c r="AM296" s="42">
        <f>MIN(AM$6,AK296+AL296)</f>
        <v/>
      </c>
      <c r="AN296" s="42">
        <f>MAX(0,MIN(AK296+AL296-AM296,AJ296))</f>
        <v/>
      </c>
      <c r="AO296" s="42">
        <f>ROUND(AK296+AL296-AM296-AN296,2)</f>
        <v/>
      </c>
      <c r="AP296">
        <f>AJ296-AN296</f>
        <v/>
      </c>
      <c r="AQ296" s="42">
        <f>AU295</f>
        <v/>
      </c>
      <c r="AR296" s="42">
        <f>ROUND(AQ296*AR$6/12,2)</f>
        <v/>
      </c>
      <c r="AS296" s="42">
        <f>MIN(AS$6,AQ296+AR296)</f>
        <v/>
      </c>
      <c r="AT296" s="42">
        <f>MAX(0,MIN(AQ296+AR296-AS296,AP296))</f>
        <v/>
      </c>
      <c r="AU296" s="42">
        <f>ROUND(AQ296+AR296-AS296-AT296,2)</f>
        <v/>
      </c>
      <c r="AV296">
        <f>AP296-AT296</f>
        <v/>
      </c>
      <c r="AW296" s="42">
        <f>BA295</f>
        <v/>
      </c>
      <c r="AX296" s="42">
        <f>ROUND(AW296*AX$6/12,2)</f>
        <v/>
      </c>
      <c r="AY296" s="42">
        <f>MIN(AY$6,AW296+AX296)</f>
        <v/>
      </c>
      <c r="AZ296" s="42">
        <f>MAX(0,MIN(AW296+AX296-AY296,AV296))</f>
        <v/>
      </c>
      <c r="BA296" s="42">
        <f>ROUND(AW296+AX296-AY296-AZ296,2)</f>
        <v/>
      </c>
      <c r="BB296">
        <f>AV296-AZ296</f>
        <v/>
      </c>
      <c r="BC296" s="42">
        <f>BG295</f>
        <v/>
      </c>
      <c r="BD296" s="42">
        <f>ROUND(BC296*BD$6/12,2)</f>
        <v/>
      </c>
      <c r="BE296" s="42">
        <f>MIN(BE$6,BC296+BD296)</f>
        <v/>
      </c>
      <c r="BF296" s="42">
        <f>MAX(0,MIN(BC296+BD296-BE296,BB296))</f>
        <v/>
      </c>
      <c r="BG296" s="42">
        <f>ROUND(BC296+BD296-BE296-BF296,2)</f>
        <v/>
      </c>
      <c r="BH296">
        <f>BB296-BF296</f>
        <v/>
      </c>
      <c r="BI296" s="42">
        <f>BM295</f>
        <v/>
      </c>
      <c r="BJ296" s="42">
        <f>ROUND(BI296*BJ$6/12,2)</f>
        <v/>
      </c>
      <c r="BK296" s="42">
        <f>MIN(BK$6,BI296+BJ296)</f>
        <v/>
      </c>
      <c r="BL296" s="42">
        <f>MAX(0,MIN(BI296+BJ296-BK296,BH296))</f>
        <v/>
      </c>
      <c r="BM296" s="42">
        <f>ROUND(BI296+BJ296-BK296-BL296,2)</f>
        <v/>
      </c>
      <c r="BN296">
        <f>BH296-BL296</f>
        <v/>
      </c>
    </row>
    <row r="297">
      <c r="A297" s="43" t="n">
        <v>290</v>
      </c>
      <c r="B297" s="44">
        <f>EDATE('My Debts'!$C$6,A297-1)</f>
        <v/>
      </c>
      <c r="C297" s="45">
        <f>K297+Q297+W297+AC297+AI297+AO297+AU297+BA297+BG297+BM297</f>
        <v/>
      </c>
      <c r="D297" s="46">
        <f>I297+O297+U297+AA297+AG297+AM297+AS297+AY297+BE297+BK297+J297+P297+V297+AB297+AH297+AN297+AT297+AZ297+BF297+BL297</f>
        <v/>
      </c>
      <c r="E297" s="46">
        <f>H297+N297+T297+Z297+AF297+AL297+AR297+AX297+BD297+BJ297</f>
        <v/>
      </c>
      <c r="F297">
        <f>MAX(0,'My Debts'!$E$21-(I297+O297+U297+AA297+AG297+AM297+AS297+AY297+BE297+BK297))</f>
        <v/>
      </c>
      <c r="G297" s="42">
        <f>K296</f>
        <v/>
      </c>
      <c r="H297" s="42">
        <f>ROUND(G297*H$6/12,2)</f>
        <v/>
      </c>
      <c r="I297" s="42">
        <f>MIN(I$6,G297+H297)</f>
        <v/>
      </c>
      <c r="J297" s="42">
        <f>MAX(0,MIN(G297+H297-I297,$F297))</f>
        <v/>
      </c>
      <c r="K297" s="42">
        <f>ROUND(G297+H297-I297-J297,2)</f>
        <v/>
      </c>
      <c r="L297">
        <f>$F297-J297</f>
        <v/>
      </c>
      <c r="M297" s="42">
        <f>Q296</f>
        <v/>
      </c>
      <c r="N297" s="42">
        <f>ROUND(M297*N$6/12,2)</f>
        <v/>
      </c>
      <c r="O297" s="42">
        <f>MIN(O$6,M297+N297)</f>
        <v/>
      </c>
      <c r="P297" s="42">
        <f>MAX(0,MIN(M297+N297-O297,L297))</f>
        <v/>
      </c>
      <c r="Q297" s="42">
        <f>ROUND(M297+N297-O297-P297,2)</f>
        <v/>
      </c>
      <c r="R297">
        <f>L297-P297</f>
        <v/>
      </c>
      <c r="S297" s="42">
        <f>W296</f>
        <v/>
      </c>
      <c r="T297" s="42">
        <f>ROUND(S297*T$6/12,2)</f>
        <v/>
      </c>
      <c r="U297" s="42">
        <f>MIN(U$6,S297+T297)</f>
        <v/>
      </c>
      <c r="V297" s="42">
        <f>MAX(0,MIN(S297+T297-U297,R297))</f>
        <v/>
      </c>
      <c r="W297" s="42">
        <f>ROUND(S297+T297-U297-V297,2)</f>
        <v/>
      </c>
      <c r="X297">
        <f>R297-V297</f>
        <v/>
      </c>
      <c r="Y297" s="42">
        <f>AC296</f>
        <v/>
      </c>
      <c r="Z297" s="42">
        <f>ROUND(Y297*Z$6/12,2)</f>
        <v/>
      </c>
      <c r="AA297" s="42">
        <f>MIN(AA$6,Y297+Z297)</f>
        <v/>
      </c>
      <c r="AB297" s="42">
        <f>MAX(0,MIN(Y297+Z297-AA297,X297))</f>
        <v/>
      </c>
      <c r="AC297" s="42">
        <f>ROUND(Y297+Z297-AA297-AB297,2)</f>
        <v/>
      </c>
      <c r="AD297">
        <f>X297-AB297</f>
        <v/>
      </c>
      <c r="AE297" s="42">
        <f>AI296</f>
        <v/>
      </c>
      <c r="AF297" s="42">
        <f>ROUND(AE297*AF$6/12,2)</f>
        <v/>
      </c>
      <c r="AG297" s="42">
        <f>MIN(AG$6,AE297+AF297)</f>
        <v/>
      </c>
      <c r="AH297" s="42">
        <f>MAX(0,MIN(AE297+AF297-AG297,AD297))</f>
        <v/>
      </c>
      <c r="AI297" s="42">
        <f>ROUND(AE297+AF297-AG297-AH297,2)</f>
        <v/>
      </c>
      <c r="AJ297">
        <f>AD297-AH297</f>
        <v/>
      </c>
      <c r="AK297" s="42">
        <f>AO296</f>
        <v/>
      </c>
      <c r="AL297" s="42">
        <f>ROUND(AK297*AL$6/12,2)</f>
        <v/>
      </c>
      <c r="AM297" s="42">
        <f>MIN(AM$6,AK297+AL297)</f>
        <v/>
      </c>
      <c r="AN297" s="42">
        <f>MAX(0,MIN(AK297+AL297-AM297,AJ297))</f>
        <v/>
      </c>
      <c r="AO297" s="42">
        <f>ROUND(AK297+AL297-AM297-AN297,2)</f>
        <v/>
      </c>
      <c r="AP297">
        <f>AJ297-AN297</f>
        <v/>
      </c>
      <c r="AQ297" s="42">
        <f>AU296</f>
        <v/>
      </c>
      <c r="AR297" s="42">
        <f>ROUND(AQ297*AR$6/12,2)</f>
        <v/>
      </c>
      <c r="AS297" s="42">
        <f>MIN(AS$6,AQ297+AR297)</f>
        <v/>
      </c>
      <c r="AT297" s="42">
        <f>MAX(0,MIN(AQ297+AR297-AS297,AP297))</f>
        <v/>
      </c>
      <c r="AU297" s="42">
        <f>ROUND(AQ297+AR297-AS297-AT297,2)</f>
        <v/>
      </c>
      <c r="AV297">
        <f>AP297-AT297</f>
        <v/>
      </c>
      <c r="AW297" s="42">
        <f>BA296</f>
        <v/>
      </c>
      <c r="AX297" s="42">
        <f>ROUND(AW297*AX$6/12,2)</f>
        <v/>
      </c>
      <c r="AY297" s="42">
        <f>MIN(AY$6,AW297+AX297)</f>
        <v/>
      </c>
      <c r="AZ297" s="42">
        <f>MAX(0,MIN(AW297+AX297-AY297,AV297))</f>
        <v/>
      </c>
      <c r="BA297" s="42">
        <f>ROUND(AW297+AX297-AY297-AZ297,2)</f>
        <v/>
      </c>
      <c r="BB297">
        <f>AV297-AZ297</f>
        <v/>
      </c>
      <c r="BC297" s="42">
        <f>BG296</f>
        <v/>
      </c>
      <c r="BD297" s="42">
        <f>ROUND(BC297*BD$6/12,2)</f>
        <v/>
      </c>
      <c r="BE297" s="42">
        <f>MIN(BE$6,BC297+BD297)</f>
        <v/>
      </c>
      <c r="BF297" s="42">
        <f>MAX(0,MIN(BC297+BD297-BE297,BB297))</f>
        <v/>
      </c>
      <c r="BG297" s="42">
        <f>ROUND(BC297+BD297-BE297-BF297,2)</f>
        <v/>
      </c>
      <c r="BH297">
        <f>BB297-BF297</f>
        <v/>
      </c>
      <c r="BI297" s="42">
        <f>BM296</f>
        <v/>
      </c>
      <c r="BJ297" s="42">
        <f>ROUND(BI297*BJ$6/12,2)</f>
        <v/>
      </c>
      <c r="BK297" s="42">
        <f>MIN(BK$6,BI297+BJ297)</f>
        <v/>
      </c>
      <c r="BL297" s="42">
        <f>MAX(0,MIN(BI297+BJ297-BK297,BH297))</f>
        <v/>
      </c>
      <c r="BM297" s="42">
        <f>ROUND(BI297+BJ297-BK297-BL297,2)</f>
        <v/>
      </c>
      <c r="BN297">
        <f>BH297-BL297</f>
        <v/>
      </c>
    </row>
    <row r="298">
      <c r="A298" s="39" t="n">
        <v>291</v>
      </c>
      <c r="B298" s="40">
        <f>EDATE('My Debts'!$C$6,A298-1)</f>
        <v/>
      </c>
      <c r="C298" s="41">
        <f>K298+Q298+W298+AC298+AI298+AO298+AU298+BA298+BG298+BM298</f>
        <v/>
      </c>
      <c r="D298" s="42">
        <f>I298+O298+U298+AA298+AG298+AM298+AS298+AY298+BE298+BK298+J298+P298+V298+AB298+AH298+AN298+AT298+AZ298+BF298+BL298</f>
        <v/>
      </c>
      <c r="E298" s="42">
        <f>H298+N298+T298+Z298+AF298+AL298+AR298+AX298+BD298+BJ298</f>
        <v/>
      </c>
      <c r="F298">
        <f>MAX(0,'My Debts'!$E$21-(I298+O298+U298+AA298+AG298+AM298+AS298+AY298+BE298+BK298))</f>
        <v/>
      </c>
      <c r="G298" s="42">
        <f>K297</f>
        <v/>
      </c>
      <c r="H298" s="42">
        <f>ROUND(G298*H$6/12,2)</f>
        <v/>
      </c>
      <c r="I298" s="42">
        <f>MIN(I$6,G298+H298)</f>
        <v/>
      </c>
      <c r="J298" s="42">
        <f>MAX(0,MIN(G298+H298-I298,$F298))</f>
        <v/>
      </c>
      <c r="K298" s="42">
        <f>ROUND(G298+H298-I298-J298,2)</f>
        <v/>
      </c>
      <c r="L298">
        <f>$F298-J298</f>
        <v/>
      </c>
      <c r="M298" s="42">
        <f>Q297</f>
        <v/>
      </c>
      <c r="N298" s="42">
        <f>ROUND(M298*N$6/12,2)</f>
        <v/>
      </c>
      <c r="O298" s="42">
        <f>MIN(O$6,M298+N298)</f>
        <v/>
      </c>
      <c r="P298" s="42">
        <f>MAX(0,MIN(M298+N298-O298,L298))</f>
        <v/>
      </c>
      <c r="Q298" s="42">
        <f>ROUND(M298+N298-O298-P298,2)</f>
        <v/>
      </c>
      <c r="R298">
        <f>L298-P298</f>
        <v/>
      </c>
      <c r="S298" s="42">
        <f>W297</f>
        <v/>
      </c>
      <c r="T298" s="42">
        <f>ROUND(S298*T$6/12,2)</f>
        <v/>
      </c>
      <c r="U298" s="42">
        <f>MIN(U$6,S298+T298)</f>
        <v/>
      </c>
      <c r="V298" s="42">
        <f>MAX(0,MIN(S298+T298-U298,R298))</f>
        <v/>
      </c>
      <c r="W298" s="42">
        <f>ROUND(S298+T298-U298-V298,2)</f>
        <v/>
      </c>
      <c r="X298">
        <f>R298-V298</f>
        <v/>
      </c>
      <c r="Y298" s="42">
        <f>AC297</f>
        <v/>
      </c>
      <c r="Z298" s="42">
        <f>ROUND(Y298*Z$6/12,2)</f>
        <v/>
      </c>
      <c r="AA298" s="42">
        <f>MIN(AA$6,Y298+Z298)</f>
        <v/>
      </c>
      <c r="AB298" s="42">
        <f>MAX(0,MIN(Y298+Z298-AA298,X298))</f>
        <v/>
      </c>
      <c r="AC298" s="42">
        <f>ROUND(Y298+Z298-AA298-AB298,2)</f>
        <v/>
      </c>
      <c r="AD298">
        <f>X298-AB298</f>
        <v/>
      </c>
      <c r="AE298" s="42">
        <f>AI297</f>
        <v/>
      </c>
      <c r="AF298" s="42">
        <f>ROUND(AE298*AF$6/12,2)</f>
        <v/>
      </c>
      <c r="AG298" s="42">
        <f>MIN(AG$6,AE298+AF298)</f>
        <v/>
      </c>
      <c r="AH298" s="42">
        <f>MAX(0,MIN(AE298+AF298-AG298,AD298))</f>
        <v/>
      </c>
      <c r="AI298" s="42">
        <f>ROUND(AE298+AF298-AG298-AH298,2)</f>
        <v/>
      </c>
      <c r="AJ298">
        <f>AD298-AH298</f>
        <v/>
      </c>
      <c r="AK298" s="42">
        <f>AO297</f>
        <v/>
      </c>
      <c r="AL298" s="42">
        <f>ROUND(AK298*AL$6/12,2)</f>
        <v/>
      </c>
      <c r="AM298" s="42">
        <f>MIN(AM$6,AK298+AL298)</f>
        <v/>
      </c>
      <c r="AN298" s="42">
        <f>MAX(0,MIN(AK298+AL298-AM298,AJ298))</f>
        <v/>
      </c>
      <c r="AO298" s="42">
        <f>ROUND(AK298+AL298-AM298-AN298,2)</f>
        <v/>
      </c>
      <c r="AP298">
        <f>AJ298-AN298</f>
        <v/>
      </c>
      <c r="AQ298" s="42">
        <f>AU297</f>
        <v/>
      </c>
      <c r="AR298" s="42">
        <f>ROUND(AQ298*AR$6/12,2)</f>
        <v/>
      </c>
      <c r="AS298" s="42">
        <f>MIN(AS$6,AQ298+AR298)</f>
        <v/>
      </c>
      <c r="AT298" s="42">
        <f>MAX(0,MIN(AQ298+AR298-AS298,AP298))</f>
        <v/>
      </c>
      <c r="AU298" s="42">
        <f>ROUND(AQ298+AR298-AS298-AT298,2)</f>
        <v/>
      </c>
      <c r="AV298">
        <f>AP298-AT298</f>
        <v/>
      </c>
      <c r="AW298" s="42">
        <f>BA297</f>
        <v/>
      </c>
      <c r="AX298" s="42">
        <f>ROUND(AW298*AX$6/12,2)</f>
        <v/>
      </c>
      <c r="AY298" s="42">
        <f>MIN(AY$6,AW298+AX298)</f>
        <v/>
      </c>
      <c r="AZ298" s="42">
        <f>MAX(0,MIN(AW298+AX298-AY298,AV298))</f>
        <v/>
      </c>
      <c r="BA298" s="42">
        <f>ROUND(AW298+AX298-AY298-AZ298,2)</f>
        <v/>
      </c>
      <c r="BB298">
        <f>AV298-AZ298</f>
        <v/>
      </c>
      <c r="BC298" s="42">
        <f>BG297</f>
        <v/>
      </c>
      <c r="BD298" s="42">
        <f>ROUND(BC298*BD$6/12,2)</f>
        <v/>
      </c>
      <c r="BE298" s="42">
        <f>MIN(BE$6,BC298+BD298)</f>
        <v/>
      </c>
      <c r="BF298" s="42">
        <f>MAX(0,MIN(BC298+BD298-BE298,BB298))</f>
        <v/>
      </c>
      <c r="BG298" s="42">
        <f>ROUND(BC298+BD298-BE298-BF298,2)</f>
        <v/>
      </c>
      <c r="BH298">
        <f>BB298-BF298</f>
        <v/>
      </c>
      <c r="BI298" s="42">
        <f>BM297</f>
        <v/>
      </c>
      <c r="BJ298" s="42">
        <f>ROUND(BI298*BJ$6/12,2)</f>
        <v/>
      </c>
      <c r="BK298" s="42">
        <f>MIN(BK$6,BI298+BJ298)</f>
        <v/>
      </c>
      <c r="BL298" s="42">
        <f>MAX(0,MIN(BI298+BJ298-BK298,BH298))</f>
        <v/>
      </c>
      <c r="BM298" s="42">
        <f>ROUND(BI298+BJ298-BK298-BL298,2)</f>
        <v/>
      </c>
      <c r="BN298">
        <f>BH298-BL298</f>
        <v/>
      </c>
    </row>
    <row r="299">
      <c r="A299" s="43" t="n">
        <v>292</v>
      </c>
      <c r="B299" s="44">
        <f>EDATE('My Debts'!$C$6,A299-1)</f>
        <v/>
      </c>
      <c r="C299" s="45">
        <f>K299+Q299+W299+AC299+AI299+AO299+AU299+BA299+BG299+BM299</f>
        <v/>
      </c>
      <c r="D299" s="46">
        <f>I299+O299+U299+AA299+AG299+AM299+AS299+AY299+BE299+BK299+J299+P299+V299+AB299+AH299+AN299+AT299+AZ299+BF299+BL299</f>
        <v/>
      </c>
      <c r="E299" s="46">
        <f>H299+N299+T299+Z299+AF299+AL299+AR299+AX299+BD299+BJ299</f>
        <v/>
      </c>
      <c r="F299">
        <f>MAX(0,'My Debts'!$E$21-(I299+O299+U299+AA299+AG299+AM299+AS299+AY299+BE299+BK299))</f>
        <v/>
      </c>
      <c r="G299" s="42">
        <f>K298</f>
        <v/>
      </c>
      <c r="H299" s="42">
        <f>ROUND(G299*H$6/12,2)</f>
        <v/>
      </c>
      <c r="I299" s="42">
        <f>MIN(I$6,G299+H299)</f>
        <v/>
      </c>
      <c r="J299" s="42">
        <f>MAX(0,MIN(G299+H299-I299,$F299))</f>
        <v/>
      </c>
      <c r="K299" s="42">
        <f>ROUND(G299+H299-I299-J299,2)</f>
        <v/>
      </c>
      <c r="L299">
        <f>$F299-J299</f>
        <v/>
      </c>
      <c r="M299" s="42">
        <f>Q298</f>
        <v/>
      </c>
      <c r="N299" s="42">
        <f>ROUND(M299*N$6/12,2)</f>
        <v/>
      </c>
      <c r="O299" s="42">
        <f>MIN(O$6,M299+N299)</f>
        <v/>
      </c>
      <c r="P299" s="42">
        <f>MAX(0,MIN(M299+N299-O299,L299))</f>
        <v/>
      </c>
      <c r="Q299" s="42">
        <f>ROUND(M299+N299-O299-P299,2)</f>
        <v/>
      </c>
      <c r="R299">
        <f>L299-P299</f>
        <v/>
      </c>
      <c r="S299" s="42">
        <f>W298</f>
        <v/>
      </c>
      <c r="T299" s="42">
        <f>ROUND(S299*T$6/12,2)</f>
        <v/>
      </c>
      <c r="U299" s="42">
        <f>MIN(U$6,S299+T299)</f>
        <v/>
      </c>
      <c r="V299" s="42">
        <f>MAX(0,MIN(S299+T299-U299,R299))</f>
        <v/>
      </c>
      <c r="W299" s="42">
        <f>ROUND(S299+T299-U299-V299,2)</f>
        <v/>
      </c>
      <c r="X299">
        <f>R299-V299</f>
        <v/>
      </c>
      <c r="Y299" s="42">
        <f>AC298</f>
        <v/>
      </c>
      <c r="Z299" s="42">
        <f>ROUND(Y299*Z$6/12,2)</f>
        <v/>
      </c>
      <c r="AA299" s="42">
        <f>MIN(AA$6,Y299+Z299)</f>
        <v/>
      </c>
      <c r="AB299" s="42">
        <f>MAX(0,MIN(Y299+Z299-AA299,X299))</f>
        <v/>
      </c>
      <c r="AC299" s="42">
        <f>ROUND(Y299+Z299-AA299-AB299,2)</f>
        <v/>
      </c>
      <c r="AD299">
        <f>X299-AB299</f>
        <v/>
      </c>
      <c r="AE299" s="42">
        <f>AI298</f>
        <v/>
      </c>
      <c r="AF299" s="42">
        <f>ROUND(AE299*AF$6/12,2)</f>
        <v/>
      </c>
      <c r="AG299" s="42">
        <f>MIN(AG$6,AE299+AF299)</f>
        <v/>
      </c>
      <c r="AH299" s="42">
        <f>MAX(0,MIN(AE299+AF299-AG299,AD299))</f>
        <v/>
      </c>
      <c r="AI299" s="42">
        <f>ROUND(AE299+AF299-AG299-AH299,2)</f>
        <v/>
      </c>
      <c r="AJ299">
        <f>AD299-AH299</f>
        <v/>
      </c>
      <c r="AK299" s="42">
        <f>AO298</f>
        <v/>
      </c>
      <c r="AL299" s="42">
        <f>ROUND(AK299*AL$6/12,2)</f>
        <v/>
      </c>
      <c r="AM299" s="42">
        <f>MIN(AM$6,AK299+AL299)</f>
        <v/>
      </c>
      <c r="AN299" s="42">
        <f>MAX(0,MIN(AK299+AL299-AM299,AJ299))</f>
        <v/>
      </c>
      <c r="AO299" s="42">
        <f>ROUND(AK299+AL299-AM299-AN299,2)</f>
        <v/>
      </c>
      <c r="AP299">
        <f>AJ299-AN299</f>
        <v/>
      </c>
      <c r="AQ299" s="42">
        <f>AU298</f>
        <v/>
      </c>
      <c r="AR299" s="42">
        <f>ROUND(AQ299*AR$6/12,2)</f>
        <v/>
      </c>
      <c r="AS299" s="42">
        <f>MIN(AS$6,AQ299+AR299)</f>
        <v/>
      </c>
      <c r="AT299" s="42">
        <f>MAX(0,MIN(AQ299+AR299-AS299,AP299))</f>
        <v/>
      </c>
      <c r="AU299" s="42">
        <f>ROUND(AQ299+AR299-AS299-AT299,2)</f>
        <v/>
      </c>
      <c r="AV299">
        <f>AP299-AT299</f>
        <v/>
      </c>
      <c r="AW299" s="42">
        <f>BA298</f>
        <v/>
      </c>
      <c r="AX299" s="42">
        <f>ROUND(AW299*AX$6/12,2)</f>
        <v/>
      </c>
      <c r="AY299" s="42">
        <f>MIN(AY$6,AW299+AX299)</f>
        <v/>
      </c>
      <c r="AZ299" s="42">
        <f>MAX(0,MIN(AW299+AX299-AY299,AV299))</f>
        <v/>
      </c>
      <c r="BA299" s="42">
        <f>ROUND(AW299+AX299-AY299-AZ299,2)</f>
        <v/>
      </c>
      <c r="BB299">
        <f>AV299-AZ299</f>
        <v/>
      </c>
      <c r="BC299" s="42">
        <f>BG298</f>
        <v/>
      </c>
      <c r="BD299" s="42">
        <f>ROUND(BC299*BD$6/12,2)</f>
        <v/>
      </c>
      <c r="BE299" s="42">
        <f>MIN(BE$6,BC299+BD299)</f>
        <v/>
      </c>
      <c r="BF299" s="42">
        <f>MAX(0,MIN(BC299+BD299-BE299,BB299))</f>
        <v/>
      </c>
      <c r="BG299" s="42">
        <f>ROUND(BC299+BD299-BE299-BF299,2)</f>
        <v/>
      </c>
      <c r="BH299">
        <f>BB299-BF299</f>
        <v/>
      </c>
      <c r="BI299" s="42">
        <f>BM298</f>
        <v/>
      </c>
      <c r="BJ299" s="42">
        <f>ROUND(BI299*BJ$6/12,2)</f>
        <v/>
      </c>
      <c r="BK299" s="42">
        <f>MIN(BK$6,BI299+BJ299)</f>
        <v/>
      </c>
      <c r="BL299" s="42">
        <f>MAX(0,MIN(BI299+BJ299-BK299,BH299))</f>
        <v/>
      </c>
      <c r="BM299" s="42">
        <f>ROUND(BI299+BJ299-BK299-BL299,2)</f>
        <v/>
      </c>
      <c r="BN299">
        <f>BH299-BL299</f>
        <v/>
      </c>
    </row>
    <row r="300">
      <c r="A300" s="39" t="n">
        <v>293</v>
      </c>
      <c r="B300" s="40">
        <f>EDATE('My Debts'!$C$6,A300-1)</f>
        <v/>
      </c>
      <c r="C300" s="41">
        <f>K300+Q300+W300+AC300+AI300+AO300+AU300+BA300+BG300+BM300</f>
        <v/>
      </c>
      <c r="D300" s="42">
        <f>I300+O300+U300+AA300+AG300+AM300+AS300+AY300+BE300+BK300+J300+P300+V300+AB300+AH300+AN300+AT300+AZ300+BF300+BL300</f>
        <v/>
      </c>
      <c r="E300" s="42">
        <f>H300+N300+T300+Z300+AF300+AL300+AR300+AX300+BD300+BJ300</f>
        <v/>
      </c>
      <c r="F300">
        <f>MAX(0,'My Debts'!$E$21-(I300+O300+U300+AA300+AG300+AM300+AS300+AY300+BE300+BK300))</f>
        <v/>
      </c>
      <c r="G300" s="42">
        <f>K299</f>
        <v/>
      </c>
      <c r="H300" s="42">
        <f>ROUND(G300*H$6/12,2)</f>
        <v/>
      </c>
      <c r="I300" s="42">
        <f>MIN(I$6,G300+H300)</f>
        <v/>
      </c>
      <c r="J300" s="42">
        <f>MAX(0,MIN(G300+H300-I300,$F300))</f>
        <v/>
      </c>
      <c r="K300" s="42">
        <f>ROUND(G300+H300-I300-J300,2)</f>
        <v/>
      </c>
      <c r="L300">
        <f>$F300-J300</f>
        <v/>
      </c>
      <c r="M300" s="42">
        <f>Q299</f>
        <v/>
      </c>
      <c r="N300" s="42">
        <f>ROUND(M300*N$6/12,2)</f>
        <v/>
      </c>
      <c r="O300" s="42">
        <f>MIN(O$6,M300+N300)</f>
        <v/>
      </c>
      <c r="P300" s="42">
        <f>MAX(0,MIN(M300+N300-O300,L300))</f>
        <v/>
      </c>
      <c r="Q300" s="42">
        <f>ROUND(M300+N300-O300-P300,2)</f>
        <v/>
      </c>
      <c r="R300">
        <f>L300-P300</f>
        <v/>
      </c>
      <c r="S300" s="42">
        <f>W299</f>
        <v/>
      </c>
      <c r="T300" s="42">
        <f>ROUND(S300*T$6/12,2)</f>
        <v/>
      </c>
      <c r="U300" s="42">
        <f>MIN(U$6,S300+T300)</f>
        <v/>
      </c>
      <c r="V300" s="42">
        <f>MAX(0,MIN(S300+T300-U300,R300))</f>
        <v/>
      </c>
      <c r="W300" s="42">
        <f>ROUND(S300+T300-U300-V300,2)</f>
        <v/>
      </c>
      <c r="X300">
        <f>R300-V300</f>
        <v/>
      </c>
      <c r="Y300" s="42">
        <f>AC299</f>
        <v/>
      </c>
      <c r="Z300" s="42">
        <f>ROUND(Y300*Z$6/12,2)</f>
        <v/>
      </c>
      <c r="AA300" s="42">
        <f>MIN(AA$6,Y300+Z300)</f>
        <v/>
      </c>
      <c r="AB300" s="42">
        <f>MAX(0,MIN(Y300+Z300-AA300,X300))</f>
        <v/>
      </c>
      <c r="AC300" s="42">
        <f>ROUND(Y300+Z300-AA300-AB300,2)</f>
        <v/>
      </c>
      <c r="AD300">
        <f>X300-AB300</f>
        <v/>
      </c>
      <c r="AE300" s="42">
        <f>AI299</f>
        <v/>
      </c>
      <c r="AF300" s="42">
        <f>ROUND(AE300*AF$6/12,2)</f>
        <v/>
      </c>
      <c r="AG300" s="42">
        <f>MIN(AG$6,AE300+AF300)</f>
        <v/>
      </c>
      <c r="AH300" s="42">
        <f>MAX(0,MIN(AE300+AF300-AG300,AD300))</f>
        <v/>
      </c>
      <c r="AI300" s="42">
        <f>ROUND(AE300+AF300-AG300-AH300,2)</f>
        <v/>
      </c>
      <c r="AJ300">
        <f>AD300-AH300</f>
        <v/>
      </c>
      <c r="AK300" s="42">
        <f>AO299</f>
        <v/>
      </c>
      <c r="AL300" s="42">
        <f>ROUND(AK300*AL$6/12,2)</f>
        <v/>
      </c>
      <c r="AM300" s="42">
        <f>MIN(AM$6,AK300+AL300)</f>
        <v/>
      </c>
      <c r="AN300" s="42">
        <f>MAX(0,MIN(AK300+AL300-AM300,AJ300))</f>
        <v/>
      </c>
      <c r="AO300" s="42">
        <f>ROUND(AK300+AL300-AM300-AN300,2)</f>
        <v/>
      </c>
      <c r="AP300">
        <f>AJ300-AN300</f>
        <v/>
      </c>
      <c r="AQ300" s="42">
        <f>AU299</f>
        <v/>
      </c>
      <c r="AR300" s="42">
        <f>ROUND(AQ300*AR$6/12,2)</f>
        <v/>
      </c>
      <c r="AS300" s="42">
        <f>MIN(AS$6,AQ300+AR300)</f>
        <v/>
      </c>
      <c r="AT300" s="42">
        <f>MAX(0,MIN(AQ300+AR300-AS300,AP300))</f>
        <v/>
      </c>
      <c r="AU300" s="42">
        <f>ROUND(AQ300+AR300-AS300-AT300,2)</f>
        <v/>
      </c>
      <c r="AV300">
        <f>AP300-AT300</f>
        <v/>
      </c>
      <c r="AW300" s="42">
        <f>BA299</f>
        <v/>
      </c>
      <c r="AX300" s="42">
        <f>ROUND(AW300*AX$6/12,2)</f>
        <v/>
      </c>
      <c r="AY300" s="42">
        <f>MIN(AY$6,AW300+AX300)</f>
        <v/>
      </c>
      <c r="AZ300" s="42">
        <f>MAX(0,MIN(AW300+AX300-AY300,AV300))</f>
        <v/>
      </c>
      <c r="BA300" s="42">
        <f>ROUND(AW300+AX300-AY300-AZ300,2)</f>
        <v/>
      </c>
      <c r="BB300">
        <f>AV300-AZ300</f>
        <v/>
      </c>
      <c r="BC300" s="42">
        <f>BG299</f>
        <v/>
      </c>
      <c r="BD300" s="42">
        <f>ROUND(BC300*BD$6/12,2)</f>
        <v/>
      </c>
      <c r="BE300" s="42">
        <f>MIN(BE$6,BC300+BD300)</f>
        <v/>
      </c>
      <c r="BF300" s="42">
        <f>MAX(0,MIN(BC300+BD300-BE300,BB300))</f>
        <v/>
      </c>
      <c r="BG300" s="42">
        <f>ROUND(BC300+BD300-BE300-BF300,2)</f>
        <v/>
      </c>
      <c r="BH300">
        <f>BB300-BF300</f>
        <v/>
      </c>
      <c r="BI300" s="42">
        <f>BM299</f>
        <v/>
      </c>
      <c r="BJ300" s="42">
        <f>ROUND(BI300*BJ$6/12,2)</f>
        <v/>
      </c>
      <c r="BK300" s="42">
        <f>MIN(BK$6,BI300+BJ300)</f>
        <v/>
      </c>
      <c r="BL300" s="42">
        <f>MAX(0,MIN(BI300+BJ300-BK300,BH300))</f>
        <v/>
      </c>
      <c r="BM300" s="42">
        <f>ROUND(BI300+BJ300-BK300-BL300,2)</f>
        <v/>
      </c>
      <c r="BN300">
        <f>BH300-BL300</f>
        <v/>
      </c>
    </row>
    <row r="301">
      <c r="A301" s="43" t="n">
        <v>294</v>
      </c>
      <c r="B301" s="44">
        <f>EDATE('My Debts'!$C$6,A301-1)</f>
        <v/>
      </c>
      <c r="C301" s="45">
        <f>K301+Q301+W301+AC301+AI301+AO301+AU301+BA301+BG301+BM301</f>
        <v/>
      </c>
      <c r="D301" s="46">
        <f>I301+O301+U301+AA301+AG301+AM301+AS301+AY301+BE301+BK301+J301+P301+V301+AB301+AH301+AN301+AT301+AZ301+BF301+BL301</f>
        <v/>
      </c>
      <c r="E301" s="46">
        <f>H301+N301+T301+Z301+AF301+AL301+AR301+AX301+BD301+BJ301</f>
        <v/>
      </c>
      <c r="F301">
        <f>MAX(0,'My Debts'!$E$21-(I301+O301+U301+AA301+AG301+AM301+AS301+AY301+BE301+BK301))</f>
        <v/>
      </c>
      <c r="G301" s="42">
        <f>K300</f>
        <v/>
      </c>
      <c r="H301" s="42">
        <f>ROUND(G301*H$6/12,2)</f>
        <v/>
      </c>
      <c r="I301" s="42">
        <f>MIN(I$6,G301+H301)</f>
        <v/>
      </c>
      <c r="J301" s="42">
        <f>MAX(0,MIN(G301+H301-I301,$F301))</f>
        <v/>
      </c>
      <c r="K301" s="42">
        <f>ROUND(G301+H301-I301-J301,2)</f>
        <v/>
      </c>
      <c r="L301">
        <f>$F301-J301</f>
        <v/>
      </c>
      <c r="M301" s="42">
        <f>Q300</f>
        <v/>
      </c>
      <c r="N301" s="42">
        <f>ROUND(M301*N$6/12,2)</f>
        <v/>
      </c>
      <c r="O301" s="42">
        <f>MIN(O$6,M301+N301)</f>
        <v/>
      </c>
      <c r="P301" s="42">
        <f>MAX(0,MIN(M301+N301-O301,L301))</f>
        <v/>
      </c>
      <c r="Q301" s="42">
        <f>ROUND(M301+N301-O301-P301,2)</f>
        <v/>
      </c>
      <c r="R301">
        <f>L301-P301</f>
        <v/>
      </c>
      <c r="S301" s="42">
        <f>W300</f>
        <v/>
      </c>
      <c r="T301" s="42">
        <f>ROUND(S301*T$6/12,2)</f>
        <v/>
      </c>
      <c r="U301" s="42">
        <f>MIN(U$6,S301+T301)</f>
        <v/>
      </c>
      <c r="V301" s="42">
        <f>MAX(0,MIN(S301+T301-U301,R301))</f>
        <v/>
      </c>
      <c r="W301" s="42">
        <f>ROUND(S301+T301-U301-V301,2)</f>
        <v/>
      </c>
      <c r="X301">
        <f>R301-V301</f>
        <v/>
      </c>
      <c r="Y301" s="42">
        <f>AC300</f>
        <v/>
      </c>
      <c r="Z301" s="42">
        <f>ROUND(Y301*Z$6/12,2)</f>
        <v/>
      </c>
      <c r="AA301" s="42">
        <f>MIN(AA$6,Y301+Z301)</f>
        <v/>
      </c>
      <c r="AB301" s="42">
        <f>MAX(0,MIN(Y301+Z301-AA301,X301))</f>
        <v/>
      </c>
      <c r="AC301" s="42">
        <f>ROUND(Y301+Z301-AA301-AB301,2)</f>
        <v/>
      </c>
      <c r="AD301">
        <f>X301-AB301</f>
        <v/>
      </c>
      <c r="AE301" s="42">
        <f>AI300</f>
        <v/>
      </c>
      <c r="AF301" s="42">
        <f>ROUND(AE301*AF$6/12,2)</f>
        <v/>
      </c>
      <c r="AG301" s="42">
        <f>MIN(AG$6,AE301+AF301)</f>
        <v/>
      </c>
      <c r="AH301" s="42">
        <f>MAX(0,MIN(AE301+AF301-AG301,AD301))</f>
        <v/>
      </c>
      <c r="AI301" s="42">
        <f>ROUND(AE301+AF301-AG301-AH301,2)</f>
        <v/>
      </c>
      <c r="AJ301">
        <f>AD301-AH301</f>
        <v/>
      </c>
      <c r="AK301" s="42">
        <f>AO300</f>
        <v/>
      </c>
      <c r="AL301" s="42">
        <f>ROUND(AK301*AL$6/12,2)</f>
        <v/>
      </c>
      <c r="AM301" s="42">
        <f>MIN(AM$6,AK301+AL301)</f>
        <v/>
      </c>
      <c r="AN301" s="42">
        <f>MAX(0,MIN(AK301+AL301-AM301,AJ301))</f>
        <v/>
      </c>
      <c r="AO301" s="42">
        <f>ROUND(AK301+AL301-AM301-AN301,2)</f>
        <v/>
      </c>
      <c r="AP301">
        <f>AJ301-AN301</f>
        <v/>
      </c>
      <c r="AQ301" s="42">
        <f>AU300</f>
        <v/>
      </c>
      <c r="AR301" s="42">
        <f>ROUND(AQ301*AR$6/12,2)</f>
        <v/>
      </c>
      <c r="AS301" s="42">
        <f>MIN(AS$6,AQ301+AR301)</f>
        <v/>
      </c>
      <c r="AT301" s="42">
        <f>MAX(0,MIN(AQ301+AR301-AS301,AP301))</f>
        <v/>
      </c>
      <c r="AU301" s="42">
        <f>ROUND(AQ301+AR301-AS301-AT301,2)</f>
        <v/>
      </c>
      <c r="AV301">
        <f>AP301-AT301</f>
        <v/>
      </c>
      <c r="AW301" s="42">
        <f>BA300</f>
        <v/>
      </c>
      <c r="AX301" s="42">
        <f>ROUND(AW301*AX$6/12,2)</f>
        <v/>
      </c>
      <c r="AY301" s="42">
        <f>MIN(AY$6,AW301+AX301)</f>
        <v/>
      </c>
      <c r="AZ301" s="42">
        <f>MAX(0,MIN(AW301+AX301-AY301,AV301))</f>
        <v/>
      </c>
      <c r="BA301" s="42">
        <f>ROUND(AW301+AX301-AY301-AZ301,2)</f>
        <v/>
      </c>
      <c r="BB301">
        <f>AV301-AZ301</f>
        <v/>
      </c>
      <c r="BC301" s="42">
        <f>BG300</f>
        <v/>
      </c>
      <c r="BD301" s="42">
        <f>ROUND(BC301*BD$6/12,2)</f>
        <v/>
      </c>
      <c r="BE301" s="42">
        <f>MIN(BE$6,BC301+BD301)</f>
        <v/>
      </c>
      <c r="BF301" s="42">
        <f>MAX(0,MIN(BC301+BD301-BE301,BB301))</f>
        <v/>
      </c>
      <c r="BG301" s="42">
        <f>ROUND(BC301+BD301-BE301-BF301,2)</f>
        <v/>
      </c>
      <c r="BH301">
        <f>BB301-BF301</f>
        <v/>
      </c>
      <c r="BI301" s="42">
        <f>BM300</f>
        <v/>
      </c>
      <c r="BJ301" s="42">
        <f>ROUND(BI301*BJ$6/12,2)</f>
        <v/>
      </c>
      <c r="BK301" s="42">
        <f>MIN(BK$6,BI301+BJ301)</f>
        <v/>
      </c>
      <c r="BL301" s="42">
        <f>MAX(0,MIN(BI301+BJ301-BK301,BH301))</f>
        <v/>
      </c>
      <c r="BM301" s="42">
        <f>ROUND(BI301+BJ301-BK301-BL301,2)</f>
        <v/>
      </c>
      <c r="BN301">
        <f>BH301-BL301</f>
        <v/>
      </c>
    </row>
    <row r="302">
      <c r="A302" s="39" t="n">
        <v>295</v>
      </c>
      <c r="B302" s="40">
        <f>EDATE('My Debts'!$C$6,A302-1)</f>
        <v/>
      </c>
      <c r="C302" s="41">
        <f>K302+Q302+W302+AC302+AI302+AO302+AU302+BA302+BG302+BM302</f>
        <v/>
      </c>
      <c r="D302" s="42">
        <f>I302+O302+U302+AA302+AG302+AM302+AS302+AY302+BE302+BK302+J302+P302+V302+AB302+AH302+AN302+AT302+AZ302+BF302+BL302</f>
        <v/>
      </c>
      <c r="E302" s="42">
        <f>H302+N302+T302+Z302+AF302+AL302+AR302+AX302+BD302+BJ302</f>
        <v/>
      </c>
      <c r="F302">
        <f>MAX(0,'My Debts'!$E$21-(I302+O302+U302+AA302+AG302+AM302+AS302+AY302+BE302+BK302))</f>
        <v/>
      </c>
      <c r="G302" s="42">
        <f>K301</f>
        <v/>
      </c>
      <c r="H302" s="42">
        <f>ROUND(G302*H$6/12,2)</f>
        <v/>
      </c>
      <c r="I302" s="42">
        <f>MIN(I$6,G302+H302)</f>
        <v/>
      </c>
      <c r="J302" s="42">
        <f>MAX(0,MIN(G302+H302-I302,$F302))</f>
        <v/>
      </c>
      <c r="K302" s="42">
        <f>ROUND(G302+H302-I302-J302,2)</f>
        <v/>
      </c>
      <c r="L302">
        <f>$F302-J302</f>
        <v/>
      </c>
      <c r="M302" s="42">
        <f>Q301</f>
        <v/>
      </c>
      <c r="N302" s="42">
        <f>ROUND(M302*N$6/12,2)</f>
        <v/>
      </c>
      <c r="O302" s="42">
        <f>MIN(O$6,M302+N302)</f>
        <v/>
      </c>
      <c r="P302" s="42">
        <f>MAX(0,MIN(M302+N302-O302,L302))</f>
        <v/>
      </c>
      <c r="Q302" s="42">
        <f>ROUND(M302+N302-O302-P302,2)</f>
        <v/>
      </c>
      <c r="R302">
        <f>L302-P302</f>
        <v/>
      </c>
      <c r="S302" s="42">
        <f>W301</f>
        <v/>
      </c>
      <c r="T302" s="42">
        <f>ROUND(S302*T$6/12,2)</f>
        <v/>
      </c>
      <c r="U302" s="42">
        <f>MIN(U$6,S302+T302)</f>
        <v/>
      </c>
      <c r="V302" s="42">
        <f>MAX(0,MIN(S302+T302-U302,R302))</f>
        <v/>
      </c>
      <c r="W302" s="42">
        <f>ROUND(S302+T302-U302-V302,2)</f>
        <v/>
      </c>
      <c r="X302">
        <f>R302-V302</f>
        <v/>
      </c>
      <c r="Y302" s="42">
        <f>AC301</f>
        <v/>
      </c>
      <c r="Z302" s="42">
        <f>ROUND(Y302*Z$6/12,2)</f>
        <v/>
      </c>
      <c r="AA302" s="42">
        <f>MIN(AA$6,Y302+Z302)</f>
        <v/>
      </c>
      <c r="AB302" s="42">
        <f>MAX(0,MIN(Y302+Z302-AA302,X302))</f>
        <v/>
      </c>
      <c r="AC302" s="42">
        <f>ROUND(Y302+Z302-AA302-AB302,2)</f>
        <v/>
      </c>
      <c r="AD302">
        <f>X302-AB302</f>
        <v/>
      </c>
      <c r="AE302" s="42">
        <f>AI301</f>
        <v/>
      </c>
      <c r="AF302" s="42">
        <f>ROUND(AE302*AF$6/12,2)</f>
        <v/>
      </c>
      <c r="AG302" s="42">
        <f>MIN(AG$6,AE302+AF302)</f>
        <v/>
      </c>
      <c r="AH302" s="42">
        <f>MAX(0,MIN(AE302+AF302-AG302,AD302))</f>
        <v/>
      </c>
      <c r="AI302" s="42">
        <f>ROUND(AE302+AF302-AG302-AH302,2)</f>
        <v/>
      </c>
      <c r="AJ302">
        <f>AD302-AH302</f>
        <v/>
      </c>
      <c r="AK302" s="42">
        <f>AO301</f>
        <v/>
      </c>
      <c r="AL302" s="42">
        <f>ROUND(AK302*AL$6/12,2)</f>
        <v/>
      </c>
      <c r="AM302" s="42">
        <f>MIN(AM$6,AK302+AL302)</f>
        <v/>
      </c>
      <c r="AN302" s="42">
        <f>MAX(0,MIN(AK302+AL302-AM302,AJ302))</f>
        <v/>
      </c>
      <c r="AO302" s="42">
        <f>ROUND(AK302+AL302-AM302-AN302,2)</f>
        <v/>
      </c>
      <c r="AP302">
        <f>AJ302-AN302</f>
        <v/>
      </c>
      <c r="AQ302" s="42">
        <f>AU301</f>
        <v/>
      </c>
      <c r="AR302" s="42">
        <f>ROUND(AQ302*AR$6/12,2)</f>
        <v/>
      </c>
      <c r="AS302" s="42">
        <f>MIN(AS$6,AQ302+AR302)</f>
        <v/>
      </c>
      <c r="AT302" s="42">
        <f>MAX(0,MIN(AQ302+AR302-AS302,AP302))</f>
        <v/>
      </c>
      <c r="AU302" s="42">
        <f>ROUND(AQ302+AR302-AS302-AT302,2)</f>
        <v/>
      </c>
      <c r="AV302">
        <f>AP302-AT302</f>
        <v/>
      </c>
      <c r="AW302" s="42">
        <f>BA301</f>
        <v/>
      </c>
      <c r="AX302" s="42">
        <f>ROUND(AW302*AX$6/12,2)</f>
        <v/>
      </c>
      <c r="AY302" s="42">
        <f>MIN(AY$6,AW302+AX302)</f>
        <v/>
      </c>
      <c r="AZ302" s="42">
        <f>MAX(0,MIN(AW302+AX302-AY302,AV302))</f>
        <v/>
      </c>
      <c r="BA302" s="42">
        <f>ROUND(AW302+AX302-AY302-AZ302,2)</f>
        <v/>
      </c>
      <c r="BB302">
        <f>AV302-AZ302</f>
        <v/>
      </c>
      <c r="BC302" s="42">
        <f>BG301</f>
        <v/>
      </c>
      <c r="BD302" s="42">
        <f>ROUND(BC302*BD$6/12,2)</f>
        <v/>
      </c>
      <c r="BE302" s="42">
        <f>MIN(BE$6,BC302+BD302)</f>
        <v/>
      </c>
      <c r="BF302" s="42">
        <f>MAX(0,MIN(BC302+BD302-BE302,BB302))</f>
        <v/>
      </c>
      <c r="BG302" s="42">
        <f>ROUND(BC302+BD302-BE302-BF302,2)</f>
        <v/>
      </c>
      <c r="BH302">
        <f>BB302-BF302</f>
        <v/>
      </c>
      <c r="BI302" s="42">
        <f>BM301</f>
        <v/>
      </c>
      <c r="BJ302" s="42">
        <f>ROUND(BI302*BJ$6/12,2)</f>
        <v/>
      </c>
      <c r="BK302" s="42">
        <f>MIN(BK$6,BI302+BJ302)</f>
        <v/>
      </c>
      <c r="BL302" s="42">
        <f>MAX(0,MIN(BI302+BJ302-BK302,BH302))</f>
        <v/>
      </c>
      <c r="BM302" s="42">
        <f>ROUND(BI302+BJ302-BK302-BL302,2)</f>
        <v/>
      </c>
      <c r="BN302">
        <f>BH302-BL302</f>
        <v/>
      </c>
    </row>
    <row r="303">
      <c r="A303" s="43" t="n">
        <v>296</v>
      </c>
      <c r="B303" s="44">
        <f>EDATE('My Debts'!$C$6,A303-1)</f>
        <v/>
      </c>
      <c r="C303" s="45">
        <f>K303+Q303+W303+AC303+AI303+AO303+AU303+BA303+BG303+BM303</f>
        <v/>
      </c>
      <c r="D303" s="46">
        <f>I303+O303+U303+AA303+AG303+AM303+AS303+AY303+BE303+BK303+J303+P303+V303+AB303+AH303+AN303+AT303+AZ303+BF303+BL303</f>
        <v/>
      </c>
      <c r="E303" s="46">
        <f>H303+N303+T303+Z303+AF303+AL303+AR303+AX303+BD303+BJ303</f>
        <v/>
      </c>
      <c r="F303">
        <f>MAX(0,'My Debts'!$E$21-(I303+O303+U303+AA303+AG303+AM303+AS303+AY303+BE303+BK303))</f>
        <v/>
      </c>
      <c r="G303" s="42">
        <f>K302</f>
        <v/>
      </c>
      <c r="H303" s="42">
        <f>ROUND(G303*H$6/12,2)</f>
        <v/>
      </c>
      <c r="I303" s="42">
        <f>MIN(I$6,G303+H303)</f>
        <v/>
      </c>
      <c r="J303" s="42">
        <f>MAX(0,MIN(G303+H303-I303,$F303))</f>
        <v/>
      </c>
      <c r="K303" s="42">
        <f>ROUND(G303+H303-I303-J303,2)</f>
        <v/>
      </c>
      <c r="L303">
        <f>$F303-J303</f>
        <v/>
      </c>
      <c r="M303" s="42">
        <f>Q302</f>
        <v/>
      </c>
      <c r="N303" s="42">
        <f>ROUND(M303*N$6/12,2)</f>
        <v/>
      </c>
      <c r="O303" s="42">
        <f>MIN(O$6,M303+N303)</f>
        <v/>
      </c>
      <c r="P303" s="42">
        <f>MAX(0,MIN(M303+N303-O303,L303))</f>
        <v/>
      </c>
      <c r="Q303" s="42">
        <f>ROUND(M303+N303-O303-P303,2)</f>
        <v/>
      </c>
      <c r="R303">
        <f>L303-P303</f>
        <v/>
      </c>
      <c r="S303" s="42">
        <f>W302</f>
        <v/>
      </c>
      <c r="T303" s="42">
        <f>ROUND(S303*T$6/12,2)</f>
        <v/>
      </c>
      <c r="U303" s="42">
        <f>MIN(U$6,S303+T303)</f>
        <v/>
      </c>
      <c r="V303" s="42">
        <f>MAX(0,MIN(S303+T303-U303,R303))</f>
        <v/>
      </c>
      <c r="W303" s="42">
        <f>ROUND(S303+T303-U303-V303,2)</f>
        <v/>
      </c>
      <c r="X303">
        <f>R303-V303</f>
        <v/>
      </c>
      <c r="Y303" s="42">
        <f>AC302</f>
        <v/>
      </c>
      <c r="Z303" s="42">
        <f>ROUND(Y303*Z$6/12,2)</f>
        <v/>
      </c>
      <c r="AA303" s="42">
        <f>MIN(AA$6,Y303+Z303)</f>
        <v/>
      </c>
      <c r="AB303" s="42">
        <f>MAX(0,MIN(Y303+Z303-AA303,X303))</f>
        <v/>
      </c>
      <c r="AC303" s="42">
        <f>ROUND(Y303+Z303-AA303-AB303,2)</f>
        <v/>
      </c>
      <c r="AD303">
        <f>X303-AB303</f>
        <v/>
      </c>
      <c r="AE303" s="42">
        <f>AI302</f>
        <v/>
      </c>
      <c r="AF303" s="42">
        <f>ROUND(AE303*AF$6/12,2)</f>
        <v/>
      </c>
      <c r="AG303" s="42">
        <f>MIN(AG$6,AE303+AF303)</f>
        <v/>
      </c>
      <c r="AH303" s="42">
        <f>MAX(0,MIN(AE303+AF303-AG303,AD303))</f>
        <v/>
      </c>
      <c r="AI303" s="42">
        <f>ROUND(AE303+AF303-AG303-AH303,2)</f>
        <v/>
      </c>
      <c r="AJ303">
        <f>AD303-AH303</f>
        <v/>
      </c>
      <c r="AK303" s="42">
        <f>AO302</f>
        <v/>
      </c>
      <c r="AL303" s="42">
        <f>ROUND(AK303*AL$6/12,2)</f>
        <v/>
      </c>
      <c r="AM303" s="42">
        <f>MIN(AM$6,AK303+AL303)</f>
        <v/>
      </c>
      <c r="AN303" s="42">
        <f>MAX(0,MIN(AK303+AL303-AM303,AJ303))</f>
        <v/>
      </c>
      <c r="AO303" s="42">
        <f>ROUND(AK303+AL303-AM303-AN303,2)</f>
        <v/>
      </c>
      <c r="AP303">
        <f>AJ303-AN303</f>
        <v/>
      </c>
      <c r="AQ303" s="42">
        <f>AU302</f>
        <v/>
      </c>
      <c r="AR303" s="42">
        <f>ROUND(AQ303*AR$6/12,2)</f>
        <v/>
      </c>
      <c r="AS303" s="42">
        <f>MIN(AS$6,AQ303+AR303)</f>
        <v/>
      </c>
      <c r="AT303" s="42">
        <f>MAX(0,MIN(AQ303+AR303-AS303,AP303))</f>
        <v/>
      </c>
      <c r="AU303" s="42">
        <f>ROUND(AQ303+AR303-AS303-AT303,2)</f>
        <v/>
      </c>
      <c r="AV303">
        <f>AP303-AT303</f>
        <v/>
      </c>
      <c r="AW303" s="42">
        <f>BA302</f>
        <v/>
      </c>
      <c r="AX303" s="42">
        <f>ROUND(AW303*AX$6/12,2)</f>
        <v/>
      </c>
      <c r="AY303" s="42">
        <f>MIN(AY$6,AW303+AX303)</f>
        <v/>
      </c>
      <c r="AZ303" s="42">
        <f>MAX(0,MIN(AW303+AX303-AY303,AV303))</f>
        <v/>
      </c>
      <c r="BA303" s="42">
        <f>ROUND(AW303+AX303-AY303-AZ303,2)</f>
        <v/>
      </c>
      <c r="BB303">
        <f>AV303-AZ303</f>
        <v/>
      </c>
      <c r="BC303" s="42">
        <f>BG302</f>
        <v/>
      </c>
      <c r="BD303" s="42">
        <f>ROUND(BC303*BD$6/12,2)</f>
        <v/>
      </c>
      <c r="BE303" s="42">
        <f>MIN(BE$6,BC303+BD303)</f>
        <v/>
      </c>
      <c r="BF303" s="42">
        <f>MAX(0,MIN(BC303+BD303-BE303,BB303))</f>
        <v/>
      </c>
      <c r="BG303" s="42">
        <f>ROUND(BC303+BD303-BE303-BF303,2)</f>
        <v/>
      </c>
      <c r="BH303">
        <f>BB303-BF303</f>
        <v/>
      </c>
      <c r="BI303" s="42">
        <f>BM302</f>
        <v/>
      </c>
      <c r="BJ303" s="42">
        <f>ROUND(BI303*BJ$6/12,2)</f>
        <v/>
      </c>
      <c r="BK303" s="42">
        <f>MIN(BK$6,BI303+BJ303)</f>
        <v/>
      </c>
      <c r="BL303" s="42">
        <f>MAX(0,MIN(BI303+BJ303-BK303,BH303))</f>
        <v/>
      </c>
      <c r="BM303" s="42">
        <f>ROUND(BI303+BJ303-BK303-BL303,2)</f>
        <v/>
      </c>
      <c r="BN303">
        <f>BH303-BL303</f>
        <v/>
      </c>
    </row>
    <row r="304">
      <c r="A304" s="39" t="n">
        <v>297</v>
      </c>
      <c r="B304" s="40">
        <f>EDATE('My Debts'!$C$6,A304-1)</f>
        <v/>
      </c>
      <c r="C304" s="41">
        <f>K304+Q304+W304+AC304+AI304+AO304+AU304+BA304+BG304+BM304</f>
        <v/>
      </c>
      <c r="D304" s="42">
        <f>I304+O304+U304+AA304+AG304+AM304+AS304+AY304+BE304+BK304+J304+P304+V304+AB304+AH304+AN304+AT304+AZ304+BF304+BL304</f>
        <v/>
      </c>
      <c r="E304" s="42">
        <f>H304+N304+T304+Z304+AF304+AL304+AR304+AX304+BD304+BJ304</f>
        <v/>
      </c>
      <c r="F304">
        <f>MAX(0,'My Debts'!$E$21-(I304+O304+U304+AA304+AG304+AM304+AS304+AY304+BE304+BK304))</f>
        <v/>
      </c>
      <c r="G304" s="42">
        <f>K303</f>
        <v/>
      </c>
      <c r="H304" s="42">
        <f>ROUND(G304*H$6/12,2)</f>
        <v/>
      </c>
      <c r="I304" s="42">
        <f>MIN(I$6,G304+H304)</f>
        <v/>
      </c>
      <c r="J304" s="42">
        <f>MAX(0,MIN(G304+H304-I304,$F304))</f>
        <v/>
      </c>
      <c r="K304" s="42">
        <f>ROUND(G304+H304-I304-J304,2)</f>
        <v/>
      </c>
      <c r="L304">
        <f>$F304-J304</f>
        <v/>
      </c>
      <c r="M304" s="42">
        <f>Q303</f>
        <v/>
      </c>
      <c r="N304" s="42">
        <f>ROUND(M304*N$6/12,2)</f>
        <v/>
      </c>
      <c r="O304" s="42">
        <f>MIN(O$6,M304+N304)</f>
        <v/>
      </c>
      <c r="P304" s="42">
        <f>MAX(0,MIN(M304+N304-O304,L304))</f>
        <v/>
      </c>
      <c r="Q304" s="42">
        <f>ROUND(M304+N304-O304-P304,2)</f>
        <v/>
      </c>
      <c r="R304">
        <f>L304-P304</f>
        <v/>
      </c>
      <c r="S304" s="42">
        <f>W303</f>
        <v/>
      </c>
      <c r="T304" s="42">
        <f>ROUND(S304*T$6/12,2)</f>
        <v/>
      </c>
      <c r="U304" s="42">
        <f>MIN(U$6,S304+T304)</f>
        <v/>
      </c>
      <c r="V304" s="42">
        <f>MAX(0,MIN(S304+T304-U304,R304))</f>
        <v/>
      </c>
      <c r="W304" s="42">
        <f>ROUND(S304+T304-U304-V304,2)</f>
        <v/>
      </c>
      <c r="X304">
        <f>R304-V304</f>
        <v/>
      </c>
      <c r="Y304" s="42">
        <f>AC303</f>
        <v/>
      </c>
      <c r="Z304" s="42">
        <f>ROUND(Y304*Z$6/12,2)</f>
        <v/>
      </c>
      <c r="AA304" s="42">
        <f>MIN(AA$6,Y304+Z304)</f>
        <v/>
      </c>
      <c r="AB304" s="42">
        <f>MAX(0,MIN(Y304+Z304-AA304,X304))</f>
        <v/>
      </c>
      <c r="AC304" s="42">
        <f>ROUND(Y304+Z304-AA304-AB304,2)</f>
        <v/>
      </c>
      <c r="AD304">
        <f>X304-AB304</f>
        <v/>
      </c>
      <c r="AE304" s="42">
        <f>AI303</f>
        <v/>
      </c>
      <c r="AF304" s="42">
        <f>ROUND(AE304*AF$6/12,2)</f>
        <v/>
      </c>
      <c r="AG304" s="42">
        <f>MIN(AG$6,AE304+AF304)</f>
        <v/>
      </c>
      <c r="AH304" s="42">
        <f>MAX(0,MIN(AE304+AF304-AG304,AD304))</f>
        <v/>
      </c>
      <c r="AI304" s="42">
        <f>ROUND(AE304+AF304-AG304-AH304,2)</f>
        <v/>
      </c>
      <c r="AJ304">
        <f>AD304-AH304</f>
        <v/>
      </c>
      <c r="AK304" s="42">
        <f>AO303</f>
        <v/>
      </c>
      <c r="AL304" s="42">
        <f>ROUND(AK304*AL$6/12,2)</f>
        <v/>
      </c>
      <c r="AM304" s="42">
        <f>MIN(AM$6,AK304+AL304)</f>
        <v/>
      </c>
      <c r="AN304" s="42">
        <f>MAX(0,MIN(AK304+AL304-AM304,AJ304))</f>
        <v/>
      </c>
      <c r="AO304" s="42">
        <f>ROUND(AK304+AL304-AM304-AN304,2)</f>
        <v/>
      </c>
      <c r="AP304">
        <f>AJ304-AN304</f>
        <v/>
      </c>
      <c r="AQ304" s="42">
        <f>AU303</f>
        <v/>
      </c>
      <c r="AR304" s="42">
        <f>ROUND(AQ304*AR$6/12,2)</f>
        <v/>
      </c>
      <c r="AS304" s="42">
        <f>MIN(AS$6,AQ304+AR304)</f>
        <v/>
      </c>
      <c r="AT304" s="42">
        <f>MAX(0,MIN(AQ304+AR304-AS304,AP304))</f>
        <v/>
      </c>
      <c r="AU304" s="42">
        <f>ROUND(AQ304+AR304-AS304-AT304,2)</f>
        <v/>
      </c>
      <c r="AV304">
        <f>AP304-AT304</f>
        <v/>
      </c>
      <c r="AW304" s="42">
        <f>BA303</f>
        <v/>
      </c>
      <c r="AX304" s="42">
        <f>ROUND(AW304*AX$6/12,2)</f>
        <v/>
      </c>
      <c r="AY304" s="42">
        <f>MIN(AY$6,AW304+AX304)</f>
        <v/>
      </c>
      <c r="AZ304" s="42">
        <f>MAX(0,MIN(AW304+AX304-AY304,AV304))</f>
        <v/>
      </c>
      <c r="BA304" s="42">
        <f>ROUND(AW304+AX304-AY304-AZ304,2)</f>
        <v/>
      </c>
      <c r="BB304">
        <f>AV304-AZ304</f>
        <v/>
      </c>
      <c r="BC304" s="42">
        <f>BG303</f>
        <v/>
      </c>
      <c r="BD304" s="42">
        <f>ROUND(BC304*BD$6/12,2)</f>
        <v/>
      </c>
      <c r="BE304" s="42">
        <f>MIN(BE$6,BC304+BD304)</f>
        <v/>
      </c>
      <c r="BF304" s="42">
        <f>MAX(0,MIN(BC304+BD304-BE304,BB304))</f>
        <v/>
      </c>
      <c r="BG304" s="42">
        <f>ROUND(BC304+BD304-BE304-BF304,2)</f>
        <v/>
      </c>
      <c r="BH304">
        <f>BB304-BF304</f>
        <v/>
      </c>
      <c r="BI304" s="42">
        <f>BM303</f>
        <v/>
      </c>
      <c r="BJ304" s="42">
        <f>ROUND(BI304*BJ$6/12,2)</f>
        <v/>
      </c>
      <c r="BK304" s="42">
        <f>MIN(BK$6,BI304+BJ304)</f>
        <v/>
      </c>
      <c r="BL304" s="42">
        <f>MAX(0,MIN(BI304+BJ304-BK304,BH304))</f>
        <v/>
      </c>
      <c r="BM304" s="42">
        <f>ROUND(BI304+BJ304-BK304-BL304,2)</f>
        <v/>
      </c>
      <c r="BN304">
        <f>BH304-BL304</f>
        <v/>
      </c>
    </row>
    <row r="305">
      <c r="A305" s="43" t="n">
        <v>298</v>
      </c>
      <c r="B305" s="44">
        <f>EDATE('My Debts'!$C$6,A305-1)</f>
        <v/>
      </c>
      <c r="C305" s="45">
        <f>K305+Q305+W305+AC305+AI305+AO305+AU305+BA305+BG305+BM305</f>
        <v/>
      </c>
      <c r="D305" s="46">
        <f>I305+O305+U305+AA305+AG305+AM305+AS305+AY305+BE305+BK305+J305+P305+V305+AB305+AH305+AN305+AT305+AZ305+BF305+BL305</f>
        <v/>
      </c>
      <c r="E305" s="46">
        <f>H305+N305+T305+Z305+AF305+AL305+AR305+AX305+BD305+BJ305</f>
        <v/>
      </c>
      <c r="F305">
        <f>MAX(0,'My Debts'!$E$21-(I305+O305+U305+AA305+AG305+AM305+AS305+AY305+BE305+BK305))</f>
        <v/>
      </c>
      <c r="G305" s="42">
        <f>K304</f>
        <v/>
      </c>
      <c r="H305" s="42">
        <f>ROUND(G305*H$6/12,2)</f>
        <v/>
      </c>
      <c r="I305" s="42">
        <f>MIN(I$6,G305+H305)</f>
        <v/>
      </c>
      <c r="J305" s="42">
        <f>MAX(0,MIN(G305+H305-I305,$F305))</f>
        <v/>
      </c>
      <c r="K305" s="42">
        <f>ROUND(G305+H305-I305-J305,2)</f>
        <v/>
      </c>
      <c r="L305">
        <f>$F305-J305</f>
        <v/>
      </c>
      <c r="M305" s="42">
        <f>Q304</f>
        <v/>
      </c>
      <c r="N305" s="42">
        <f>ROUND(M305*N$6/12,2)</f>
        <v/>
      </c>
      <c r="O305" s="42">
        <f>MIN(O$6,M305+N305)</f>
        <v/>
      </c>
      <c r="P305" s="42">
        <f>MAX(0,MIN(M305+N305-O305,L305))</f>
        <v/>
      </c>
      <c r="Q305" s="42">
        <f>ROUND(M305+N305-O305-P305,2)</f>
        <v/>
      </c>
      <c r="R305">
        <f>L305-P305</f>
        <v/>
      </c>
      <c r="S305" s="42">
        <f>W304</f>
        <v/>
      </c>
      <c r="T305" s="42">
        <f>ROUND(S305*T$6/12,2)</f>
        <v/>
      </c>
      <c r="U305" s="42">
        <f>MIN(U$6,S305+T305)</f>
        <v/>
      </c>
      <c r="V305" s="42">
        <f>MAX(0,MIN(S305+T305-U305,R305))</f>
        <v/>
      </c>
      <c r="W305" s="42">
        <f>ROUND(S305+T305-U305-V305,2)</f>
        <v/>
      </c>
      <c r="X305">
        <f>R305-V305</f>
        <v/>
      </c>
      <c r="Y305" s="42">
        <f>AC304</f>
        <v/>
      </c>
      <c r="Z305" s="42">
        <f>ROUND(Y305*Z$6/12,2)</f>
        <v/>
      </c>
      <c r="AA305" s="42">
        <f>MIN(AA$6,Y305+Z305)</f>
        <v/>
      </c>
      <c r="AB305" s="42">
        <f>MAX(0,MIN(Y305+Z305-AA305,X305))</f>
        <v/>
      </c>
      <c r="AC305" s="42">
        <f>ROUND(Y305+Z305-AA305-AB305,2)</f>
        <v/>
      </c>
      <c r="AD305">
        <f>X305-AB305</f>
        <v/>
      </c>
      <c r="AE305" s="42">
        <f>AI304</f>
        <v/>
      </c>
      <c r="AF305" s="42">
        <f>ROUND(AE305*AF$6/12,2)</f>
        <v/>
      </c>
      <c r="AG305" s="42">
        <f>MIN(AG$6,AE305+AF305)</f>
        <v/>
      </c>
      <c r="AH305" s="42">
        <f>MAX(0,MIN(AE305+AF305-AG305,AD305))</f>
        <v/>
      </c>
      <c r="AI305" s="42">
        <f>ROUND(AE305+AF305-AG305-AH305,2)</f>
        <v/>
      </c>
      <c r="AJ305">
        <f>AD305-AH305</f>
        <v/>
      </c>
      <c r="AK305" s="42">
        <f>AO304</f>
        <v/>
      </c>
      <c r="AL305" s="42">
        <f>ROUND(AK305*AL$6/12,2)</f>
        <v/>
      </c>
      <c r="AM305" s="42">
        <f>MIN(AM$6,AK305+AL305)</f>
        <v/>
      </c>
      <c r="AN305" s="42">
        <f>MAX(0,MIN(AK305+AL305-AM305,AJ305))</f>
        <v/>
      </c>
      <c r="AO305" s="42">
        <f>ROUND(AK305+AL305-AM305-AN305,2)</f>
        <v/>
      </c>
      <c r="AP305">
        <f>AJ305-AN305</f>
        <v/>
      </c>
      <c r="AQ305" s="42">
        <f>AU304</f>
        <v/>
      </c>
      <c r="AR305" s="42">
        <f>ROUND(AQ305*AR$6/12,2)</f>
        <v/>
      </c>
      <c r="AS305" s="42">
        <f>MIN(AS$6,AQ305+AR305)</f>
        <v/>
      </c>
      <c r="AT305" s="42">
        <f>MAX(0,MIN(AQ305+AR305-AS305,AP305))</f>
        <v/>
      </c>
      <c r="AU305" s="42">
        <f>ROUND(AQ305+AR305-AS305-AT305,2)</f>
        <v/>
      </c>
      <c r="AV305">
        <f>AP305-AT305</f>
        <v/>
      </c>
      <c r="AW305" s="42">
        <f>BA304</f>
        <v/>
      </c>
      <c r="AX305" s="42">
        <f>ROUND(AW305*AX$6/12,2)</f>
        <v/>
      </c>
      <c r="AY305" s="42">
        <f>MIN(AY$6,AW305+AX305)</f>
        <v/>
      </c>
      <c r="AZ305" s="42">
        <f>MAX(0,MIN(AW305+AX305-AY305,AV305))</f>
        <v/>
      </c>
      <c r="BA305" s="42">
        <f>ROUND(AW305+AX305-AY305-AZ305,2)</f>
        <v/>
      </c>
      <c r="BB305">
        <f>AV305-AZ305</f>
        <v/>
      </c>
      <c r="BC305" s="42">
        <f>BG304</f>
        <v/>
      </c>
      <c r="BD305" s="42">
        <f>ROUND(BC305*BD$6/12,2)</f>
        <v/>
      </c>
      <c r="BE305" s="42">
        <f>MIN(BE$6,BC305+BD305)</f>
        <v/>
      </c>
      <c r="BF305" s="42">
        <f>MAX(0,MIN(BC305+BD305-BE305,BB305))</f>
        <v/>
      </c>
      <c r="BG305" s="42">
        <f>ROUND(BC305+BD305-BE305-BF305,2)</f>
        <v/>
      </c>
      <c r="BH305">
        <f>BB305-BF305</f>
        <v/>
      </c>
      <c r="BI305" s="42">
        <f>BM304</f>
        <v/>
      </c>
      <c r="BJ305" s="42">
        <f>ROUND(BI305*BJ$6/12,2)</f>
        <v/>
      </c>
      <c r="BK305" s="42">
        <f>MIN(BK$6,BI305+BJ305)</f>
        <v/>
      </c>
      <c r="BL305" s="42">
        <f>MAX(0,MIN(BI305+BJ305-BK305,BH305))</f>
        <v/>
      </c>
      <c r="BM305" s="42">
        <f>ROUND(BI305+BJ305-BK305-BL305,2)</f>
        <v/>
      </c>
      <c r="BN305">
        <f>BH305-BL305</f>
        <v/>
      </c>
    </row>
    <row r="306">
      <c r="A306" s="39" t="n">
        <v>299</v>
      </c>
      <c r="B306" s="40">
        <f>EDATE('My Debts'!$C$6,A306-1)</f>
        <v/>
      </c>
      <c r="C306" s="41">
        <f>K306+Q306+W306+AC306+AI306+AO306+AU306+BA306+BG306+BM306</f>
        <v/>
      </c>
      <c r="D306" s="42">
        <f>I306+O306+U306+AA306+AG306+AM306+AS306+AY306+BE306+BK306+J306+P306+V306+AB306+AH306+AN306+AT306+AZ306+BF306+BL306</f>
        <v/>
      </c>
      <c r="E306" s="42">
        <f>H306+N306+T306+Z306+AF306+AL306+AR306+AX306+BD306+BJ306</f>
        <v/>
      </c>
      <c r="F306">
        <f>MAX(0,'My Debts'!$E$21-(I306+O306+U306+AA306+AG306+AM306+AS306+AY306+BE306+BK306))</f>
        <v/>
      </c>
      <c r="G306" s="42">
        <f>K305</f>
        <v/>
      </c>
      <c r="H306" s="42">
        <f>ROUND(G306*H$6/12,2)</f>
        <v/>
      </c>
      <c r="I306" s="42">
        <f>MIN(I$6,G306+H306)</f>
        <v/>
      </c>
      <c r="J306" s="42">
        <f>MAX(0,MIN(G306+H306-I306,$F306))</f>
        <v/>
      </c>
      <c r="K306" s="42">
        <f>ROUND(G306+H306-I306-J306,2)</f>
        <v/>
      </c>
      <c r="L306">
        <f>$F306-J306</f>
        <v/>
      </c>
      <c r="M306" s="42">
        <f>Q305</f>
        <v/>
      </c>
      <c r="N306" s="42">
        <f>ROUND(M306*N$6/12,2)</f>
        <v/>
      </c>
      <c r="O306" s="42">
        <f>MIN(O$6,M306+N306)</f>
        <v/>
      </c>
      <c r="P306" s="42">
        <f>MAX(0,MIN(M306+N306-O306,L306))</f>
        <v/>
      </c>
      <c r="Q306" s="42">
        <f>ROUND(M306+N306-O306-P306,2)</f>
        <v/>
      </c>
      <c r="R306">
        <f>L306-P306</f>
        <v/>
      </c>
      <c r="S306" s="42">
        <f>W305</f>
        <v/>
      </c>
      <c r="T306" s="42">
        <f>ROUND(S306*T$6/12,2)</f>
        <v/>
      </c>
      <c r="U306" s="42">
        <f>MIN(U$6,S306+T306)</f>
        <v/>
      </c>
      <c r="V306" s="42">
        <f>MAX(0,MIN(S306+T306-U306,R306))</f>
        <v/>
      </c>
      <c r="W306" s="42">
        <f>ROUND(S306+T306-U306-V306,2)</f>
        <v/>
      </c>
      <c r="X306">
        <f>R306-V306</f>
        <v/>
      </c>
      <c r="Y306" s="42">
        <f>AC305</f>
        <v/>
      </c>
      <c r="Z306" s="42">
        <f>ROUND(Y306*Z$6/12,2)</f>
        <v/>
      </c>
      <c r="AA306" s="42">
        <f>MIN(AA$6,Y306+Z306)</f>
        <v/>
      </c>
      <c r="AB306" s="42">
        <f>MAX(0,MIN(Y306+Z306-AA306,X306))</f>
        <v/>
      </c>
      <c r="AC306" s="42">
        <f>ROUND(Y306+Z306-AA306-AB306,2)</f>
        <v/>
      </c>
      <c r="AD306">
        <f>X306-AB306</f>
        <v/>
      </c>
      <c r="AE306" s="42">
        <f>AI305</f>
        <v/>
      </c>
      <c r="AF306" s="42">
        <f>ROUND(AE306*AF$6/12,2)</f>
        <v/>
      </c>
      <c r="AG306" s="42">
        <f>MIN(AG$6,AE306+AF306)</f>
        <v/>
      </c>
      <c r="AH306" s="42">
        <f>MAX(0,MIN(AE306+AF306-AG306,AD306))</f>
        <v/>
      </c>
      <c r="AI306" s="42">
        <f>ROUND(AE306+AF306-AG306-AH306,2)</f>
        <v/>
      </c>
      <c r="AJ306">
        <f>AD306-AH306</f>
        <v/>
      </c>
      <c r="AK306" s="42">
        <f>AO305</f>
        <v/>
      </c>
      <c r="AL306" s="42">
        <f>ROUND(AK306*AL$6/12,2)</f>
        <v/>
      </c>
      <c r="AM306" s="42">
        <f>MIN(AM$6,AK306+AL306)</f>
        <v/>
      </c>
      <c r="AN306" s="42">
        <f>MAX(0,MIN(AK306+AL306-AM306,AJ306))</f>
        <v/>
      </c>
      <c r="AO306" s="42">
        <f>ROUND(AK306+AL306-AM306-AN306,2)</f>
        <v/>
      </c>
      <c r="AP306">
        <f>AJ306-AN306</f>
        <v/>
      </c>
      <c r="AQ306" s="42">
        <f>AU305</f>
        <v/>
      </c>
      <c r="AR306" s="42">
        <f>ROUND(AQ306*AR$6/12,2)</f>
        <v/>
      </c>
      <c r="AS306" s="42">
        <f>MIN(AS$6,AQ306+AR306)</f>
        <v/>
      </c>
      <c r="AT306" s="42">
        <f>MAX(0,MIN(AQ306+AR306-AS306,AP306))</f>
        <v/>
      </c>
      <c r="AU306" s="42">
        <f>ROUND(AQ306+AR306-AS306-AT306,2)</f>
        <v/>
      </c>
      <c r="AV306">
        <f>AP306-AT306</f>
        <v/>
      </c>
      <c r="AW306" s="42">
        <f>BA305</f>
        <v/>
      </c>
      <c r="AX306" s="42">
        <f>ROUND(AW306*AX$6/12,2)</f>
        <v/>
      </c>
      <c r="AY306" s="42">
        <f>MIN(AY$6,AW306+AX306)</f>
        <v/>
      </c>
      <c r="AZ306" s="42">
        <f>MAX(0,MIN(AW306+AX306-AY306,AV306))</f>
        <v/>
      </c>
      <c r="BA306" s="42">
        <f>ROUND(AW306+AX306-AY306-AZ306,2)</f>
        <v/>
      </c>
      <c r="BB306">
        <f>AV306-AZ306</f>
        <v/>
      </c>
      <c r="BC306" s="42">
        <f>BG305</f>
        <v/>
      </c>
      <c r="BD306" s="42">
        <f>ROUND(BC306*BD$6/12,2)</f>
        <v/>
      </c>
      <c r="BE306" s="42">
        <f>MIN(BE$6,BC306+BD306)</f>
        <v/>
      </c>
      <c r="BF306" s="42">
        <f>MAX(0,MIN(BC306+BD306-BE306,BB306))</f>
        <v/>
      </c>
      <c r="BG306" s="42">
        <f>ROUND(BC306+BD306-BE306-BF306,2)</f>
        <v/>
      </c>
      <c r="BH306">
        <f>BB306-BF306</f>
        <v/>
      </c>
      <c r="BI306" s="42">
        <f>BM305</f>
        <v/>
      </c>
      <c r="BJ306" s="42">
        <f>ROUND(BI306*BJ$6/12,2)</f>
        <v/>
      </c>
      <c r="BK306" s="42">
        <f>MIN(BK$6,BI306+BJ306)</f>
        <v/>
      </c>
      <c r="BL306" s="42">
        <f>MAX(0,MIN(BI306+BJ306-BK306,BH306))</f>
        <v/>
      </c>
      <c r="BM306" s="42">
        <f>ROUND(BI306+BJ306-BK306-BL306,2)</f>
        <v/>
      </c>
      <c r="BN306">
        <f>BH306-BL306</f>
        <v/>
      </c>
    </row>
    <row r="307">
      <c r="A307" s="43" t="n">
        <v>300</v>
      </c>
      <c r="B307" s="44">
        <f>EDATE('My Debts'!$C$6,A307-1)</f>
        <v/>
      </c>
      <c r="C307" s="45">
        <f>K307+Q307+W307+AC307+AI307+AO307+AU307+BA307+BG307+BM307</f>
        <v/>
      </c>
      <c r="D307" s="46">
        <f>I307+O307+U307+AA307+AG307+AM307+AS307+AY307+BE307+BK307+J307+P307+V307+AB307+AH307+AN307+AT307+AZ307+BF307+BL307</f>
        <v/>
      </c>
      <c r="E307" s="46">
        <f>H307+N307+T307+Z307+AF307+AL307+AR307+AX307+BD307+BJ307</f>
        <v/>
      </c>
      <c r="F307">
        <f>MAX(0,'My Debts'!$E$21-(I307+O307+U307+AA307+AG307+AM307+AS307+AY307+BE307+BK307))</f>
        <v/>
      </c>
      <c r="G307" s="42">
        <f>K306</f>
        <v/>
      </c>
      <c r="H307" s="42">
        <f>ROUND(G307*H$6/12,2)</f>
        <v/>
      </c>
      <c r="I307" s="42">
        <f>MIN(I$6,G307+H307)</f>
        <v/>
      </c>
      <c r="J307" s="42">
        <f>MAX(0,MIN(G307+H307-I307,$F307))</f>
        <v/>
      </c>
      <c r="K307" s="42">
        <f>ROUND(G307+H307-I307-J307,2)</f>
        <v/>
      </c>
      <c r="L307">
        <f>$F307-J307</f>
        <v/>
      </c>
      <c r="M307" s="42">
        <f>Q306</f>
        <v/>
      </c>
      <c r="N307" s="42">
        <f>ROUND(M307*N$6/12,2)</f>
        <v/>
      </c>
      <c r="O307" s="42">
        <f>MIN(O$6,M307+N307)</f>
        <v/>
      </c>
      <c r="P307" s="42">
        <f>MAX(0,MIN(M307+N307-O307,L307))</f>
        <v/>
      </c>
      <c r="Q307" s="42">
        <f>ROUND(M307+N307-O307-P307,2)</f>
        <v/>
      </c>
      <c r="R307">
        <f>L307-P307</f>
        <v/>
      </c>
      <c r="S307" s="42">
        <f>W306</f>
        <v/>
      </c>
      <c r="T307" s="42">
        <f>ROUND(S307*T$6/12,2)</f>
        <v/>
      </c>
      <c r="U307" s="42">
        <f>MIN(U$6,S307+T307)</f>
        <v/>
      </c>
      <c r="V307" s="42">
        <f>MAX(0,MIN(S307+T307-U307,R307))</f>
        <v/>
      </c>
      <c r="W307" s="42">
        <f>ROUND(S307+T307-U307-V307,2)</f>
        <v/>
      </c>
      <c r="X307">
        <f>R307-V307</f>
        <v/>
      </c>
      <c r="Y307" s="42">
        <f>AC306</f>
        <v/>
      </c>
      <c r="Z307" s="42">
        <f>ROUND(Y307*Z$6/12,2)</f>
        <v/>
      </c>
      <c r="AA307" s="42">
        <f>MIN(AA$6,Y307+Z307)</f>
        <v/>
      </c>
      <c r="AB307" s="42">
        <f>MAX(0,MIN(Y307+Z307-AA307,X307))</f>
        <v/>
      </c>
      <c r="AC307" s="42">
        <f>ROUND(Y307+Z307-AA307-AB307,2)</f>
        <v/>
      </c>
      <c r="AD307">
        <f>X307-AB307</f>
        <v/>
      </c>
      <c r="AE307" s="42">
        <f>AI306</f>
        <v/>
      </c>
      <c r="AF307" s="42">
        <f>ROUND(AE307*AF$6/12,2)</f>
        <v/>
      </c>
      <c r="AG307" s="42">
        <f>MIN(AG$6,AE307+AF307)</f>
        <v/>
      </c>
      <c r="AH307" s="42">
        <f>MAX(0,MIN(AE307+AF307-AG307,AD307))</f>
        <v/>
      </c>
      <c r="AI307" s="42">
        <f>ROUND(AE307+AF307-AG307-AH307,2)</f>
        <v/>
      </c>
      <c r="AJ307">
        <f>AD307-AH307</f>
        <v/>
      </c>
      <c r="AK307" s="42">
        <f>AO306</f>
        <v/>
      </c>
      <c r="AL307" s="42">
        <f>ROUND(AK307*AL$6/12,2)</f>
        <v/>
      </c>
      <c r="AM307" s="42">
        <f>MIN(AM$6,AK307+AL307)</f>
        <v/>
      </c>
      <c r="AN307" s="42">
        <f>MAX(0,MIN(AK307+AL307-AM307,AJ307))</f>
        <v/>
      </c>
      <c r="AO307" s="42">
        <f>ROUND(AK307+AL307-AM307-AN307,2)</f>
        <v/>
      </c>
      <c r="AP307">
        <f>AJ307-AN307</f>
        <v/>
      </c>
      <c r="AQ307" s="42">
        <f>AU306</f>
        <v/>
      </c>
      <c r="AR307" s="42">
        <f>ROUND(AQ307*AR$6/12,2)</f>
        <v/>
      </c>
      <c r="AS307" s="42">
        <f>MIN(AS$6,AQ307+AR307)</f>
        <v/>
      </c>
      <c r="AT307" s="42">
        <f>MAX(0,MIN(AQ307+AR307-AS307,AP307))</f>
        <v/>
      </c>
      <c r="AU307" s="42">
        <f>ROUND(AQ307+AR307-AS307-AT307,2)</f>
        <v/>
      </c>
      <c r="AV307">
        <f>AP307-AT307</f>
        <v/>
      </c>
      <c r="AW307" s="42">
        <f>BA306</f>
        <v/>
      </c>
      <c r="AX307" s="42">
        <f>ROUND(AW307*AX$6/12,2)</f>
        <v/>
      </c>
      <c r="AY307" s="42">
        <f>MIN(AY$6,AW307+AX307)</f>
        <v/>
      </c>
      <c r="AZ307" s="42">
        <f>MAX(0,MIN(AW307+AX307-AY307,AV307))</f>
        <v/>
      </c>
      <c r="BA307" s="42">
        <f>ROUND(AW307+AX307-AY307-AZ307,2)</f>
        <v/>
      </c>
      <c r="BB307">
        <f>AV307-AZ307</f>
        <v/>
      </c>
      <c r="BC307" s="42">
        <f>BG306</f>
        <v/>
      </c>
      <c r="BD307" s="42">
        <f>ROUND(BC307*BD$6/12,2)</f>
        <v/>
      </c>
      <c r="BE307" s="42">
        <f>MIN(BE$6,BC307+BD307)</f>
        <v/>
      </c>
      <c r="BF307" s="42">
        <f>MAX(0,MIN(BC307+BD307-BE307,BB307))</f>
        <v/>
      </c>
      <c r="BG307" s="42">
        <f>ROUND(BC307+BD307-BE307-BF307,2)</f>
        <v/>
      </c>
      <c r="BH307">
        <f>BB307-BF307</f>
        <v/>
      </c>
      <c r="BI307" s="42">
        <f>BM306</f>
        <v/>
      </c>
      <c r="BJ307" s="42">
        <f>ROUND(BI307*BJ$6/12,2)</f>
        <v/>
      </c>
      <c r="BK307" s="42">
        <f>MIN(BK$6,BI307+BJ307)</f>
        <v/>
      </c>
      <c r="BL307" s="42">
        <f>MAX(0,MIN(BI307+BJ307-BK307,BH307))</f>
        <v/>
      </c>
      <c r="BM307" s="42">
        <f>ROUND(BI307+BJ307-BK307-BL307,2)</f>
        <v/>
      </c>
      <c r="BN307">
        <f>BH307-BL307</f>
        <v/>
      </c>
    </row>
  </sheetData>
  <mergeCells count="10">
    <mergeCell ref="S5:W5"/>
    <mergeCell ref="AE5:AI5"/>
    <mergeCell ref="G5:K5"/>
    <mergeCell ref="Y5:AC5"/>
    <mergeCell ref="AK5:AO5"/>
    <mergeCell ref="AQ5:AU5"/>
    <mergeCell ref="BC5:BG5"/>
    <mergeCell ref="M5:Q5"/>
    <mergeCell ref="BI5:BM5"/>
    <mergeCell ref="AW5:BA5"/>
  </mergeCells>
  <conditionalFormatting sqref="A8:E307">
    <cfRule type="expression" priority="1" dxfId="0">
      <formula>$C8&lt;=0.005</formula>
    </cfRule>
  </conditionalFormatting>
  <printOptions horizontalCentered="1"/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DCE5EA"/>
    <outlinePr summaryBelow="1" summaryRight="1"/>
    <pageSetUpPr fitToPage="1"/>
  </sheetPr>
  <dimension ref="A2:BN30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13" customWidth="1" min="4" max="4"/>
    <col width="12" customWidth="1" min="5" max="5"/>
    <col hidden="1" width="3" customWidth="1" min="6" max="6"/>
    <col width="12" customWidth="1" min="7" max="7"/>
    <col width="10" customWidth="1" min="8" max="8"/>
    <col width="11" customWidth="1" min="9" max="9"/>
    <col width="11" customWidth="1" min="10" max="10"/>
    <col width="12" customWidth="1" min="11" max="11"/>
    <col hidden="1" width="3" customWidth="1" min="12" max="12"/>
    <col width="12" customWidth="1" min="13" max="13"/>
    <col width="10" customWidth="1" min="14" max="14"/>
    <col width="11" customWidth="1" min="15" max="15"/>
    <col width="11" customWidth="1" min="16" max="16"/>
    <col width="12" customWidth="1" min="17" max="17"/>
    <col hidden="1" width="3" customWidth="1" min="18" max="18"/>
    <col width="12" customWidth="1" min="19" max="19"/>
    <col width="10" customWidth="1" min="20" max="20"/>
    <col width="11" customWidth="1" min="21" max="21"/>
    <col width="11" customWidth="1" min="22" max="22"/>
    <col width="12" customWidth="1" min="23" max="23"/>
    <col hidden="1" width="3" customWidth="1" min="24" max="24"/>
    <col width="12" customWidth="1" min="25" max="25"/>
    <col width="10" customWidth="1" min="26" max="26"/>
    <col width="11" customWidth="1" min="27" max="27"/>
    <col width="11" customWidth="1" min="28" max="28"/>
    <col width="12" customWidth="1" min="29" max="29"/>
    <col hidden="1" width="3" customWidth="1" min="30" max="30"/>
    <col width="12" customWidth="1" min="31" max="31"/>
    <col width="10" customWidth="1" min="32" max="32"/>
    <col width="11" customWidth="1" min="33" max="33"/>
    <col width="11" customWidth="1" min="34" max="34"/>
    <col width="12" customWidth="1" min="35" max="35"/>
    <col hidden="1" width="3" customWidth="1" min="36" max="36"/>
    <col width="12" customWidth="1" min="37" max="37"/>
    <col width="10" customWidth="1" min="38" max="38"/>
    <col width="11" customWidth="1" min="39" max="39"/>
    <col width="11" customWidth="1" min="40" max="40"/>
    <col width="12" customWidth="1" min="41" max="41"/>
    <col hidden="1" width="3" customWidth="1" min="42" max="42"/>
    <col width="12" customWidth="1" min="43" max="43"/>
    <col width="10" customWidth="1" min="44" max="44"/>
    <col width="11" customWidth="1" min="45" max="45"/>
    <col width="11" customWidth="1" min="46" max="46"/>
    <col width="12" customWidth="1" min="47" max="47"/>
    <col hidden="1" width="3" customWidth="1" min="48" max="48"/>
    <col width="12" customWidth="1" min="49" max="49"/>
    <col width="10" customWidth="1" min="50" max="50"/>
    <col width="11" customWidth="1" min="51" max="51"/>
    <col width="11" customWidth="1" min="52" max="52"/>
    <col width="12" customWidth="1" min="53" max="53"/>
    <col hidden="1" width="3" customWidth="1" min="54" max="54"/>
    <col width="12" customWidth="1" min="55" max="55"/>
    <col width="10" customWidth="1" min="56" max="56"/>
    <col width="11" customWidth="1" min="57" max="57"/>
    <col width="11" customWidth="1" min="58" max="58"/>
    <col width="12" customWidth="1" min="59" max="59"/>
    <col hidden="1" width="3" customWidth="1" min="60" max="60"/>
    <col width="12" customWidth="1" min="61" max="61"/>
    <col width="10" customWidth="1" min="62" max="62"/>
    <col width="11" customWidth="1" min="63" max="63"/>
    <col width="11" customWidth="1" min="64" max="64"/>
    <col width="12" customWidth="1" min="65" max="65"/>
    <col hidden="1" width="3" customWidth="1" min="66" max="66"/>
  </cols>
  <sheetData>
    <row r="1" ht="10" customHeight="1"/>
    <row r="2" ht="32" customHeight="1">
      <c r="B2" s="9" t="inlineStr">
        <is>
          <t>Avalanche schedule</t>
        </is>
      </c>
    </row>
    <row r="3">
      <c r="B3" s="10" t="inlineStr">
        <is>
          <t>Highest APR first. Each paid-off debt's payment rolls into the next one.</t>
        </is>
      </c>
    </row>
    <row r="4" ht="8" customHeight="1">
      <c r="B4" s="11" t="n"/>
      <c r="C4" s="11" t="n"/>
      <c r="D4" s="11" t="n"/>
      <c r="E4" s="11" t="n"/>
      <c r="F4" s="11" t="n"/>
    </row>
    <row r="5">
      <c r="G5" s="38">
        <f>"Payoff #1: "&amp;IF(K6="","(empty)",K6)</f>
        <v/>
      </c>
      <c r="M5" s="38">
        <f>"Payoff #2: "&amp;IF(Q6="","(empty)",Q6)</f>
        <v/>
      </c>
      <c r="S5" s="38">
        <f>"Payoff #3: "&amp;IF(W6="","(empty)",W6)</f>
        <v/>
      </c>
      <c r="Y5" s="38">
        <f>"Payoff #4: "&amp;IF(AC6="","(empty)",AC6)</f>
        <v/>
      </c>
      <c r="AE5" s="38">
        <f>"Payoff #5: "&amp;IF(AI6="","(empty)",AI6)</f>
        <v/>
      </c>
      <c r="AK5" s="38">
        <f>"Payoff #6: "&amp;IF(AO6="","(empty)",AO6)</f>
        <v/>
      </c>
      <c r="AQ5" s="38">
        <f>"Payoff #7: "&amp;IF(AU6="","(empty)",AU6)</f>
        <v/>
      </c>
      <c r="AW5" s="38">
        <f>"Payoff #8: "&amp;IF(BA6="","(empty)",BA6)</f>
        <v/>
      </c>
      <c r="BC5" s="38">
        <f>"Payoff #9: "&amp;IF(BG6="","(empty)",BG6)</f>
        <v/>
      </c>
      <c r="BI5" s="38">
        <f>"Payoff #10: "&amp;IF(BM6="","(empty)",BM6)</f>
        <v/>
      </c>
    </row>
    <row r="6" hidden="1">
      <c r="G6">
        <f>MATCH(1,'My Debts'!$K$10:$K$19,0)</f>
        <v/>
      </c>
      <c r="H6">
        <f>N(INDEX('My Debts'!$D$10:$D$19,G$6))/100</f>
        <v/>
      </c>
      <c r="I6">
        <f>IF(INDEX('My Debts'!$B$10:$B$19,G$6)="",0,N(INDEX('My Debts'!$E$10:$E$19,G$6)))</f>
        <v/>
      </c>
      <c r="J6">
        <f>IF(INDEX('My Debts'!$B$10:$B$19,G$6)="",0,N(INDEX('My Debts'!$C$10:$C$19,G$6)))</f>
        <v/>
      </c>
      <c r="K6">
        <f>IF(INDEX('My Debts'!$B$10:$B$19,G$6)="","",INDEX('My Debts'!$B$10:$B$19,G$6))</f>
        <v/>
      </c>
      <c r="M6">
        <f>MATCH(2,'My Debts'!$K$10:$K$19,0)</f>
        <v/>
      </c>
      <c r="N6">
        <f>N(INDEX('My Debts'!$D$10:$D$19,M$6))/100</f>
        <v/>
      </c>
      <c r="O6">
        <f>IF(INDEX('My Debts'!$B$10:$B$19,M$6)="",0,N(INDEX('My Debts'!$E$10:$E$19,M$6)))</f>
        <v/>
      </c>
      <c r="P6">
        <f>IF(INDEX('My Debts'!$B$10:$B$19,M$6)="",0,N(INDEX('My Debts'!$C$10:$C$19,M$6)))</f>
        <v/>
      </c>
      <c r="Q6">
        <f>IF(INDEX('My Debts'!$B$10:$B$19,M$6)="","",INDEX('My Debts'!$B$10:$B$19,M$6))</f>
        <v/>
      </c>
      <c r="S6">
        <f>MATCH(3,'My Debts'!$K$10:$K$19,0)</f>
        <v/>
      </c>
      <c r="T6">
        <f>N(INDEX('My Debts'!$D$10:$D$19,S$6))/100</f>
        <v/>
      </c>
      <c r="U6">
        <f>IF(INDEX('My Debts'!$B$10:$B$19,S$6)="",0,N(INDEX('My Debts'!$E$10:$E$19,S$6)))</f>
        <v/>
      </c>
      <c r="V6">
        <f>IF(INDEX('My Debts'!$B$10:$B$19,S$6)="",0,N(INDEX('My Debts'!$C$10:$C$19,S$6)))</f>
        <v/>
      </c>
      <c r="W6">
        <f>IF(INDEX('My Debts'!$B$10:$B$19,S$6)="","",INDEX('My Debts'!$B$10:$B$19,S$6))</f>
        <v/>
      </c>
      <c r="Y6">
        <f>MATCH(4,'My Debts'!$K$10:$K$19,0)</f>
        <v/>
      </c>
      <c r="Z6">
        <f>N(INDEX('My Debts'!$D$10:$D$19,Y$6))/100</f>
        <v/>
      </c>
      <c r="AA6">
        <f>IF(INDEX('My Debts'!$B$10:$B$19,Y$6)="",0,N(INDEX('My Debts'!$E$10:$E$19,Y$6)))</f>
        <v/>
      </c>
      <c r="AB6">
        <f>IF(INDEX('My Debts'!$B$10:$B$19,Y$6)="",0,N(INDEX('My Debts'!$C$10:$C$19,Y$6)))</f>
        <v/>
      </c>
      <c r="AC6">
        <f>IF(INDEX('My Debts'!$B$10:$B$19,Y$6)="","",INDEX('My Debts'!$B$10:$B$19,Y$6))</f>
        <v/>
      </c>
      <c r="AE6">
        <f>MATCH(5,'My Debts'!$K$10:$K$19,0)</f>
        <v/>
      </c>
      <c r="AF6">
        <f>N(INDEX('My Debts'!$D$10:$D$19,AE$6))/100</f>
        <v/>
      </c>
      <c r="AG6">
        <f>IF(INDEX('My Debts'!$B$10:$B$19,AE$6)="",0,N(INDEX('My Debts'!$E$10:$E$19,AE$6)))</f>
        <v/>
      </c>
      <c r="AH6">
        <f>IF(INDEX('My Debts'!$B$10:$B$19,AE$6)="",0,N(INDEX('My Debts'!$C$10:$C$19,AE$6)))</f>
        <v/>
      </c>
      <c r="AI6">
        <f>IF(INDEX('My Debts'!$B$10:$B$19,AE$6)="","",INDEX('My Debts'!$B$10:$B$19,AE$6))</f>
        <v/>
      </c>
      <c r="AK6">
        <f>MATCH(6,'My Debts'!$K$10:$K$19,0)</f>
        <v/>
      </c>
      <c r="AL6">
        <f>N(INDEX('My Debts'!$D$10:$D$19,AK$6))/100</f>
        <v/>
      </c>
      <c r="AM6">
        <f>IF(INDEX('My Debts'!$B$10:$B$19,AK$6)="",0,N(INDEX('My Debts'!$E$10:$E$19,AK$6)))</f>
        <v/>
      </c>
      <c r="AN6">
        <f>IF(INDEX('My Debts'!$B$10:$B$19,AK$6)="",0,N(INDEX('My Debts'!$C$10:$C$19,AK$6)))</f>
        <v/>
      </c>
      <c r="AO6">
        <f>IF(INDEX('My Debts'!$B$10:$B$19,AK$6)="","",INDEX('My Debts'!$B$10:$B$19,AK$6))</f>
        <v/>
      </c>
      <c r="AQ6">
        <f>MATCH(7,'My Debts'!$K$10:$K$19,0)</f>
        <v/>
      </c>
      <c r="AR6">
        <f>N(INDEX('My Debts'!$D$10:$D$19,AQ$6))/100</f>
        <v/>
      </c>
      <c r="AS6">
        <f>IF(INDEX('My Debts'!$B$10:$B$19,AQ$6)="",0,N(INDEX('My Debts'!$E$10:$E$19,AQ$6)))</f>
        <v/>
      </c>
      <c r="AT6">
        <f>IF(INDEX('My Debts'!$B$10:$B$19,AQ$6)="",0,N(INDEX('My Debts'!$C$10:$C$19,AQ$6)))</f>
        <v/>
      </c>
      <c r="AU6">
        <f>IF(INDEX('My Debts'!$B$10:$B$19,AQ$6)="","",INDEX('My Debts'!$B$10:$B$19,AQ$6))</f>
        <v/>
      </c>
      <c r="AW6">
        <f>MATCH(8,'My Debts'!$K$10:$K$19,0)</f>
        <v/>
      </c>
      <c r="AX6">
        <f>N(INDEX('My Debts'!$D$10:$D$19,AW$6))/100</f>
        <v/>
      </c>
      <c r="AY6">
        <f>IF(INDEX('My Debts'!$B$10:$B$19,AW$6)="",0,N(INDEX('My Debts'!$E$10:$E$19,AW$6)))</f>
        <v/>
      </c>
      <c r="AZ6">
        <f>IF(INDEX('My Debts'!$B$10:$B$19,AW$6)="",0,N(INDEX('My Debts'!$C$10:$C$19,AW$6)))</f>
        <v/>
      </c>
      <c r="BA6">
        <f>IF(INDEX('My Debts'!$B$10:$B$19,AW$6)="","",INDEX('My Debts'!$B$10:$B$19,AW$6))</f>
        <v/>
      </c>
      <c r="BC6">
        <f>MATCH(9,'My Debts'!$K$10:$K$19,0)</f>
        <v/>
      </c>
      <c r="BD6">
        <f>N(INDEX('My Debts'!$D$10:$D$19,BC$6))/100</f>
        <v/>
      </c>
      <c r="BE6">
        <f>IF(INDEX('My Debts'!$B$10:$B$19,BC$6)="",0,N(INDEX('My Debts'!$E$10:$E$19,BC$6)))</f>
        <v/>
      </c>
      <c r="BF6">
        <f>IF(INDEX('My Debts'!$B$10:$B$19,BC$6)="",0,N(INDEX('My Debts'!$C$10:$C$19,BC$6)))</f>
        <v/>
      </c>
      <c r="BG6">
        <f>IF(INDEX('My Debts'!$B$10:$B$19,BC$6)="","",INDEX('My Debts'!$B$10:$B$19,BC$6))</f>
        <v/>
      </c>
      <c r="BI6">
        <f>MATCH(10,'My Debts'!$K$10:$K$19,0)</f>
        <v/>
      </c>
      <c r="BJ6">
        <f>N(INDEX('My Debts'!$D$10:$D$19,BI$6))/100</f>
        <v/>
      </c>
      <c r="BK6">
        <f>IF(INDEX('My Debts'!$B$10:$B$19,BI$6)="",0,N(INDEX('My Debts'!$E$10:$E$19,BI$6)))</f>
        <v/>
      </c>
      <c r="BL6">
        <f>IF(INDEX('My Debts'!$B$10:$B$19,BI$6)="",0,N(INDEX('My Debts'!$C$10:$C$19,BI$6)))</f>
        <v/>
      </c>
      <c r="BM6">
        <f>IF(INDEX('My Debts'!$B$10:$B$19,BI$6)="","",INDEX('My Debts'!$B$10:$B$19,BI$6))</f>
        <v/>
      </c>
    </row>
    <row r="7" ht="30" customHeight="1">
      <c r="A7" s="17" t="inlineStr">
        <is>
          <t>Month</t>
        </is>
      </c>
      <c r="B7" s="17" t="inlineStr">
        <is>
          <t>Date</t>
        </is>
      </c>
      <c r="C7" s="17" t="inlineStr">
        <is>
          <t>Total owed (end)</t>
        </is>
      </c>
      <c r="D7" s="17" t="inlineStr">
        <is>
          <t>Paid this month</t>
        </is>
      </c>
      <c r="E7" s="17" t="inlineStr">
        <is>
          <t>Interest this month</t>
        </is>
      </c>
      <c r="G7" s="17" t="inlineStr">
        <is>
          <t>Start balance</t>
        </is>
      </c>
      <c r="H7" s="17" t="inlineStr">
        <is>
          <t>Interest</t>
        </is>
      </c>
      <c r="I7" s="17" t="inlineStr">
        <is>
          <t>Minimum paid</t>
        </is>
      </c>
      <c r="J7" s="17" t="inlineStr">
        <is>
          <t>Extra paid</t>
        </is>
      </c>
      <c r="K7" s="17" t="inlineStr">
        <is>
          <t>End balance</t>
        </is>
      </c>
      <c r="M7" s="17" t="inlineStr">
        <is>
          <t>Start balance</t>
        </is>
      </c>
      <c r="N7" s="17" t="inlineStr">
        <is>
          <t>Interest</t>
        </is>
      </c>
      <c r="O7" s="17" t="inlineStr">
        <is>
          <t>Minimum paid</t>
        </is>
      </c>
      <c r="P7" s="17" t="inlineStr">
        <is>
          <t>Extra paid</t>
        </is>
      </c>
      <c r="Q7" s="17" t="inlineStr">
        <is>
          <t>End balance</t>
        </is>
      </c>
      <c r="S7" s="17" t="inlineStr">
        <is>
          <t>Start balance</t>
        </is>
      </c>
      <c r="T7" s="17" t="inlineStr">
        <is>
          <t>Interest</t>
        </is>
      </c>
      <c r="U7" s="17" t="inlineStr">
        <is>
          <t>Minimum paid</t>
        </is>
      </c>
      <c r="V7" s="17" t="inlineStr">
        <is>
          <t>Extra paid</t>
        </is>
      </c>
      <c r="W7" s="17" t="inlineStr">
        <is>
          <t>End balance</t>
        </is>
      </c>
      <c r="Y7" s="17" t="inlineStr">
        <is>
          <t>Start balance</t>
        </is>
      </c>
      <c r="Z7" s="17" t="inlineStr">
        <is>
          <t>Interest</t>
        </is>
      </c>
      <c r="AA7" s="17" t="inlineStr">
        <is>
          <t>Minimum paid</t>
        </is>
      </c>
      <c r="AB7" s="17" t="inlineStr">
        <is>
          <t>Extra paid</t>
        </is>
      </c>
      <c r="AC7" s="17" t="inlineStr">
        <is>
          <t>End balance</t>
        </is>
      </c>
      <c r="AE7" s="17" t="inlineStr">
        <is>
          <t>Start balance</t>
        </is>
      </c>
      <c r="AF7" s="17" t="inlineStr">
        <is>
          <t>Interest</t>
        </is>
      </c>
      <c r="AG7" s="17" t="inlineStr">
        <is>
          <t>Minimum paid</t>
        </is>
      </c>
      <c r="AH7" s="17" t="inlineStr">
        <is>
          <t>Extra paid</t>
        </is>
      </c>
      <c r="AI7" s="17" t="inlineStr">
        <is>
          <t>End balance</t>
        </is>
      </c>
      <c r="AK7" s="17" t="inlineStr">
        <is>
          <t>Start balance</t>
        </is>
      </c>
      <c r="AL7" s="17" t="inlineStr">
        <is>
          <t>Interest</t>
        </is>
      </c>
      <c r="AM7" s="17" t="inlineStr">
        <is>
          <t>Minimum paid</t>
        </is>
      </c>
      <c r="AN7" s="17" t="inlineStr">
        <is>
          <t>Extra paid</t>
        </is>
      </c>
      <c r="AO7" s="17" t="inlineStr">
        <is>
          <t>End balance</t>
        </is>
      </c>
      <c r="AQ7" s="17" t="inlineStr">
        <is>
          <t>Start balance</t>
        </is>
      </c>
      <c r="AR7" s="17" t="inlineStr">
        <is>
          <t>Interest</t>
        </is>
      </c>
      <c r="AS7" s="17" t="inlineStr">
        <is>
          <t>Minimum paid</t>
        </is>
      </c>
      <c r="AT7" s="17" t="inlineStr">
        <is>
          <t>Extra paid</t>
        </is>
      </c>
      <c r="AU7" s="17" t="inlineStr">
        <is>
          <t>End balance</t>
        </is>
      </c>
      <c r="AW7" s="17" t="inlineStr">
        <is>
          <t>Start balance</t>
        </is>
      </c>
      <c r="AX7" s="17" t="inlineStr">
        <is>
          <t>Interest</t>
        </is>
      </c>
      <c r="AY7" s="17" t="inlineStr">
        <is>
          <t>Minimum paid</t>
        </is>
      </c>
      <c r="AZ7" s="17" t="inlineStr">
        <is>
          <t>Extra paid</t>
        </is>
      </c>
      <c r="BA7" s="17" t="inlineStr">
        <is>
          <t>End balance</t>
        </is>
      </c>
      <c r="BC7" s="17" t="inlineStr">
        <is>
          <t>Start balance</t>
        </is>
      </c>
      <c r="BD7" s="17" t="inlineStr">
        <is>
          <t>Interest</t>
        </is>
      </c>
      <c r="BE7" s="17" t="inlineStr">
        <is>
          <t>Minimum paid</t>
        </is>
      </c>
      <c r="BF7" s="17" t="inlineStr">
        <is>
          <t>Extra paid</t>
        </is>
      </c>
      <c r="BG7" s="17" t="inlineStr">
        <is>
          <t>End balance</t>
        </is>
      </c>
      <c r="BI7" s="17" t="inlineStr">
        <is>
          <t>Start balance</t>
        </is>
      </c>
      <c r="BJ7" s="17" t="inlineStr">
        <is>
          <t>Interest</t>
        </is>
      </c>
      <c r="BK7" s="17" t="inlineStr">
        <is>
          <t>Minimum paid</t>
        </is>
      </c>
      <c r="BL7" s="17" t="inlineStr">
        <is>
          <t>Extra paid</t>
        </is>
      </c>
      <c r="BM7" s="17" t="inlineStr">
        <is>
          <t>End balance</t>
        </is>
      </c>
    </row>
    <row r="8">
      <c r="A8" s="39" t="n">
        <v>1</v>
      </c>
      <c r="B8" s="40">
        <f>EDATE('My Debts'!$C$6,A8-1)</f>
        <v/>
      </c>
      <c r="C8" s="41">
        <f>K8+Q8+W8+AC8+AI8+AO8+AU8+BA8+BG8+BM8</f>
        <v/>
      </c>
      <c r="D8" s="42">
        <f>I8+O8+U8+AA8+AG8+AM8+AS8+AY8+BE8+BK8+J8+P8+V8+AB8+AH8+AN8+AT8+AZ8+BF8+BL8</f>
        <v/>
      </c>
      <c r="E8" s="42">
        <f>H8+N8+T8+Z8+AF8+AL8+AR8+AX8+BD8+BJ8</f>
        <v/>
      </c>
      <c r="F8">
        <f>MAX(0,'My Debts'!$E$21-(I8+O8+U8+AA8+AG8+AM8+AS8+AY8+BE8+BK8))</f>
        <v/>
      </c>
      <c r="G8" s="42">
        <f>J$6</f>
        <v/>
      </c>
      <c r="H8" s="42">
        <f>ROUND(G8*H$6/12,2)</f>
        <v/>
      </c>
      <c r="I8" s="42">
        <f>MIN(I$6,G8+H8)</f>
        <v/>
      </c>
      <c r="J8" s="42">
        <f>MAX(0,MIN(G8+H8-I8,$F8))</f>
        <v/>
      </c>
      <c r="K8" s="42">
        <f>ROUND(G8+H8-I8-J8,2)</f>
        <v/>
      </c>
      <c r="L8">
        <f>$F8-J8</f>
        <v/>
      </c>
      <c r="M8" s="42">
        <f>P$6</f>
        <v/>
      </c>
      <c r="N8" s="42">
        <f>ROUND(M8*N$6/12,2)</f>
        <v/>
      </c>
      <c r="O8" s="42">
        <f>MIN(O$6,M8+N8)</f>
        <v/>
      </c>
      <c r="P8" s="42">
        <f>MAX(0,MIN(M8+N8-O8,L8))</f>
        <v/>
      </c>
      <c r="Q8" s="42">
        <f>ROUND(M8+N8-O8-P8,2)</f>
        <v/>
      </c>
      <c r="R8">
        <f>L8-P8</f>
        <v/>
      </c>
      <c r="S8" s="42">
        <f>V$6</f>
        <v/>
      </c>
      <c r="T8" s="42">
        <f>ROUND(S8*T$6/12,2)</f>
        <v/>
      </c>
      <c r="U8" s="42">
        <f>MIN(U$6,S8+T8)</f>
        <v/>
      </c>
      <c r="V8" s="42">
        <f>MAX(0,MIN(S8+T8-U8,R8))</f>
        <v/>
      </c>
      <c r="W8" s="42">
        <f>ROUND(S8+T8-U8-V8,2)</f>
        <v/>
      </c>
      <c r="X8">
        <f>R8-V8</f>
        <v/>
      </c>
      <c r="Y8" s="42">
        <f>AB$6</f>
        <v/>
      </c>
      <c r="Z8" s="42">
        <f>ROUND(Y8*Z$6/12,2)</f>
        <v/>
      </c>
      <c r="AA8" s="42">
        <f>MIN(AA$6,Y8+Z8)</f>
        <v/>
      </c>
      <c r="AB8" s="42">
        <f>MAX(0,MIN(Y8+Z8-AA8,X8))</f>
        <v/>
      </c>
      <c r="AC8" s="42">
        <f>ROUND(Y8+Z8-AA8-AB8,2)</f>
        <v/>
      </c>
      <c r="AD8">
        <f>X8-AB8</f>
        <v/>
      </c>
      <c r="AE8" s="42">
        <f>AH$6</f>
        <v/>
      </c>
      <c r="AF8" s="42">
        <f>ROUND(AE8*AF$6/12,2)</f>
        <v/>
      </c>
      <c r="AG8" s="42">
        <f>MIN(AG$6,AE8+AF8)</f>
        <v/>
      </c>
      <c r="AH8" s="42">
        <f>MAX(0,MIN(AE8+AF8-AG8,AD8))</f>
        <v/>
      </c>
      <c r="AI8" s="42">
        <f>ROUND(AE8+AF8-AG8-AH8,2)</f>
        <v/>
      </c>
      <c r="AJ8">
        <f>AD8-AH8</f>
        <v/>
      </c>
      <c r="AK8" s="42">
        <f>AN$6</f>
        <v/>
      </c>
      <c r="AL8" s="42">
        <f>ROUND(AK8*AL$6/12,2)</f>
        <v/>
      </c>
      <c r="AM8" s="42">
        <f>MIN(AM$6,AK8+AL8)</f>
        <v/>
      </c>
      <c r="AN8" s="42">
        <f>MAX(0,MIN(AK8+AL8-AM8,AJ8))</f>
        <v/>
      </c>
      <c r="AO8" s="42">
        <f>ROUND(AK8+AL8-AM8-AN8,2)</f>
        <v/>
      </c>
      <c r="AP8">
        <f>AJ8-AN8</f>
        <v/>
      </c>
      <c r="AQ8" s="42">
        <f>AT$6</f>
        <v/>
      </c>
      <c r="AR8" s="42">
        <f>ROUND(AQ8*AR$6/12,2)</f>
        <v/>
      </c>
      <c r="AS8" s="42">
        <f>MIN(AS$6,AQ8+AR8)</f>
        <v/>
      </c>
      <c r="AT8" s="42">
        <f>MAX(0,MIN(AQ8+AR8-AS8,AP8))</f>
        <v/>
      </c>
      <c r="AU8" s="42">
        <f>ROUND(AQ8+AR8-AS8-AT8,2)</f>
        <v/>
      </c>
      <c r="AV8">
        <f>AP8-AT8</f>
        <v/>
      </c>
      <c r="AW8" s="42">
        <f>AZ$6</f>
        <v/>
      </c>
      <c r="AX8" s="42">
        <f>ROUND(AW8*AX$6/12,2)</f>
        <v/>
      </c>
      <c r="AY8" s="42">
        <f>MIN(AY$6,AW8+AX8)</f>
        <v/>
      </c>
      <c r="AZ8" s="42">
        <f>MAX(0,MIN(AW8+AX8-AY8,AV8))</f>
        <v/>
      </c>
      <c r="BA8" s="42">
        <f>ROUND(AW8+AX8-AY8-AZ8,2)</f>
        <v/>
      </c>
      <c r="BB8">
        <f>AV8-AZ8</f>
        <v/>
      </c>
      <c r="BC8" s="42">
        <f>BF$6</f>
        <v/>
      </c>
      <c r="BD8" s="42">
        <f>ROUND(BC8*BD$6/12,2)</f>
        <v/>
      </c>
      <c r="BE8" s="42">
        <f>MIN(BE$6,BC8+BD8)</f>
        <v/>
      </c>
      <c r="BF8" s="42">
        <f>MAX(0,MIN(BC8+BD8-BE8,BB8))</f>
        <v/>
      </c>
      <c r="BG8" s="42">
        <f>ROUND(BC8+BD8-BE8-BF8,2)</f>
        <v/>
      </c>
      <c r="BH8">
        <f>BB8-BF8</f>
        <v/>
      </c>
      <c r="BI8" s="42">
        <f>BL$6</f>
        <v/>
      </c>
      <c r="BJ8" s="42">
        <f>ROUND(BI8*BJ$6/12,2)</f>
        <v/>
      </c>
      <c r="BK8" s="42">
        <f>MIN(BK$6,BI8+BJ8)</f>
        <v/>
      </c>
      <c r="BL8" s="42">
        <f>MAX(0,MIN(BI8+BJ8-BK8,BH8))</f>
        <v/>
      </c>
      <c r="BM8" s="42">
        <f>ROUND(BI8+BJ8-BK8-BL8,2)</f>
        <v/>
      </c>
      <c r="BN8">
        <f>BH8-BL8</f>
        <v/>
      </c>
    </row>
    <row r="9">
      <c r="A9" s="43" t="n">
        <v>2</v>
      </c>
      <c r="B9" s="44">
        <f>EDATE('My Debts'!$C$6,A9-1)</f>
        <v/>
      </c>
      <c r="C9" s="45">
        <f>K9+Q9+W9+AC9+AI9+AO9+AU9+BA9+BG9+BM9</f>
        <v/>
      </c>
      <c r="D9" s="46">
        <f>I9+O9+U9+AA9+AG9+AM9+AS9+AY9+BE9+BK9+J9+P9+V9+AB9+AH9+AN9+AT9+AZ9+BF9+BL9</f>
        <v/>
      </c>
      <c r="E9" s="46">
        <f>H9+N9+T9+Z9+AF9+AL9+AR9+AX9+BD9+BJ9</f>
        <v/>
      </c>
      <c r="F9">
        <f>MAX(0,'My Debts'!$E$21-(I9+O9+U9+AA9+AG9+AM9+AS9+AY9+BE9+BK9))</f>
        <v/>
      </c>
      <c r="G9" s="42">
        <f>K8</f>
        <v/>
      </c>
      <c r="H9" s="42">
        <f>ROUND(G9*H$6/12,2)</f>
        <v/>
      </c>
      <c r="I9" s="42">
        <f>MIN(I$6,G9+H9)</f>
        <v/>
      </c>
      <c r="J9" s="42">
        <f>MAX(0,MIN(G9+H9-I9,$F9))</f>
        <v/>
      </c>
      <c r="K9" s="42">
        <f>ROUND(G9+H9-I9-J9,2)</f>
        <v/>
      </c>
      <c r="L9">
        <f>$F9-J9</f>
        <v/>
      </c>
      <c r="M9" s="42">
        <f>Q8</f>
        <v/>
      </c>
      <c r="N9" s="42">
        <f>ROUND(M9*N$6/12,2)</f>
        <v/>
      </c>
      <c r="O9" s="42">
        <f>MIN(O$6,M9+N9)</f>
        <v/>
      </c>
      <c r="P9" s="42">
        <f>MAX(0,MIN(M9+N9-O9,L9))</f>
        <v/>
      </c>
      <c r="Q9" s="42">
        <f>ROUND(M9+N9-O9-P9,2)</f>
        <v/>
      </c>
      <c r="R9">
        <f>L9-P9</f>
        <v/>
      </c>
      <c r="S9" s="42">
        <f>W8</f>
        <v/>
      </c>
      <c r="T9" s="42">
        <f>ROUND(S9*T$6/12,2)</f>
        <v/>
      </c>
      <c r="U9" s="42">
        <f>MIN(U$6,S9+T9)</f>
        <v/>
      </c>
      <c r="V9" s="42">
        <f>MAX(0,MIN(S9+T9-U9,R9))</f>
        <v/>
      </c>
      <c r="W9" s="42">
        <f>ROUND(S9+T9-U9-V9,2)</f>
        <v/>
      </c>
      <c r="X9">
        <f>R9-V9</f>
        <v/>
      </c>
      <c r="Y9" s="42">
        <f>AC8</f>
        <v/>
      </c>
      <c r="Z9" s="42">
        <f>ROUND(Y9*Z$6/12,2)</f>
        <v/>
      </c>
      <c r="AA9" s="42">
        <f>MIN(AA$6,Y9+Z9)</f>
        <v/>
      </c>
      <c r="AB9" s="42">
        <f>MAX(0,MIN(Y9+Z9-AA9,X9))</f>
        <v/>
      </c>
      <c r="AC9" s="42">
        <f>ROUND(Y9+Z9-AA9-AB9,2)</f>
        <v/>
      </c>
      <c r="AD9">
        <f>X9-AB9</f>
        <v/>
      </c>
      <c r="AE9" s="42">
        <f>AI8</f>
        <v/>
      </c>
      <c r="AF9" s="42">
        <f>ROUND(AE9*AF$6/12,2)</f>
        <v/>
      </c>
      <c r="AG9" s="42">
        <f>MIN(AG$6,AE9+AF9)</f>
        <v/>
      </c>
      <c r="AH9" s="42">
        <f>MAX(0,MIN(AE9+AF9-AG9,AD9))</f>
        <v/>
      </c>
      <c r="AI9" s="42">
        <f>ROUND(AE9+AF9-AG9-AH9,2)</f>
        <v/>
      </c>
      <c r="AJ9">
        <f>AD9-AH9</f>
        <v/>
      </c>
      <c r="AK9" s="42">
        <f>AO8</f>
        <v/>
      </c>
      <c r="AL9" s="42">
        <f>ROUND(AK9*AL$6/12,2)</f>
        <v/>
      </c>
      <c r="AM9" s="42">
        <f>MIN(AM$6,AK9+AL9)</f>
        <v/>
      </c>
      <c r="AN9" s="42">
        <f>MAX(0,MIN(AK9+AL9-AM9,AJ9))</f>
        <v/>
      </c>
      <c r="AO9" s="42">
        <f>ROUND(AK9+AL9-AM9-AN9,2)</f>
        <v/>
      </c>
      <c r="AP9">
        <f>AJ9-AN9</f>
        <v/>
      </c>
      <c r="AQ9" s="42">
        <f>AU8</f>
        <v/>
      </c>
      <c r="AR9" s="42">
        <f>ROUND(AQ9*AR$6/12,2)</f>
        <v/>
      </c>
      <c r="AS9" s="42">
        <f>MIN(AS$6,AQ9+AR9)</f>
        <v/>
      </c>
      <c r="AT9" s="42">
        <f>MAX(0,MIN(AQ9+AR9-AS9,AP9))</f>
        <v/>
      </c>
      <c r="AU9" s="42">
        <f>ROUND(AQ9+AR9-AS9-AT9,2)</f>
        <v/>
      </c>
      <c r="AV9">
        <f>AP9-AT9</f>
        <v/>
      </c>
      <c r="AW9" s="42">
        <f>BA8</f>
        <v/>
      </c>
      <c r="AX9" s="42">
        <f>ROUND(AW9*AX$6/12,2)</f>
        <v/>
      </c>
      <c r="AY9" s="42">
        <f>MIN(AY$6,AW9+AX9)</f>
        <v/>
      </c>
      <c r="AZ9" s="42">
        <f>MAX(0,MIN(AW9+AX9-AY9,AV9))</f>
        <v/>
      </c>
      <c r="BA9" s="42">
        <f>ROUND(AW9+AX9-AY9-AZ9,2)</f>
        <v/>
      </c>
      <c r="BB9">
        <f>AV9-AZ9</f>
        <v/>
      </c>
      <c r="BC9" s="42">
        <f>BG8</f>
        <v/>
      </c>
      <c r="BD9" s="42">
        <f>ROUND(BC9*BD$6/12,2)</f>
        <v/>
      </c>
      <c r="BE9" s="42">
        <f>MIN(BE$6,BC9+BD9)</f>
        <v/>
      </c>
      <c r="BF9" s="42">
        <f>MAX(0,MIN(BC9+BD9-BE9,BB9))</f>
        <v/>
      </c>
      <c r="BG9" s="42">
        <f>ROUND(BC9+BD9-BE9-BF9,2)</f>
        <v/>
      </c>
      <c r="BH9">
        <f>BB9-BF9</f>
        <v/>
      </c>
      <c r="BI9" s="42">
        <f>BM8</f>
        <v/>
      </c>
      <c r="BJ9" s="42">
        <f>ROUND(BI9*BJ$6/12,2)</f>
        <v/>
      </c>
      <c r="BK9" s="42">
        <f>MIN(BK$6,BI9+BJ9)</f>
        <v/>
      </c>
      <c r="BL9" s="42">
        <f>MAX(0,MIN(BI9+BJ9-BK9,BH9))</f>
        <v/>
      </c>
      <c r="BM9" s="42">
        <f>ROUND(BI9+BJ9-BK9-BL9,2)</f>
        <v/>
      </c>
      <c r="BN9">
        <f>BH9-BL9</f>
        <v/>
      </c>
    </row>
    <row r="10">
      <c r="A10" s="39" t="n">
        <v>3</v>
      </c>
      <c r="B10" s="40">
        <f>EDATE('My Debts'!$C$6,A10-1)</f>
        <v/>
      </c>
      <c r="C10" s="41">
        <f>K10+Q10+W10+AC10+AI10+AO10+AU10+BA10+BG10+BM10</f>
        <v/>
      </c>
      <c r="D10" s="42">
        <f>I10+O10+U10+AA10+AG10+AM10+AS10+AY10+BE10+BK10+J10+P10+V10+AB10+AH10+AN10+AT10+AZ10+BF10+BL10</f>
        <v/>
      </c>
      <c r="E10" s="42">
        <f>H10+N10+T10+Z10+AF10+AL10+AR10+AX10+BD10+BJ10</f>
        <v/>
      </c>
      <c r="F10">
        <f>MAX(0,'My Debts'!$E$21-(I10+O10+U10+AA10+AG10+AM10+AS10+AY10+BE10+BK10))</f>
        <v/>
      </c>
      <c r="G10" s="42">
        <f>K9</f>
        <v/>
      </c>
      <c r="H10" s="42">
        <f>ROUND(G10*H$6/12,2)</f>
        <v/>
      </c>
      <c r="I10" s="42">
        <f>MIN(I$6,G10+H10)</f>
        <v/>
      </c>
      <c r="J10" s="42">
        <f>MAX(0,MIN(G10+H10-I10,$F10))</f>
        <v/>
      </c>
      <c r="K10" s="42">
        <f>ROUND(G10+H10-I10-J10,2)</f>
        <v/>
      </c>
      <c r="L10">
        <f>$F10-J10</f>
        <v/>
      </c>
      <c r="M10" s="42">
        <f>Q9</f>
        <v/>
      </c>
      <c r="N10" s="42">
        <f>ROUND(M10*N$6/12,2)</f>
        <v/>
      </c>
      <c r="O10" s="42">
        <f>MIN(O$6,M10+N10)</f>
        <v/>
      </c>
      <c r="P10" s="42">
        <f>MAX(0,MIN(M10+N10-O10,L10))</f>
        <v/>
      </c>
      <c r="Q10" s="42">
        <f>ROUND(M10+N10-O10-P10,2)</f>
        <v/>
      </c>
      <c r="R10">
        <f>L10-P10</f>
        <v/>
      </c>
      <c r="S10" s="42">
        <f>W9</f>
        <v/>
      </c>
      <c r="T10" s="42">
        <f>ROUND(S10*T$6/12,2)</f>
        <v/>
      </c>
      <c r="U10" s="42">
        <f>MIN(U$6,S10+T10)</f>
        <v/>
      </c>
      <c r="V10" s="42">
        <f>MAX(0,MIN(S10+T10-U10,R10))</f>
        <v/>
      </c>
      <c r="W10" s="42">
        <f>ROUND(S10+T10-U10-V10,2)</f>
        <v/>
      </c>
      <c r="X10">
        <f>R10-V10</f>
        <v/>
      </c>
      <c r="Y10" s="42">
        <f>AC9</f>
        <v/>
      </c>
      <c r="Z10" s="42">
        <f>ROUND(Y10*Z$6/12,2)</f>
        <v/>
      </c>
      <c r="AA10" s="42">
        <f>MIN(AA$6,Y10+Z10)</f>
        <v/>
      </c>
      <c r="AB10" s="42">
        <f>MAX(0,MIN(Y10+Z10-AA10,X10))</f>
        <v/>
      </c>
      <c r="AC10" s="42">
        <f>ROUND(Y10+Z10-AA10-AB10,2)</f>
        <v/>
      </c>
      <c r="AD10">
        <f>X10-AB10</f>
        <v/>
      </c>
      <c r="AE10" s="42">
        <f>AI9</f>
        <v/>
      </c>
      <c r="AF10" s="42">
        <f>ROUND(AE10*AF$6/12,2)</f>
        <v/>
      </c>
      <c r="AG10" s="42">
        <f>MIN(AG$6,AE10+AF10)</f>
        <v/>
      </c>
      <c r="AH10" s="42">
        <f>MAX(0,MIN(AE10+AF10-AG10,AD10))</f>
        <v/>
      </c>
      <c r="AI10" s="42">
        <f>ROUND(AE10+AF10-AG10-AH10,2)</f>
        <v/>
      </c>
      <c r="AJ10">
        <f>AD10-AH10</f>
        <v/>
      </c>
      <c r="AK10" s="42">
        <f>AO9</f>
        <v/>
      </c>
      <c r="AL10" s="42">
        <f>ROUND(AK10*AL$6/12,2)</f>
        <v/>
      </c>
      <c r="AM10" s="42">
        <f>MIN(AM$6,AK10+AL10)</f>
        <v/>
      </c>
      <c r="AN10" s="42">
        <f>MAX(0,MIN(AK10+AL10-AM10,AJ10))</f>
        <v/>
      </c>
      <c r="AO10" s="42">
        <f>ROUND(AK10+AL10-AM10-AN10,2)</f>
        <v/>
      </c>
      <c r="AP10">
        <f>AJ10-AN10</f>
        <v/>
      </c>
      <c r="AQ10" s="42">
        <f>AU9</f>
        <v/>
      </c>
      <c r="AR10" s="42">
        <f>ROUND(AQ10*AR$6/12,2)</f>
        <v/>
      </c>
      <c r="AS10" s="42">
        <f>MIN(AS$6,AQ10+AR10)</f>
        <v/>
      </c>
      <c r="AT10" s="42">
        <f>MAX(0,MIN(AQ10+AR10-AS10,AP10))</f>
        <v/>
      </c>
      <c r="AU10" s="42">
        <f>ROUND(AQ10+AR10-AS10-AT10,2)</f>
        <v/>
      </c>
      <c r="AV10">
        <f>AP10-AT10</f>
        <v/>
      </c>
      <c r="AW10" s="42">
        <f>BA9</f>
        <v/>
      </c>
      <c r="AX10" s="42">
        <f>ROUND(AW10*AX$6/12,2)</f>
        <v/>
      </c>
      <c r="AY10" s="42">
        <f>MIN(AY$6,AW10+AX10)</f>
        <v/>
      </c>
      <c r="AZ10" s="42">
        <f>MAX(0,MIN(AW10+AX10-AY10,AV10))</f>
        <v/>
      </c>
      <c r="BA10" s="42">
        <f>ROUND(AW10+AX10-AY10-AZ10,2)</f>
        <v/>
      </c>
      <c r="BB10">
        <f>AV10-AZ10</f>
        <v/>
      </c>
      <c r="BC10" s="42">
        <f>BG9</f>
        <v/>
      </c>
      <c r="BD10" s="42">
        <f>ROUND(BC10*BD$6/12,2)</f>
        <v/>
      </c>
      <c r="BE10" s="42">
        <f>MIN(BE$6,BC10+BD10)</f>
        <v/>
      </c>
      <c r="BF10" s="42">
        <f>MAX(0,MIN(BC10+BD10-BE10,BB10))</f>
        <v/>
      </c>
      <c r="BG10" s="42">
        <f>ROUND(BC10+BD10-BE10-BF10,2)</f>
        <v/>
      </c>
      <c r="BH10">
        <f>BB10-BF10</f>
        <v/>
      </c>
      <c r="BI10" s="42">
        <f>BM9</f>
        <v/>
      </c>
      <c r="BJ10" s="42">
        <f>ROUND(BI10*BJ$6/12,2)</f>
        <v/>
      </c>
      <c r="BK10" s="42">
        <f>MIN(BK$6,BI10+BJ10)</f>
        <v/>
      </c>
      <c r="BL10" s="42">
        <f>MAX(0,MIN(BI10+BJ10-BK10,BH10))</f>
        <v/>
      </c>
      <c r="BM10" s="42">
        <f>ROUND(BI10+BJ10-BK10-BL10,2)</f>
        <v/>
      </c>
      <c r="BN10">
        <f>BH10-BL10</f>
        <v/>
      </c>
    </row>
    <row r="11">
      <c r="A11" s="43" t="n">
        <v>4</v>
      </c>
      <c r="B11" s="44">
        <f>EDATE('My Debts'!$C$6,A11-1)</f>
        <v/>
      </c>
      <c r="C11" s="45">
        <f>K11+Q11+W11+AC11+AI11+AO11+AU11+BA11+BG11+BM11</f>
        <v/>
      </c>
      <c r="D11" s="46">
        <f>I11+O11+U11+AA11+AG11+AM11+AS11+AY11+BE11+BK11+J11+P11+V11+AB11+AH11+AN11+AT11+AZ11+BF11+BL11</f>
        <v/>
      </c>
      <c r="E11" s="46">
        <f>H11+N11+T11+Z11+AF11+AL11+AR11+AX11+BD11+BJ11</f>
        <v/>
      </c>
      <c r="F11">
        <f>MAX(0,'My Debts'!$E$21-(I11+O11+U11+AA11+AG11+AM11+AS11+AY11+BE11+BK11))</f>
        <v/>
      </c>
      <c r="G11" s="42">
        <f>K10</f>
        <v/>
      </c>
      <c r="H11" s="42">
        <f>ROUND(G11*H$6/12,2)</f>
        <v/>
      </c>
      <c r="I11" s="42">
        <f>MIN(I$6,G11+H11)</f>
        <v/>
      </c>
      <c r="J11" s="42">
        <f>MAX(0,MIN(G11+H11-I11,$F11))</f>
        <v/>
      </c>
      <c r="K11" s="42">
        <f>ROUND(G11+H11-I11-J11,2)</f>
        <v/>
      </c>
      <c r="L11">
        <f>$F11-J11</f>
        <v/>
      </c>
      <c r="M11" s="42">
        <f>Q10</f>
        <v/>
      </c>
      <c r="N11" s="42">
        <f>ROUND(M11*N$6/12,2)</f>
        <v/>
      </c>
      <c r="O11" s="42">
        <f>MIN(O$6,M11+N11)</f>
        <v/>
      </c>
      <c r="P11" s="42">
        <f>MAX(0,MIN(M11+N11-O11,L11))</f>
        <v/>
      </c>
      <c r="Q11" s="42">
        <f>ROUND(M11+N11-O11-P11,2)</f>
        <v/>
      </c>
      <c r="R11">
        <f>L11-P11</f>
        <v/>
      </c>
      <c r="S11" s="42">
        <f>W10</f>
        <v/>
      </c>
      <c r="T11" s="42">
        <f>ROUND(S11*T$6/12,2)</f>
        <v/>
      </c>
      <c r="U11" s="42">
        <f>MIN(U$6,S11+T11)</f>
        <v/>
      </c>
      <c r="V11" s="42">
        <f>MAX(0,MIN(S11+T11-U11,R11))</f>
        <v/>
      </c>
      <c r="W11" s="42">
        <f>ROUND(S11+T11-U11-V11,2)</f>
        <v/>
      </c>
      <c r="X11">
        <f>R11-V11</f>
        <v/>
      </c>
      <c r="Y11" s="42">
        <f>AC10</f>
        <v/>
      </c>
      <c r="Z11" s="42">
        <f>ROUND(Y11*Z$6/12,2)</f>
        <v/>
      </c>
      <c r="AA11" s="42">
        <f>MIN(AA$6,Y11+Z11)</f>
        <v/>
      </c>
      <c r="AB11" s="42">
        <f>MAX(0,MIN(Y11+Z11-AA11,X11))</f>
        <v/>
      </c>
      <c r="AC11" s="42">
        <f>ROUND(Y11+Z11-AA11-AB11,2)</f>
        <v/>
      </c>
      <c r="AD11">
        <f>X11-AB11</f>
        <v/>
      </c>
      <c r="AE11" s="42">
        <f>AI10</f>
        <v/>
      </c>
      <c r="AF11" s="42">
        <f>ROUND(AE11*AF$6/12,2)</f>
        <v/>
      </c>
      <c r="AG11" s="42">
        <f>MIN(AG$6,AE11+AF11)</f>
        <v/>
      </c>
      <c r="AH11" s="42">
        <f>MAX(0,MIN(AE11+AF11-AG11,AD11))</f>
        <v/>
      </c>
      <c r="AI11" s="42">
        <f>ROUND(AE11+AF11-AG11-AH11,2)</f>
        <v/>
      </c>
      <c r="AJ11">
        <f>AD11-AH11</f>
        <v/>
      </c>
      <c r="AK11" s="42">
        <f>AO10</f>
        <v/>
      </c>
      <c r="AL11" s="42">
        <f>ROUND(AK11*AL$6/12,2)</f>
        <v/>
      </c>
      <c r="AM11" s="42">
        <f>MIN(AM$6,AK11+AL11)</f>
        <v/>
      </c>
      <c r="AN11" s="42">
        <f>MAX(0,MIN(AK11+AL11-AM11,AJ11))</f>
        <v/>
      </c>
      <c r="AO11" s="42">
        <f>ROUND(AK11+AL11-AM11-AN11,2)</f>
        <v/>
      </c>
      <c r="AP11">
        <f>AJ11-AN11</f>
        <v/>
      </c>
      <c r="AQ11" s="42">
        <f>AU10</f>
        <v/>
      </c>
      <c r="AR11" s="42">
        <f>ROUND(AQ11*AR$6/12,2)</f>
        <v/>
      </c>
      <c r="AS11" s="42">
        <f>MIN(AS$6,AQ11+AR11)</f>
        <v/>
      </c>
      <c r="AT11" s="42">
        <f>MAX(0,MIN(AQ11+AR11-AS11,AP11))</f>
        <v/>
      </c>
      <c r="AU11" s="42">
        <f>ROUND(AQ11+AR11-AS11-AT11,2)</f>
        <v/>
      </c>
      <c r="AV11">
        <f>AP11-AT11</f>
        <v/>
      </c>
      <c r="AW11" s="42">
        <f>BA10</f>
        <v/>
      </c>
      <c r="AX11" s="42">
        <f>ROUND(AW11*AX$6/12,2)</f>
        <v/>
      </c>
      <c r="AY11" s="42">
        <f>MIN(AY$6,AW11+AX11)</f>
        <v/>
      </c>
      <c r="AZ11" s="42">
        <f>MAX(0,MIN(AW11+AX11-AY11,AV11))</f>
        <v/>
      </c>
      <c r="BA11" s="42">
        <f>ROUND(AW11+AX11-AY11-AZ11,2)</f>
        <v/>
      </c>
      <c r="BB11">
        <f>AV11-AZ11</f>
        <v/>
      </c>
      <c r="BC11" s="42">
        <f>BG10</f>
        <v/>
      </c>
      <c r="BD11" s="42">
        <f>ROUND(BC11*BD$6/12,2)</f>
        <v/>
      </c>
      <c r="BE11" s="42">
        <f>MIN(BE$6,BC11+BD11)</f>
        <v/>
      </c>
      <c r="BF11" s="42">
        <f>MAX(0,MIN(BC11+BD11-BE11,BB11))</f>
        <v/>
      </c>
      <c r="BG11" s="42">
        <f>ROUND(BC11+BD11-BE11-BF11,2)</f>
        <v/>
      </c>
      <c r="BH11">
        <f>BB11-BF11</f>
        <v/>
      </c>
      <c r="BI11" s="42">
        <f>BM10</f>
        <v/>
      </c>
      <c r="BJ11" s="42">
        <f>ROUND(BI11*BJ$6/12,2)</f>
        <v/>
      </c>
      <c r="BK11" s="42">
        <f>MIN(BK$6,BI11+BJ11)</f>
        <v/>
      </c>
      <c r="BL11" s="42">
        <f>MAX(0,MIN(BI11+BJ11-BK11,BH11))</f>
        <v/>
      </c>
      <c r="BM11" s="42">
        <f>ROUND(BI11+BJ11-BK11-BL11,2)</f>
        <v/>
      </c>
      <c r="BN11">
        <f>BH11-BL11</f>
        <v/>
      </c>
    </row>
    <row r="12">
      <c r="A12" s="39" t="n">
        <v>5</v>
      </c>
      <c r="B12" s="40">
        <f>EDATE('My Debts'!$C$6,A12-1)</f>
        <v/>
      </c>
      <c r="C12" s="41">
        <f>K12+Q12+W12+AC12+AI12+AO12+AU12+BA12+BG12+BM12</f>
        <v/>
      </c>
      <c r="D12" s="42">
        <f>I12+O12+U12+AA12+AG12+AM12+AS12+AY12+BE12+BK12+J12+P12+V12+AB12+AH12+AN12+AT12+AZ12+BF12+BL12</f>
        <v/>
      </c>
      <c r="E12" s="42">
        <f>H12+N12+T12+Z12+AF12+AL12+AR12+AX12+BD12+BJ12</f>
        <v/>
      </c>
      <c r="F12">
        <f>MAX(0,'My Debts'!$E$21-(I12+O12+U12+AA12+AG12+AM12+AS12+AY12+BE12+BK12))</f>
        <v/>
      </c>
      <c r="G12" s="42">
        <f>K11</f>
        <v/>
      </c>
      <c r="H12" s="42">
        <f>ROUND(G12*H$6/12,2)</f>
        <v/>
      </c>
      <c r="I12" s="42">
        <f>MIN(I$6,G12+H12)</f>
        <v/>
      </c>
      <c r="J12" s="42">
        <f>MAX(0,MIN(G12+H12-I12,$F12))</f>
        <v/>
      </c>
      <c r="K12" s="42">
        <f>ROUND(G12+H12-I12-J12,2)</f>
        <v/>
      </c>
      <c r="L12">
        <f>$F12-J12</f>
        <v/>
      </c>
      <c r="M12" s="42">
        <f>Q11</f>
        <v/>
      </c>
      <c r="N12" s="42">
        <f>ROUND(M12*N$6/12,2)</f>
        <v/>
      </c>
      <c r="O12" s="42">
        <f>MIN(O$6,M12+N12)</f>
        <v/>
      </c>
      <c r="P12" s="42">
        <f>MAX(0,MIN(M12+N12-O12,L12))</f>
        <v/>
      </c>
      <c r="Q12" s="42">
        <f>ROUND(M12+N12-O12-P12,2)</f>
        <v/>
      </c>
      <c r="R12">
        <f>L12-P12</f>
        <v/>
      </c>
      <c r="S12" s="42">
        <f>W11</f>
        <v/>
      </c>
      <c r="T12" s="42">
        <f>ROUND(S12*T$6/12,2)</f>
        <v/>
      </c>
      <c r="U12" s="42">
        <f>MIN(U$6,S12+T12)</f>
        <v/>
      </c>
      <c r="V12" s="42">
        <f>MAX(0,MIN(S12+T12-U12,R12))</f>
        <v/>
      </c>
      <c r="W12" s="42">
        <f>ROUND(S12+T12-U12-V12,2)</f>
        <v/>
      </c>
      <c r="X12">
        <f>R12-V12</f>
        <v/>
      </c>
      <c r="Y12" s="42">
        <f>AC11</f>
        <v/>
      </c>
      <c r="Z12" s="42">
        <f>ROUND(Y12*Z$6/12,2)</f>
        <v/>
      </c>
      <c r="AA12" s="42">
        <f>MIN(AA$6,Y12+Z12)</f>
        <v/>
      </c>
      <c r="AB12" s="42">
        <f>MAX(0,MIN(Y12+Z12-AA12,X12))</f>
        <v/>
      </c>
      <c r="AC12" s="42">
        <f>ROUND(Y12+Z12-AA12-AB12,2)</f>
        <v/>
      </c>
      <c r="AD12">
        <f>X12-AB12</f>
        <v/>
      </c>
      <c r="AE12" s="42">
        <f>AI11</f>
        <v/>
      </c>
      <c r="AF12" s="42">
        <f>ROUND(AE12*AF$6/12,2)</f>
        <v/>
      </c>
      <c r="AG12" s="42">
        <f>MIN(AG$6,AE12+AF12)</f>
        <v/>
      </c>
      <c r="AH12" s="42">
        <f>MAX(0,MIN(AE12+AF12-AG12,AD12))</f>
        <v/>
      </c>
      <c r="AI12" s="42">
        <f>ROUND(AE12+AF12-AG12-AH12,2)</f>
        <v/>
      </c>
      <c r="AJ12">
        <f>AD12-AH12</f>
        <v/>
      </c>
      <c r="AK12" s="42">
        <f>AO11</f>
        <v/>
      </c>
      <c r="AL12" s="42">
        <f>ROUND(AK12*AL$6/12,2)</f>
        <v/>
      </c>
      <c r="AM12" s="42">
        <f>MIN(AM$6,AK12+AL12)</f>
        <v/>
      </c>
      <c r="AN12" s="42">
        <f>MAX(0,MIN(AK12+AL12-AM12,AJ12))</f>
        <v/>
      </c>
      <c r="AO12" s="42">
        <f>ROUND(AK12+AL12-AM12-AN12,2)</f>
        <v/>
      </c>
      <c r="AP12">
        <f>AJ12-AN12</f>
        <v/>
      </c>
      <c r="AQ12" s="42">
        <f>AU11</f>
        <v/>
      </c>
      <c r="AR12" s="42">
        <f>ROUND(AQ12*AR$6/12,2)</f>
        <v/>
      </c>
      <c r="AS12" s="42">
        <f>MIN(AS$6,AQ12+AR12)</f>
        <v/>
      </c>
      <c r="AT12" s="42">
        <f>MAX(0,MIN(AQ12+AR12-AS12,AP12))</f>
        <v/>
      </c>
      <c r="AU12" s="42">
        <f>ROUND(AQ12+AR12-AS12-AT12,2)</f>
        <v/>
      </c>
      <c r="AV12">
        <f>AP12-AT12</f>
        <v/>
      </c>
      <c r="AW12" s="42">
        <f>BA11</f>
        <v/>
      </c>
      <c r="AX12" s="42">
        <f>ROUND(AW12*AX$6/12,2)</f>
        <v/>
      </c>
      <c r="AY12" s="42">
        <f>MIN(AY$6,AW12+AX12)</f>
        <v/>
      </c>
      <c r="AZ12" s="42">
        <f>MAX(0,MIN(AW12+AX12-AY12,AV12))</f>
        <v/>
      </c>
      <c r="BA12" s="42">
        <f>ROUND(AW12+AX12-AY12-AZ12,2)</f>
        <v/>
      </c>
      <c r="BB12">
        <f>AV12-AZ12</f>
        <v/>
      </c>
      <c r="BC12" s="42">
        <f>BG11</f>
        <v/>
      </c>
      <c r="BD12" s="42">
        <f>ROUND(BC12*BD$6/12,2)</f>
        <v/>
      </c>
      <c r="BE12" s="42">
        <f>MIN(BE$6,BC12+BD12)</f>
        <v/>
      </c>
      <c r="BF12" s="42">
        <f>MAX(0,MIN(BC12+BD12-BE12,BB12))</f>
        <v/>
      </c>
      <c r="BG12" s="42">
        <f>ROUND(BC12+BD12-BE12-BF12,2)</f>
        <v/>
      </c>
      <c r="BH12">
        <f>BB12-BF12</f>
        <v/>
      </c>
      <c r="BI12" s="42">
        <f>BM11</f>
        <v/>
      </c>
      <c r="BJ12" s="42">
        <f>ROUND(BI12*BJ$6/12,2)</f>
        <v/>
      </c>
      <c r="BK12" s="42">
        <f>MIN(BK$6,BI12+BJ12)</f>
        <v/>
      </c>
      <c r="BL12" s="42">
        <f>MAX(0,MIN(BI12+BJ12-BK12,BH12))</f>
        <v/>
      </c>
      <c r="BM12" s="42">
        <f>ROUND(BI12+BJ12-BK12-BL12,2)</f>
        <v/>
      </c>
      <c r="BN12">
        <f>BH12-BL12</f>
        <v/>
      </c>
    </row>
    <row r="13">
      <c r="A13" s="43" t="n">
        <v>6</v>
      </c>
      <c r="B13" s="44">
        <f>EDATE('My Debts'!$C$6,A13-1)</f>
        <v/>
      </c>
      <c r="C13" s="45">
        <f>K13+Q13+W13+AC13+AI13+AO13+AU13+BA13+BG13+BM13</f>
        <v/>
      </c>
      <c r="D13" s="46">
        <f>I13+O13+U13+AA13+AG13+AM13+AS13+AY13+BE13+BK13+J13+P13+V13+AB13+AH13+AN13+AT13+AZ13+BF13+BL13</f>
        <v/>
      </c>
      <c r="E13" s="46">
        <f>H13+N13+T13+Z13+AF13+AL13+AR13+AX13+BD13+BJ13</f>
        <v/>
      </c>
      <c r="F13">
        <f>MAX(0,'My Debts'!$E$21-(I13+O13+U13+AA13+AG13+AM13+AS13+AY13+BE13+BK13))</f>
        <v/>
      </c>
      <c r="G13" s="42">
        <f>K12</f>
        <v/>
      </c>
      <c r="H13" s="42">
        <f>ROUND(G13*H$6/12,2)</f>
        <v/>
      </c>
      <c r="I13" s="42">
        <f>MIN(I$6,G13+H13)</f>
        <v/>
      </c>
      <c r="J13" s="42">
        <f>MAX(0,MIN(G13+H13-I13,$F13))</f>
        <v/>
      </c>
      <c r="K13" s="42">
        <f>ROUND(G13+H13-I13-J13,2)</f>
        <v/>
      </c>
      <c r="L13">
        <f>$F13-J13</f>
        <v/>
      </c>
      <c r="M13" s="42">
        <f>Q12</f>
        <v/>
      </c>
      <c r="N13" s="42">
        <f>ROUND(M13*N$6/12,2)</f>
        <v/>
      </c>
      <c r="O13" s="42">
        <f>MIN(O$6,M13+N13)</f>
        <v/>
      </c>
      <c r="P13" s="42">
        <f>MAX(0,MIN(M13+N13-O13,L13))</f>
        <v/>
      </c>
      <c r="Q13" s="42">
        <f>ROUND(M13+N13-O13-P13,2)</f>
        <v/>
      </c>
      <c r="R13">
        <f>L13-P13</f>
        <v/>
      </c>
      <c r="S13" s="42">
        <f>W12</f>
        <v/>
      </c>
      <c r="T13" s="42">
        <f>ROUND(S13*T$6/12,2)</f>
        <v/>
      </c>
      <c r="U13" s="42">
        <f>MIN(U$6,S13+T13)</f>
        <v/>
      </c>
      <c r="V13" s="42">
        <f>MAX(0,MIN(S13+T13-U13,R13))</f>
        <v/>
      </c>
      <c r="W13" s="42">
        <f>ROUND(S13+T13-U13-V13,2)</f>
        <v/>
      </c>
      <c r="X13">
        <f>R13-V13</f>
        <v/>
      </c>
      <c r="Y13" s="42">
        <f>AC12</f>
        <v/>
      </c>
      <c r="Z13" s="42">
        <f>ROUND(Y13*Z$6/12,2)</f>
        <v/>
      </c>
      <c r="AA13" s="42">
        <f>MIN(AA$6,Y13+Z13)</f>
        <v/>
      </c>
      <c r="AB13" s="42">
        <f>MAX(0,MIN(Y13+Z13-AA13,X13))</f>
        <v/>
      </c>
      <c r="AC13" s="42">
        <f>ROUND(Y13+Z13-AA13-AB13,2)</f>
        <v/>
      </c>
      <c r="AD13">
        <f>X13-AB13</f>
        <v/>
      </c>
      <c r="AE13" s="42">
        <f>AI12</f>
        <v/>
      </c>
      <c r="AF13" s="42">
        <f>ROUND(AE13*AF$6/12,2)</f>
        <v/>
      </c>
      <c r="AG13" s="42">
        <f>MIN(AG$6,AE13+AF13)</f>
        <v/>
      </c>
      <c r="AH13" s="42">
        <f>MAX(0,MIN(AE13+AF13-AG13,AD13))</f>
        <v/>
      </c>
      <c r="AI13" s="42">
        <f>ROUND(AE13+AF13-AG13-AH13,2)</f>
        <v/>
      </c>
      <c r="AJ13">
        <f>AD13-AH13</f>
        <v/>
      </c>
      <c r="AK13" s="42">
        <f>AO12</f>
        <v/>
      </c>
      <c r="AL13" s="42">
        <f>ROUND(AK13*AL$6/12,2)</f>
        <v/>
      </c>
      <c r="AM13" s="42">
        <f>MIN(AM$6,AK13+AL13)</f>
        <v/>
      </c>
      <c r="AN13" s="42">
        <f>MAX(0,MIN(AK13+AL13-AM13,AJ13))</f>
        <v/>
      </c>
      <c r="AO13" s="42">
        <f>ROUND(AK13+AL13-AM13-AN13,2)</f>
        <v/>
      </c>
      <c r="AP13">
        <f>AJ13-AN13</f>
        <v/>
      </c>
      <c r="AQ13" s="42">
        <f>AU12</f>
        <v/>
      </c>
      <c r="AR13" s="42">
        <f>ROUND(AQ13*AR$6/12,2)</f>
        <v/>
      </c>
      <c r="AS13" s="42">
        <f>MIN(AS$6,AQ13+AR13)</f>
        <v/>
      </c>
      <c r="AT13" s="42">
        <f>MAX(0,MIN(AQ13+AR13-AS13,AP13))</f>
        <v/>
      </c>
      <c r="AU13" s="42">
        <f>ROUND(AQ13+AR13-AS13-AT13,2)</f>
        <v/>
      </c>
      <c r="AV13">
        <f>AP13-AT13</f>
        <v/>
      </c>
      <c r="AW13" s="42">
        <f>BA12</f>
        <v/>
      </c>
      <c r="AX13" s="42">
        <f>ROUND(AW13*AX$6/12,2)</f>
        <v/>
      </c>
      <c r="AY13" s="42">
        <f>MIN(AY$6,AW13+AX13)</f>
        <v/>
      </c>
      <c r="AZ13" s="42">
        <f>MAX(0,MIN(AW13+AX13-AY13,AV13))</f>
        <v/>
      </c>
      <c r="BA13" s="42">
        <f>ROUND(AW13+AX13-AY13-AZ13,2)</f>
        <v/>
      </c>
      <c r="BB13">
        <f>AV13-AZ13</f>
        <v/>
      </c>
      <c r="BC13" s="42">
        <f>BG12</f>
        <v/>
      </c>
      <c r="BD13" s="42">
        <f>ROUND(BC13*BD$6/12,2)</f>
        <v/>
      </c>
      <c r="BE13" s="42">
        <f>MIN(BE$6,BC13+BD13)</f>
        <v/>
      </c>
      <c r="BF13" s="42">
        <f>MAX(0,MIN(BC13+BD13-BE13,BB13))</f>
        <v/>
      </c>
      <c r="BG13" s="42">
        <f>ROUND(BC13+BD13-BE13-BF13,2)</f>
        <v/>
      </c>
      <c r="BH13">
        <f>BB13-BF13</f>
        <v/>
      </c>
      <c r="BI13" s="42">
        <f>BM12</f>
        <v/>
      </c>
      <c r="BJ13" s="42">
        <f>ROUND(BI13*BJ$6/12,2)</f>
        <v/>
      </c>
      <c r="BK13" s="42">
        <f>MIN(BK$6,BI13+BJ13)</f>
        <v/>
      </c>
      <c r="BL13" s="42">
        <f>MAX(0,MIN(BI13+BJ13-BK13,BH13))</f>
        <v/>
      </c>
      <c r="BM13" s="42">
        <f>ROUND(BI13+BJ13-BK13-BL13,2)</f>
        <v/>
      </c>
      <c r="BN13">
        <f>BH13-BL13</f>
        <v/>
      </c>
    </row>
    <row r="14">
      <c r="A14" s="39" t="n">
        <v>7</v>
      </c>
      <c r="B14" s="40">
        <f>EDATE('My Debts'!$C$6,A14-1)</f>
        <v/>
      </c>
      <c r="C14" s="41">
        <f>K14+Q14+W14+AC14+AI14+AO14+AU14+BA14+BG14+BM14</f>
        <v/>
      </c>
      <c r="D14" s="42">
        <f>I14+O14+U14+AA14+AG14+AM14+AS14+AY14+BE14+BK14+J14+P14+V14+AB14+AH14+AN14+AT14+AZ14+BF14+BL14</f>
        <v/>
      </c>
      <c r="E14" s="42">
        <f>H14+N14+T14+Z14+AF14+AL14+AR14+AX14+BD14+BJ14</f>
        <v/>
      </c>
      <c r="F14">
        <f>MAX(0,'My Debts'!$E$21-(I14+O14+U14+AA14+AG14+AM14+AS14+AY14+BE14+BK14))</f>
        <v/>
      </c>
      <c r="G14" s="42">
        <f>K13</f>
        <v/>
      </c>
      <c r="H14" s="42">
        <f>ROUND(G14*H$6/12,2)</f>
        <v/>
      </c>
      <c r="I14" s="42">
        <f>MIN(I$6,G14+H14)</f>
        <v/>
      </c>
      <c r="J14" s="42">
        <f>MAX(0,MIN(G14+H14-I14,$F14))</f>
        <v/>
      </c>
      <c r="K14" s="42">
        <f>ROUND(G14+H14-I14-J14,2)</f>
        <v/>
      </c>
      <c r="L14">
        <f>$F14-J14</f>
        <v/>
      </c>
      <c r="M14" s="42">
        <f>Q13</f>
        <v/>
      </c>
      <c r="N14" s="42">
        <f>ROUND(M14*N$6/12,2)</f>
        <v/>
      </c>
      <c r="O14" s="42">
        <f>MIN(O$6,M14+N14)</f>
        <v/>
      </c>
      <c r="P14" s="42">
        <f>MAX(0,MIN(M14+N14-O14,L14))</f>
        <v/>
      </c>
      <c r="Q14" s="42">
        <f>ROUND(M14+N14-O14-P14,2)</f>
        <v/>
      </c>
      <c r="R14">
        <f>L14-P14</f>
        <v/>
      </c>
      <c r="S14" s="42">
        <f>W13</f>
        <v/>
      </c>
      <c r="T14" s="42">
        <f>ROUND(S14*T$6/12,2)</f>
        <v/>
      </c>
      <c r="U14" s="42">
        <f>MIN(U$6,S14+T14)</f>
        <v/>
      </c>
      <c r="V14" s="42">
        <f>MAX(0,MIN(S14+T14-U14,R14))</f>
        <v/>
      </c>
      <c r="W14" s="42">
        <f>ROUND(S14+T14-U14-V14,2)</f>
        <v/>
      </c>
      <c r="X14">
        <f>R14-V14</f>
        <v/>
      </c>
      <c r="Y14" s="42">
        <f>AC13</f>
        <v/>
      </c>
      <c r="Z14" s="42">
        <f>ROUND(Y14*Z$6/12,2)</f>
        <v/>
      </c>
      <c r="AA14" s="42">
        <f>MIN(AA$6,Y14+Z14)</f>
        <v/>
      </c>
      <c r="AB14" s="42">
        <f>MAX(0,MIN(Y14+Z14-AA14,X14))</f>
        <v/>
      </c>
      <c r="AC14" s="42">
        <f>ROUND(Y14+Z14-AA14-AB14,2)</f>
        <v/>
      </c>
      <c r="AD14">
        <f>X14-AB14</f>
        <v/>
      </c>
      <c r="AE14" s="42">
        <f>AI13</f>
        <v/>
      </c>
      <c r="AF14" s="42">
        <f>ROUND(AE14*AF$6/12,2)</f>
        <v/>
      </c>
      <c r="AG14" s="42">
        <f>MIN(AG$6,AE14+AF14)</f>
        <v/>
      </c>
      <c r="AH14" s="42">
        <f>MAX(0,MIN(AE14+AF14-AG14,AD14))</f>
        <v/>
      </c>
      <c r="AI14" s="42">
        <f>ROUND(AE14+AF14-AG14-AH14,2)</f>
        <v/>
      </c>
      <c r="AJ14">
        <f>AD14-AH14</f>
        <v/>
      </c>
      <c r="AK14" s="42">
        <f>AO13</f>
        <v/>
      </c>
      <c r="AL14" s="42">
        <f>ROUND(AK14*AL$6/12,2)</f>
        <v/>
      </c>
      <c r="AM14" s="42">
        <f>MIN(AM$6,AK14+AL14)</f>
        <v/>
      </c>
      <c r="AN14" s="42">
        <f>MAX(0,MIN(AK14+AL14-AM14,AJ14))</f>
        <v/>
      </c>
      <c r="AO14" s="42">
        <f>ROUND(AK14+AL14-AM14-AN14,2)</f>
        <v/>
      </c>
      <c r="AP14">
        <f>AJ14-AN14</f>
        <v/>
      </c>
      <c r="AQ14" s="42">
        <f>AU13</f>
        <v/>
      </c>
      <c r="AR14" s="42">
        <f>ROUND(AQ14*AR$6/12,2)</f>
        <v/>
      </c>
      <c r="AS14" s="42">
        <f>MIN(AS$6,AQ14+AR14)</f>
        <v/>
      </c>
      <c r="AT14" s="42">
        <f>MAX(0,MIN(AQ14+AR14-AS14,AP14))</f>
        <v/>
      </c>
      <c r="AU14" s="42">
        <f>ROUND(AQ14+AR14-AS14-AT14,2)</f>
        <v/>
      </c>
      <c r="AV14">
        <f>AP14-AT14</f>
        <v/>
      </c>
      <c r="AW14" s="42">
        <f>BA13</f>
        <v/>
      </c>
      <c r="AX14" s="42">
        <f>ROUND(AW14*AX$6/12,2)</f>
        <v/>
      </c>
      <c r="AY14" s="42">
        <f>MIN(AY$6,AW14+AX14)</f>
        <v/>
      </c>
      <c r="AZ14" s="42">
        <f>MAX(0,MIN(AW14+AX14-AY14,AV14))</f>
        <v/>
      </c>
      <c r="BA14" s="42">
        <f>ROUND(AW14+AX14-AY14-AZ14,2)</f>
        <v/>
      </c>
      <c r="BB14">
        <f>AV14-AZ14</f>
        <v/>
      </c>
      <c r="BC14" s="42">
        <f>BG13</f>
        <v/>
      </c>
      <c r="BD14" s="42">
        <f>ROUND(BC14*BD$6/12,2)</f>
        <v/>
      </c>
      <c r="BE14" s="42">
        <f>MIN(BE$6,BC14+BD14)</f>
        <v/>
      </c>
      <c r="BF14" s="42">
        <f>MAX(0,MIN(BC14+BD14-BE14,BB14))</f>
        <v/>
      </c>
      <c r="BG14" s="42">
        <f>ROUND(BC14+BD14-BE14-BF14,2)</f>
        <v/>
      </c>
      <c r="BH14">
        <f>BB14-BF14</f>
        <v/>
      </c>
      <c r="BI14" s="42">
        <f>BM13</f>
        <v/>
      </c>
      <c r="BJ14" s="42">
        <f>ROUND(BI14*BJ$6/12,2)</f>
        <v/>
      </c>
      <c r="BK14" s="42">
        <f>MIN(BK$6,BI14+BJ14)</f>
        <v/>
      </c>
      <c r="BL14" s="42">
        <f>MAX(0,MIN(BI14+BJ14-BK14,BH14))</f>
        <v/>
      </c>
      <c r="BM14" s="42">
        <f>ROUND(BI14+BJ14-BK14-BL14,2)</f>
        <v/>
      </c>
      <c r="BN14">
        <f>BH14-BL14</f>
        <v/>
      </c>
    </row>
    <row r="15">
      <c r="A15" s="43" t="n">
        <v>8</v>
      </c>
      <c r="B15" s="44">
        <f>EDATE('My Debts'!$C$6,A15-1)</f>
        <v/>
      </c>
      <c r="C15" s="45">
        <f>K15+Q15+W15+AC15+AI15+AO15+AU15+BA15+BG15+BM15</f>
        <v/>
      </c>
      <c r="D15" s="46">
        <f>I15+O15+U15+AA15+AG15+AM15+AS15+AY15+BE15+BK15+J15+P15+V15+AB15+AH15+AN15+AT15+AZ15+BF15+BL15</f>
        <v/>
      </c>
      <c r="E15" s="46">
        <f>H15+N15+T15+Z15+AF15+AL15+AR15+AX15+BD15+BJ15</f>
        <v/>
      </c>
      <c r="F15">
        <f>MAX(0,'My Debts'!$E$21-(I15+O15+U15+AA15+AG15+AM15+AS15+AY15+BE15+BK15))</f>
        <v/>
      </c>
      <c r="G15" s="42">
        <f>K14</f>
        <v/>
      </c>
      <c r="H15" s="42">
        <f>ROUND(G15*H$6/12,2)</f>
        <v/>
      </c>
      <c r="I15" s="42">
        <f>MIN(I$6,G15+H15)</f>
        <v/>
      </c>
      <c r="J15" s="42">
        <f>MAX(0,MIN(G15+H15-I15,$F15))</f>
        <v/>
      </c>
      <c r="K15" s="42">
        <f>ROUND(G15+H15-I15-J15,2)</f>
        <v/>
      </c>
      <c r="L15">
        <f>$F15-J15</f>
        <v/>
      </c>
      <c r="M15" s="42">
        <f>Q14</f>
        <v/>
      </c>
      <c r="N15" s="42">
        <f>ROUND(M15*N$6/12,2)</f>
        <v/>
      </c>
      <c r="O15" s="42">
        <f>MIN(O$6,M15+N15)</f>
        <v/>
      </c>
      <c r="P15" s="42">
        <f>MAX(0,MIN(M15+N15-O15,L15))</f>
        <v/>
      </c>
      <c r="Q15" s="42">
        <f>ROUND(M15+N15-O15-P15,2)</f>
        <v/>
      </c>
      <c r="R15">
        <f>L15-P15</f>
        <v/>
      </c>
      <c r="S15" s="42">
        <f>W14</f>
        <v/>
      </c>
      <c r="T15" s="42">
        <f>ROUND(S15*T$6/12,2)</f>
        <v/>
      </c>
      <c r="U15" s="42">
        <f>MIN(U$6,S15+T15)</f>
        <v/>
      </c>
      <c r="V15" s="42">
        <f>MAX(0,MIN(S15+T15-U15,R15))</f>
        <v/>
      </c>
      <c r="W15" s="42">
        <f>ROUND(S15+T15-U15-V15,2)</f>
        <v/>
      </c>
      <c r="X15">
        <f>R15-V15</f>
        <v/>
      </c>
      <c r="Y15" s="42">
        <f>AC14</f>
        <v/>
      </c>
      <c r="Z15" s="42">
        <f>ROUND(Y15*Z$6/12,2)</f>
        <v/>
      </c>
      <c r="AA15" s="42">
        <f>MIN(AA$6,Y15+Z15)</f>
        <v/>
      </c>
      <c r="AB15" s="42">
        <f>MAX(0,MIN(Y15+Z15-AA15,X15))</f>
        <v/>
      </c>
      <c r="AC15" s="42">
        <f>ROUND(Y15+Z15-AA15-AB15,2)</f>
        <v/>
      </c>
      <c r="AD15">
        <f>X15-AB15</f>
        <v/>
      </c>
      <c r="AE15" s="42">
        <f>AI14</f>
        <v/>
      </c>
      <c r="AF15" s="42">
        <f>ROUND(AE15*AF$6/12,2)</f>
        <v/>
      </c>
      <c r="AG15" s="42">
        <f>MIN(AG$6,AE15+AF15)</f>
        <v/>
      </c>
      <c r="AH15" s="42">
        <f>MAX(0,MIN(AE15+AF15-AG15,AD15))</f>
        <v/>
      </c>
      <c r="AI15" s="42">
        <f>ROUND(AE15+AF15-AG15-AH15,2)</f>
        <v/>
      </c>
      <c r="AJ15">
        <f>AD15-AH15</f>
        <v/>
      </c>
      <c r="AK15" s="42">
        <f>AO14</f>
        <v/>
      </c>
      <c r="AL15" s="42">
        <f>ROUND(AK15*AL$6/12,2)</f>
        <v/>
      </c>
      <c r="AM15" s="42">
        <f>MIN(AM$6,AK15+AL15)</f>
        <v/>
      </c>
      <c r="AN15" s="42">
        <f>MAX(0,MIN(AK15+AL15-AM15,AJ15))</f>
        <v/>
      </c>
      <c r="AO15" s="42">
        <f>ROUND(AK15+AL15-AM15-AN15,2)</f>
        <v/>
      </c>
      <c r="AP15">
        <f>AJ15-AN15</f>
        <v/>
      </c>
      <c r="AQ15" s="42">
        <f>AU14</f>
        <v/>
      </c>
      <c r="AR15" s="42">
        <f>ROUND(AQ15*AR$6/12,2)</f>
        <v/>
      </c>
      <c r="AS15" s="42">
        <f>MIN(AS$6,AQ15+AR15)</f>
        <v/>
      </c>
      <c r="AT15" s="42">
        <f>MAX(0,MIN(AQ15+AR15-AS15,AP15))</f>
        <v/>
      </c>
      <c r="AU15" s="42">
        <f>ROUND(AQ15+AR15-AS15-AT15,2)</f>
        <v/>
      </c>
      <c r="AV15">
        <f>AP15-AT15</f>
        <v/>
      </c>
      <c r="AW15" s="42">
        <f>BA14</f>
        <v/>
      </c>
      <c r="AX15" s="42">
        <f>ROUND(AW15*AX$6/12,2)</f>
        <v/>
      </c>
      <c r="AY15" s="42">
        <f>MIN(AY$6,AW15+AX15)</f>
        <v/>
      </c>
      <c r="AZ15" s="42">
        <f>MAX(0,MIN(AW15+AX15-AY15,AV15))</f>
        <v/>
      </c>
      <c r="BA15" s="42">
        <f>ROUND(AW15+AX15-AY15-AZ15,2)</f>
        <v/>
      </c>
      <c r="BB15">
        <f>AV15-AZ15</f>
        <v/>
      </c>
      <c r="BC15" s="42">
        <f>BG14</f>
        <v/>
      </c>
      <c r="BD15" s="42">
        <f>ROUND(BC15*BD$6/12,2)</f>
        <v/>
      </c>
      <c r="BE15" s="42">
        <f>MIN(BE$6,BC15+BD15)</f>
        <v/>
      </c>
      <c r="BF15" s="42">
        <f>MAX(0,MIN(BC15+BD15-BE15,BB15))</f>
        <v/>
      </c>
      <c r="BG15" s="42">
        <f>ROUND(BC15+BD15-BE15-BF15,2)</f>
        <v/>
      </c>
      <c r="BH15">
        <f>BB15-BF15</f>
        <v/>
      </c>
      <c r="BI15" s="42">
        <f>BM14</f>
        <v/>
      </c>
      <c r="BJ15" s="42">
        <f>ROUND(BI15*BJ$6/12,2)</f>
        <v/>
      </c>
      <c r="BK15" s="42">
        <f>MIN(BK$6,BI15+BJ15)</f>
        <v/>
      </c>
      <c r="BL15" s="42">
        <f>MAX(0,MIN(BI15+BJ15-BK15,BH15))</f>
        <v/>
      </c>
      <c r="BM15" s="42">
        <f>ROUND(BI15+BJ15-BK15-BL15,2)</f>
        <v/>
      </c>
      <c r="BN15">
        <f>BH15-BL15</f>
        <v/>
      </c>
    </row>
    <row r="16">
      <c r="A16" s="39" t="n">
        <v>9</v>
      </c>
      <c r="B16" s="40">
        <f>EDATE('My Debts'!$C$6,A16-1)</f>
        <v/>
      </c>
      <c r="C16" s="41">
        <f>K16+Q16+W16+AC16+AI16+AO16+AU16+BA16+BG16+BM16</f>
        <v/>
      </c>
      <c r="D16" s="42">
        <f>I16+O16+U16+AA16+AG16+AM16+AS16+AY16+BE16+BK16+J16+P16+V16+AB16+AH16+AN16+AT16+AZ16+BF16+BL16</f>
        <v/>
      </c>
      <c r="E16" s="42">
        <f>H16+N16+T16+Z16+AF16+AL16+AR16+AX16+BD16+BJ16</f>
        <v/>
      </c>
      <c r="F16">
        <f>MAX(0,'My Debts'!$E$21-(I16+O16+U16+AA16+AG16+AM16+AS16+AY16+BE16+BK16))</f>
        <v/>
      </c>
      <c r="G16" s="42">
        <f>K15</f>
        <v/>
      </c>
      <c r="H16" s="42">
        <f>ROUND(G16*H$6/12,2)</f>
        <v/>
      </c>
      <c r="I16" s="42">
        <f>MIN(I$6,G16+H16)</f>
        <v/>
      </c>
      <c r="J16" s="42">
        <f>MAX(0,MIN(G16+H16-I16,$F16))</f>
        <v/>
      </c>
      <c r="K16" s="42">
        <f>ROUND(G16+H16-I16-J16,2)</f>
        <v/>
      </c>
      <c r="L16">
        <f>$F16-J16</f>
        <v/>
      </c>
      <c r="M16" s="42">
        <f>Q15</f>
        <v/>
      </c>
      <c r="N16" s="42">
        <f>ROUND(M16*N$6/12,2)</f>
        <v/>
      </c>
      <c r="O16" s="42">
        <f>MIN(O$6,M16+N16)</f>
        <v/>
      </c>
      <c r="P16" s="42">
        <f>MAX(0,MIN(M16+N16-O16,L16))</f>
        <v/>
      </c>
      <c r="Q16" s="42">
        <f>ROUND(M16+N16-O16-P16,2)</f>
        <v/>
      </c>
      <c r="R16">
        <f>L16-P16</f>
        <v/>
      </c>
      <c r="S16" s="42">
        <f>W15</f>
        <v/>
      </c>
      <c r="T16" s="42">
        <f>ROUND(S16*T$6/12,2)</f>
        <v/>
      </c>
      <c r="U16" s="42">
        <f>MIN(U$6,S16+T16)</f>
        <v/>
      </c>
      <c r="V16" s="42">
        <f>MAX(0,MIN(S16+T16-U16,R16))</f>
        <v/>
      </c>
      <c r="W16" s="42">
        <f>ROUND(S16+T16-U16-V16,2)</f>
        <v/>
      </c>
      <c r="X16">
        <f>R16-V16</f>
        <v/>
      </c>
      <c r="Y16" s="42">
        <f>AC15</f>
        <v/>
      </c>
      <c r="Z16" s="42">
        <f>ROUND(Y16*Z$6/12,2)</f>
        <v/>
      </c>
      <c r="AA16" s="42">
        <f>MIN(AA$6,Y16+Z16)</f>
        <v/>
      </c>
      <c r="AB16" s="42">
        <f>MAX(0,MIN(Y16+Z16-AA16,X16))</f>
        <v/>
      </c>
      <c r="AC16" s="42">
        <f>ROUND(Y16+Z16-AA16-AB16,2)</f>
        <v/>
      </c>
      <c r="AD16">
        <f>X16-AB16</f>
        <v/>
      </c>
      <c r="AE16" s="42">
        <f>AI15</f>
        <v/>
      </c>
      <c r="AF16" s="42">
        <f>ROUND(AE16*AF$6/12,2)</f>
        <v/>
      </c>
      <c r="AG16" s="42">
        <f>MIN(AG$6,AE16+AF16)</f>
        <v/>
      </c>
      <c r="AH16" s="42">
        <f>MAX(0,MIN(AE16+AF16-AG16,AD16))</f>
        <v/>
      </c>
      <c r="AI16" s="42">
        <f>ROUND(AE16+AF16-AG16-AH16,2)</f>
        <v/>
      </c>
      <c r="AJ16">
        <f>AD16-AH16</f>
        <v/>
      </c>
      <c r="AK16" s="42">
        <f>AO15</f>
        <v/>
      </c>
      <c r="AL16" s="42">
        <f>ROUND(AK16*AL$6/12,2)</f>
        <v/>
      </c>
      <c r="AM16" s="42">
        <f>MIN(AM$6,AK16+AL16)</f>
        <v/>
      </c>
      <c r="AN16" s="42">
        <f>MAX(0,MIN(AK16+AL16-AM16,AJ16))</f>
        <v/>
      </c>
      <c r="AO16" s="42">
        <f>ROUND(AK16+AL16-AM16-AN16,2)</f>
        <v/>
      </c>
      <c r="AP16">
        <f>AJ16-AN16</f>
        <v/>
      </c>
      <c r="AQ16" s="42">
        <f>AU15</f>
        <v/>
      </c>
      <c r="AR16" s="42">
        <f>ROUND(AQ16*AR$6/12,2)</f>
        <v/>
      </c>
      <c r="AS16" s="42">
        <f>MIN(AS$6,AQ16+AR16)</f>
        <v/>
      </c>
      <c r="AT16" s="42">
        <f>MAX(0,MIN(AQ16+AR16-AS16,AP16))</f>
        <v/>
      </c>
      <c r="AU16" s="42">
        <f>ROUND(AQ16+AR16-AS16-AT16,2)</f>
        <v/>
      </c>
      <c r="AV16">
        <f>AP16-AT16</f>
        <v/>
      </c>
      <c r="AW16" s="42">
        <f>BA15</f>
        <v/>
      </c>
      <c r="AX16" s="42">
        <f>ROUND(AW16*AX$6/12,2)</f>
        <v/>
      </c>
      <c r="AY16" s="42">
        <f>MIN(AY$6,AW16+AX16)</f>
        <v/>
      </c>
      <c r="AZ16" s="42">
        <f>MAX(0,MIN(AW16+AX16-AY16,AV16))</f>
        <v/>
      </c>
      <c r="BA16" s="42">
        <f>ROUND(AW16+AX16-AY16-AZ16,2)</f>
        <v/>
      </c>
      <c r="BB16">
        <f>AV16-AZ16</f>
        <v/>
      </c>
      <c r="BC16" s="42">
        <f>BG15</f>
        <v/>
      </c>
      <c r="BD16" s="42">
        <f>ROUND(BC16*BD$6/12,2)</f>
        <v/>
      </c>
      <c r="BE16" s="42">
        <f>MIN(BE$6,BC16+BD16)</f>
        <v/>
      </c>
      <c r="BF16" s="42">
        <f>MAX(0,MIN(BC16+BD16-BE16,BB16))</f>
        <v/>
      </c>
      <c r="BG16" s="42">
        <f>ROUND(BC16+BD16-BE16-BF16,2)</f>
        <v/>
      </c>
      <c r="BH16">
        <f>BB16-BF16</f>
        <v/>
      </c>
      <c r="BI16" s="42">
        <f>BM15</f>
        <v/>
      </c>
      <c r="BJ16" s="42">
        <f>ROUND(BI16*BJ$6/12,2)</f>
        <v/>
      </c>
      <c r="BK16" s="42">
        <f>MIN(BK$6,BI16+BJ16)</f>
        <v/>
      </c>
      <c r="BL16" s="42">
        <f>MAX(0,MIN(BI16+BJ16-BK16,BH16))</f>
        <v/>
      </c>
      <c r="BM16" s="42">
        <f>ROUND(BI16+BJ16-BK16-BL16,2)</f>
        <v/>
      </c>
      <c r="BN16">
        <f>BH16-BL16</f>
        <v/>
      </c>
    </row>
    <row r="17">
      <c r="A17" s="43" t="n">
        <v>10</v>
      </c>
      <c r="B17" s="44">
        <f>EDATE('My Debts'!$C$6,A17-1)</f>
        <v/>
      </c>
      <c r="C17" s="45">
        <f>K17+Q17+W17+AC17+AI17+AO17+AU17+BA17+BG17+BM17</f>
        <v/>
      </c>
      <c r="D17" s="46">
        <f>I17+O17+U17+AA17+AG17+AM17+AS17+AY17+BE17+BK17+J17+P17+V17+AB17+AH17+AN17+AT17+AZ17+BF17+BL17</f>
        <v/>
      </c>
      <c r="E17" s="46">
        <f>H17+N17+T17+Z17+AF17+AL17+AR17+AX17+BD17+BJ17</f>
        <v/>
      </c>
      <c r="F17">
        <f>MAX(0,'My Debts'!$E$21-(I17+O17+U17+AA17+AG17+AM17+AS17+AY17+BE17+BK17))</f>
        <v/>
      </c>
      <c r="G17" s="42">
        <f>K16</f>
        <v/>
      </c>
      <c r="H17" s="42">
        <f>ROUND(G17*H$6/12,2)</f>
        <v/>
      </c>
      <c r="I17" s="42">
        <f>MIN(I$6,G17+H17)</f>
        <v/>
      </c>
      <c r="J17" s="42">
        <f>MAX(0,MIN(G17+H17-I17,$F17))</f>
        <v/>
      </c>
      <c r="K17" s="42">
        <f>ROUND(G17+H17-I17-J17,2)</f>
        <v/>
      </c>
      <c r="L17">
        <f>$F17-J17</f>
        <v/>
      </c>
      <c r="M17" s="42">
        <f>Q16</f>
        <v/>
      </c>
      <c r="N17" s="42">
        <f>ROUND(M17*N$6/12,2)</f>
        <v/>
      </c>
      <c r="O17" s="42">
        <f>MIN(O$6,M17+N17)</f>
        <v/>
      </c>
      <c r="P17" s="42">
        <f>MAX(0,MIN(M17+N17-O17,L17))</f>
        <v/>
      </c>
      <c r="Q17" s="42">
        <f>ROUND(M17+N17-O17-P17,2)</f>
        <v/>
      </c>
      <c r="R17">
        <f>L17-P17</f>
        <v/>
      </c>
      <c r="S17" s="42">
        <f>W16</f>
        <v/>
      </c>
      <c r="T17" s="42">
        <f>ROUND(S17*T$6/12,2)</f>
        <v/>
      </c>
      <c r="U17" s="42">
        <f>MIN(U$6,S17+T17)</f>
        <v/>
      </c>
      <c r="V17" s="42">
        <f>MAX(0,MIN(S17+T17-U17,R17))</f>
        <v/>
      </c>
      <c r="W17" s="42">
        <f>ROUND(S17+T17-U17-V17,2)</f>
        <v/>
      </c>
      <c r="X17">
        <f>R17-V17</f>
        <v/>
      </c>
      <c r="Y17" s="42">
        <f>AC16</f>
        <v/>
      </c>
      <c r="Z17" s="42">
        <f>ROUND(Y17*Z$6/12,2)</f>
        <v/>
      </c>
      <c r="AA17" s="42">
        <f>MIN(AA$6,Y17+Z17)</f>
        <v/>
      </c>
      <c r="AB17" s="42">
        <f>MAX(0,MIN(Y17+Z17-AA17,X17))</f>
        <v/>
      </c>
      <c r="AC17" s="42">
        <f>ROUND(Y17+Z17-AA17-AB17,2)</f>
        <v/>
      </c>
      <c r="AD17">
        <f>X17-AB17</f>
        <v/>
      </c>
      <c r="AE17" s="42">
        <f>AI16</f>
        <v/>
      </c>
      <c r="AF17" s="42">
        <f>ROUND(AE17*AF$6/12,2)</f>
        <v/>
      </c>
      <c r="AG17" s="42">
        <f>MIN(AG$6,AE17+AF17)</f>
        <v/>
      </c>
      <c r="AH17" s="42">
        <f>MAX(0,MIN(AE17+AF17-AG17,AD17))</f>
        <v/>
      </c>
      <c r="AI17" s="42">
        <f>ROUND(AE17+AF17-AG17-AH17,2)</f>
        <v/>
      </c>
      <c r="AJ17">
        <f>AD17-AH17</f>
        <v/>
      </c>
      <c r="AK17" s="42">
        <f>AO16</f>
        <v/>
      </c>
      <c r="AL17" s="42">
        <f>ROUND(AK17*AL$6/12,2)</f>
        <v/>
      </c>
      <c r="AM17" s="42">
        <f>MIN(AM$6,AK17+AL17)</f>
        <v/>
      </c>
      <c r="AN17" s="42">
        <f>MAX(0,MIN(AK17+AL17-AM17,AJ17))</f>
        <v/>
      </c>
      <c r="AO17" s="42">
        <f>ROUND(AK17+AL17-AM17-AN17,2)</f>
        <v/>
      </c>
      <c r="AP17">
        <f>AJ17-AN17</f>
        <v/>
      </c>
      <c r="AQ17" s="42">
        <f>AU16</f>
        <v/>
      </c>
      <c r="AR17" s="42">
        <f>ROUND(AQ17*AR$6/12,2)</f>
        <v/>
      </c>
      <c r="AS17" s="42">
        <f>MIN(AS$6,AQ17+AR17)</f>
        <v/>
      </c>
      <c r="AT17" s="42">
        <f>MAX(0,MIN(AQ17+AR17-AS17,AP17))</f>
        <v/>
      </c>
      <c r="AU17" s="42">
        <f>ROUND(AQ17+AR17-AS17-AT17,2)</f>
        <v/>
      </c>
      <c r="AV17">
        <f>AP17-AT17</f>
        <v/>
      </c>
      <c r="AW17" s="42">
        <f>BA16</f>
        <v/>
      </c>
      <c r="AX17" s="42">
        <f>ROUND(AW17*AX$6/12,2)</f>
        <v/>
      </c>
      <c r="AY17" s="42">
        <f>MIN(AY$6,AW17+AX17)</f>
        <v/>
      </c>
      <c r="AZ17" s="42">
        <f>MAX(0,MIN(AW17+AX17-AY17,AV17))</f>
        <v/>
      </c>
      <c r="BA17" s="42">
        <f>ROUND(AW17+AX17-AY17-AZ17,2)</f>
        <v/>
      </c>
      <c r="BB17">
        <f>AV17-AZ17</f>
        <v/>
      </c>
      <c r="BC17" s="42">
        <f>BG16</f>
        <v/>
      </c>
      <c r="BD17" s="42">
        <f>ROUND(BC17*BD$6/12,2)</f>
        <v/>
      </c>
      <c r="BE17" s="42">
        <f>MIN(BE$6,BC17+BD17)</f>
        <v/>
      </c>
      <c r="BF17" s="42">
        <f>MAX(0,MIN(BC17+BD17-BE17,BB17))</f>
        <v/>
      </c>
      <c r="BG17" s="42">
        <f>ROUND(BC17+BD17-BE17-BF17,2)</f>
        <v/>
      </c>
      <c r="BH17">
        <f>BB17-BF17</f>
        <v/>
      </c>
      <c r="BI17" s="42">
        <f>BM16</f>
        <v/>
      </c>
      <c r="BJ17" s="42">
        <f>ROUND(BI17*BJ$6/12,2)</f>
        <v/>
      </c>
      <c r="BK17" s="42">
        <f>MIN(BK$6,BI17+BJ17)</f>
        <v/>
      </c>
      <c r="BL17" s="42">
        <f>MAX(0,MIN(BI17+BJ17-BK17,BH17))</f>
        <v/>
      </c>
      <c r="BM17" s="42">
        <f>ROUND(BI17+BJ17-BK17-BL17,2)</f>
        <v/>
      </c>
      <c r="BN17">
        <f>BH17-BL17</f>
        <v/>
      </c>
    </row>
    <row r="18">
      <c r="A18" s="39" t="n">
        <v>11</v>
      </c>
      <c r="B18" s="40">
        <f>EDATE('My Debts'!$C$6,A18-1)</f>
        <v/>
      </c>
      <c r="C18" s="41">
        <f>K18+Q18+W18+AC18+AI18+AO18+AU18+BA18+BG18+BM18</f>
        <v/>
      </c>
      <c r="D18" s="42">
        <f>I18+O18+U18+AA18+AG18+AM18+AS18+AY18+BE18+BK18+J18+P18+V18+AB18+AH18+AN18+AT18+AZ18+BF18+BL18</f>
        <v/>
      </c>
      <c r="E18" s="42">
        <f>H18+N18+T18+Z18+AF18+AL18+AR18+AX18+BD18+BJ18</f>
        <v/>
      </c>
      <c r="F18">
        <f>MAX(0,'My Debts'!$E$21-(I18+O18+U18+AA18+AG18+AM18+AS18+AY18+BE18+BK18))</f>
        <v/>
      </c>
      <c r="G18" s="42">
        <f>K17</f>
        <v/>
      </c>
      <c r="H18" s="42">
        <f>ROUND(G18*H$6/12,2)</f>
        <v/>
      </c>
      <c r="I18" s="42">
        <f>MIN(I$6,G18+H18)</f>
        <v/>
      </c>
      <c r="J18" s="42">
        <f>MAX(0,MIN(G18+H18-I18,$F18))</f>
        <v/>
      </c>
      <c r="K18" s="42">
        <f>ROUND(G18+H18-I18-J18,2)</f>
        <v/>
      </c>
      <c r="L18">
        <f>$F18-J18</f>
        <v/>
      </c>
      <c r="M18" s="42">
        <f>Q17</f>
        <v/>
      </c>
      <c r="N18" s="42">
        <f>ROUND(M18*N$6/12,2)</f>
        <v/>
      </c>
      <c r="O18" s="42">
        <f>MIN(O$6,M18+N18)</f>
        <v/>
      </c>
      <c r="P18" s="42">
        <f>MAX(0,MIN(M18+N18-O18,L18))</f>
        <v/>
      </c>
      <c r="Q18" s="42">
        <f>ROUND(M18+N18-O18-P18,2)</f>
        <v/>
      </c>
      <c r="R18">
        <f>L18-P18</f>
        <v/>
      </c>
      <c r="S18" s="42">
        <f>W17</f>
        <v/>
      </c>
      <c r="T18" s="42">
        <f>ROUND(S18*T$6/12,2)</f>
        <v/>
      </c>
      <c r="U18" s="42">
        <f>MIN(U$6,S18+T18)</f>
        <v/>
      </c>
      <c r="V18" s="42">
        <f>MAX(0,MIN(S18+T18-U18,R18))</f>
        <v/>
      </c>
      <c r="W18" s="42">
        <f>ROUND(S18+T18-U18-V18,2)</f>
        <v/>
      </c>
      <c r="X18">
        <f>R18-V18</f>
        <v/>
      </c>
      <c r="Y18" s="42">
        <f>AC17</f>
        <v/>
      </c>
      <c r="Z18" s="42">
        <f>ROUND(Y18*Z$6/12,2)</f>
        <v/>
      </c>
      <c r="AA18" s="42">
        <f>MIN(AA$6,Y18+Z18)</f>
        <v/>
      </c>
      <c r="AB18" s="42">
        <f>MAX(0,MIN(Y18+Z18-AA18,X18))</f>
        <v/>
      </c>
      <c r="AC18" s="42">
        <f>ROUND(Y18+Z18-AA18-AB18,2)</f>
        <v/>
      </c>
      <c r="AD18">
        <f>X18-AB18</f>
        <v/>
      </c>
      <c r="AE18" s="42">
        <f>AI17</f>
        <v/>
      </c>
      <c r="AF18" s="42">
        <f>ROUND(AE18*AF$6/12,2)</f>
        <v/>
      </c>
      <c r="AG18" s="42">
        <f>MIN(AG$6,AE18+AF18)</f>
        <v/>
      </c>
      <c r="AH18" s="42">
        <f>MAX(0,MIN(AE18+AF18-AG18,AD18))</f>
        <v/>
      </c>
      <c r="AI18" s="42">
        <f>ROUND(AE18+AF18-AG18-AH18,2)</f>
        <v/>
      </c>
      <c r="AJ18">
        <f>AD18-AH18</f>
        <v/>
      </c>
      <c r="AK18" s="42">
        <f>AO17</f>
        <v/>
      </c>
      <c r="AL18" s="42">
        <f>ROUND(AK18*AL$6/12,2)</f>
        <v/>
      </c>
      <c r="AM18" s="42">
        <f>MIN(AM$6,AK18+AL18)</f>
        <v/>
      </c>
      <c r="AN18" s="42">
        <f>MAX(0,MIN(AK18+AL18-AM18,AJ18))</f>
        <v/>
      </c>
      <c r="AO18" s="42">
        <f>ROUND(AK18+AL18-AM18-AN18,2)</f>
        <v/>
      </c>
      <c r="AP18">
        <f>AJ18-AN18</f>
        <v/>
      </c>
      <c r="AQ18" s="42">
        <f>AU17</f>
        <v/>
      </c>
      <c r="AR18" s="42">
        <f>ROUND(AQ18*AR$6/12,2)</f>
        <v/>
      </c>
      <c r="AS18" s="42">
        <f>MIN(AS$6,AQ18+AR18)</f>
        <v/>
      </c>
      <c r="AT18" s="42">
        <f>MAX(0,MIN(AQ18+AR18-AS18,AP18))</f>
        <v/>
      </c>
      <c r="AU18" s="42">
        <f>ROUND(AQ18+AR18-AS18-AT18,2)</f>
        <v/>
      </c>
      <c r="AV18">
        <f>AP18-AT18</f>
        <v/>
      </c>
      <c r="AW18" s="42">
        <f>BA17</f>
        <v/>
      </c>
      <c r="AX18" s="42">
        <f>ROUND(AW18*AX$6/12,2)</f>
        <v/>
      </c>
      <c r="AY18" s="42">
        <f>MIN(AY$6,AW18+AX18)</f>
        <v/>
      </c>
      <c r="AZ18" s="42">
        <f>MAX(0,MIN(AW18+AX18-AY18,AV18))</f>
        <v/>
      </c>
      <c r="BA18" s="42">
        <f>ROUND(AW18+AX18-AY18-AZ18,2)</f>
        <v/>
      </c>
      <c r="BB18">
        <f>AV18-AZ18</f>
        <v/>
      </c>
      <c r="BC18" s="42">
        <f>BG17</f>
        <v/>
      </c>
      <c r="BD18" s="42">
        <f>ROUND(BC18*BD$6/12,2)</f>
        <v/>
      </c>
      <c r="BE18" s="42">
        <f>MIN(BE$6,BC18+BD18)</f>
        <v/>
      </c>
      <c r="BF18" s="42">
        <f>MAX(0,MIN(BC18+BD18-BE18,BB18))</f>
        <v/>
      </c>
      <c r="BG18" s="42">
        <f>ROUND(BC18+BD18-BE18-BF18,2)</f>
        <v/>
      </c>
      <c r="BH18">
        <f>BB18-BF18</f>
        <v/>
      </c>
      <c r="BI18" s="42">
        <f>BM17</f>
        <v/>
      </c>
      <c r="BJ18" s="42">
        <f>ROUND(BI18*BJ$6/12,2)</f>
        <v/>
      </c>
      <c r="BK18" s="42">
        <f>MIN(BK$6,BI18+BJ18)</f>
        <v/>
      </c>
      <c r="BL18" s="42">
        <f>MAX(0,MIN(BI18+BJ18-BK18,BH18))</f>
        <v/>
      </c>
      <c r="BM18" s="42">
        <f>ROUND(BI18+BJ18-BK18-BL18,2)</f>
        <v/>
      </c>
      <c r="BN18">
        <f>BH18-BL18</f>
        <v/>
      </c>
    </row>
    <row r="19">
      <c r="A19" s="43" t="n">
        <v>12</v>
      </c>
      <c r="B19" s="44">
        <f>EDATE('My Debts'!$C$6,A19-1)</f>
        <v/>
      </c>
      <c r="C19" s="45">
        <f>K19+Q19+W19+AC19+AI19+AO19+AU19+BA19+BG19+BM19</f>
        <v/>
      </c>
      <c r="D19" s="46">
        <f>I19+O19+U19+AA19+AG19+AM19+AS19+AY19+BE19+BK19+J19+P19+V19+AB19+AH19+AN19+AT19+AZ19+BF19+BL19</f>
        <v/>
      </c>
      <c r="E19" s="46">
        <f>H19+N19+T19+Z19+AF19+AL19+AR19+AX19+BD19+BJ19</f>
        <v/>
      </c>
      <c r="F19">
        <f>MAX(0,'My Debts'!$E$21-(I19+O19+U19+AA19+AG19+AM19+AS19+AY19+BE19+BK19))</f>
        <v/>
      </c>
      <c r="G19" s="42">
        <f>K18</f>
        <v/>
      </c>
      <c r="H19" s="42">
        <f>ROUND(G19*H$6/12,2)</f>
        <v/>
      </c>
      <c r="I19" s="42">
        <f>MIN(I$6,G19+H19)</f>
        <v/>
      </c>
      <c r="J19" s="42">
        <f>MAX(0,MIN(G19+H19-I19,$F19))</f>
        <v/>
      </c>
      <c r="K19" s="42">
        <f>ROUND(G19+H19-I19-J19,2)</f>
        <v/>
      </c>
      <c r="L19">
        <f>$F19-J19</f>
        <v/>
      </c>
      <c r="M19" s="42">
        <f>Q18</f>
        <v/>
      </c>
      <c r="N19" s="42">
        <f>ROUND(M19*N$6/12,2)</f>
        <v/>
      </c>
      <c r="O19" s="42">
        <f>MIN(O$6,M19+N19)</f>
        <v/>
      </c>
      <c r="P19" s="42">
        <f>MAX(0,MIN(M19+N19-O19,L19))</f>
        <v/>
      </c>
      <c r="Q19" s="42">
        <f>ROUND(M19+N19-O19-P19,2)</f>
        <v/>
      </c>
      <c r="R19">
        <f>L19-P19</f>
        <v/>
      </c>
      <c r="S19" s="42">
        <f>W18</f>
        <v/>
      </c>
      <c r="T19" s="42">
        <f>ROUND(S19*T$6/12,2)</f>
        <v/>
      </c>
      <c r="U19" s="42">
        <f>MIN(U$6,S19+T19)</f>
        <v/>
      </c>
      <c r="V19" s="42">
        <f>MAX(0,MIN(S19+T19-U19,R19))</f>
        <v/>
      </c>
      <c r="W19" s="42">
        <f>ROUND(S19+T19-U19-V19,2)</f>
        <v/>
      </c>
      <c r="X19">
        <f>R19-V19</f>
        <v/>
      </c>
      <c r="Y19" s="42">
        <f>AC18</f>
        <v/>
      </c>
      <c r="Z19" s="42">
        <f>ROUND(Y19*Z$6/12,2)</f>
        <v/>
      </c>
      <c r="AA19" s="42">
        <f>MIN(AA$6,Y19+Z19)</f>
        <v/>
      </c>
      <c r="AB19" s="42">
        <f>MAX(0,MIN(Y19+Z19-AA19,X19))</f>
        <v/>
      </c>
      <c r="AC19" s="42">
        <f>ROUND(Y19+Z19-AA19-AB19,2)</f>
        <v/>
      </c>
      <c r="AD19">
        <f>X19-AB19</f>
        <v/>
      </c>
      <c r="AE19" s="42">
        <f>AI18</f>
        <v/>
      </c>
      <c r="AF19" s="42">
        <f>ROUND(AE19*AF$6/12,2)</f>
        <v/>
      </c>
      <c r="AG19" s="42">
        <f>MIN(AG$6,AE19+AF19)</f>
        <v/>
      </c>
      <c r="AH19" s="42">
        <f>MAX(0,MIN(AE19+AF19-AG19,AD19))</f>
        <v/>
      </c>
      <c r="AI19" s="42">
        <f>ROUND(AE19+AF19-AG19-AH19,2)</f>
        <v/>
      </c>
      <c r="AJ19">
        <f>AD19-AH19</f>
        <v/>
      </c>
      <c r="AK19" s="42">
        <f>AO18</f>
        <v/>
      </c>
      <c r="AL19" s="42">
        <f>ROUND(AK19*AL$6/12,2)</f>
        <v/>
      </c>
      <c r="AM19" s="42">
        <f>MIN(AM$6,AK19+AL19)</f>
        <v/>
      </c>
      <c r="AN19" s="42">
        <f>MAX(0,MIN(AK19+AL19-AM19,AJ19))</f>
        <v/>
      </c>
      <c r="AO19" s="42">
        <f>ROUND(AK19+AL19-AM19-AN19,2)</f>
        <v/>
      </c>
      <c r="AP19">
        <f>AJ19-AN19</f>
        <v/>
      </c>
      <c r="AQ19" s="42">
        <f>AU18</f>
        <v/>
      </c>
      <c r="AR19" s="42">
        <f>ROUND(AQ19*AR$6/12,2)</f>
        <v/>
      </c>
      <c r="AS19" s="42">
        <f>MIN(AS$6,AQ19+AR19)</f>
        <v/>
      </c>
      <c r="AT19" s="42">
        <f>MAX(0,MIN(AQ19+AR19-AS19,AP19))</f>
        <v/>
      </c>
      <c r="AU19" s="42">
        <f>ROUND(AQ19+AR19-AS19-AT19,2)</f>
        <v/>
      </c>
      <c r="AV19">
        <f>AP19-AT19</f>
        <v/>
      </c>
      <c r="AW19" s="42">
        <f>BA18</f>
        <v/>
      </c>
      <c r="AX19" s="42">
        <f>ROUND(AW19*AX$6/12,2)</f>
        <v/>
      </c>
      <c r="AY19" s="42">
        <f>MIN(AY$6,AW19+AX19)</f>
        <v/>
      </c>
      <c r="AZ19" s="42">
        <f>MAX(0,MIN(AW19+AX19-AY19,AV19))</f>
        <v/>
      </c>
      <c r="BA19" s="42">
        <f>ROUND(AW19+AX19-AY19-AZ19,2)</f>
        <v/>
      </c>
      <c r="BB19">
        <f>AV19-AZ19</f>
        <v/>
      </c>
      <c r="BC19" s="42">
        <f>BG18</f>
        <v/>
      </c>
      <c r="BD19" s="42">
        <f>ROUND(BC19*BD$6/12,2)</f>
        <v/>
      </c>
      <c r="BE19" s="42">
        <f>MIN(BE$6,BC19+BD19)</f>
        <v/>
      </c>
      <c r="BF19" s="42">
        <f>MAX(0,MIN(BC19+BD19-BE19,BB19))</f>
        <v/>
      </c>
      <c r="BG19" s="42">
        <f>ROUND(BC19+BD19-BE19-BF19,2)</f>
        <v/>
      </c>
      <c r="BH19">
        <f>BB19-BF19</f>
        <v/>
      </c>
      <c r="BI19" s="42">
        <f>BM18</f>
        <v/>
      </c>
      <c r="BJ19" s="42">
        <f>ROUND(BI19*BJ$6/12,2)</f>
        <v/>
      </c>
      <c r="BK19" s="42">
        <f>MIN(BK$6,BI19+BJ19)</f>
        <v/>
      </c>
      <c r="BL19" s="42">
        <f>MAX(0,MIN(BI19+BJ19-BK19,BH19))</f>
        <v/>
      </c>
      <c r="BM19" s="42">
        <f>ROUND(BI19+BJ19-BK19-BL19,2)</f>
        <v/>
      </c>
      <c r="BN19">
        <f>BH19-BL19</f>
        <v/>
      </c>
    </row>
    <row r="20">
      <c r="A20" s="39" t="n">
        <v>13</v>
      </c>
      <c r="B20" s="40">
        <f>EDATE('My Debts'!$C$6,A20-1)</f>
        <v/>
      </c>
      <c r="C20" s="41">
        <f>K20+Q20+W20+AC20+AI20+AO20+AU20+BA20+BG20+BM20</f>
        <v/>
      </c>
      <c r="D20" s="42">
        <f>I20+O20+U20+AA20+AG20+AM20+AS20+AY20+BE20+BK20+J20+P20+V20+AB20+AH20+AN20+AT20+AZ20+BF20+BL20</f>
        <v/>
      </c>
      <c r="E20" s="42">
        <f>H20+N20+T20+Z20+AF20+AL20+AR20+AX20+BD20+BJ20</f>
        <v/>
      </c>
      <c r="F20">
        <f>MAX(0,'My Debts'!$E$21-(I20+O20+U20+AA20+AG20+AM20+AS20+AY20+BE20+BK20))</f>
        <v/>
      </c>
      <c r="G20" s="42">
        <f>K19</f>
        <v/>
      </c>
      <c r="H20" s="42">
        <f>ROUND(G20*H$6/12,2)</f>
        <v/>
      </c>
      <c r="I20" s="42">
        <f>MIN(I$6,G20+H20)</f>
        <v/>
      </c>
      <c r="J20" s="42">
        <f>MAX(0,MIN(G20+H20-I20,$F20))</f>
        <v/>
      </c>
      <c r="K20" s="42">
        <f>ROUND(G20+H20-I20-J20,2)</f>
        <v/>
      </c>
      <c r="L20">
        <f>$F20-J20</f>
        <v/>
      </c>
      <c r="M20" s="42">
        <f>Q19</f>
        <v/>
      </c>
      <c r="N20" s="42">
        <f>ROUND(M20*N$6/12,2)</f>
        <v/>
      </c>
      <c r="O20" s="42">
        <f>MIN(O$6,M20+N20)</f>
        <v/>
      </c>
      <c r="P20" s="42">
        <f>MAX(0,MIN(M20+N20-O20,L20))</f>
        <v/>
      </c>
      <c r="Q20" s="42">
        <f>ROUND(M20+N20-O20-P20,2)</f>
        <v/>
      </c>
      <c r="R20">
        <f>L20-P20</f>
        <v/>
      </c>
      <c r="S20" s="42">
        <f>W19</f>
        <v/>
      </c>
      <c r="T20" s="42">
        <f>ROUND(S20*T$6/12,2)</f>
        <v/>
      </c>
      <c r="U20" s="42">
        <f>MIN(U$6,S20+T20)</f>
        <v/>
      </c>
      <c r="V20" s="42">
        <f>MAX(0,MIN(S20+T20-U20,R20))</f>
        <v/>
      </c>
      <c r="W20" s="42">
        <f>ROUND(S20+T20-U20-V20,2)</f>
        <v/>
      </c>
      <c r="X20">
        <f>R20-V20</f>
        <v/>
      </c>
      <c r="Y20" s="42">
        <f>AC19</f>
        <v/>
      </c>
      <c r="Z20" s="42">
        <f>ROUND(Y20*Z$6/12,2)</f>
        <v/>
      </c>
      <c r="AA20" s="42">
        <f>MIN(AA$6,Y20+Z20)</f>
        <v/>
      </c>
      <c r="AB20" s="42">
        <f>MAX(0,MIN(Y20+Z20-AA20,X20))</f>
        <v/>
      </c>
      <c r="AC20" s="42">
        <f>ROUND(Y20+Z20-AA20-AB20,2)</f>
        <v/>
      </c>
      <c r="AD20">
        <f>X20-AB20</f>
        <v/>
      </c>
      <c r="AE20" s="42">
        <f>AI19</f>
        <v/>
      </c>
      <c r="AF20" s="42">
        <f>ROUND(AE20*AF$6/12,2)</f>
        <v/>
      </c>
      <c r="AG20" s="42">
        <f>MIN(AG$6,AE20+AF20)</f>
        <v/>
      </c>
      <c r="AH20" s="42">
        <f>MAX(0,MIN(AE20+AF20-AG20,AD20))</f>
        <v/>
      </c>
      <c r="AI20" s="42">
        <f>ROUND(AE20+AF20-AG20-AH20,2)</f>
        <v/>
      </c>
      <c r="AJ20">
        <f>AD20-AH20</f>
        <v/>
      </c>
      <c r="AK20" s="42">
        <f>AO19</f>
        <v/>
      </c>
      <c r="AL20" s="42">
        <f>ROUND(AK20*AL$6/12,2)</f>
        <v/>
      </c>
      <c r="AM20" s="42">
        <f>MIN(AM$6,AK20+AL20)</f>
        <v/>
      </c>
      <c r="AN20" s="42">
        <f>MAX(0,MIN(AK20+AL20-AM20,AJ20))</f>
        <v/>
      </c>
      <c r="AO20" s="42">
        <f>ROUND(AK20+AL20-AM20-AN20,2)</f>
        <v/>
      </c>
      <c r="AP20">
        <f>AJ20-AN20</f>
        <v/>
      </c>
      <c r="AQ20" s="42">
        <f>AU19</f>
        <v/>
      </c>
      <c r="AR20" s="42">
        <f>ROUND(AQ20*AR$6/12,2)</f>
        <v/>
      </c>
      <c r="AS20" s="42">
        <f>MIN(AS$6,AQ20+AR20)</f>
        <v/>
      </c>
      <c r="AT20" s="42">
        <f>MAX(0,MIN(AQ20+AR20-AS20,AP20))</f>
        <v/>
      </c>
      <c r="AU20" s="42">
        <f>ROUND(AQ20+AR20-AS20-AT20,2)</f>
        <v/>
      </c>
      <c r="AV20">
        <f>AP20-AT20</f>
        <v/>
      </c>
      <c r="AW20" s="42">
        <f>BA19</f>
        <v/>
      </c>
      <c r="AX20" s="42">
        <f>ROUND(AW20*AX$6/12,2)</f>
        <v/>
      </c>
      <c r="AY20" s="42">
        <f>MIN(AY$6,AW20+AX20)</f>
        <v/>
      </c>
      <c r="AZ20" s="42">
        <f>MAX(0,MIN(AW20+AX20-AY20,AV20))</f>
        <v/>
      </c>
      <c r="BA20" s="42">
        <f>ROUND(AW20+AX20-AY20-AZ20,2)</f>
        <v/>
      </c>
      <c r="BB20">
        <f>AV20-AZ20</f>
        <v/>
      </c>
      <c r="BC20" s="42">
        <f>BG19</f>
        <v/>
      </c>
      <c r="BD20" s="42">
        <f>ROUND(BC20*BD$6/12,2)</f>
        <v/>
      </c>
      <c r="BE20" s="42">
        <f>MIN(BE$6,BC20+BD20)</f>
        <v/>
      </c>
      <c r="BF20" s="42">
        <f>MAX(0,MIN(BC20+BD20-BE20,BB20))</f>
        <v/>
      </c>
      <c r="BG20" s="42">
        <f>ROUND(BC20+BD20-BE20-BF20,2)</f>
        <v/>
      </c>
      <c r="BH20">
        <f>BB20-BF20</f>
        <v/>
      </c>
      <c r="BI20" s="42">
        <f>BM19</f>
        <v/>
      </c>
      <c r="BJ20" s="42">
        <f>ROUND(BI20*BJ$6/12,2)</f>
        <v/>
      </c>
      <c r="BK20" s="42">
        <f>MIN(BK$6,BI20+BJ20)</f>
        <v/>
      </c>
      <c r="BL20" s="42">
        <f>MAX(0,MIN(BI20+BJ20-BK20,BH20))</f>
        <v/>
      </c>
      <c r="BM20" s="42">
        <f>ROUND(BI20+BJ20-BK20-BL20,2)</f>
        <v/>
      </c>
      <c r="BN20">
        <f>BH20-BL20</f>
        <v/>
      </c>
    </row>
    <row r="21">
      <c r="A21" s="43" t="n">
        <v>14</v>
      </c>
      <c r="B21" s="44">
        <f>EDATE('My Debts'!$C$6,A21-1)</f>
        <v/>
      </c>
      <c r="C21" s="45">
        <f>K21+Q21+W21+AC21+AI21+AO21+AU21+BA21+BG21+BM21</f>
        <v/>
      </c>
      <c r="D21" s="46">
        <f>I21+O21+U21+AA21+AG21+AM21+AS21+AY21+BE21+BK21+J21+P21+V21+AB21+AH21+AN21+AT21+AZ21+BF21+BL21</f>
        <v/>
      </c>
      <c r="E21" s="46">
        <f>H21+N21+T21+Z21+AF21+AL21+AR21+AX21+BD21+BJ21</f>
        <v/>
      </c>
      <c r="F21">
        <f>MAX(0,'My Debts'!$E$21-(I21+O21+U21+AA21+AG21+AM21+AS21+AY21+BE21+BK21))</f>
        <v/>
      </c>
      <c r="G21" s="42">
        <f>K20</f>
        <v/>
      </c>
      <c r="H21" s="42">
        <f>ROUND(G21*H$6/12,2)</f>
        <v/>
      </c>
      <c r="I21" s="42">
        <f>MIN(I$6,G21+H21)</f>
        <v/>
      </c>
      <c r="J21" s="42">
        <f>MAX(0,MIN(G21+H21-I21,$F21))</f>
        <v/>
      </c>
      <c r="K21" s="42">
        <f>ROUND(G21+H21-I21-J21,2)</f>
        <v/>
      </c>
      <c r="L21">
        <f>$F21-J21</f>
        <v/>
      </c>
      <c r="M21" s="42">
        <f>Q20</f>
        <v/>
      </c>
      <c r="N21" s="42">
        <f>ROUND(M21*N$6/12,2)</f>
        <v/>
      </c>
      <c r="O21" s="42">
        <f>MIN(O$6,M21+N21)</f>
        <v/>
      </c>
      <c r="P21" s="42">
        <f>MAX(0,MIN(M21+N21-O21,L21))</f>
        <v/>
      </c>
      <c r="Q21" s="42">
        <f>ROUND(M21+N21-O21-P21,2)</f>
        <v/>
      </c>
      <c r="R21">
        <f>L21-P21</f>
        <v/>
      </c>
      <c r="S21" s="42">
        <f>W20</f>
        <v/>
      </c>
      <c r="T21" s="42">
        <f>ROUND(S21*T$6/12,2)</f>
        <v/>
      </c>
      <c r="U21" s="42">
        <f>MIN(U$6,S21+T21)</f>
        <v/>
      </c>
      <c r="V21" s="42">
        <f>MAX(0,MIN(S21+T21-U21,R21))</f>
        <v/>
      </c>
      <c r="W21" s="42">
        <f>ROUND(S21+T21-U21-V21,2)</f>
        <v/>
      </c>
      <c r="X21">
        <f>R21-V21</f>
        <v/>
      </c>
      <c r="Y21" s="42">
        <f>AC20</f>
        <v/>
      </c>
      <c r="Z21" s="42">
        <f>ROUND(Y21*Z$6/12,2)</f>
        <v/>
      </c>
      <c r="AA21" s="42">
        <f>MIN(AA$6,Y21+Z21)</f>
        <v/>
      </c>
      <c r="AB21" s="42">
        <f>MAX(0,MIN(Y21+Z21-AA21,X21))</f>
        <v/>
      </c>
      <c r="AC21" s="42">
        <f>ROUND(Y21+Z21-AA21-AB21,2)</f>
        <v/>
      </c>
      <c r="AD21">
        <f>X21-AB21</f>
        <v/>
      </c>
      <c r="AE21" s="42">
        <f>AI20</f>
        <v/>
      </c>
      <c r="AF21" s="42">
        <f>ROUND(AE21*AF$6/12,2)</f>
        <v/>
      </c>
      <c r="AG21" s="42">
        <f>MIN(AG$6,AE21+AF21)</f>
        <v/>
      </c>
      <c r="AH21" s="42">
        <f>MAX(0,MIN(AE21+AF21-AG21,AD21))</f>
        <v/>
      </c>
      <c r="AI21" s="42">
        <f>ROUND(AE21+AF21-AG21-AH21,2)</f>
        <v/>
      </c>
      <c r="AJ21">
        <f>AD21-AH21</f>
        <v/>
      </c>
      <c r="AK21" s="42">
        <f>AO20</f>
        <v/>
      </c>
      <c r="AL21" s="42">
        <f>ROUND(AK21*AL$6/12,2)</f>
        <v/>
      </c>
      <c r="AM21" s="42">
        <f>MIN(AM$6,AK21+AL21)</f>
        <v/>
      </c>
      <c r="AN21" s="42">
        <f>MAX(0,MIN(AK21+AL21-AM21,AJ21))</f>
        <v/>
      </c>
      <c r="AO21" s="42">
        <f>ROUND(AK21+AL21-AM21-AN21,2)</f>
        <v/>
      </c>
      <c r="AP21">
        <f>AJ21-AN21</f>
        <v/>
      </c>
      <c r="AQ21" s="42">
        <f>AU20</f>
        <v/>
      </c>
      <c r="AR21" s="42">
        <f>ROUND(AQ21*AR$6/12,2)</f>
        <v/>
      </c>
      <c r="AS21" s="42">
        <f>MIN(AS$6,AQ21+AR21)</f>
        <v/>
      </c>
      <c r="AT21" s="42">
        <f>MAX(0,MIN(AQ21+AR21-AS21,AP21))</f>
        <v/>
      </c>
      <c r="AU21" s="42">
        <f>ROUND(AQ21+AR21-AS21-AT21,2)</f>
        <v/>
      </c>
      <c r="AV21">
        <f>AP21-AT21</f>
        <v/>
      </c>
      <c r="AW21" s="42">
        <f>BA20</f>
        <v/>
      </c>
      <c r="AX21" s="42">
        <f>ROUND(AW21*AX$6/12,2)</f>
        <v/>
      </c>
      <c r="AY21" s="42">
        <f>MIN(AY$6,AW21+AX21)</f>
        <v/>
      </c>
      <c r="AZ21" s="42">
        <f>MAX(0,MIN(AW21+AX21-AY21,AV21))</f>
        <v/>
      </c>
      <c r="BA21" s="42">
        <f>ROUND(AW21+AX21-AY21-AZ21,2)</f>
        <v/>
      </c>
      <c r="BB21">
        <f>AV21-AZ21</f>
        <v/>
      </c>
      <c r="BC21" s="42">
        <f>BG20</f>
        <v/>
      </c>
      <c r="BD21" s="42">
        <f>ROUND(BC21*BD$6/12,2)</f>
        <v/>
      </c>
      <c r="BE21" s="42">
        <f>MIN(BE$6,BC21+BD21)</f>
        <v/>
      </c>
      <c r="BF21" s="42">
        <f>MAX(0,MIN(BC21+BD21-BE21,BB21))</f>
        <v/>
      </c>
      <c r="BG21" s="42">
        <f>ROUND(BC21+BD21-BE21-BF21,2)</f>
        <v/>
      </c>
      <c r="BH21">
        <f>BB21-BF21</f>
        <v/>
      </c>
      <c r="BI21" s="42">
        <f>BM20</f>
        <v/>
      </c>
      <c r="BJ21" s="42">
        <f>ROUND(BI21*BJ$6/12,2)</f>
        <v/>
      </c>
      <c r="BK21" s="42">
        <f>MIN(BK$6,BI21+BJ21)</f>
        <v/>
      </c>
      <c r="BL21" s="42">
        <f>MAX(0,MIN(BI21+BJ21-BK21,BH21))</f>
        <v/>
      </c>
      <c r="BM21" s="42">
        <f>ROUND(BI21+BJ21-BK21-BL21,2)</f>
        <v/>
      </c>
      <c r="BN21">
        <f>BH21-BL21</f>
        <v/>
      </c>
    </row>
    <row r="22">
      <c r="A22" s="39" t="n">
        <v>15</v>
      </c>
      <c r="B22" s="40">
        <f>EDATE('My Debts'!$C$6,A22-1)</f>
        <v/>
      </c>
      <c r="C22" s="41">
        <f>K22+Q22+W22+AC22+AI22+AO22+AU22+BA22+BG22+BM22</f>
        <v/>
      </c>
      <c r="D22" s="42">
        <f>I22+O22+U22+AA22+AG22+AM22+AS22+AY22+BE22+BK22+J22+P22+V22+AB22+AH22+AN22+AT22+AZ22+BF22+BL22</f>
        <v/>
      </c>
      <c r="E22" s="42">
        <f>H22+N22+T22+Z22+AF22+AL22+AR22+AX22+BD22+BJ22</f>
        <v/>
      </c>
      <c r="F22">
        <f>MAX(0,'My Debts'!$E$21-(I22+O22+U22+AA22+AG22+AM22+AS22+AY22+BE22+BK22))</f>
        <v/>
      </c>
      <c r="G22" s="42">
        <f>K21</f>
        <v/>
      </c>
      <c r="H22" s="42">
        <f>ROUND(G22*H$6/12,2)</f>
        <v/>
      </c>
      <c r="I22" s="42">
        <f>MIN(I$6,G22+H22)</f>
        <v/>
      </c>
      <c r="J22" s="42">
        <f>MAX(0,MIN(G22+H22-I22,$F22))</f>
        <v/>
      </c>
      <c r="K22" s="42">
        <f>ROUND(G22+H22-I22-J22,2)</f>
        <v/>
      </c>
      <c r="L22">
        <f>$F22-J22</f>
        <v/>
      </c>
      <c r="M22" s="42">
        <f>Q21</f>
        <v/>
      </c>
      <c r="N22" s="42">
        <f>ROUND(M22*N$6/12,2)</f>
        <v/>
      </c>
      <c r="O22" s="42">
        <f>MIN(O$6,M22+N22)</f>
        <v/>
      </c>
      <c r="P22" s="42">
        <f>MAX(0,MIN(M22+N22-O22,L22))</f>
        <v/>
      </c>
      <c r="Q22" s="42">
        <f>ROUND(M22+N22-O22-P22,2)</f>
        <v/>
      </c>
      <c r="R22">
        <f>L22-P22</f>
        <v/>
      </c>
      <c r="S22" s="42">
        <f>W21</f>
        <v/>
      </c>
      <c r="T22" s="42">
        <f>ROUND(S22*T$6/12,2)</f>
        <v/>
      </c>
      <c r="U22" s="42">
        <f>MIN(U$6,S22+T22)</f>
        <v/>
      </c>
      <c r="V22" s="42">
        <f>MAX(0,MIN(S22+T22-U22,R22))</f>
        <v/>
      </c>
      <c r="W22" s="42">
        <f>ROUND(S22+T22-U22-V22,2)</f>
        <v/>
      </c>
      <c r="X22">
        <f>R22-V22</f>
        <v/>
      </c>
      <c r="Y22" s="42">
        <f>AC21</f>
        <v/>
      </c>
      <c r="Z22" s="42">
        <f>ROUND(Y22*Z$6/12,2)</f>
        <v/>
      </c>
      <c r="AA22" s="42">
        <f>MIN(AA$6,Y22+Z22)</f>
        <v/>
      </c>
      <c r="AB22" s="42">
        <f>MAX(0,MIN(Y22+Z22-AA22,X22))</f>
        <v/>
      </c>
      <c r="AC22" s="42">
        <f>ROUND(Y22+Z22-AA22-AB22,2)</f>
        <v/>
      </c>
      <c r="AD22">
        <f>X22-AB22</f>
        <v/>
      </c>
      <c r="AE22" s="42">
        <f>AI21</f>
        <v/>
      </c>
      <c r="AF22" s="42">
        <f>ROUND(AE22*AF$6/12,2)</f>
        <v/>
      </c>
      <c r="AG22" s="42">
        <f>MIN(AG$6,AE22+AF22)</f>
        <v/>
      </c>
      <c r="AH22" s="42">
        <f>MAX(0,MIN(AE22+AF22-AG22,AD22))</f>
        <v/>
      </c>
      <c r="AI22" s="42">
        <f>ROUND(AE22+AF22-AG22-AH22,2)</f>
        <v/>
      </c>
      <c r="AJ22">
        <f>AD22-AH22</f>
        <v/>
      </c>
      <c r="AK22" s="42">
        <f>AO21</f>
        <v/>
      </c>
      <c r="AL22" s="42">
        <f>ROUND(AK22*AL$6/12,2)</f>
        <v/>
      </c>
      <c r="AM22" s="42">
        <f>MIN(AM$6,AK22+AL22)</f>
        <v/>
      </c>
      <c r="AN22" s="42">
        <f>MAX(0,MIN(AK22+AL22-AM22,AJ22))</f>
        <v/>
      </c>
      <c r="AO22" s="42">
        <f>ROUND(AK22+AL22-AM22-AN22,2)</f>
        <v/>
      </c>
      <c r="AP22">
        <f>AJ22-AN22</f>
        <v/>
      </c>
      <c r="AQ22" s="42">
        <f>AU21</f>
        <v/>
      </c>
      <c r="AR22" s="42">
        <f>ROUND(AQ22*AR$6/12,2)</f>
        <v/>
      </c>
      <c r="AS22" s="42">
        <f>MIN(AS$6,AQ22+AR22)</f>
        <v/>
      </c>
      <c r="AT22" s="42">
        <f>MAX(0,MIN(AQ22+AR22-AS22,AP22))</f>
        <v/>
      </c>
      <c r="AU22" s="42">
        <f>ROUND(AQ22+AR22-AS22-AT22,2)</f>
        <v/>
      </c>
      <c r="AV22">
        <f>AP22-AT22</f>
        <v/>
      </c>
      <c r="AW22" s="42">
        <f>BA21</f>
        <v/>
      </c>
      <c r="AX22" s="42">
        <f>ROUND(AW22*AX$6/12,2)</f>
        <v/>
      </c>
      <c r="AY22" s="42">
        <f>MIN(AY$6,AW22+AX22)</f>
        <v/>
      </c>
      <c r="AZ22" s="42">
        <f>MAX(0,MIN(AW22+AX22-AY22,AV22))</f>
        <v/>
      </c>
      <c r="BA22" s="42">
        <f>ROUND(AW22+AX22-AY22-AZ22,2)</f>
        <v/>
      </c>
      <c r="BB22">
        <f>AV22-AZ22</f>
        <v/>
      </c>
      <c r="BC22" s="42">
        <f>BG21</f>
        <v/>
      </c>
      <c r="BD22" s="42">
        <f>ROUND(BC22*BD$6/12,2)</f>
        <v/>
      </c>
      <c r="BE22" s="42">
        <f>MIN(BE$6,BC22+BD22)</f>
        <v/>
      </c>
      <c r="BF22" s="42">
        <f>MAX(0,MIN(BC22+BD22-BE22,BB22))</f>
        <v/>
      </c>
      <c r="BG22" s="42">
        <f>ROUND(BC22+BD22-BE22-BF22,2)</f>
        <v/>
      </c>
      <c r="BH22">
        <f>BB22-BF22</f>
        <v/>
      </c>
      <c r="BI22" s="42">
        <f>BM21</f>
        <v/>
      </c>
      <c r="BJ22" s="42">
        <f>ROUND(BI22*BJ$6/12,2)</f>
        <v/>
      </c>
      <c r="BK22" s="42">
        <f>MIN(BK$6,BI22+BJ22)</f>
        <v/>
      </c>
      <c r="BL22" s="42">
        <f>MAX(0,MIN(BI22+BJ22-BK22,BH22))</f>
        <v/>
      </c>
      <c r="BM22" s="42">
        <f>ROUND(BI22+BJ22-BK22-BL22,2)</f>
        <v/>
      </c>
      <c r="BN22">
        <f>BH22-BL22</f>
        <v/>
      </c>
    </row>
    <row r="23">
      <c r="A23" s="43" t="n">
        <v>16</v>
      </c>
      <c r="B23" s="44">
        <f>EDATE('My Debts'!$C$6,A23-1)</f>
        <v/>
      </c>
      <c r="C23" s="45">
        <f>K23+Q23+W23+AC23+AI23+AO23+AU23+BA23+BG23+BM23</f>
        <v/>
      </c>
      <c r="D23" s="46">
        <f>I23+O23+U23+AA23+AG23+AM23+AS23+AY23+BE23+BK23+J23+P23+V23+AB23+AH23+AN23+AT23+AZ23+BF23+BL23</f>
        <v/>
      </c>
      <c r="E23" s="46">
        <f>H23+N23+T23+Z23+AF23+AL23+AR23+AX23+BD23+BJ23</f>
        <v/>
      </c>
      <c r="F23">
        <f>MAX(0,'My Debts'!$E$21-(I23+O23+U23+AA23+AG23+AM23+AS23+AY23+BE23+BK23))</f>
        <v/>
      </c>
      <c r="G23" s="42">
        <f>K22</f>
        <v/>
      </c>
      <c r="H23" s="42">
        <f>ROUND(G23*H$6/12,2)</f>
        <v/>
      </c>
      <c r="I23" s="42">
        <f>MIN(I$6,G23+H23)</f>
        <v/>
      </c>
      <c r="J23" s="42">
        <f>MAX(0,MIN(G23+H23-I23,$F23))</f>
        <v/>
      </c>
      <c r="K23" s="42">
        <f>ROUND(G23+H23-I23-J23,2)</f>
        <v/>
      </c>
      <c r="L23">
        <f>$F23-J23</f>
        <v/>
      </c>
      <c r="M23" s="42">
        <f>Q22</f>
        <v/>
      </c>
      <c r="N23" s="42">
        <f>ROUND(M23*N$6/12,2)</f>
        <v/>
      </c>
      <c r="O23" s="42">
        <f>MIN(O$6,M23+N23)</f>
        <v/>
      </c>
      <c r="P23" s="42">
        <f>MAX(0,MIN(M23+N23-O23,L23))</f>
        <v/>
      </c>
      <c r="Q23" s="42">
        <f>ROUND(M23+N23-O23-P23,2)</f>
        <v/>
      </c>
      <c r="R23">
        <f>L23-P23</f>
        <v/>
      </c>
      <c r="S23" s="42">
        <f>W22</f>
        <v/>
      </c>
      <c r="T23" s="42">
        <f>ROUND(S23*T$6/12,2)</f>
        <v/>
      </c>
      <c r="U23" s="42">
        <f>MIN(U$6,S23+T23)</f>
        <v/>
      </c>
      <c r="V23" s="42">
        <f>MAX(0,MIN(S23+T23-U23,R23))</f>
        <v/>
      </c>
      <c r="W23" s="42">
        <f>ROUND(S23+T23-U23-V23,2)</f>
        <v/>
      </c>
      <c r="X23">
        <f>R23-V23</f>
        <v/>
      </c>
      <c r="Y23" s="42">
        <f>AC22</f>
        <v/>
      </c>
      <c r="Z23" s="42">
        <f>ROUND(Y23*Z$6/12,2)</f>
        <v/>
      </c>
      <c r="AA23" s="42">
        <f>MIN(AA$6,Y23+Z23)</f>
        <v/>
      </c>
      <c r="AB23" s="42">
        <f>MAX(0,MIN(Y23+Z23-AA23,X23))</f>
        <v/>
      </c>
      <c r="AC23" s="42">
        <f>ROUND(Y23+Z23-AA23-AB23,2)</f>
        <v/>
      </c>
      <c r="AD23">
        <f>X23-AB23</f>
        <v/>
      </c>
      <c r="AE23" s="42">
        <f>AI22</f>
        <v/>
      </c>
      <c r="AF23" s="42">
        <f>ROUND(AE23*AF$6/12,2)</f>
        <v/>
      </c>
      <c r="AG23" s="42">
        <f>MIN(AG$6,AE23+AF23)</f>
        <v/>
      </c>
      <c r="AH23" s="42">
        <f>MAX(0,MIN(AE23+AF23-AG23,AD23))</f>
        <v/>
      </c>
      <c r="AI23" s="42">
        <f>ROUND(AE23+AF23-AG23-AH23,2)</f>
        <v/>
      </c>
      <c r="AJ23">
        <f>AD23-AH23</f>
        <v/>
      </c>
      <c r="AK23" s="42">
        <f>AO22</f>
        <v/>
      </c>
      <c r="AL23" s="42">
        <f>ROUND(AK23*AL$6/12,2)</f>
        <v/>
      </c>
      <c r="AM23" s="42">
        <f>MIN(AM$6,AK23+AL23)</f>
        <v/>
      </c>
      <c r="AN23" s="42">
        <f>MAX(0,MIN(AK23+AL23-AM23,AJ23))</f>
        <v/>
      </c>
      <c r="AO23" s="42">
        <f>ROUND(AK23+AL23-AM23-AN23,2)</f>
        <v/>
      </c>
      <c r="AP23">
        <f>AJ23-AN23</f>
        <v/>
      </c>
      <c r="AQ23" s="42">
        <f>AU22</f>
        <v/>
      </c>
      <c r="AR23" s="42">
        <f>ROUND(AQ23*AR$6/12,2)</f>
        <v/>
      </c>
      <c r="AS23" s="42">
        <f>MIN(AS$6,AQ23+AR23)</f>
        <v/>
      </c>
      <c r="AT23" s="42">
        <f>MAX(0,MIN(AQ23+AR23-AS23,AP23))</f>
        <v/>
      </c>
      <c r="AU23" s="42">
        <f>ROUND(AQ23+AR23-AS23-AT23,2)</f>
        <v/>
      </c>
      <c r="AV23">
        <f>AP23-AT23</f>
        <v/>
      </c>
      <c r="AW23" s="42">
        <f>BA22</f>
        <v/>
      </c>
      <c r="AX23" s="42">
        <f>ROUND(AW23*AX$6/12,2)</f>
        <v/>
      </c>
      <c r="AY23" s="42">
        <f>MIN(AY$6,AW23+AX23)</f>
        <v/>
      </c>
      <c r="AZ23" s="42">
        <f>MAX(0,MIN(AW23+AX23-AY23,AV23))</f>
        <v/>
      </c>
      <c r="BA23" s="42">
        <f>ROUND(AW23+AX23-AY23-AZ23,2)</f>
        <v/>
      </c>
      <c r="BB23">
        <f>AV23-AZ23</f>
        <v/>
      </c>
      <c r="BC23" s="42">
        <f>BG22</f>
        <v/>
      </c>
      <c r="BD23" s="42">
        <f>ROUND(BC23*BD$6/12,2)</f>
        <v/>
      </c>
      <c r="BE23" s="42">
        <f>MIN(BE$6,BC23+BD23)</f>
        <v/>
      </c>
      <c r="BF23" s="42">
        <f>MAX(0,MIN(BC23+BD23-BE23,BB23))</f>
        <v/>
      </c>
      <c r="BG23" s="42">
        <f>ROUND(BC23+BD23-BE23-BF23,2)</f>
        <v/>
      </c>
      <c r="BH23">
        <f>BB23-BF23</f>
        <v/>
      </c>
      <c r="BI23" s="42">
        <f>BM22</f>
        <v/>
      </c>
      <c r="BJ23" s="42">
        <f>ROUND(BI23*BJ$6/12,2)</f>
        <v/>
      </c>
      <c r="BK23" s="42">
        <f>MIN(BK$6,BI23+BJ23)</f>
        <v/>
      </c>
      <c r="BL23" s="42">
        <f>MAX(0,MIN(BI23+BJ23-BK23,BH23))</f>
        <v/>
      </c>
      <c r="BM23" s="42">
        <f>ROUND(BI23+BJ23-BK23-BL23,2)</f>
        <v/>
      </c>
      <c r="BN23">
        <f>BH23-BL23</f>
        <v/>
      </c>
    </row>
    <row r="24">
      <c r="A24" s="39" t="n">
        <v>17</v>
      </c>
      <c r="B24" s="40">
        <f>EDATE('My Debts'!$C$6,A24-1)</f>
        <v/>
      </c>
      <c r="C24" s="41">
        <f>K24+Q24+W24+AC24+AI24+AO24+AU24+BA24+BG24+BM24</f>
        <v/>
      </c>
      <c r="D24" s="42">
        <f>I24+O24+U24+AA24+AG24+AM24+AS24+AY24+BE24+BK24+J24+P24+V24+AB24+AH24+AN24+AT24+AZ24+BF24+BL24</f>
        <v/>
      </c>
      <c r="E24" s="42">
        <f>H24+N24+T24+Z24+AF24+AL24+AR24+AX24+BD24+BJ24</f>
        <v/>
      </c>
      <c r="F24">
        <f>MAX(0,'My Debts'!$E$21-(I24+O24+U24+AA24+AG24+AM24+AS24+AY24+BE24+BK24))</f>
        <v/>
      </c>
      <c r="G24" s="42">
        <f>K23</f>
        <v/>
      </c>
      <c r="H24" s="42">
        <f>ROUND(G24*H$6/12,2)</f>
        <v/>
      </c>
      <c r="I24" s="42">
        <f>MIN(I$6,G24+H24)</f>
        <v/>
      </c>
      <c r="J24" s="42">
        <f>MAX(0,MIN(G24+H24-I24,$F24))</f>
        <v/>
      </c>
      <c r="K24" s="42">
        <f>ROUND(G24+H24-I24-J24,2)</f>
        <v/>
      </c>
      <c r="L24">
        <f>$F24-J24</f>
        <v/>
      </c>
      <c r="M24" s="42">
        <f>Q23</f>
        <v/>
      </c>
      <c r="N24" s="42">
        <f>ROUND(M24*N$6/12,2)</f>
        <v/>
      </c>
      <c r="O24" s="42">
        <f>MIN(O$6,M24+N24)</f>
        <v/>
      </c>
      <c r="P24" s="42">
        <f>MAX(0,MIN(M24+N24-O24,L24))</f>
        <v/>
      </c>
      <c r="Q24" s="42">
        <f>ROUND(M24+N24-O24-P24,2)</f>
        <v/>
      </c>
      <c r="R24">
        <f>L24-P24</f>
        <v/>
      </c>
      <c r="S24" s="42">
        <f>W23</f>
        <v/>
      </c>
      <c r="T24" s="42">
        <f>ROUND(S24*T$6/12,2)</f>
        <v/>
      </c>
      <c r="U24" s="42">
        <f>MIN(U$6,S24+T24)</f>
        <v/>
      </c>
      <c r="V24" s="42">
        <f>MAX(0,MIN(S24+T24-U24,R24))</f>
        <v/>
      </c>
      <c r="W24" s="42">
        <f>ROUND(S24+T24-U24-V24,2)</f>
        <v/>
      </c>
      <c r="X24">
        <f>R24-V24</f>
        <v/>
      </c>
      <c r="Y24" s="42">
        <f>AC23</f>
        <v/>
      </c>
      <c r="Z24" s="42">
        <f>ROUND(Y24*Z$6/12,2)</f>
        <v/>
      </c>
      <c r="AA24" s="42">
        <f>MIN(AA$6,Y24+Z24)</f>
        <v/>
      </c>
      <c r="AB24" s="42">
        <f>MAX(0,MIN(Y24+Z24-AA24,X24))</f>
        <v/>
      </c>
      <c r="AC24" s="42">
        <f>ROUND(Y24+Z24-AA24-AB24,2)</f>
        <v/>
      </c>
      <c r="AD24">
        <f>X24-AB24</f>
        <v/>
      </c>
      <c r="AE24" s="42">
        <f>AI23</f>
        <v/>
      </c>
      <c r="AF24" s="42">
        <f>ROUND(AE24*AF$6/12,2)</f>
        <v/>
      </c>
      <c r="AG24" s="42">
        <f>MIN(AG$6,AE24+AF24)</f>
        <v/>
      </c>
      <c r="AH24" s="42">
        <f>MAX(0,MIN(AE24+AF24-AG24,AD24))</f>
        <v/>
      </c>
      <c r="AI24" s="42">
        <f>ROUND(AE24+AF24-AG24-AH24,2)</f>
        <v/>
      </c>
      <c r="AJ24">
        <f>AD24-AH24</f>
        <v/>
      </c>
      <c r="AK24" s="42">
        <f>AO23</f>
        <v/>
      </c>
      <c r="AL24" s="42">
        <f>ROUND(AK24*AL$6/12,2)</f>
        <v/>
      </c>
      <c r="AM24" s="42">
        <f>MIN(AM$6,AK24+AL24)</f>
        <v/>
      </c>
      <c r="AN24" s="42">
        <f>MAX(0,MIN(AK24+AL24-AM24,AJ24))</f>
        <v/>
      </c>
      <c r="AO24" s="42">
        <f>ROUND(AK24+AL24-AM24-AN24,2)</f>
        <v/>
      </c>
      <c r="AP24">
        <f>AJ24-AN24</f>
        <v/>
      </c>
      <c r="AQ24" s="42">
        <f>AU23</f>
        <v/>
      </c>
      <c r="AR24" s="42">
        <f>ROUND(AQ24*AR$6/12,2)</f>
        <v/>
      </c>
      <c r="AS24" s="42">
        <f>MIN(AS$6,AQ24+AR24)</f>
        <v/>
      </c>
      <c r="AT24" s="42">
        <f>MAX(0,MIN(AQ24+AR24-AS24,AP24))</f>
        <v/>
      </c>
      <c r="AU24" s="42">
        <f>ROUND(AQ24+AR24-AS24-AT24,2)</f>
        <v/>
      </c>
      <c r="AV24">
        <f>AP24-AT24</f>
        <v/>
      </c>
      <c r="AW24" s="42">
        <f>BA23</f>
        <v/>
      </c>
      <c r="AX24" s="42">
        <f>ROUND(AW24*AX$6/12,2)</f>
        <v/>
      </c>
      <c r="AY24" s="42">
        <f>MIN(AY$6,AW24+AX24)</f>
        <v/>
      </c>
      <c r="AZ24" s="42">
        <f>MAX(0,MIN(AW24+AX24-AY24,AV24))</f>
        <v/>
      </c>
      <c r="BA24" s="42">
        <f>ROUND(AW24+AX24-AY24-AZ24,2)</f>
        <v/>
      </c>
      <c r="BB24">
        <f>AV24-AZ24</f>
        <v/>
      </c>
      <c r="BC24" s="42">
        <f>BG23</f>
        <v/>
      </c>
      <c r="BD24" s="42">
        <f>ROUND(BC24*BD$6/12,2)</f>
        <v/>
      </c>
      <c r="BE24" s="42">
        <f>MIN(BE$6,BC24+BD24)</f>
        <v/>
      </c>
      <c r="BF24" s="42">
        <f>MAX(0,MIN(BC24+BD24-BE24,BB24))</f>
        <v/>
      </c>
      <c r="BG24" s="42">
        <f>ROUND(BC24+BD24-BE24-BF24,2)</f>
        <v/>
      </c>
      <c r="BH24">
        <f>BB24-BF24</f>
        <v/>
      </c>
      <c r="BI24" s="42">
        <f>BM23</f>
        <v/>
      </c>
      <c r="BJ24" s="42">
        <f>ROUND(BI24*BJ$6/12,2)</f>
        <v/>
      </c>
      <c r="BK24" s="42">
        <f>MIN(BK$6,BI24+BJ24)</f>
        <v/>
      </c>
      <c r="BL24" s="42">
        <f>MAX(0,MIN(BI24+BJ24-BK24,BH24))</f>
        <v/>
      </c>
      <c r="BM24" s="42">
        <f>ROUND(BI24+BJ24-BK24-BL24,2)</f>
        <v/>
      </c>
      <c r="BN24">
        <f>BH24-BL24</f>
        <v/>
      </c>
    </row>
    <row r="25">
      <c r="A25" s="43" t="n">
        <v>18</v>
      </c>
      <c r="B25" s="44">
        <f>EDATE('My Debts'!$C$6,A25-1)</f>
        <v/>
      </c>
      <c r="C25" s="45">
        <f>K25+Q25+W25+AC25+AI25+AO25+AU25+BA25+BG25+BM25</f>
        <v/>
      </c>
      <c r="D25" s="46">
        <f>I25+O25+U25+AA25+AG25+AM25+AS25+AY25+BE25+BK25+J25+P25+V25+AB25+AH25+AN25+AT25+AZ25+BF25+BL25</f>
        <v/>
      </c>
      <c r="E25" s="46">
        <f>H25+N25+T25+Z25+AF25+AL25+AR25+AX25+BD25+BJ25</f>
        <v/>
      </c>
      <c r="F25">
        <f>MAX(0,'My Debts'!$E$21-(I25+O25+U25+AA25+AG25+AM25+AS25+AY25+BE25+BK25))</f>
        <v/>
      </c>
      <c r="G25" s="42">
        <f>K24</f>
        <v/>
      </c>
      <c r="H25" s="42">
        <f>ROUND(G25*H$6/12,2)</f>
        <v/>
      </c>
      <c r="I25" s="42">
        <f>MIN(I$6,G25+H25)</f>
        <v/>
      </c>
      <c r="J25" s="42">
        <f>MAX(0,MIN(G25+H25-I25,$F25))</f>
        <v/>
      </c>
      <c r="K25" s="42">
        <f>ROUND(G25+H25-I25-J25,2)</f>
        <v/>
      </c>
      <c r="L25">
        <f>$F25-J25</f>
        <v/>
      </c>
      <c r="M25" s="42">
        <f>Q24</f>
        <v/>
      </c>
      <c r="N25" s="42">
        <f>ROUND(M25*N$6/12,2)</f>
        <v/>
      </c>
      <c r="O25" s="42">
        <f>MIN(O$6,M25+N25)</f>
        <v/>
      </c>
      <c r="P25" s="42">
        <f>MAX(0,MIN(M25+N25-O25,L25))</f>
        <v/>
      </c>
      <c r="Q25" s="42">
        <f>ROUND(M25+N25-O25-P25,2)</f>
        <v/>
      </c>
      <c r="R25">
        <f>L25-P25</f>
        <v/>
      </c>
      <c r="S25" s="42">
        <f>W24</f>
        <v/>
      </c>
      <c r="T25" s="42">
        <f>ROUND(S25*T$6/12,2)</f>
        <v/>
      </c>
      <c r="U25" s="42">
        <f>MIN(U$6,S25+T25)</f>
        <v/>
      </c>
      <c r="V25" s="42">
        <f>MAX(0,MIN(S25+T25-U25,R25))</f>
        <v/>
      </c>
      <c r="W25" s="42">
        <f>ROUND(S25+T25-U25-V25,2)</f>
        <v/>
      </c>
      <c r="X25">
        <f>R25-V25</f>
        <v/>
      </c>
      <c r="Y25" s="42">
        <f>AC24</f>
        <v/>
      </c>
      <c r="Z25" s="42">
        <f>ROUND(Y25*Z$6/12,2)</f>
        <v/>
      </c>
      <c r="AA25" s="42">
        <f>MIN(AA$6,Y25+Z25)</f>
        <v/>
      </c>
      <c r="AB25" s="42">
        <f>MAX(0,MIN(Y25+Z25-AA25,X25))</f>
        <v/>
      </c>
      <c r="AC25" s="42">
        <f>ROUND(Y25+Z25-AA25-AB25,2)</f>
        <v/>
      </c>
      <c r="AD25">
        <f>X25-AB25</f>
        <v/>
      </c>
      <c r="AE25" s="42">
        <f>AI24</f>
        <v/>
      </c>
      <c r="AF25" s="42">
        <f>ROUND(AE25*AF$6/12,2)</f>
        <v/>
      </c>
      <c r="AG25" s="42">
        <f>MIN(AG$6,AE25+AF25)</f>
        <v/>
      </c>
      <c r="AH25" s="42">
        <f>MAX(0,MIN(AE25+AF25-AG25,AD25))</f>
        <v/>
      </c>
      <c r="AI25" s="42">
        <f>ROUND(AE25+AF25-AG25-AH25,2)</f>
        <v/>
      </c>
      <c r="AJ25">
        <f>AD25-AH25</f>
        <v/>
      </c>
      <c r="AK25" s="42">
        <f>AO24</f>
        <v/>
      </c>
      <c r="AL25" s="42">
        <f>ROUND(AK25*AL$6/12,2)</f>
        <v/>
      </c>
      <c r="AM25" s="42">
        <f>MIN(AM$6,AK25+AL25)</f>
        <v/>
      </c>
      <c r="AN25" s="42">
        <f>MAX(0,MIN(AK25+AL25-AM25,AJ25))</f>
        <v/>
      </c>
      <c r="AO25" s="42">
        <f>ROUND(AK25+AL25-AM25-AN25,2)</f>
        <v/>
      </c>
      <c r="AP25">
        <f>AJ25-AN25</f>
        <v/>
      </c>
      <c r="AQ25" s="42">
        <f>AU24</f>
        <v/>
      </c>
      <c r="AR25" s="42">
        <f>ROUND(AQ25*AR$6/12,2)</f>
        <v/>
      </c>
      <c r="AS25" s="42">
        <f>MIN(AS$6,AQ25+AR25)</f>
        <v/>
      </c>
      <c r="AT25" s="42">
        <f>MAX(0,MIN(AQ25+AR25-AS25,AP25))</f>
        <v/>
      </c>
      <c r="AU25" s="42">
        <f>ROUND(AQ25+AR25-AS25-AT25,2)</f>
        <v/>
      </c>
      <c r="AV25">
        <f>AP25-AT25</f>
        <v/>
      </c>
      <c r="AW25" s="42">
        <f>BA24</f>
        <v/>
      </c>
      <c r="AX25" s="42">
        <f>ROUND(AW25*AX$6/12,2)</f>
        <v/>
      </c>
      <c r="AY25" s="42">
        <f>MIN(AY$6,AW25+AX25)</f>
        <v/>
      </c>
      <c r="AZ25" s="42">
        <f>MAX(0,MIN(AW25+AX25-AY25,AV25))</f>
        <v/>
      </c>
      <c r="BA25" s="42">
        <f>ROUND(AW25+AX25-AY25-AZ25,2)</f>
        <v/>
      </c>
      <c r="BB25">
        <f>AV25-AZ25</f>
        <v/>
      </c>
      <c r="BC25" s="42">
        <f>BG24</f>
        <v/>
      </c>
      <c r="BD25" s="42">
        <f>ROUND(BC25*BD$6/12,2)</f>
        <v/>
      </c>
      <c r="BE25" s="42">
        <f>MIN(BE$6,BC25+BD25)</f>
        <v/>
      </c>
      <c r="BF25" s="42">
        <f>MAX(0,MIN(BC25+BD25-BE25,BB25))</f>
        <v/>
      </c>
      <c r="BG25" s="42">
        <f>ROUND(BC25+BD25-BE25-BF25,2)</f>
        <v/>
      </c>
      <c r="BH25">
        <f>BB25-BF25</f>
        <v/>
      </c>
      <c r="BI25" s="42">
        <f>BM24</f>
        <v/>
      </c>
      <c r="BJ25" s="42">
        <f>ROUND(BI25*BJ$6/12,2)</f>
        <v/>
      </c>
      <c r="BK25" s="42">
        <f>MIN(BK$6,BI25+BJ25)</f>
        <v/>
      </c>
      <c r="BL25" s="42">
        <f>MAX(0,MIN(BI25+BJ25-BK25,BH25))</f>
        <v/>
      </c>
      <c r="BM25" s="42">
        <f>ROUND(BI25+BJ25-BK25-BL25,2)</f>
        <v/>
      </c>
      <c r="BN25">
        <f>BH25-BL25</f>
        <v/>
      </c>
    </row>
    <row r="26">
      <c r="A26" s="39" t="n">
        <v>19</v>
      </c>
      <c r="B26" s="40">
        <f>EDATE('My Debts'!$C$6,A26-1)</f>
        <v/>
      </c>
      <c r="C26" s="41">
        <f>K26+Q26+W26+AC26+AI26+AO26+AU26+BA26+BG26+BM26</f>
        <v/>
      </c>
      <c r="D26" s="42">
        <f>I26+O26+U26+AA26+AG26+AM26+AS26+AY26+BE26+BK26+J26+P26+V26+AB26+AH26+AN26+AT26+AZ26+BF26+BL26</f>
        <v/>
      </c>
      <c r="E26" s="42">
        <f>H26+N26+T26+Z26+AF26+AL26+AR26+AX26+BD26+BJ26</f>
        <v/>
      </c>
      <c r="F26">
        <f>MAX(0,'My Debts'!$E$21-(I26+O26+U26+AA26+AG26+AM26+AS26+AY26+BE26+BK26))</f>
        <v/>
      </c>
      <c r="G26" s="42">
        <f>K25</f>
        <v/>
      </c>
      <c r="H26" s="42">
        <f>ROUND(G26*H$6/12,2)</f>
        <v/>
      </c>
      <c r="I26" s="42">
        <f>MIN(I$6,G26+H26)</f>
        <v/>
      </c>
      <c r="J26" s="42">
        <f>MAX(0,MIN(G26+H26-I26,$F26))</f>
        <v/>
      </c>
      <c r="K26" s="42">
        <f>ROUND(G26+H26-I26-J26,2)</f>
        <v/>
      </c>
      <c r="L26">
        <f>$F26-J26</f>
        <v/>
      </c>
      <c r="M26" s="42">
        <f>Q25</f>
        <v/>
      </c>
      <c r="N26" s="42">
        <f>ROUND(M26*N$6/12,2)</f>
        <v/>
      </c>
      <c r="O26" s="42">
        <f>MIN(O$6,M26+N26)</f>
        <v/>
      </c>
      <c r="P26" s="42">
        <f>MAX(0,MIN(M26+N26-O26,L26))</f>
        <v/>
      </c>
      <c r="Q26" s="42">
        <f>ROUND(M26+N26-O26-P26,2)</f>
        <v/>
      </c>
      <c r="R26">
        <f>L26-P26</f>
        <v/>
      </c>
      <c r="S26" s="42">
        <f>W25</f>
        <v/>
      </c>
      <c r="T26" s="42">
        <f>ROUND(S26*T$6/12,2)</f>
        <v/>
      </c>
      <c r="U26" s="42">
        <f>MIN(U$6,S26+T26)</f>
        <v/>
      </c>
      <c r="V26" s="42">
        <f>MAX(0,MIN(S26+T26-U26,R26))</f>
        <v/>
      </c>
      <c r="W26" s="42">
        <f>ROUND(S26+T26-U26-V26,2)</f>
        <v/>
      </c>
      <c r="X26">
        <f>R26-V26</f>
        <v/>
      </c>
      <c r="Y26" s="42">
        <f>AC25</f>
        <v/>
      </c>
      <c r="Z26" s="42">
        <f>ROUND(Y26*Z$6/12,2)</f>
        <v/>
      </c>
      <c r="AA26" s="42">
        <f>MIN(AA$6,Y26+Z26)</f>
        <v/>
      </c>
      <c r="AB26" s="42">
        <f>MAX(0,MIN(Y26+Z26-AA26,X26))</f>
        <v/>
      </c>
      <c r="AC26" s="42">
        <f>ROUND(Y26+Z26-AA26-AB26,2)</f>
        <v/>
      </c>
      <c r="AD26">
        <f>X26-AB26</f>
        <v/>
      </c>
      <c r="AE26" s="42">
        <f>AI25</f>
        <v/>
      </c>
      <c r="AF26" s="42">
        <f>ROUND(AE26*AF$6/12,2)</f>
        <v/>
      </c>
      <c r="AG26" s="42">
        <f>MIN(AG$6,AE26+AF26)</f>
        <v/>
      </c>
      <c r="AH26" s="42">
        <f>MAX(0,MIN(AE26+AF26-AG26,AD26))</f>
        <v/>
      </c>
      <c r="AI26" s="42">
        <f>ROUND(AE26+AF26-AG26-AH26,2)</f>
        <v/>
      </c>
      <c r="AJ26">
        <f>AD26-AH26</f>
        <v/>
      </c>
      <c r="AK26" s="42">
        <f>AO25</f>
        <v/>
      </c>
      <c r="AL26" s="42">
        <f>ROUND(AK26*AL$6/12,2)</f>
        <v/>
      </c>
      <c r="AM26" s="42">
        <f>MIN(AM$6,AK26+AL26)</f>
        <v/>
      </c>
      <c r="AN26" s="42">
        <f>MAX(0,MIN(AK26+AL26-AM26,AJ26))</f>
        <v/>
      </c>
      <c r="AO26" s="42">
        <f>ROUND(AK26+AL26-AM26-AN26,2)</f>
        <v/>
      </c>
      <c r="AP26">
        <f>AJ26-AN26</f>
        <v/>
      </c>
      <c r="AQ26" s="42">
        <f>AU25</f>
        <v/>
      </c>
      <c r="AR26" s="42">
        <f>ROUND(AQ26*AR$6/12,2)</f>
        <v/>
      </c>
      <c r="AS26" s="42">
        <f>MIN(AS$6,AQ26+AR26)</f>
        <v/>
      </c>
      <c r="AT26" s="42">
        <f>MAX(0,MIN(AQ26+AR26-AS26,AP26))</f>
        <v/>
      </c>
      <c r="AU26" s="42">
        <f>ROUND(AQ26+AR26-AS26-AT26,2)</f>
        <v/>
      </c>
      <c r="AV26">
        <f>AP26-AT26</f>
        <v/>
      </c>
      <c r="AW26" s="42">
        <f>BA25</f>
        <v/>
      </c>
      <c r="AX26" s="42">
        <f>ROUND(AW26*AX$6/12,2)</f>
        <v/>
      </c>
      <c r="AY26" s="42">
        <f>MIN(AY$6,AW26+AX26)</f>
        <v/>
      </c>
      <c r="AZ26" s="42">
        <f>MAX(0,MIN(AW26+AX26-AY26,AV26))</f>
        <v/>
      </c>
      <c r="BA26" s="42">
        <f>ROUND(AW26+AX26-AY26-AZ26,2)</f>
        <v/>
      </c>
      <c r="BB26">
        <f>AV26-AZ26</f>
        <v/>
      </c>
      <c r="BC26" s="42">
        <f>BG25</f>
        <v/>
      </c>
      <c r="BD26" s="42">
        <f>ROUND(BC26*BD$6/12,2)</f>
        <v/>
      </c>
      <c r="BE26" s="42">
        <f>MIN(BE$6,BC26+BD26)</f>
        <v/>
      </c>
      <c r="BF26" s="42">
        <f>MAX(0,MIN(BC26+BD26-BE26,BB26))</f>
        <v/>
      </c>
      <c r="BG26" s="42">
        <f>ROUND(BC26+BD26-BE26-BF26,2)</f>
        <v/>
      </c>
      <c r="BH26">
        <f>BB26-BF26</f>
        <v/>
      </c>
      <c r="BI26" s="42">
        <f>BM25</f>
        <v/>
      </c>
      <c r="BJ26" s="42">
        <f>ROUND(BI26*BJ$6/12,2)</f>
        <v/>
      </c>
      <c r="BK26" s="42">
        <f>MIN(BK$6,BI26+BJ26)</f>
        <v/>
      </c>
      <c r="BL26" s="42">
        <f>MAX(0,MIN(BI26+BJ26-BK26,BH26))</f>
        <v/>
      </c>
      <c r="BM26" s="42">
        <f>ROUND(BI26+BJ26-BK26-BL26,2)</f>
        <v/>
      </c>
      <c r="BN26">
        <f>BH26-BL26</f>
        <v/>
      </c>
    </row>
    <row r="27">
      <c r="A27" s="43" t="n">
        <v>20</v>
      </c>
      <c r="B27" s="44">
        <f>EDATE('My Debts'!$C$6,A27-1)</f>
        <v/>
      </c>
      <c r="C27" s="45">
        <f>K27+Q27+W27+AC27+AI27+AO27+AU27+BA27+BG27+BM27</f>
        <v/>
      </c>
      <c r="D27" s="46">
        <f>I27+O27+U27+AA27+AG27+AM27+AS27+AY27+BE27+BK27+J27+P27+V27+AB27+AH27+AN27+AT27+AZ27+BF27+BL27</f>
        <v/>
      </c>
      <c r="E27" s="46">
        <f>H27+N27+T27+Z27+AF27+AL27+AR27+AX27+BD27+BJ27</f>
        <v/>
      </c>
      <c r="F27">
        <f>MAX(0,'My Debts'!$E$21-(I27+O27+U27+AA27+AG27+AM27+AS27+AY27+BE27+BK27))</f>
        <v/>
      </c>
      <c r="G27" s="42">
        <f>K26</f>
        <v/>
      </c>
      <c r="H27" s="42">
        <f>ROUND(G27*H$6/12,2)</f>
        <v/>
      </c>
      <c r="I27" s="42">
        <f>MIN(I$6,G27+H27)</f>
        <v/>
      </c>
      <c r="J27" s="42">
        <f>MAX(0,MIN(G27+H27-I27,$F27))</f>
        <v/>
      </c>
      <c r="K27" s="42">
        <f>ROUND(G27+H27-I27-J27,2)</f>
        <v/>
      </c>
      <c r="L27">
        <f>$F27-J27</f>
        <v/>
      </c>
      <c r="M27" s="42">
        <f>Q26</f>
        <v/>
      </c>
      <c r="N27" s="42">
        <f>ROUND(M27*N$6/12,2)</f>
        <v/>
      </c>
      <c r="O27" s="42">
        <f>MIN(O$6,M27+N27)</f>
        <v/>
      </c>
      <c r="P27" s="42">
        <f>MAX(0,MIN(M27+N27-O27,L27))</f>
        <v/>
      </c>
      <c r="Q27" s="42">
        <f>ROUND(M27+N27-O27-P27,2)</f>
        <v/>
      </c>
      <c r="R27">
        <f>L27-P27</f>
        <v/>
      </c>
      <c r="S27" s="42">
        <f>W26</f>
        <v/>
      </c>
      <c r="T27" s="42">
        <f>ROUND(S27*T$6/12,2)</f>
        <v/>
      </c>
      <c r="U27" s="42">
        <f>MIN(U$6,S27+T27)</f>
        <v/>
      </c>
      <c r="V27" s="42">
        <f>MAX(0,MIN(S27+T27-U27,R27))</f>
        <v/>
      </c>
      <c r="W27" s="42">
        <f>ROUND(S27+T27-U27-V27,2)</f>
        <v/>
      </c>
      <c r="X27">
        <f>R27-V27</f>
        <v/>
      </c>
      <c r="Y27" s="42">
        <f>AC26</f>
        <v/>
      </c>
      <c r="Z27" s="42">
        <f>ROUND(Y27*Z$6/12,2)</f>
        <v/>
      </c>
      <c r="AA27" s="42">
        <f>MIN(AA$6,Y27+Z27)</f>
        <v/>
      </c>
      <c r="AB27" s="42">
        <f>MAX(0,MIN(Y27+Z27-AA27,X27))</f>
        <v/>
      </c>
      <c r="AC27" s="42">
        <f>ROUND(Y27+Z27-AA27-AB27,2)</f>
        <v/>
      </c>
      <c r="AD27">
        <f>X27-AB27</f>
        <v/>
      </c>
      <c r="AE27" s="42">
        <f>AI26</f>
        <v/>
      </c>
      <c r="AF27" s="42">
        <f>ROUND(AE27*AF$6/12,2)</f>
        <v/>
      </c>
      <c r="AG27" s="42">
        <f>MIN(AG$6,AE27+AF27)</f>
        <v/>
      </c>
      <c r="AH27" s="42">
        <f>MAX(0,MIN(AE27+AF27-AG27,AD27))</f>
        <v/>
      </c>
      <c r="AI27" s="42">
        <f>ROUND(AE27+AF27-AG27-AH27,2)</f>
        <v/>
      </c>
      <c r="AJ27">
        <f>AD27-AH27</f>
        <v/>
      </c>
      <c r="AK27" s="42">
        <f>AO26</f>
        <v/>
      </c>
      <c r="AL27" s="42">
        <f>ROUND(AK27*AL$6/12,2)</f>
        <v/>
      </c>
      <c r="AM27" s="42">
        <f>MIN(AM$6,AK27+AL27)</f>
        <v/>
      </c>
      <c r="AN27" s="42">
        <f>MAX(0,MIN(AK27+AL27-AM27,AJ27))</f>
        <v/>
      </c>
      <c r="AO27" s="42">
        <f>ROUND(AK27+AL27-AM27-AN27,2)</f>
        <v/>
      </c>
      <c r="AP27">
        <f>AJ27-AN27</f>
        <v/>
      </c>
      <c r="AQ27" s="42">
        <f>AU26</f>
        <v/>
      </c>
      <c r="AR27" s="42">
        <f>ROUND(AQ27*AR$6/12,2)</f>
        <v/>
      </c>
      <c r="AS27" s="42">
        <f>MIN(AS$6,AQ27+AR27)</f>
        <v/>
      </c>
      <c r="AT27" s="42">
        <f>MAX(0,MIN(AQ27+AR27-AS27,AP27))</f>
        <v/>
      </c>
      <c r="AU27" s="42">
        <f>ROUND(AQ27+AR27-AS27-AT27,2)</f>
        <v/>
      </c>
      <c r="AV27">
        <f>AP27-AT27</f>
        <v/>
      </c>
      <c r="AW27" s="42">
        <f>BA26</f>
        <v/>
      </c>
      <c r="AX27" s="42">
        <f>ROUND(AW27*AX$6/12,2)</f>
        <v/>
      </c>
      <c r="AY27" s="42">
        <f>MIN(AY$6,AW27+AX27)</f>
        <v/>
      </c>
      <c r="AZ27" s="42">
        <f>MAX(0,MIN(AW27+AX27-AY27,AV27))</f>
        <v/>
      </c>
      <c r="BA27" s="42">
        <f>ROUND(AW27+AX27-AY27-AZ27,2)</f>
        <v/>
      </c>
      <c r="BB27">
        <f>AV27-AZ27</f>
        <v/>
      </c>
      <c r="BC27" s="42">
        <f>BG26</f>
        <v/>
      </c>
      <c r="BD27" s="42">
        <f>ROUND(BC27*BD$6/12,2)</f>
        <v/>
      </c>
      <c r="BE27" s="42">
        <f>MIN(BE$6,BC27+BD27)</f>
        <v/>
      </c>
      <c r="BF27" s="42">
        <f>MAX(0,MIN(BC27+BD27-BE27,BB27))</f>
        <v/>
      </c>
      <c r="BG27" s="42">
        <f>ROUND(BC27+BD27-BE27-BF27,2)</f>
        <v/>
      </c>
      <c r="BH27">
        <f>BB27-BF27</f>
        <v/>
      </c>
      <c r="BI27" s="42">
        <f>BM26</f>
        <v/>
      </c>
      <c r="BJ27" s="42">
        <f>ROUND(BI27*BJ$6/12,2)</f>
        <v/>
      </c>
      <c r="BK27" s="42">
        <f>MIN(BK$6,BI27+BJ27)</f>
        <v/>
      </c>
      <c r="BL27" s="42">
        <f>MAX(0,MIN(BI27+BJ27-BK27,BH27))</f>
        <v/>
      </c>
      <c r="BM27" s="42">
        <f>ROUND(BI27+BJ27-BK27-BL27,2)</f>
        <v/>
      </c>
      <c r="BN27">
        <f>BH27-BL27</f>
        <v/>
      </c>
    </row>
    <row r="28">
      <c r="A28" s="39" t="n">
        <v>21</v>
      </c>
      <c r="B28" s="40">
        <f>EDATE('My Debts'!$C$6,A28-1)</f>
        <v/>
      </c>
      <c r="C28" s="41">
        <f>K28+Q28+W28+AC28+AI28+AO28+AU28+BA28+BG28+BM28</f>
        <v/>
      </c>
      <c r="D28" s="42">
        <f>I28+O28+U28+AA28+AG28+AM28+AS28+AY28+BE28+BK28+J28+P28+V28+AB28+AH28+AN28+AT28+AZ28+BF28+BL28</f>
        <v/>
      </c>
      <c r="E28" s="42">
        <f>H28+N28+T28+Z28+AF28+AL28+AR28+AX28+BD28+BJ28</f>
        <v/>
      </c>
      <c r="F28">
        <f>MAX(0,'My Debts'!$E$21-(I28+O28+U28+AA28+AG28+AM28+AS28+AY28+BE28+BK28))</f>
        <v/>
      </c>
      <c r="G28" s="42">
        <f>K27</f>
        <v/>
      </c>
      <c r="H28" s="42">
        <f>ROUND(G28*H$6/12,2)</f>
        <v/>
      </c>
      <c r="I28" s="42">
        <f>MIN(I$6,G28+H28)</f>
        <v/>
      </c>
      <c r="J28" s="42">
        <f>MAX(0,MIN(G28+H28-I28,$F28))</f>
        <v/>
      </c>
      <c r="K28" s="42">
        <f>ROUND(G28+H28-I28-J28,2)</f>
        <v/>
      </c>
      <c r="L28">
        <f>$F28-J28</f>
        <v/>
      </c>
      <c r="M28" s="42">
        <f>Q27</f>
        <v/>
      </c>
      <c r="N28" s="42">
        <f>ROUND(M28*N$6/12,2)</f>
        <v/>
      </c>
      <c r="O28" s="42">
        <f>MIN(O$6,M28+N28)</f>
        <v/>
      </c>
      <c r="P28" s="42">
        <f>MAX(0,MIN(M28+N28-O28,L28))</f>
        <v/>
      </c>
      <c r="Q28" s="42">
        <f>ROUND(M28+N28-O28-P28,2)</f>
        <v/>
      </c>
      <c r="R28">
        <f>L28-P28</f>
        <v/>
      </c>
      <c r="S28" s="42">
        <f>W27</f>
        <v/>
      </c>
      <c r="T28" s="42">
        <f>ROUND(S28*T$6/12,2)</f>
        <v/>
      </c>
      <c r="U28" s="42">
        <f>MIN(U$6,S28+T28)</f>
        <v/>
      </c>
      <c r="V28" s="42">
        <f>MAX(0,MIN(S28+T28-U28,R28))</f>
        <v/>
      </c>
      <c r="W28" s="42">
        <f>ROUND(S28+T28-U28-V28,2)</f>
        <v/>
      </c>
      <c r="X28">
        <f>R28-V28</f>
        <v/>
      </c>
      <c r="Y28" s="42">
        <f>AC27</f>
        <v/>
      </c>
      <c r="Z28" s="42">
        <f>ROUND(Y28*Z$6/12,2)</f>
        <v/>
      </c>
      <c r="AA28" s="42">
        <f>MIN(AA$6,Y28+Z28)</f>
        <v/>
      </c>
      <c r="AB28" s="42">
        <f>MAX(0,MIN(Y28+Z28-AA28,X28))</f>
        <v/>
      </c>
      <c r="AC28" s="42">
        <f>ROUND(Y28+Z28-AA28-AB28,2)</f>
        <v/>
      </c>
      <c r="AD28">
        <f>X28-AB28</f>
        <v/>
      </c>
      <c r="AE28" s="42">
        <f>AI27</f>
        <v/>
      </c>
      <c r="AF28" s="42">
        <f>ROUND(AE28*AF$6/12,2)</f>
        <v/>
      </c>
      <c r="AG28" s="42">
        <f>MIN(AG$6,AE28+AF28)</f>
        <v/>
      </c>
      <c r="AH28" s="42">
        <f>MAX(0,MIN(AE28+AF28-AG28,AD28))</f>
        <v/>
      </c>
      <c r="AI28" s="42">
        <f>ROUND(AE28+AF28-AG28-AH28,2)</f>
        <v/>
      </c>
      <c r="AJ28">
        <f>AD28-AH28</f>
        <v/>
      </c>
      <c r="AK28" s="42">
        <f>AO27</f>
        <v/>
      </c>
      <c r="AL28" s="42">
        <f>ROUND(AK28*AL$6/12,2)</f>
        <v/>
      </c>
      <c r="AM28" s="42">
        <f>MIN(AM$6,AK28+AL28)</f>
        <v/>
      </c>
      <c r="AN28" s="42">
        <f>MAX(0,MIN(AK28+AL28-AM28,AJ28))</f>
        <v/>
      </c>
      <c r="AO28" s="42">
        <f>ROUND(AK28+AL28-AM28-AN28,2)</f>
        <v/>
      </c>
      <c r="AP28">
        <f>AJ28-AN28</f>
        <v/>
      </c>
      <c r="AQ28" s="42">
        <f>AU27</f>
        <v/>
      </c>
      <c r="AR28" s="42">
        <f>ROUND(AQ28*AR$6/12,2)</f>
        <v/>
      </c>
      <c r="AS28" s="42">
        <f>MIN(AS$6,AQ28+AR28)</f>
        <v/>
      </c>
      <c r="AT28" s="42">
        <f>MAX(0,MIN(AQ28+AR28-AS28,AP28))</f>
        <v/>
      </c>
      <c r="AU28" s="42">
        <f>ROUND(AQ28+AR28-AS28-AT28,2)</f>
        <v/>
      </c>
      <c r="AV28">
        <f>AP28-AT28</f>
        <v/>
      </c>
      <c r="AW28" s="42">
        <f>BA27</f>
        <v/>
      </c>
      <c r="AX28" s="42">
        <f>ROUND(AW28*AX$6/12,2)</f>
        <v/>
      </c>
      <c r="AY28" s="42">
        <f>MIN(AY$6,AW28+AX28)</f>
        <v/>
      </c>
      <c r="AZ28" s="42">
        <f>MAX(0,MIN(AW28+AX28-AY28,AV28))</f>
        <v/>
      </c>
      <c r="BA28" s="42">
        <f>ROUND(AW28+AX28-AY28-AZ28,2)</f>
        <v/>
      </c>
      <c r="BB28">
        <f>AV28-AZ28</f>
        <v/>
      </c>
      <c r="BC28" s="42">
        <f>BG27</f>
        <v/>
      </c>
      <c r="BD28" s="42">
        <f>ROUND(BC28*BD$6/12,2)</f>
        <v/>
      </c>
      <c r="BE28" s="42">
        <f>MIN(BE$6,BC28+BD28)</f>
        <v/>
      </c>
      <c r="BF28" s="42">
        <f>MAX(0,MIN(BC28+BD28-BE28,BB28))</f>
        <v/>
      </c>
      <c r="BG28" s="42">
        <f>ROUND(BC28+BD28-BE28-BF28,2)</f>
        <v/>
      </c>
      <c r="BH28">
        <f>BB28-BF28</f>
        <v/>
      </c>
      <c r="BI28" s="42">
        <f>BM27</f>
        <v/>
      </c>
      <c r="BJ28" s="42">
        <f>ROUND(BI28*BJ$6/12,2)</f>
        <v/>
      </c>
      <c r="BK28" s="42">
        <f>MIN(BK$6,BI28+BJ28)</f>
        <v/>
      </c>
      <c r="BL28" s="42">
        <f>MAX(0,MIN(BI28+BJ28-BK28,BH28))</f>
        <v/>
      </c>
      <c r="BM28" s="42">
        <f>ROUND(BI28+BJ28-BK28-BL28,2)</f>
        <v/>
      </c>
      <c r="BN28">
        <f>BH28-BL28</f>
        <v/>
      </c>
    </row>
    <row r="29">
      <c r="A29" s="43" t="n">
        <v>22</v>
      </c>
      <c r="B29" s="44">
        <f>EDATE('My Debts'!$C$6,A29-1)</f>
        <v/>
      </c>
      <c r="C29" s="45">
        <f>K29+Q29+W29+AC29+AI29+AO29+AU29+BA29+BG29+BM29</f>
        <v/>
      </c>
      <c r="D29" s="46">
        <f>I29+O29+U29+AA29+AG29+AM29+AS29+AY29+BE29+BK29+J29+P29+V29+AB29+AH29+AN29+AT29+AZ29+BF29+BL29</f>
        <v/>
      </c>
      <c r="E29" s="46">
        <f>H29+N29+T29+Z29+AF29+AL29+AR29+AX29+BD29+BJ29</f>
        <v/>
      </c>
      <c r="F29">
        <f>MAX(0,'My Debts'!$E$21-(I29+O29+U29+AA29+AG29+AM29+AS29+AY29+BE29+BK29))</f>
        <v/>
      </c>
      <c r="G29" s="42">
        <f>K28</f>
        <v/>
      </c>
      <c r="H29" s="42">
        <f>ROUND(G29*H$6/12,2)</f>
        <v/>
      </c>
      <c r="I29" s="42">
        <f>MIN(I$6,G29+H29)</f>
        <v/>
      </c>
      <c r="J29" s="42">
        <f>MAX(0,MIN(G29+H29-I29,$F29))</f>
        <v/>
      </c>
      <c r="K29" s="42">
        <f>ROUND(G29+H29-I29-J29,2)</f>
        <v/>
      </c>
      <c r="L29">
        <f>$F29-J29</f>
        <v/>
      </c>
      <c r="M29" s="42">
        <f>Q28</f>
        <v/>
      </c>
      <c r="N29" s="42">
        <f>ROUND(M29*N$6/12,2)</f>
        <v/>
      </c>
      <c r="O29" s="42">
        <f>MIN(O$6,M29+N29)</f>
        <v/>
      </c>
      <c r="P29" s="42">
        <f>MAX(0,MIN(M29+N29-O29,L29))</f>
        <v/>
      </c>
      <c r="Q29" s="42">
        <f>ROUND(M29+N29-O29-P29,2)</f>
        <v/>
      </c>
      <c r="R29">
        <f>L29-P29</f>
        <v/>
      </c>
      <c r="S29" s="42">
        <f>W28</f>
        <v/>
      </c>
      <c r="T29" s="42">
        <f>ROUND(S29*T$6/12,2)</f>
        <v/>
      </c>
      <c r="U29" s="42">
        <f>MIN(U$6,S29+T29)</f>
        <v/>
      </c>
      <c r="V29" s="42">
        <f>MAX(0,MIN(S29+T29-U29,R29))</f>
        <v/>
      </c>
      <c r="W29" s="42">
        <f>ROUND(S29+T29-U29-V29,2)</f>
        <v/>
      </c>
      <c r="X29">
        <f>R29-V29</f>
        <v/>
      </c>
      <c r="Y29" s="42">
        <f>AC28</f>
        <v/>
      </c>
      <c r="Z29" s="42">
        <f>ROUND(Y29*Z$6/12,2)</f>
        <v/>
      </c>
      <c r="AA29" s="42">
        <f>MIN(AA$6,Y29+Z29)</f>
        <v/>
      </c>
      <c r="AB29" s="42">
        <f>MAX(0,MIN(Y29+Z29-AA29,X29))</f>
        <v/>
      </c>
      <c r="AC29" s="42">
        <f>ROUND(Y29+Z29-AA29-AB29,2)</f>
        <v/>
      </c>
      <c r="AD29">
        <f>X29-AB29</f>
        <v/>
      </c>
      <c r="AE29" s="42">
        <f>AI28</f>
        <v/>
      </c>
      <c r="AF29" s="42">
        <f>ROUND(AE29*AF$6/12,2)</f>
        <v/>
      </c>
      <c r="AG29" s="42">
        <f>MIN(AG$6,AE29+AF29)</f>
        <v/>
      </c>
      <c r="AH29" s="42">
        <f>MAX(0,MIN(AE29+AF29-AG29,AD29))</f>
        <v/>
      </c>
      <c r="AI29" s="42">
        <f>ROUND(AE29+AF29-AG29-AH29,2)</f>
        <v/>
      </c>
      <c r="AJ29">
        <f>AD29-AH29</f>
        <v/>
      </c>
      <c r="AK29" s="42">
        <f>AO28</f>
        <v/>
      </c>
      <c r="AL29" s="42">
        <f>ROUND(AK29*AL$6/12,2)</f>
        <v/>
      </c>
      <c r="AM29" s="42">
        <f>MIN(AM$6,AK29+AL29)</f>
        <v/>
      </c>
      <c r="AN29" s="42">
        <f>MAX(0,MIN(AK29+AL29-AM29,AJ29))</f>
        <v/>
      </c>
      <c r="AO29" s="42">
        <f>ROUND(AK29+AL29-AM29-AN29,2)</f>
        <v/>
      </c>
      <c r="AP29">
        <f>AJ29-AN29</f>
        <v/>
      </c>
      <c r="AQ29" s="42">
        <f>AU28</f>
        <v/>
      </c>
      <c r="AR29" s="42">
        <f>ROUND(AQ29*AR$6/12,2)</f>
        <v/>
      </c>
      <c r="AS29" s="42">
        <f>MIN(AS$6,AQ29+AR29)</f>
        <v/>
      </c>
      <c r="AT29" s="42">
        <f>MAX(0,MIN(AQ29+AR29-AS29,AP29))</f>
        <v/>
      </c>
      <c r="AU29" s="42">
        <f>ROUND(AQ29+AR29-AS29-AT29,2)</f>
        <v/>
      </c>
      <c r="AV29">
        <f>AP29-AT29</f>
        <v/>
      </c>
      <c r="AW29" s="42">
        <f>BA28</f>
        <v/>
      </c>
      <c r="AX29" s="42">
        <f>ROUND(AW29*AX$6/12,2)</f>
        <v/>
      </c>
      <c r="AY29" s="42">
        <f>MIN(AY$6,AW29+AX29)</f>
        <v/>
      </c>
      <c r="AZ29" s="42">
        <f>MAX(0,MIN(AW29+AX29-AY29,AV29))</f>
        <v/>
      </c>
      <c r="BA29" s="42">
        <f>ROUND(AW29+AX29-AY29-AZ29,2)</f>
        <v/>
      </c>
      <c r="BB29">
        <f>AV29-AZ29</f>
        <v/>
      </c>
      <c r="BC29" s="42">
        <f>BG28</f>
        <v/>
      </c>
      <c r="BD29" s="42">
        <f>ROUND(BC29*BD$6/12,2)</f>
        <v/>
      </c>
      <c r="BE29" s="42">
        <f>MIN(BE$6,BC29+BD29)</f>
        <v/>
      </c>
      <c r="BF29" s="42">
        <f>MAX(0,MIN(BC29+BD29-BE29,BB29))</f>
        <v/>
      </c>
      <c r="BG29" s="42">
        <f>ROUND(BC29+BD29-BE29-BF29,2)</f>
        <v/>
      </c>
      <c r="BH29">
        <f>BB29-BF29</f>
        <v/>
      </c>
      <c r="BI29" s="42">
        <f>BM28</f>
        <v/>
      </c>
      <c r="BJ29" s="42">
        <f>ROUND(BI29*BJ$6/12,2)</f>
        <v/>
      </c>
      <c r="BK29" s="42">
        <f>MIN(BK$6,BI29+BJ29)</f>
        <v/>
      </c>
      <c r="BL29" s="42">
        <f>MAX(0,MIN(BI29+BJ29-BK29,BH29))</f>
        <v/>
      </c>
      <c r="BM29" s="42">
        <f>ROUND(BI29+BJ29-BK29-BL29,2)</f>
        <v/>
      </c>
      <c r="BN29">
        <f>BH29-BL29</f>
        <v/>
      </c>
    </row>
    <row r="30">
      <c r="A30" s="39" t="n">
        <v>23</v>
      </c>
      <c r="B30" s="40">
        <f>EDATE('My Debts'!$C$6,A30-1)</f>
        <v/>
      </c>
      <c r="C30" s="41">
        <f>K30+Q30+W30+AC30+AI30+AO30+AU30+BA30+BG30+BM30</f>
        <v/>
      </c>
      <c r="D30" s="42">
        <f>I30+O30+U30+AA30+AG30+AM30+AS30+AY30+BE30+BK30+J30+P30+V30+AB30+AH30+AN30+AT30+AZ30+BF30+BL30</f>
        <v/>
      </c>
      <c r="E30" s="42">
        <f>H30+N30+T30+Z30+AF30+AL30+AR30+AX30+BD30+BJ30</f>
        <v/>
      </c>
      <c r="F30">
        <f>MAX(0,'My Debts'!$E$21-(I30+O30+U30+AA30+AG30+AM30+AS30+AY30+BE30+BK30))</f>
        <v/>
      </c>
      <c r="G30" s="42">
        <f>K29</f>
        <v/>
      </c>
      <c r="H30" s="42">
        <f>ROUND(G30*H$6/12,2)</f>
        <v/>
      </c>
      <c r="I30" s="42">
        <f>MIN(I$6,G30+H30)</f>
        <v/>
      </c>
      <c r="J30" s="42">
        <f>MAX(0,MIN(G30+H30-I30,$F30))</f>
        <v/>
      </c>
      <c r="K30" s="42">
        <f>ROUND(G30+H30-I30-J30,2)</f>
        <v/>
      </c>
      <c r="L30">
        <f>$F30-J30</f>
        <v/>
      </c>
      <c r="M30" s="42">
        <f>Q29</f>
        <v/>
      </c>
      <c r="N30" s="42">
        <f>ROUND(M30*N$6/12,2)</f>
        <v/>
      </c>
      <c r="O30" s="42">
        <f>MIN(O$6,M30+N30)</f>
        <v/>
      </c>
      <c r="P30" s="42">
        <f>MAX(0,MIN(M30+N30-O30,L30))</f>
        <v/>
      </c>
      <c r="Q30" s="42">
        <f>ROUND(M30+N30-O30-P30,2)</f>
        <v/>
      </c>
      <c r="R30">
        <f>L30-P30</f>
        <v/>
      </c>
      <c r="S30" s="42">
        <f>W29</f>
        <v/>
      </c>
      <c r="T30" s="42">
        <f>ROUND(S30*T$6/12,2)</f>
        <v/>
      </c>
      <c r="U30" s="42">
        <f>MIN(U$6,S30+T30)</f>
        <v/>
      </c>
      <c r="V30" s="42">
        <f>MAX(0,MIN(S30+T30-U30,R30))</f>
        <v/>
      </c>
      <c r="W30" s="42">
        <f>ROUND(S30+T30-U30-V30,2)</f>
        <v/>
      </c>
      <c r="X30">
        <f>R30-V30</f>
        <v/>
      </c>
      <c r="Y30" s="42">
        <f>AC29</f>
        <v/>
      </c>
      <c r="Z30" s="42">
        <f>ROUND(Y30*Z$6/12,2)</f>
        <v/>
      </c>
      <c r="AA30" s="42">
        <f>MIN(AA$6,Y30+Z30)</f>
        <v/>
      </c>
      <c r="AB30" s="42">
        <f>MAX(0,MIN(Y30+Z30-AA30,X30))</f>
        <v/>
      </c>
      <c r="AC30" s="42">
        <f>ROUND(Y30+Z30-AA30-AB30,2)</f>
        <v/>
      </c>
      <c r="AD30">
        <f>X30-AB30</f>
        <v/>
      </c>
      <c r="AE30" s="42">
        <f>AI29</f>
        <v/>
      </c>
      <c r="AF30" s="42">
        <f>ROUND(AE30*AF$6/12,2)</f>
        <v/>
      </c>
      <c r="AG30" s="42">
        <f>MIN(AG$6,AE30+AF30)</f>
        <v/>
      </c>
      <c r="AH30" s="42">
        <f>MAX(0,MIN(AE30+AF30-AG30,AD30))</f>
        <v/>
      </c>
      <c r="AI30" s="42">
        <f>ROUND(AE30+AF30-AG30-AH30,2)</f>
        <v/>
      </c>
      <c r="AJ30">
        <f>AD30-AH30</f>
        <v/>
      </c>
      <c r="AK30" s="42">
        <f>AO29</f>
        <v/>
      </c>
      <c r="AL30" s="42">
        <f>ROUND(AK30*AL$6/12,2)</f>
        <v/>
      </c>
      <c r="AM30" s="42">
        <f>MIN(AM$6,AK30+AL30)</f>
        <v/>
      </c>
      <c r="AN30" s="42">
        <f>MAX(0,MIN(AK30+AL30-AM30,AJ30))</f>
        <v/>
      </c>
      <c r="AO30" s="42">
        <f>ROUND(AK30+AL30-AM30-AN30,2)</f>
        <v/>
      </c>
      <c r="AP30">
        <f>AJ30-AN30</f>
        <v/>
      </c>
      <c r="AQ30" s="42">
        <f>AU29</f>
        <v/>
      </c>
      <c r="AR30" s="42">
        <f>ROUND(AQ30*AR$6/12,2)</f>
        <v/>
      </c>
      <c r="AS30" s="42">
        <f>MIN(AS$6,AQ30+AR30)</f>
        <v/>
      </c>
      <c r="AT30" s="42">
        <f>MAX(0,MIN(AQ30+AR30-AS30,AP30))</f>
        <v/>
      </c>
      <c r="AU30" s="42">
        <f>ROUND(AQ30+AR30-AS30-AT30,2)</f>
        <v/>
      </c>
      <c r="AV30">
        <f>AP30-AT30</f>
        <v/>
      </c>
      <c r="AW30" s="42">
        <f>BA29</f>
        <v/>
      </c>
      <c r="AX30" s="42">
        <f>ROUND(AW30*AX$6/12,2)</f>
        <v/>
      </c>
      <c r="AY30" s="42">
        <f>MIN(AY$6,AW30+AX30)</f>
        <v/>
      </c>
      <c r="AZ30" s="42">
        <f>MAX(0,MIN(AW30+AX30-AY30,AV30))</f>
        <v/>
      </c>
      <c r="BA30" s="42">
        <f>ROUND(AW30+AX30-AY30-AZ30,2)</f>
        <v/>
      </c>
      <c r="BB30">
        <f>AV30-AZ30</f>
        <v/>
      </c>
      <c r="BC30" s="42">
        <f>BG29</f>
        <v/>
      </c>
      <c r="BD30" s="42">
        <f>ROUND(BC30*BD$6/12,2)</f>
        <v/>
      </c>
      <c r="BE30" s="42">
        <f>MIN(BE$6,BC30+BD30)</f>
        <v/>
      </c>
      <c r="BF30" s="42">
        <f>MAX(0,MIN(BC30+BD30-BE30,BB30))</f>
        <v/>
      </c>
      <c r="BG30" s="42">
        <f>ROUND(BC30+BD30-BE30-BF30,2)</f>
        <v/>
      </c>
      <c r="BH30">
        <f>BB30-BF30</f>
        <v/>
      </c>
      <c r="BI30" s="42">
        <f>BM29</f>
        <v/>
      </c>
      <c r="BJ30" s="42">
        <f>ROUND(BI30*BJ$6/12,2)</f>
        <v/>
      </c>
      <c r="BK30" s="42">
        <f>MIN(BK$6,BI30+BJ30)</f>
        <v/>
      </c>
      <c r="BL30" s="42">
        <f>MAX(0,MIN(BI30+BJ30-BK30,BH30))</f>
        <v/>
      </c>
      <c r="BM30" s="42">
        <f>ROUND(BI30+BJ30-BK30-BL30,2)</f>
        <v/>
      </c>
      <c r="BN30">
        <f>BH30-BL30</f>
        <v/>
      </c>
    </row>
    <row r="31">
      <c r="A31" s="43" t="n">
        <v>24</v>
      </c>
      <c r="B31" s="44">
        <f>EDATE('My Debts'!$C$6,A31-1)</f>
        <v/>
      </c>
      <c r="C31" s="45">
        <f>K31+Q31+W31+AC31+AI31+AO31+AU31+BA31+BG31+BM31</f>
        <v/>
      </c>
      <c r="D31" s="46">
        <f>I31+O31+U31+AA31+AG31+AM31+AS31+AY31+BE31+BK31+J31+P31+V31+AB31+AH31+AN31+AT31+AZ31+BF31+BL31</f>
        <v/>
      </c>
      <c r="E31" s="46">
        <f>H31+N31+T31+Z31+AF31+AL31+AR31+AX31+BD31+BJ31</f>
        <v/>
      </c>
      <c r="F31">
        <f>MAX(0,'My Debts'!$E$21-(I31+O31+U31+AA31+AG31+AM31+AS31+AY31+BE31+BK31))</f>
        <v/>
      </c>
      <c r="G31" s="42">
        <f>K30</f>
        <v/>
      </c>
      <c r="H31" s="42">
        <f>ROUND(G31*H$6/12,2)</f>
        <v/>
      </c>
      <c r="I31" s="42">
        <f>MIN(I$6,G31+H31)</f>
        <v/>
      </c>
      <c r="J31" s="42">
        <f>MAX(0,MIN(G31+H31-I31,$F31))</f>
        <v/>
      </c>
      <c r="K31" s="42">
        <f>ROUND(G31+H31-I31-J31,2)</f>
        <v/>
      </c>
      <c r="L31">
        <f>$F31-J31</f>
        <v/>
      </c>
      <c r="M31" s="42">
        <f>Q30</f>
        <v/>
      </c>
      <c r="N31" s="42">
        <f>ROUND(M31*N$6/12,2)</f>
        <v/>
      </c>
      <c r="O31" s="42">
        <f>MIN(O$6,M31+N31)</f>
        <v/>
      </c>
      <c r="P31" s="42">
        <f>MAX(0,MIN(M31+N31-O31,L31))</f>
        <v/>
      </c>
      <c r="Q31" s="42">
        <f>ROUND(M31+N31-O31-P31,2)</f>
        <v/>
      </c>
      <c r="R31">
        <f>L31-P31</f>
        <v/>
      </c>
      <c r="S31" s="42">
        <f>W30</f>
        <v/>
      </c>
      <c r="T31" s="42">
        <f>ROUND(S31*T$6/12,2)</f>
        <v/>
      </c>
      <c r="U31" s="42">
        <f>MIN(U$6,S31+T31)</f>
        <v/>
      </c>
      <c r="V31" s="42">
        <f>MAX(0,MIN(S31+T31-U31,R31))</f>
        <v/>
      </c>
      <c r="W31" s="42">
        <f>ROUND(S31+T31-U31-V31,2)</f>
        <v/>
      </c>
      <c r="X31">
        <f>R31-V31</f>
        <v/>
      </c>
      <c r="Y31" s="42">
        <f>AC30</f>
        <v/>
      </c>
      <c r="Z31" s="42">
        <f>ROUND(Y31*Z$6/12,2)</f>
        <v/>
      </c>
      <c r="AA31" s="42">
        <f>MIN(AA$6,Y31+Z31)</f>
        <v/>
      </c>
      <c r="AB31" s="42">
        <f>MAX(0,MIN(Y31+Z31-AA31,X31))</f>
        <v/>
      </c>
      <c r="AC31" s="42">
        <f>ROUND(Y31+Z31-AA31-AB31,2)</f>
        <v/>
      </c>
      <c r="AD31">
        <f>X31-AB31</f>
        <v/>
      </c>
      <c r="AE31" s="42">
        <f>AI30</f>
        <v/>
      </c>
      <c r="AF31" s="42">
        <f>ROUND(AE31*AF$6/12,2)</f>
        <v/>
      </c>
      <c r="AG31" s="42">
        <f>MIN(AG$6,AE31+AF31)</f>
        <v/>
      </c>
      <c r="AH31" s="42">
        <f>MAX(0,MIN(AE31+AF31-AG31,AD31))</f>
        <v/>
      </c>
      <c r="AI31" s="42">
        <f>ROUND(AE31+AF31-AG31-AH31,2)</f>
        <v/>
      </c>
      <c r="AJ31">
        <f>AD31-AH31</f>
        <v/>
      </c>
      <c r="AK31" s="42">
        <f>AO30</f>
        <v/>
      </c>
      <c r="AL31" s="42">
        <f>ROUND(AK31*AL$6/12,2)</f>
        <v/>
      </c>
      <c r="AM31" s="42">
        <f>MIN(AM$6,AK31+AL31)</f>
        <v/>
      </c>
      <c r="AN31" s="42">
        <f>MAX(0,MIN(AK31+AL31-AM31,AJ31))</f>
        <v/>
      </c>
      <c r="AO31" s="42">
        <f>ROUND(AK31+AL31-AM31-AN31,2)</f>
        <v/>
      </c>
      <c r="AP31">
        <f>AJ31-AN31</f>
        <v/>
      </c>
      <c r="AQ31" s="42">
        <f>AU30</f>
        <v/>
      </c>
      <c r="AR31" s="42">
        <f>ROUND(AQ31*AR$6/12,2)</f>
        <v/>
      </c>
      <c r="AS31" s="42">
        <f>MIN(AS$6,AQ31+AR31)</f>
        <v/>
      </c>
      <c r="AT31" s="42">
        <f>MAX(0,MIN(AQ31+AR31-AS31,AP31))</f>
        <v/>
      </c>
      <c r="AU31" s="42">
        <f>ROUND(AQ31+AR31-AS31-AT31,2)</f>
        <v/>
      </c>
      <c r="AV31">
        <f>AP31-AT31</f>
        <v/>
      </c>
      <c r="AW31" s="42">
        <f>BA30</f>
        <v/>
      </c>
      <c r="AX31" s="42">
        <f>ROUND(AW31*AX$6/12,2)</f>
        <v/>
      </c>
      <c r="AY31" s="42">
        <f>MIN(AY$6,AW31+AX31)</f>
        <v/>
      </c>
      <c r="AZ31" s="42">
        <f>MAX(0,MIN(AW31+AX31-AY31,AV31))</f>
        <v/>
      </c>
      <c r="BA31" s="42">
        <f>ROUND(AW31+AX31-AY31-AZ31,2)</f>
        <v/>
      </c>
      <c r="BB31">
        <f>AV31-AZ31</f>
        <v/>
      </c>
      <c r="BC31" s="42">
        <f>BG30</f>
        <v/>
      </c>
      <c r="BD31" s="42">
        <f>ROUND(BC31*BD$6/12,2)</f>
        <v/>
      </c>
      <c r="BE31" s="42">
        <f>MIN(BE$6,BC31+BD31)</f>
        <v/>
      </c>
      <c r="BF31" s="42">
        <f>MAX(0,MIN(BC31+BD31-BE31,BB31))</f>
        <v/>
      </c>
      <c r="BG31" s="42">
        <f>ROUND(BC31+BD31-BE31-BF31,2)</f>
        <v/>
      </c>
      <c r="BH31">
        <f>BB31-BF31</f>
        <v/>
      </c>
      <c r="BI31" s="42">
        <f>BM30</f>
        <v/>
      </c>
      <c r="BJ31" s="42">
        <f>ROUND(BI31*BJ$6/12,2)</f>
        <v/>
      </c>
      <c r="BK31" s="42">
        <f>MIN(BK$6,BI31+BJ31)</f>
        <v/>
      </c>
      <c r="BL31" s="42">
        <f>MAX(0,MIN(BI31+BJ31-BK31,BH31))</f>
        <v/>
      </c>
      <c r="BM31" s="42">
        <f>ROUND(BI31+BJ31-BK31-BL31,2)</f>
        <v/>
      </c>
      <c r="BN31">
        <f>BH31-BL31</f>
        <v/>
      </c>
    </row>
    <row r="32">
      <c r="A32" s="39" t="n">
        <v>25</v>
      </c>
      <c r="B32" s="40">
        <f>EDATE('My Debts'!$C$6,A32-1)</f>
        <v/>
      </c>
      <c r="C32" s="41">
        <f>K32+Q32+W32+AC32+AI32+AO32+AU32+BA32+BG32+BM32</f>
        <v/>
      </c>
      <c r="D32" s="42">
        <f>I32+O32+U32+AA32+AG32+AM32+AS32+AY32+BE32+BK32+J32+P32+V32+AB32+AH32+AN32+AT32+AZ32+BF32+BL32</f>
        <v/>
      </c>
      <c r="E32" s="42">
        <f>H32+N32+T32+Z32+AF32+AL32+AR32+AX32+BD32+BJ32</f>
        <v/>
      </c>
      <c r="F32">
        <f>MAX(0,'My Debts'!$E$21-(I32+O32+U32+AA32+AG32+AM32+AS32+AY32+BE32+BK32))</f>
        <v/>
      </c>
      <c r="G32" s="42">
        <f>K31</f>
        <v/>
      </c>
      <c r="H32" s="42">
        <f>ROUND(G32*H$6/12,2)</f>
        <v/>
      </c>
      <c r="I32" s="42">
        <f>MIN(I$6,G32+H32)</f>
        <v/>
      </c>
      <c r="J32" s="42">
        <f>MAX(0,MIN(G32+H32-I32,$F32))</f>
        <v/>
      </c>
      <c r="K32" s="42">
        <f>ROUND(G32+H32-I32-J32,2)</f>
        <v/>
      </c>
      <c r="L32">
        <f>$F32-J32</f>
        <v/>
      </c>
      <c r="M32" s="42">
        <f>Q31</f>
        <v/>
      </c>
      <c r="N32" s="42">
        <f>ROUND(M32*N$6/12,2)</f>
        <v/>
      </c>
      <c r="O32" s="42">
        <f>MIN(O$6,M32+N32)</f>
        <v/>
      </c>
      <c r="P32" s="42">
        <f>MAX(0,MIN(M32+N32-O32,L32))</f>
        <v/>
      </c>
      <c r="Q32" s="42">
        <f>ROUND(M32+N32-O32-P32,2)</f>
        <v/>
      </c>
      <c r="R32">
        <f>L32-P32</f>
        <v/>
      </c>
      <c r="S32" s="42">
        <f>W31</f>
        <v/>
      </c>
      <c r="T32" s="42">
        <f>ROUND(S32*T$6/12,2)</f>
        <v/>
      </c>
      <c r="U32" s="42">
        <f>MIN(U$6,S32+T32)</f>
        <v/>
      </c>
      <c r="V32" s="42">
        <f>MAX(0,MIN(S32+T32-U32,R32))</f>
        <v/>
      </c>
      <c r="W32" s="42">
        <f>ROUND(S32+T32-U32-V32,2)</f>
        <v/>
      </c>
      <c r="X32">
        <f>R32-V32</f>
        <v/>
      </c>
      <c r="Y32" s="42">
        <f>AC31</f>
        <v/>
      </c>
      <c r="Z32" s="42">
        <f>ROUND(Y32*Z$6/12,2)</f>
        <v/>
      </c>
      <c r="AA32" s="42">
        <f>MIN(AA$6,Y32+Z32)</f>
        <v/>
      </c>
      <c r="AB32" s="42">
        <f>MAX(0,MIN(Y32+Z32-AA32,X32))</f>
        <v/>
      </c>
      <c r="AC32" s="42">
        <f>ROUND(Y32+Z32-AA32-AB32,2)</f>
        <v/>
      </c>
      <c r="AD32">
        <f>X32-AB32</f>
        <v/>
      </c>
      <c r="AE32" s="42">
        <f>AI31</f>
        <v/>
      </c>
      <c r="AF32" s="42">
        <f>ROUND(AE32*AF$6/12,2)</f>
        <v/>
      </c>
      <c r="AG32" s="42">
        <f>MIN(AG$6,AE32+AF32)</f>
        <v/>
      </c>
      <c r="AH32" s="42">
        <f>MAX(0,MIN(AE32+AF32-AG32,AD32))</f>
        <v/>
      </c>
      <c r="AI32" s="42">
        <f>ROUND(AE32+AF32-AG32-AH32,2)</f>
        <v/>
      </c>
      <c r="AJ32">
        <f>AD32-AH32</f>
        <v/>
      </c>
      <c r="AK32" s="42">
        <f>AO31</f>
        <v/>
      </c>
      <c r="AL32" s="42">
        <f>ROUND(AK32*AL$6/12,2)</f>
        <v/>
      </c>
      <c r="AM32" s="42">
        <f>MIN(AM$6,AK32+AL32)</f>
        <v/>
      </c>
      <c r="AN32" s="42">
        <f>MAX(0,MIN(AK32+AL32-AM32,AJ32))</f>
        <v/>
      </c>
      <c r="AO32" s="42">
        <f>ROUND(AK32+AL32-AM32-AN32,2)</f>
        <v/>
      </c>
      <c r="AP32">
        <f>AJ32-AN32</f>
        <v/>
      </c>
      <c r="AQ32" s="42">
        <f>AU31</f>
        <v/>
      </c>
      <c r="AR32" s="42">
        <f>ROUND(AQ32*AR$6/12,2)</f>
        <v/>
      </c>
      <c r="AS32" s="42">
        <f>MIN(AS$6,AQ32+AR32)</f>
        <v/>
      </c>
      <c r="AT32" s="42">
        <f>MAX(0,MIN(AQ32+AR32-AS32,AP32))</f>
        <v/>
      </c>
      <c r="AU32" s="42">
        <f>ROUND(AQ32+AR32-AS32-AT32,2)</f>
        <v/>
      </c>
      <c r="AV32">
        <f>AP32-AT32</f>
        <v/>
      </c>
      <c r="AW32" s="42">
        <f>BA31</f>
        <v/>
      </c>
      <c r="AX32" s="42">
        <f>ROUND(AW32*AX$6/12,2)</f>
        <v/>
      </c>
      <c r="AY32" s="42">
        <f>MIN(AY$6,AW32+AX32)</f>
        <v/>
      </c>
      <c r="AZ32" s="42">
        <f>MAX(0,MIN(AW32+AX32-AY32,AV32))</f>
        <v/>
      </c>
      <c r="BA32" s="42">
        <f>ROUND(AW32+AX32-AY32-AZ32,2)</f>
        <v/>
      </c>
      <c r="BB32">
        <f>AV32-AZ32</f>
        <v/>
      </c>
      <c r="BC32" s="42">
        <f>BG31</f>
        <v/>
      </c>
      <c r="BD32" s="42">
        <f>ROUND(BC32*BD$6/12,2)</f>
        <v/>
      </c>
      <c r="BE32" s="42">
        <f>MIN(BE$6,BC32+BD32)</f>
        <v/>
      </c>
      <c r="BF32" s="42">
        <f>MAX(0,MIN(BC32+BD32-BE32,BB32))</f>
        <v/>
      </c>
      <c r="BG32" s="42">
        <f>ROUND(BC32+BD32-BE32-BF32,2)</f>
        <v/>
      </c>
      <c r="BH32">
        <f>BB32-BF32</f>
        <v/>
      </c>
      <c r="BI32" s="42">
        <f>BM31</f>
        <v/>
      </c>
      <c r="BJ32" s="42">
        <f>ROUND(BI32*BJ$6/12,2)</f>
        <v/>
      </c>
      <c r="BK32" s="42">
        <f>MIN(BK$6,BI32+BJ32)</f>
        <v/>
      </c>
      <c r="BL32" s="42">
        <f>MAX(0,MIN(BI32+BJ32-BK32,BH32))</f>
        <v/>
      </c>
      <c r="BM32" s="42">
        <f>ROUND(BI32+BJ32-BK32-BL32,2)</f>
        <v/>
      </c>
      <c r="BN32">
        <f>BH32-BL32</f>
        <v/>
      </c>
    </row>
    <row r="33">
      <c r="A33" s="43" t="n">
        <v>26</v>
      </c>
      <c r="B33" s="44">
        <f>EDATE('My Debts'!$C$6,A33-1)</f>
        <v/>
      </c>
      <c r="C33" s="45">
        <f>K33+Q33+W33+AC33+AI33+AO33+AU33+BA33+BG33+BM33</f>
        <v/>
      </c>
      <c r="D33" s="46">
        <f>I33+O33+U33+AA33+AG33+AM33+AS33+AY33+BE33+BK33+J33+P33+V33+AB33+AH33+AN33+AT33+AZ33+BF33+BL33</f>
        <v/>
      </c>
      <c r="E33" s="46">
        <f>H33+N33+T33+Z33+AF33+AL33+AR33+AX33+BD33+BJ33</f>
        <v/>
      </c>
      <c r="F33">
        <f>MAX(0,'My Debts'!$E$21-(I33+O33+U33+AA33+AG33+AM33+AS33+AY33+BE33+BK33))</f>
        <v/>
      </c>
      <c r="G33" s="42">
        <f>K32</f>
        <v/>
      </c>
      <c r="H33" s="42">
        <f>ROUND(G33*H$6/12,2)</f>
        <v/>
      </c>
      <c r="I33" s="42">
        <f>MIN(I$6,G33+H33)</f>
        <v/>
      </c>
      <c r="J33" s="42">
        <f>MAX(0,MIN(G33+H33-I33,$F33))</f>
        <v/>
      </c>
      <c r="K33" s="42">
        <f>ROUND(G33+H33-I33-J33,2)</f>
        <v/>
      </c>
      <c r="L33">
        <f>$F33-J33</f>
        <v/>
      </c>
      <c r="M33" s="42">
        <f>Q32</f>
        <v/>
      </c>
      <c r="N33" s="42">
        <f>ROUND(M33*N$6/12,2)</f>
        <v/>
      </c>
      <c r="O33" s="42">
        <f>MIN(O$6,M33+N33)</f>
        <v/>
      </c>
      <c r="P33" s="42">
        <f>MAX(0,MIN(M33+N33-O33,L33))</f>
        <v/>
      </c>
      <c r="Q33" s="42">
        <f>ROUND(M33+N33-O33-P33,2)</f>
        <v/>
      </c>
      <c r="R33">
        <f>L33-P33</f>
        <v/>
      </c>
      <c r="S33" s="42">
        <f>W32</f>
        <v/>
      </c>
      <c r="T33" s="42">
        <f>ROUND(S33*T$6/12,2)</f>
        <v/>
      </c>
      <c r="U33" s="42">
        <f>MIN(U$6,S33+T33)</f>
        <v/>
      </c>
      <c r="V33" s="42">
        <f>MAX(0,MIN(S33+T33-U33,R33))</f>
        <v/>
      </c>
      <c r="W33" s="42">
        <f>ROUND(S33+T33-U33-V33,2)</f>
        <v/>
      </c>
      <c r="X33">
        <f>R33-V33</f>
        <v/>
      </c>
      <c r="Y33" s="42">
        <f>AC32</f>
        <v/>
      </c>
      <c r="Z33" s="42">
        <f>ROUND(Y33*Z$6/12,2)</f>
        <v/>
      </c>
      <c r="AA33" s="42">
        <f>MIN(AA$6,Y33+Z33)</f>
        <v/>
      </c>
      <c r="AB33" s="42">
        <f>MAX(0,MIN(Y33+Z33-AA33,X33))</f>
        <v/>
      </c>
      <c r="AC33" s="42">
        <f>ROUND(Y33+Z33-AA33-AB33,2)</f>
        <v/>
      </c>
      <c r="AD33">
        <f>X33-AB33</f>
        <v/>
      </c>
      <c r="AE33" s="42">
        <f>AI32</f>
        <v/>
      </c>
      <c r="AF33" s="42">
        <f>ROUND(AE33*AF$6/12,2)</f>
        <v/>
      </c>
      <c r="AG33" s="42">
        <f>MIN(AG$6,AE33+AF33)</f>
        <v/>
      </c>
      <c r="AH33" s="42">
        <f>MAX(0,MIN(AE33+AF33-AG33,AD33))</f>
        <v/>
      </c>
      <c r="AI33" s="42">
        <f>ROUND(AE33+AF33-AG33-AH33,2)</f>
        <v/>
      </c>
      <c r="AJ33">
        <f>AD33-AH33</f>
        <v/>
      </c>
      <c r="AK33" s="42">
        <f>AO32</f>
        <v/>
      </c>
      <c r="AL33" s="42">
        <f>ROUND(AK33*AL$6/12,2)</f>
        <v/>
      </c>
      <c r="AM33" s="42">
        <f>MIN(AM$6,AK33+AL33)</f>
        <v/>
      </c>
      <c r="AN33" s="42">
        <f>MAX(0,MIN(AK33+AL33-AM33,AJ33))</f>
        <v/>
      </c>
      <c r="AO33" s="42">
        <f>ROUND(AK33+AL33-AM33-AN33,2)</f>
        <v/>
      </c>
      <c r="AP33">
        <f>AJ33-AN33</f>
        <v/>
      </c>
      <c r="AQ33" s="42">
        <f>AU32</f>
        <v/>
      </c>
      <c r="AR33" s="42">
        <f>ROUND(AQ33*AR$6/12,2)</f>
        <v/>
      </c>
      <c r="AS33" s="42">
        <f>MIN(AS$6,AQ33+AR33)</f>
        <v/>
      </c>
      <c r="AT33" s="42">
        <f>MAX(0,MIN(AQ33+AR33-AS33,AP33))</f>
        <v/>
      </c>
      <c r="AU33" s="42">
        <f>ROUND(AQ33+AR33-AS33-AT33,2)</f>
        <v/>
      </c>
      <c r="AV33">
        <f>AP33-AT33</f>
        <v/>
      </c>
      <c r="AW33" s="42">
        <f>BA32</f>
        <v/>
      </c>
      <c r="AX33" s="42">
        <f>ROUND(AW33*AX$6/12,2)</f>
        <v/>
      </c>
      <c r="AY33" s="42">
        <f>MIN(AY$6,AW33+AX33)</f>
        <v/>
      </c>
      <c r="AZ33" s="42">
        <f>MAX(0,MIN(AW33+AX33-AY33,AV33))</f>
        <v/>
      </c>
      <c r="BA33" s="42">
        <f>ROUND(AW33+AX33-AY33-AZ33,2)</f>
        <v/>
      </c>
      <c r="BB33">
        <f>AV33-AZ33</f>
        <v/>
      </c>
      <c r="BC33" s="42">
        <f>BG32</f>
        <v/>
      </c>
      <c r="BD33" s="42">
        <f>ROUND(BC33*BD$6/12,2)</f>
        <v/>
      </c>
      <c r="BE33" s="42">
        <f>MIN(BE$6,BC33+BD33)</f>
        <v/>
      </c>
      <c r="BF33" s="42">
        <f>MAX(0,MIN(BC33+BD33-BE33,BB33))</f>
        <v/>
      </c>
      <c r="BG33" s="42">
        <f>ROUND(BC33+BD33-BE33-BF33,2)</f>
        <v/>
      </c>
      <c r="BH33">
        <f>BB33-BF33</f>
        <v/>
      </c>
      <c r="BI33" s="42">
        <f>BM32</f>
        <v/>
      </c>
      <c r="BJ33" s="42">
        <f>ROUND(BI33*BJ$6/12,2)</f>
        <v/>
      </c>
      <c r="BK33" s="42">
        <f>MIN(BK$6,BI33+BJ33)</f>
        <v/>
      </c>
      <c r="BL33" s="42">
        <f>MAX(0,MIN(BI33+BJ33-BK33,BH33))</f>
        <v/>
      </c>
      <c r="BM33" s="42">
        <f>ROUND(BI33+BJ33-BK33-BL33,2)</f>
        <v/>
      </c>
      <c r="BN33">
        <f>BH33-BL33</f>
        <v/>
      </c>
    </row>
    <row r="34">
      <c r="A34" s="39" t="n">
        <v>27</v>
      </c>
      <c r="B34" s="40">
        <f>EDATE('My Debts'!$C$6,A34-1)</f>
        <v/>
      </c>
      <c r="C34" s="41">
        <f>K34+Q34+W34+AC34+AI34+AO34+AU34+BA34+BG34+BM34</f>
        <v/>
      </c>
      <c r="D34" s="42">
        <f>I34+O34+U34+AA34+AG34+AM34+AS34+AY34+BE34+BK34+J34+P34+V34+AB34+AH34+AN34+AT34+AZ34+BF34+BL34</f>
        <v/>
      </c>
      <c r="E34" s="42">
        <f>H34+N34+T34+Z34+AF34+AL34+AR34+AX34+BD34+BJ34</f>
        <v/>
      </c>
      <c r="F34">
        <f>MAX(0,'My Debts'!$E$21-(I34+O34+U34+AA34+AG34+AM34+AS34+AY34+BE34+BK34))</f>
        <v/>
      </c>
      <c r="G34" s="42">
        <f>K33</f>
        <v/>
      </c>
      <c r="H34" s="42">
        <f>ROUND(G34*H$6/12,2)</f>
        <v/>
      </c>
      <c r="I34" s="42">
        <f>MIN(I$6,G34+H34)</f>
        <v/>
      </c>
      <c r="J34" s="42">
        <f>MAX(0,MIN(G34+H34-I34,$F34))</f>
        <v/>
      </c>
      <c r="K34" s="42">
        <f>ROUND(G34+H34-I34-J34,2)</f>
        <v/>
      </c>
      <c r="L34">
        <f>$F34-J34</f>
        <v/>
      </c>
      <c r="M34" s="42">
        <f>Q33</f>
        <v/>
      </c>
      <c r="N34" s="42">
        <f>ROUND(M34*N$6/12,2)</f>
        <v/>
      </c>
      <c r="O34" s="42">
        <f>MIN(O$6,M34+N34)</f>
        <v/>
      </c>
      <c r="P34" s="42">
        <f>MAX(0,MIN(M34+N34-O34,L34))</f>
        <v/>
      </c>
      <c r="Q34" s="42">
        <f>ROUND(M34+N34-O34-P34,2)</f>
        <v/>
      </c>
      <c r="R34">
        <f>L34-P34</f>
        <v/>
      </c>
      <c r="S34" s="42">
        <f>W33</f>
        <v/>
      </c>
      <c r="T34" s="42">
        <f>ROUND(S34*T$6/12,2)</f>
        <v/>
      </c>
      <c r="U34" s="42">
        <f>MIN(U$6,S34+T34)</f>
        <v/>
      </c>
      <c r="V34" s="42">
        <f>MAX(0,MIN(S34+T34-U34,R34))</f>
        <v/>
      </c>
      <c r="W34" s="42">
        <f>ROUND(S34+T34-U34-V34,2)</f>
        <v/>
      </c>
      <c r="X34">
        <f>R34-V34</f>
        <v/>
      </c>
      <c r="Y34" s="42">
        <f>AC33</f>
        <v/>
      </c>
      <c r="Z34" s="42">
        <f>ROUND(Y34*Z$6/12,2)</f>
        <v/>
      </c>
      <c r="AA34" s="42">
        <f>MIN(AA$6,Y34+Z34)</f>
        <v/>
      </c>
      <c r="AB34" s="42">
        <f>MAX(0,MIN(Y34+Z34-AA34,X34))</f>
        <v/>
      </c>
      <c r="AC34" s="42">
        <f>ROUND(Y34+Z34-AA34-AB34,2)</f>
        <v/>
      </c>
      <c r="AD34">
        <f>X34-AB34</f>
        <v/>
      </c>
      <c r="AE34" s="42">
        <f>AI33</f>
        <v/>
      </c>
      <c r="AF34" s="42">
        <f>ROUND(AE34*AF$6/12,2)</f>
        <v/>
      </c>
      <c r="AG34" s="42">
        <f>MIN(AG$6,AE34+AF34)</f>
        <v/>
      </c>
      <c r="AH34" s="42">
        <f>MAX(0,MIN(AE34+AF34-AG34,AD34))</f>
        <v/>
      </c>
      <c r="AI34" s="42">
        <f>ROUND(AE34+AF34-AG34-AH34,2)</f>
        <v/>
      </c>
      <c r="AJ34">
        <f>AD34-AH34</f>
        <v/>
      </c>
      <c r="AK34" s="42">
        <f>AO33</f>
        <v/>
      </c>
      <c r="AL34" s="42">
        <f>ROUND(AK34*AL$6/12,2)</f>
        <v/>
      </c>
      <c r="AM34" s="42">
        <f>MIN(AM$6,AK34+AL34)</f>
        <v/>
      </c>
      <c r="AN34" s="42">
        <f>MAX(0,MIN(AK34+AL34-AM34,AJ34))</f>
        <v/>
      </c>
      <c r="AO34" s="42">
        <f>ROUND(AK34+AL34-AM34-AN34,2)</f>
        <v/>
      </c>
      <c r="AP34">
        <f>AJ34-AN34</f>
        <v/>
      </c>
      <c r="AQ34" s="42">
        <f>AU33</f>
        <v/>
      </c>
      <c r="AR34" s="42">
        <f>ROUND(AQ34*AR$6/12,2)</f>
        <v/>
      </c>
      <c r="AS34" s="42">
        <f>MIN(AS$6,AQ34+AR34)</f>
        <v/>
      </c>
      <c r="AT34" s="42">
        <f>MAX(0,MIN(AQ34+AR34-AS34,AP34))</f>
        <v/>
      </c>
      <c r="AU34" s="42">
        <f>ROUND(AQ34+AR34-AS34-AT34,2)</f>
        <v/>
      </c>
      <c r="AV34">
        <f>AP34-AT34</f>
        <v/>
      </c>
      <c r="AW34" s="42">
        <f>BA33</f>
        <v/>
      </c>
      <c r="AX34" s="42">
        <f>ROUND(AW34*AX$6/12,2)</f>
        <v/>
      </c>
      <c r="AY34" s="42">
        <f>MIN(AY$6,AW34+AX34)</f>
        <v/>
      </c>
      <c r="AZ34" s="42">
        <f>MAX(0,MIN(AW34+AX34-AY34,AV34))</f>
        <v/>
      </c>
      <c r="BA34" s="42">
        <f>ROUND(AW34+AX34-AY34-AZ34,2)</f>
        <v/>
      </c>
      <c r="BB34">
        <f>AV34-AZ34</f>
        <v/>
      </c>
      <c r="BC34" s="42">
        <f>BG33</f>
        <v/>
      </c>
      <c r="BD34" s="42">
        <f>ROUND(BC34*BD$6/12,2)</f>
        <v/>
      </c>
      <c r="BE34" s="42">
        <f>MIN(BE$6,BC34+BD34)</f>
        <v/>
      </c>
      <c r="BF34" s="42">
        <f>MAX(0,MIN(BC34+BD34-BE34,BB34))</f>
        <v/>
      </c>
      <c r="BG34" s="42">
        <f>ROUND(BC34+BD34-BE34-BF34,2)</f>
        <v/>
      </c>
      <c r="BH34">
        <f>BB34-BF34</f>
        <v/>
      </c>
      <c r="BI34" s="42">
        <f>BM33</f>
        <v/>
      </c>
      <c r="BJ34" s="42">
        <f>ROUND(BI34*BJ$6/12,2)</f>
        <v/>
      </c>
      <c r="BK34" s="42">
        <f>MIN(BK$6,BI34+BJ34)</f>
        <v/>
      </c>
      <c r="BL34" s="42">
        <f>MAX(0,MIN(BI34+BJ34-BK34,BH34))</f>
        <v/>
      </c>
      <c r="BM34" s="42">
        <f>ROUND(BI34+BJ34-BK34-BL34,2)</f>
        <v/>
      </c>
      <c r="BN34">
        <f>BH34-BL34</f>
        <v/>
      </c>
    </row>
    <row r="35">
      <c r="A35" s="43" t="n">
        <v>28</v>
      </c>
      <c r="B35" s="44">
        <f>EDATE('My Debts'!$C$6,A35-1)</f>
        <v/>
      </c>
      <c r="C35" s="45">
        <f>K35+Q35+W35+AC35+AI35+AO35+AU35+BA35+BG35+BM35</f>
        <v/>
      </c>
      <c r="D35" s="46">
        <f>I35+O35+U35+AA35+AG35+AM35+AS35+AY35+BE35+BK35+J35+P35+V35+AB35+AH35+AN35+AT35+AZ35+BF35+BL35</f>
        <v/>
      </c>
      <c r="E35" s="46">
        <f>H35+N35+T35+Z35+AF35+AL35+AR35+AX35+BD35+BJ35</f>
        <v/>
      </c>
      <c r="F35">
        <f>MAX(0,'My Debts'!$E$21-(I35+O35+U35+AA35+AG35+AM35+AS35+AY35+BE35+BK35))</f>
        <v/>
      </c>
      <c r="G35" s="42">
        <f>K34</f>
        <v/>
      </c>
      <c r="H35" s="42">
        <f>ROUND(G35*H$6/12,2)</f>
        <v/>
      </c>
      <c r="I35" s="42">
        <f>MIN(I$6,G35+H35)</f>
        <v/>
      </c>
      <c r="J35" s="42">
        <f>MAX(0,MIN(G35+H35-I35,$F35))</f>
        <v/>
      </c>
      <c r="K35" s="42">
        <f>ROUND(G35+H35-I35-J35,2)</f>
        <v/>
      </c>
      <c r="L35">
        <f>$F35-J35</f>
        <v/>
      </c>
      <c r="M35" s="42">
        <f>Q34</f>
        <v/>
      </c>
      <c r="N35" s="42">
        <f>ROUND(M35*N$6/12,2)</f>
        <v/>
      </c>
      <c r="O35" s="42">
        <f>MIN(O$6,M35+N35)</f>
        <v/>
      </c>
      <c r="P35" s="42">
        <f>MAX(0,MIN(M35+N35-O35,L35))</f>
        <v/>
      </c>
      <c r="Q35" s="42">
        <f>ROUND(M35+N35-O35-P35,2)</f>
        <v/>
      </c>
      <c r="R35">
        <f>L35-P35</f>
        <v/>
      </c>
      <c r="S35" s="42">
        <f>W34</f>
        <v/>
      </c>
      <c r="T35" s="42">
        <f>ROUND(S35*T$6/12,2)</f>
        <v/>
      </c>
      <c r="U35" s="42">
        <f>MIN(U$6,S35+T35)</f>
        <v/>
      </c>
      <c r="V35" s="42">
        <f>MAX(0,MIN(S35+T35-U35,R35))</f>
        <v/>
      </c>
      <c r="W35" s="42">
        <f>ROUND(S35+T35-U35-V35,2)</f>
        <v/>
      </c>
      <c r="X35">
        <f>R35-V35</f>
        <v/>
      </c>
      <c r="Y35" s="42">
        <f>AC34</f>
        <v/>
      </c>
      <c r="Z35" s="42">
        <f>ROUND(Y35*Z$6/12,2)</f>
        <v/>
      </c>
      <c r="AA35" s="42">
        <f>MIN(AA$6,Y35+Z35)</f>
        <v/>
      </c>
      <c r="AB35" s="42">
        <f>MAX(0,MIN(Y35+Z35-AA35,X35))</f>
        <v/>
      </c>
      <c r="AC35" s="42">
        <f>ROUND(Y35+Z35-AA35-AB35,2)</f>
        <v/>
      </c>
      <c r="AD35">
        <f>X35-AB35</f>
        <v/>
      </c>
      <c r="AE35" s="42">
        <f>AI34</f>
        <v/>
      </c>
      <c r="AF35" s="42">
        <f>ROUND(AE35*AF$6/12,2)</f>
        <v/>
      </c>
      <c r="AG35" s="42">
        <f>MIN(AG$6,AE35+AF35)</f>
        <v/>
      </c>
      <c r="AH35" s="42">
        <f>MAX(0,MIN(AE35+AF35-AG35,AD35))</f>
        <v/>
      </c>
      <c r="AI35" s="42">
        <f>ROUND(AE35+AF35-AG35-AH35,2)</f>
        <v/>
      </c>
      <c r="AJ35">
        <f>AD35-AH35</f>
        <v/>
      </c>
      <c r="AK35" s="42">
        <f>AO34</f>
        <v/>
      </c>
      <c r="AL35" s="42">
        <f>ROUND(AK35*AL$6/12,2)</f>
        <v/>
      </c>
      <c r="AM35" s="42">
        <f>MIN(AM$6,AK35+AL35)</f>
        <v/>
      </c>
      <c r="AN35" s="42">
        <f>MAX(0,MIN(AK35+AL35-AM35,AJ35))</f>
        <v/>
      </c>
      <c r="AO35" s="42">
        <f>ROUND(AK35+AL35-AM35-AN35,2)</f>
        <v/>
      </c>
      <c r="AP35">
        <f>AJ35-AN35</f>
        <v/>
      </c>
      <c r="AQ35" s="42">
        <f>AU34</f>
        <v/>
      </c>
      <c r="AR35" s="42">
        <f>ROUND(AQ35*AR$6/12,2)</f>
        <v/>
      </c>
      <c r="AS35" s="42">
        <f>MIN(AS$6,AQ35+AR35)</f>
        <v/>
      </c>
      <c r="AT35" s="42">
        <f>MAX(0,MIN(AQ35+AR35-AS35,AP35))</f>
        <v/>
      </c>
      <c r="AU35" s="42">
        <f>ROUND(AQ35+AR35-AS35-AT35,2)</f>
        <v/>
      </c>
      <c r="AV35">
        <f>AP35-AT35</f>
        <v/>
      </c>
      <c r="AW35" s="42">
        <f>BA34</f>
        <v/>
      </c>
      <c r="AX35" s="42">
        <f>ROUND(AW35*AX$6/12,2)</f>
        <v/>
      </c>
      <c r="AY35" s="42">
        <f>MIN(AY$6,AW35+AX35)</f>
        <v/>
      </c>
      <c r="AZ35" s="42">
        <f>MAX(0,MIN(AW35+AX35-AY35,AV35))</f>
        <v/>
      </c>
      <c r="BA35" s="42">
        <f>ROUND(AW35+AX35-AY35-AZ35,2)</f>
        <v/>
      </c>
      <c r="BB35">
        <f>AV35-AZ35</f>
        <v/>
      </c>
      <c r="BC35" s="42">
        <f>BG34</f>
        <v/>
      </c>
      <c r="BD35" s="42">
        <f>ROUND(BC35*BD$6/12,2)</f>
        <v/>
      </c>
      <c r="BE35" s="42">
        <f>MIN(BE$6,BC35+BD35)</f>
        <v/>
      </c>
      <c r="BF35" s="42">
        <f>MAX(0,MIN(BC35+BD35-BE35,BB35))</f>
        <v/>
      </c>
      <c r="BG35" s="42">
        <f>ROUND(BC35+BD35-BE35-BF35,2)</f>
        <v/>
      </c>
      <c r="BH35">
        <f>BB35-BF35</f>
        <v/>
      </c>
      <c r="BI35" s="42">
        <f>BM34</f>
        <v/>
      </c>
      <c r="BJ35" s="42">
        <f>ROUND(BI35*BJ$6/12,2)</f>
        <v/>
      </c>
      <c r="BK35" s="42">
        <f>MIN(BK$6,BI35+BJ35)</f>
        <v/>
      </c>
      <c r="BL35" s="42">
        <f>MAX(0,MIN(BI35+BJ35-BK35,BH35))</f>
        <v/>
      </c>
      <c r="BM35" s="42">
        <f>ROUND(BI35+BJ35-BK35-BL35,2)</f>
        <v/>
      </c>
      <c r="BN35">
        <f>BH35-BL35</f>
        <v/>
      </c>
    </row>
    <row r="36">
      <c r="A36" s="39" t="n">
        <v>29</v>
      </c>
      <c r="B36" s="40">
        <f>EDATE('My Debts'!$C$6,A36-1)</f>
        <v/>
      </c>
      <c r="C36" s="41">
        <f>K36+Q36+W36+AC36+AI36+AO36+AU36+BA36+BG36+BM36</f>
        <v/>
      </c>
      <c r="D36" s="42">
        <f>I36+O36+U36+AA36+AG36+AM36+AS36+AY36+BE36+BK36+J36+P36+V36+AB36+AH36+AN36+AT36+AZ36+BF36+BL36</f>
        <v/>
      </c>
      <c r="E36" s="42">
        <f>H36+N36+T36+Z36+AF36+AL36+AR36+AX36+BD36+BJ36</f>
        <v/>
      </c>
      <c r="F36">
        <f>MAX(0,'My Debts'!$E$21-(I36+O36+U36+AA36+AG36+AM36+AS36+AY36+BE36+BK36))</f>
        <v/>
      </c>
      <c r="G36" s="42">
        <f>K35</f>
        <v/>
      </c>
      <c r="H36" s="42">
        <f>ROUND(G36*H$6/12,2)</f>
        <v/>
      </c>
      <c r="I36" s="42">
        <f>MIN(I$6,G36+H36)</f>
        <v/>
      </c>
      <c r="J36" s="42">
        <f>MAX(0,MIN(G36+H36-I36,$F36))</f>
        <v/>
      </c>
      <c r="K36" s="42">
        <f>ROUND(G36+H36-I36-J36,2)</f>
        <v/>
      </c>
      <c r="L36">
        <f>$F36-J36</f>
        <v/>
      </c>
      <c r="M36" s="42">
        <f>Q35</f>
        <v/>
      </c>
      <c r="N36" s="42">
        <f>ROUND(M36*N$6/12,2)</f>
        <v/>
      </c>
      <c r="O36" s="42">
        <f>MIN(O$6,M36+N36)</f>
        <v/>
      </c>
      <c r="P36" s="42">
        <f>MAX(0,MIN(M36+N36-O36,L36))</f>
        <v/>
      </c>
      <c r="Q36" s="42">
        <f>ROUND(M36+N36-O36-P36,2)</f>
        <v/>
      </c>
      <c r="R36">
        <f>L36-P36</f>
        <v/>
      </c>
      <c r="S36" s="42">
        <f>W35</f>
        <v/>
      </c>
      <c r="T36" s="42">
        <f>ROUND(S36*T$6/12,2)</f>
        <v/>
      </c>
      <c r="U36" s="42">
        <f>MIN(U$6,S36+T36)</f>
        <v/>
      </c>
      <c r="V36" s="42">
        <f>MAX(0,MIN(S36+T36-U36,R36))</f>
        <v/>
      </c>
      <c r="W36" s="42">
        <f>ROUND(S36+T36-U36-V36,2)</f>
        <v/>
      </c>
      <c r="X36">
        <f>R36-V36</f>
        <v/>
      </c>
      <c r="Y36" s="42">
        <f>AC35</f>
        <v/>
      </c>
      <c r="Z36" s="42">
        <f>ROUND(Y36*Z$6/12,2)</f>
        <v/>
      </c>
      <c r="AA36" s="42">
        <f>MIN(AA$6,Y36+Z36)</f>
        <v/>
      </c>
      <c r="AB36" s="42">
        <f>MAX(0,MIN(Y36+Z36-AA36,X36))</f>
        <v/>
      </c>
      <c r="AC36" s="42">
        <f>ROUND(Y36+Z36-AA36-AB36,2)</f>
        <v/>
      </c>
      <c r="AD36">
        <f>X36-AB36</f>
        <v/>
      </c>
      <c r="AE36" s="42">
        <f>AI35</f>
        <v/>
      </c>
      <c r="AF36" s="42">
        <f>ROUND(AE36*AF$6/12,2)</f>
        <v/>
      </c>
      <c r="AG36" s="42">
        <f>MIN(AG$6,AE36+AF36)</f>
        <v/>
      </c>
      <c r="AH36" s="42">
        <f>MAX(0,MIN(AE36+AF36-AG36,AD36))</f>
        <v/>
      </c>
      <c r="AI36" s="42">
        <f>ROUND(AE36+AF36-AG36-AH36,2)</f>
        <v/>
      </c>
      <c r="AJ36">
        <f>AD36-AH36</f>
        <v/>
      </c>
      <c r="AK36" s="42">
        <f>AO35</f>
        <v/>
      </c>
      <c r="AL36" s="42">
        <f>ROUND(AK36*AL$6/12,2)</f>
        <v/>
      </c>
      <c r="AM36" s="42">
        <f>MIN(AM$6,AK36+AL36)</f>
        <v/>
      </c>
      <c r="AN36" s="42">
        <f>MAX(0,MIN(AK36+AL36-AM36,AJ36))</f>
        <v/>
      </c>
      <c r="AO36" s="42">
        <f>ROUND(AK36+AL36-AM36-AN36,2)</f>
        <v/>
      </c>
      <c r="AP36">
        <f>AJ36-AN36</f>
        <v/>
      </c>
      <c r="AQ36" s="42">
        <f>AU35</f>
        <v/>
      </c>
      <c r="AR36" s="42">
        <f>ROUND(AQ36*AR$6/12,2)</f>
        <v/>
      </c>
      <c r="AS36" s="42">
        <f>MIN(AS$6,AQ36+AR36)</f>
        <v/>
      </c>
      <c r="AT36" s="42">
        <f>MAX(0,MIN(AQ36+AR36-AS36,AP36))</f>
        <v/>
      </c>
      <c r="AU36" s="42">
        <f>ROUND(AQ36+AR36-AS36-AT36,2)</f>
        <v/>
      </c>
      <c r="AV36">
        <f>AP36-AT36</f>
        <v/>
      </c>
      <c r="AW36" s="42">
        <f>BA35</f>
        <v/>
      </c>
      <c r="AX36" s="42">
        <f>ROUND(AW36*AX$6/12,2)</f>
        <v/>
      </c>
      <c r="AY36" s="42">
        <f>MIN(AY$6,AW36+AX36)</f>
        <v/>
      </c>
      <c r="AZ36" s="42">
        <f>MAX(0,MIN(AW36+AX36-AY36,AV36))</f>
        <v/>
      </c>
      <c r="BA36" s="42">
        <f>ROUND(AW36+AX36-AY36-AZ36,2)</f>
        <v/>
      </c>
      <c r="BB36">
        <f>AV36-AZ36</f>
        <v/>
      </c>
      <c r="BC36" s="42">
        <f>BG35</f>
        <v/>
      </c>
      <c r="BD36" s="42">
        <f>ROUND(BC36*BD$6/12,2)</f>
        <v/>
      </c>
      <c r="BE36" s="42">
        <f>MIN(BE$6,BC36+BD36)</f>
        <v/>
      </c>
      <c r="BF36" s="42">
        <f>MAX(0,MIN(BC36+BD36-BE36,BB36))</f>
        <v/>
      </c>
      <c r="BG36" s="42">
        <f>ROUND(BC36+BD36-BE36-BF36,2)</f>
        <v/>
      </c>
      <c r="BH36">
        <f>BB36-BF36</f>
        <v/>
      </c>
      <c r="BI36" s="42">
        <f>BM35</f>
        <v/>
      </c>
      <c r="BJ36" s="42">
        <f>ROUND(BI36*BJ$6/12,2)</f>
        <v/>
      </c>
      <c r="BK36" s="42">
        <f>MIN(BK$6,BI36+BJ36)</f>
        <v/>
      </c>
      <c r="BL36" s="42">
        <f>MAX(0,MIN(BI36+BJ36-BK36,BH36))</f>
        <v/>
      </c>
      <c r="BM36" s="42">
        <f>ROUND(BI36+BJ36-BK36-BL36,2)</f>
        <v/>
      </c>
      <c r="BN36">
        <f>BH36-BL36</f>
        <v/>
      </c>
    </row>
    <row r="37">
      <c r="A37" s="43" t="n">
        <v>30</v>
      </c>
      <c r="B37" s="44">
        <f>EDATE('My Debts'!$C$6,A37-1)</f>
        <v/>
      </c>
      <c r="C37" s="45">
        <f>K37+Q37+W37+AC37+AI37+AO37+AU37+BA37+BG37+BM37</f>
        <v/>
      </c>
      <c r="D37" s="46">
        <f>I37+O37+U37+AA37+AG37+AM37+AS37+AY37+BE37+BK37+J37+P37+V37+AB37+AH37+AN37+AT37+AZ37+BF37+BL37</f>
        <v/>
      </c>
      <c r="E37" s="46">
        <f>H37+N37+T37+Z37+AF37+AL37+AR37+AX37+BD37+BJ37</f>
        <v/>
      </c>
      <c r="F37">
        <f>MAX(0,'My Debts'!$E$21-(I37+O37+U37+AA37+AG37+AM37+AS37+AY37+BE37+BK37))</f>
        <v/>
      </c>
      <c r="G37" s="42">
        <f>K36</f>
        <v/>
      </c>
      <c r="H37" s="42">
        <f>ROUND(G37*H$6/12,2)</f>
        <v/>
      </c>
      <c r="I37" s="42">
        <f>MIN(I$6,G37+H37)</f>
        <v/>
      </c>
      <c r="J37" s="42">
        <f>MAX(0,MIN(G37+H37-I37,$F37))</f>
        <v/>
      </c>
      <c r="K37" s="42">
        <f>ROUND(G37+H37-I37-J37,2)</f>
        <v/>
      </c>
      <c r="L37">
        <f>$F37-J37</f>
        <v/>
      </c>
      <c r="M37" s="42">
        <f>Q36</f>
        <v/>
      </c>
      <c r="N37" s="42">
        <f>ROUND(M37*N$6/12,2)</f>
        <v/>
      </c>
      <c r="O37" s="42">
        <f>MIN(O$6,M37+N37)</f>
        <v/>
      </c>
      <c r="P37" s="42">
        <f>MAX(0,MIN(M37+N37-O37,L37))</f>
        <v/>
      </c>
      <c r="Q37" s="42">
        <f>ROUND(M37+N37-O37-P37,2)</f>
        <v/>
      </c>
      <c r="R37">
        <f>L37-P37</f>
        <v/>
      </c>
      <c r="S37" s="42">
        <f>W36</f>
        <v/>
      </c>
      <c r="T37" s="42">
        <f>ROUND(S37*T$6/12,2)</f>
        <v/>
      </c>
      <c r="U37" s="42">
        <f>MIN(U$6,S37+T37)</f>
        <v/>
      </c>
      <c r="V37" s="42">
        <f>MAX(0,MIN(S37+T37-U37,R37))</f>
        <v/>
      </c>
      <c r="W37" s="42">
        <f>ROUND(S37+T37-U37-V37,2)</f>
        <v/>
      </c>
      <c r="X37">
        <f>R37-V37</f>
        <v/>
      </c>
      <c r="Y37" s="42">
        <f>AC36</f>
        <v/>
      </c>
      <c r="Z37" s="42">
        <f>ROUND(Y37*Z$6/12,2)</f>
        <v/>
      </c>
      <c r="AA37" s="42">
        <f>MIN(AA$6,Y37+Z37)</f>
        <v/>
      </c>
      <c r="AB37" s="42">
        <f>MAX(0,MIN(Y37+Z37-AA37,X37))</f>
        <v/>
      </c>
      <c r="AC37" s="42">
        <f>ROUND(Y37+Z37-AA37-AB37,2)</f>
        <v/>
      </c>
      <c r="AD37">
        <f>X37-AB37</f>
        <v/>
      </c>
      <c r="AE37" s="42">
        <f>AI36</f>
        <v/>
      </c>
      <c r="AF37" s="42">
        <f>ROUND(AE37*AF$6/12,2)</f>
        <v/>
      </c>
      <c r="AG37" s="42">
        <f>MIN(AG$6,AE37+AF37)</f>
        <v/>
      </c>
      <c r="AH37" s="42">
        <f>MAX(0,MIN(AE37+AF37-AG37,AD37))</f>
        <v/>
      </c>
      <c r="AI37" s="42">
        <f>ROUND(AE37+AF37-AG37-AH37,2)</f>
        <v/>
      </c>
      <c r="AJ37">
        <f>AD37-AH37</f>
        <v/>
      </c>
      <c r="AK37" s="42">
        <f>AO36</f>
        <v/>
      </c>
      <c r="AL37" s="42">
        <f>ROUND(AK37*AL$6/12,2)</f>
        <v/>
      </c>
      <c r="AM37" s="42">
        <f>MIN(AM$6,AK37+AL37)</f>
        <v/>
      </c>
      <c r="AN37" s="42">
        <f>MAX(0,MIN(AK37+AL37-AM37,AJ37))</f>
        <v/>
      </c>
      <c r="AO37" s="42">
        <f>ROUND(AK37+AL37-AM37-AN37,2)</f>
        <v/>
      </c>
      <c r="AP37">
        <f>AJ37-AN37</f>
        <v/>
      </c>
      <c r="AQ37" s="42">
        <f>AU36</f>
        <v/>
      </c>
      <c r="AR37" s="42">
        <f>ROUND(AQ37*AR$6/12,2)</f>
        <v/>
      </c>
      <c r="AS37" s="42">
        <f>MIN(AS$6,AQ37+AR37)</f>
        <v/>
      </c>
      <c r="AT37" s="42">
        <f>MAX(0,MIN(AQ37+AR37-AS37,AP37))</f>
        <v/>
      </c>
      <c r="AU37" s="42">
        <f>ROUND(AQ37+AR37-AS37-AT37,2)</f>
        <v/>
      </c>
      <c r="AV37">
        <f>AP37-AT37</f>
        <v/>
      </c>
      <c r="AW37" s="42">
        <f>BA36</f>
        <v/>
      </c>
      <c r="AX37" s="42">
        <f>ROUND(AW37*AX$6/12,2)</f>
        <v/>
      </c>
      <c r="AY37" s="42">
        <f>MIN(AY$6,AW37+AX37)</f>
        <v/>
      </c>
      <c r="AZ37" s="42">
        <f>MAX(0,MIN(AW37+AX37-AY37,AV37))</f>
        <v/>
      </c>
      <c r="BA37" s="42">
        <f>ROUND(AW37+AX37-AY37-AZ37,2)</f>
        <v/>
      </c>
      <c r="BB37">
        <f>AV37-AZ37</f>
        <v/>
      </c>
      <c r="BC37" s="42">
        <f>BG36</f>
        <v/>
      </c>
      <c r="BD37" s="42">
        <f>ROUND(BC37*BD$6/12,2)</f>
        <v/>
      </c>
      <c r="BE37" s="42">
        <f>MIN(BE$6,BC37+BD37)</f>
        <v/>
      </c>
      <c r="BF37" s="42">
        <f>MAX(0,MIN(BC37+BD37-BE37,BB37))</f>
        <v/>
      </c>
      <c r="BG37" s="42">
        <f>ROUND(BC37+BD37-BE37-BF37,2)</f>
        <v/>
      </c>
      <c r="BH37">
        <f>BB37-BF37</f>
        <v/>
      </c>
      <c r="BI37" s="42">
        <f>BM36</f>
        <v/>
      </c>
      <c r="BJ37" s="42">
        <f>ROUND(BI37*BJ$6/12,2)</f>
        <v/>
      </c>
      <c r="BK37" s="42">
        <f>MIN(BK$6,BI37+BJ37)</f>
        <v/>
      </c>
      <c r="BL37" s="42">
        <f>MAX(0,MIN(BI37+BJ37-BK37,BH37))</f>
        <v/>
      </c>
      <c r="BM37" s="42">
        <f>ROUND(BI37+BJ37-BK37-BL37,2)</f>
        <v/>
      </c>
      <c r="BN37">
        <f>BH37-BL37</f>
        <v/>
      </c>
    </row>
    <row r="38">
      <c r="A38" s="39" t="n">
        <v>31</v>
      </c>
      <c r="B38" s="40">
        <f>EDATE('My Debts'!$C$6,A38-1)</f>
        <v/>
      </c>
      <c r="C38" s="41">
        <f>K38+Q38+W38+AC38+AI38+AO38+AU38+BA38+BG38+BM38</f>
        <v/>
      </c>
      <c r="D38" s="42">
        <f>I38+O38+U38+AA38+AG38+AM38+AS38+AY38+BE38+BK38+J38+P38+V38+AB38+AH38+AN38+AT38+AZ38+BF38+BL38</f>
        <v/>
      </c>
      <c r="E38" s="42">
        <f>H38+N38+T38+Z38+AF38+AL38+AR38+AX38+BD38+BJ38</f>
        <v/>
      </c>
      <c r="F38">
        <f>MAX(0,'My Debts'!$E$21-(I38+O38+U38+AA38+AG38+AM38+AS38+AY38+BE38+BK38))</f>
        <v/>
      </c>
      <c r="G38" s="42">
        <f>K37</f>
        <v/>
      </c>
      <c r="H38" s="42">
        <f>ROUND(G38*H$6/12,2)</f>
        <v/>
      </c>
      <c r="I38" s="42">
        <f>MIN(I$6,G38+H38)</f>
        <v/>
      </c>
      <c r="J38" s="42">
        <f>MAX(0,MIN(G38+H38-I38,$F38))</f>
        <v/>
      </c>
      <c r="K38" s="42">
        <f>ROUND(G38+H38-I38-J38,2)</f>
        <v/>
      </c>
      <c r="L38">
        <f>$F38-J38</f>
        <v/>
      </c>
      <c r="M38" s="42">
        <f>Q37</f>
        <v/>
      </c>
      <c r="N38" s="42">
        <f>ROUND(M38*N$6/12,2)</f>
        <v/>
      </c>
      <c r="O38" s="42">
        <f>MIN(O$6,M38+N38)</f>
        <v/>
      </c>
      <c r="P38" s="42">
        <f>MAX(0,MIN(M38+N38-O38,L38))</f>
        <v/>
      </c>
      <c r="Q38" s="42">
        <f>ROUND(M38+N38-O38-P38,2)</f>
        <v/>
      </c>
      <c r="R38">
        <f>L38-P38</f>
        <v/>
      </c>
      <c r="S38" s="42">
        <f>W37</f>
        <v/>
      </c>
      <c r="T38" s="42">
        <f>ROUND(S38*T$6/12,2)</f>
        <v/>
      </c>
      <c r="U38" s="42">
        <f>MIN(U$6,S38+T38)</f>
        <v/>
      </c>
      <c r="V38" s="42">
        <f>MAX(0,MIN(S38+T38-U38,R38))</f>
        <v/>
      </c>
      <c r="W38" s="42">
        <f>ROUND(S38+T38-U38-V38,2)</f>
        <v/>
      </c>
      <c r="X38">
        <f>R38-V38</f>
        <v/>
      </c>
      <c r="Y38" s="42">
        <f>AC37</f>
        <v/>
      </c>
      <c r="Z38" s="42">
        <f>ROUND(Y38*Z$6/12,2)</f>
        <v/>
      </c>
      <c r="AA38" s="42">
        <f>MIN(AA$6,Y38+Z38)</f>
        <v/>
      </c>
      <c r="AB38" s="42">
        <f>MAX(0,MIN(Y38+Z38-AA38,X38))</f>
        <v/>
      </c>
      <c r="AC38" s="42">
        <f>ROUND(Y38+Z38-AA38-AB38,2)</f>
        <v/>
      </c>
      <c r="AD38">
        <f>X38-AB38</f>
        <v/>
      </c>
      <c r="AE38" s="42">
        <f>AI37</f>
        <v/>
      </c>
      <c r="AF38" s="42">
        <f>ROUND(AE38*AF$6/12,2)</f>
        <v/>
      </c>
      <c r="AG38" s="42">
        <f>MIN(AG$6,AE38+AF38)</f>
        <v/>
      </c>
      <c r="AH38" s="42">
        <f>MAX(0,MIN(AE38+AF38-AG38,AD38))</f>
        <v/>
      </c>
      <c r="AI38" s="42">
        <f>ROUND(AE38+AF38-AG38-AH38,2)</f>
        <v/>
      </c>
      <c r="AJ38">
        <f>AD38-AH38</f>
        <v/>
      </c>
      <c r="AK38" s="42">
        <f>AO37</f>
        <v/>
      </c>
      <c r="AL38" s="42">
        <f>ROUND(AK38*AL$6/12,2)</f>
        <v/>
      </c>
      <c r="AM38" s="42">
        <f>MIN(AM$6,AK38+AL38)</f>
        <v/>
      </c>
      <c r="AN38" s="42">
        <f>MAX(0,MIN(AK38+AL38-AM38,AJ38))</f>
        <v/>
      </c>
      <c r="AO38" s="42">
        <f>ROUND(AK38+AL38-AM38-AN38,2)</f>
        <v/>
      </c>
      <c r="AP38">
        <f>AJ38-AN38</f>
        <v/>
      </c>
      <c r="AQ38" s="42">
        <f>AU37</f>
        <v/>
      </c>
      <c r="AR38" s="42">
        <f>ROUND(AQ38*AR$6/12,2)</f>
        <v/>
      </c>
      <c r="AS38" s="42">
        <f>MIN(AS$6,AQ38+AR38)</f>
        <v/>
      </c>
      <c r="AT38" s="42">
        <f>MAX(0,MIN(AQ38+AR38-AS38,AP38))</f>
        <v/>
      </c>
      <c r="AU38" s="42">
        <f>ROUND(AQ38+AR38-AS38-AT38,2)</f>
        <v/>
      </c>
      <c r="AV38">
        <f>AP38-AT38</f>
        <v/>
      </c>
      <c r="AW38" s="42">
        <f>BA37</f>
        <v/>
      </c>
      <c r="AX38" s="42">
        <f>ROUND(AW38*AX$6/12,2)</f>
        <v/>
      </c>
      <c r="AY38" s="42">
        <f>MIN(AY$6,AW38+AX38)</f>
        <v/>
      </c>
      <c r="AZ38" s="42">
        <f>MAX(0,MIN(AW38+AX38-AY38,AV38))</f>
        <v/>
      </c>
      <c r="BA38" s="42">
        <f>ROUND(AW38+AX38-AY38-AZ38,2)</f>
        <v/>
      </c>
      <c r="BB38">
        <f>AV38-AZ38</f>
        <v/>
      </c>
      <c r="BC38" s="42">
        <f>BG37</f>
        <v/>
      </c>
      <c r="BD38" s="42">
        <f>ROUND(BC38*BD$6/12,2)</f>
        <v/>
      </c>
      <c r="BE38" s="42">
        <f>MIN(BE$6,BC38+BD38)</f>
        <v/>
      </c>
      <c r="BF38" s="42">
        <f>MAX(0,MIN(BC38+BD38-BE38,BB38))</f>
        <v/>
      </c>
      <c r="BG38" s="42">
        <f>ROUND(BC38+BD38-BE38-BF38,2)</f>
        <v/>
      </c>
      <c r="BH38">
        <f>BB38-BF38</f>
        <v/>
      </c>
      <c r="BI38" s="42">
        <f>BM37</f>
        <v/>
      </c>
      <c r="BJ38" s="42">
        <f>ROUND(BI38*BJ$6/12,2)</f>
        <v/>
      </c>
      <c r="BK38" s="42">
        <f>MIN(BK$6,BI38+BJ38)</f>
        <v/>
      </c>
      <c r="BL38" s="42">
        <f>MAX(0,MIN(BI38+BJ38-BK38,BH38))</f>
        <v/>
      </c>
      <c r="BM38" s="42">
        <f>ROUND(BI38+BJ38-BK38-BL38,2)</f>
        <v/>
      </c>
      <c r="BN38">
        <f>BH38-BL38</f>
        <v/>
      </c>
    </row>
    <row r="39">
      <c r="A39" s="43" t="n">
        <v>32</v>
      </c>
      <c r="B39" s="44">
        <f>EDATE('My Debts'!$C$6,A39-1)</f>
        <v/>
      </c>
      <c r="C39" s="45">
        <f>K39+Q39+W39+AC39+AI39+AO39+AU39+BA39+BG39+BM39</f>
        <v/>
      </c>
      <c r="D39" s="46">
        <f>I39+O39+U39+AA39+AG39+AM39+AS39+AY39+BE39+BK39+J39+P39+V39+AB39+AH39+AN39+AT39+AZ39+BF39+BL39</f>
        <v/>
      </c>
      <c r="E39" s="46">
        <f>H39+N39+T39+Z39+AF39+AL39+AR39+AX39+BD39+BJ39</f>
        <v/>
      </c>
      <c r="F39">
        <f>MAX(0,'My Debts'!$E$21-(I39+O39+U39+AA39+AG39+AM39+AS39+AY39+BE39+BK39))</f>
        <v/>
      </c>
      <c r="G39" s="42">
        <f>K38</f>
        <v/>
      </c>
      <c r="H39" s="42">
        <f>ROUND(G39*H$6/12,2)</f>
        <v/>
      </c>
      <c r="I39" s="42">
        <f>MIN(I$6,G39+H39)</f>
        <v/>
      </c>
      <c r="J39" s="42">
        <f>MAX(0,MIN(G39+H39-I39,$F39))</f>
        <v/>
      </c>
      <c r="K39" s="42">
        <f>ROUND(G39+H39-I39-J39,2)</f>
        <v/>
      </c>
      <c r="L39">
        <f>$F39-J39</f>
        <v/>
      </c>
      <c r="M39" s="42">
        <f>Q38</f>
        <v/>
      </c>
      <c r="N39" s="42">
        <f>ROUND(M39*N$6/12,2)</f>
        <v/>
      </c>
      <c r="O39" s="42">
        <f>MIN(O$6,M39+N39)</f>
        <v/>
      </c>
      <c r="P39" s="42">
        <f>MAX(0,MIN(M39+N39-O39,L39))</f>
        <v/>
      </c>
      <c r="Q39" s="42">
        <f>ROUND(M39+N39-O39-P39,2)</f>
        <v/>
      </c>
      <c r="R39">
        <f>L39-P39</f>
        <v/>
      </c>
      <c r="S39" s="42">
        <f>W38</f>
        <v/>
      </c>
      <c r="T39" s="42">
        <f>ROUND(S39*T$6/12,2)</f>
        <v/>
      </c>
      <c r="U39" s="42">
        <f>MIN(U$6,S39+T39)</f>
        <v/>
      </c>
      <c r="V39" s="42">
        <f>MAX(0,MIN(S39+T39-U39,R39))</f>
        <v/>
      </c>
      <c r="W39" s="42">
        <f>ROUND(S39+T39-U39-V39,2)</f>
        <v/>
      </c>
      <c r="X39">
        <f>R39-V39</f>
        <v/>
      </c>
      <c r="Y39" s="42">
        <f>AC38</f>
        <v/>
      </c>
      <c r="Z39" s="42">
        <f>ROUND(Y39*Z$6/12,2)</f>
        <v/>
      </c>
      <c r="AA39" s="42">
        <f>MIN(AA$6,Y39+Z39)</f>
        <v/>
      </c>
      <c r="AB39" s="42">
        <f>MAX(0,MIN(Y39+Z39-AA39,X39))</f>
        <v/>
      </c>
      <c r="AC39" s="42">
        <f>ROUND(Y39+Z39-AA39-AB39,2)</f>
        <v/>
      </c>
      <c r="AD39">
        <f>X39-AB39</f>
        <v/>
      </c>
      <c r="AE39" s="42">
        <f>AI38</f>
        <v/>
      </c>
      <c r="AF39" s="42">
        <f>ROUND(AE39*AF$6/12,2)</f>
        <v/>
      </c>
      <c r="AG39" s="42">
        <f>MIN(AG$6,AE39+AF39)</f>
        <v/>
      </c>
      <c r="AH39" s="42">
        <f>MAX(0,MIN(AE39+AF39-AG39,AD39))</f>
        <v/>
      </c>
      <c r="AI39" s="42">
        <f>ROUND(AE39+AF39-AG39-AH39,2)</f>
        <v/>
      </c>
      <c r="AJ39">
        <f>AD39-AH39</f>
        <v/>
      </c>
      <c r="AK39" s="42">
        <f>AO38</f>
        <v/>
      </c>
      <c r="AL39" s="42">
        <f>ROUND(AK39*AL$6/12,2)</f>
        <v/>
      </c>
      <c r="AM39" s="42">
        <f>MIN(AM$6,AK39+AL39)</f>
        <v/>
      </c>
      <c r="AN39" s="42">
        <f>MAX(0,MIN(AK39+AL39-AM39,AJ39))</f>
        <v/>
      </c>
      <c r="AO39" s="42">
        <f>ROUND(AK39+AL39-AM39-AN39,2)</f>
        <v/>
      </c>
      <c r="AP39">
        <f>AJ39-AN39</f>
        <v/>
      </c>
      <c r="AQ39" s="42">
        <f>AU38</f>
        <v/>
      </c>
      <c r="AR39" s="42">
        <f>ROUND(AQ39*AR$6/12,2)</f>
        <v/>
      </c>
      <c r="AS39" s="42">
        <f>MIN(AS$6,AQ39+AR39)</f>
        <v/>
      </c>
      <c r="AT39" s="42">
        <f>MAX(0,MIN(AQ39+AR39-AS39,AP39))</f>
        <v/>
      </c>
      <c r="AU39" s="42">
        <f>ROUND(AQ39+AR39-AS39-AT39,2)</f>
        <v/>
      </c>
      <c r="AV39">
        <f>AP39-AT39</f>
        <v/>
      </c>
      <c r="AW39" s="42">
        <f>BA38</f>
        <v/>
      </c>
      <c r="AX39" s="42">
        <f>ROUND(AW39*AX$6/12,2)</f>
        <v/>
      </c>
      <c r="AY39" s="42">
        <f>MIN(AY$6,AW39+AX39)</f>
        <v/>
      </c>
      <c r="AZ39" s="42">
        <f>MAX(0,MIN(AW39+AX39-AY39,AV39))</f>
        <v/>
      </c>
      <c r="BA39" s="42">
        <f>ROUND(AW39+AX39-AY39-AZ39,2)</f>
        <v/>
      </c>
      <c r="BB39">
        <f>AV39-AZ39</f>
        <v/>
      </c>
      <c r="BC39" s="42">
        <f>BG38</f>
        <v/>
      </c>
      <c r="BD39" s="42">
        <f>ROUND(BC39*BD$6/12,2)</f>
        <v/>
      </c>
      <c r="BE39" s="42">
        <f>MIN(BE$6,BC39+BD39)</f>
        <v/>
      </c>
      <c r="BF39" s="42">
        <f>MAX(0,MIN(BC39+BD39-BE39,BB39))</f>
        <v/>
      </c>
      <c r="BG39" s="42">
        <f>ROUND(BC39+BD39-BE39-BF39,2)</f>
        <v/>
      </c>
      <c r="BH39">
        <f>BB39-BF39</f>
        <v/>
      </c>
      <c r="BI39" s="42">
        <f>BM38</f>
        <v/>
      </c>
      <c r="BJ39" s="42">
        <f>ROUND(BI39*BJ$6/12,2)</f>
        <v/>
      </c>
      <c r="BK39" s="42">
        <f>MIN(BK$6,BI39+BJ39)</f>
        <v/>
      </c>
      <c r="BL39" s="42">
        <f>MAX(0,MIN(BI39+BJ39-BK39,BH39))</f>
        <v/>
      </c>
      <c r="BM39" s="42">
        <f>ROUND(BI39+BJ39-BK39-BL39,2)</f>
        <v/>
      </c>
      <c r="BN39">
        <f>BH39-BL39</f>
        <v/>
      </c>
    </row>
    <row r="40">
      <c r="A40" s="39" t="n">
        <v>33</v>
      </c>
      <c r="B40" s="40">
        <f>EDATE('My Debts'!$C$6,A40-1)</f>
        <v/>
      </c>
      <c r="C40" s="41">
        <f>K40+Q40+W40+AC40+AI40+AO40+AU40+BA40+BG40+BM40</f>
        <v/>
      </c>
      <c r="D40" s="42">
        <f>I40+O40+U40+AA40+AG40+AM40+AS40+AY40+BE40+BK40+J40+P40+V40+AB40+AH40+AN40+AT40+AZ40+BF40+BL40</f>
        <v/>
      </c>
      <c r="E40" s="42">
        <f>H40+N40+T40+Z40+AF40+AL40+AR40+AX40+BD40+BJ40</f>
        <v/>
      </c>
      <c r="F40">
        <f>MAX(0,'My Debts'!$E$21-(I40+O40+U40+AA40+AG40+AM40+AS40+AY40+BE40+BK40))</f>
        <v/>
      </c>
      <c r="G40" s="42">
        <f>K39</f>
        <v/>
      </c>
      <c r="H40" s="42">
        <f>ROUND(G40*H$6/12,2)</f>
        <v/>
      </c>
      <c r="I40" s="42">
        <f>MIN(I$6,G40+H40)</f>
        <v/>
      </c>
      <c r="J40" s="42">
        <f>MAX(0,MIN(G40+H40-I40,$F40))</f>
        <v/>
      </c>
      <c r="K40" s="42">
        <f>ROUND(G40+H40-I40-J40,2)</f>
        <v/>
      </c>
      <c r="L40">
        <f>$F40-J40</f>
        <v/>
      </c>
      <c r="M40" s="42">
        <f>Q39</f>
        <v/>
      </c>
      <c r="N40" s="42">
        <f>ROUND(M40*N$6/12,2)</f>
        <v/>
      </c>
      <c r="O40" s="42">
        <f>MIN(O$6,M40+N40)</f>
        <v/>
      </c>
      <c r="P40" s="42">
        <f>MAX(0,MIN(M40+N40-O40,L40))</f>
        <v/>
      </c>
      <c r="Q40" s="42">
        <f>ROUND(M40+N40-O40-P40,2)</f>
        <v/>
      </c>
      <c r="R40">
        <f>L40-P40</f>
        <v/>
      </c>
      <c r="S40" s="42">
        <f>W39</f>
        <v/>
      </c>
      <c r="T40" s="42">
        <f>ROUND(S40*T$6/12,2)</f>
        <v/>
      </c>
      <c r="U40" s="42">
        <f>MIN(U$6,S40+T40)</f>
        <v/>
      </c>
      <c r="V40" s="42">
        <f>MAX(0,MIN(S40+T40-U40,R40))</f>
        <v/>
      </c>
      <c r="W40" s="42">
        <f>ROUND(S40+T40-U40-V40,2)</f>
        <v/>
      </c>
      <c r="X40">
        <f>R40-V40</f>
        <v/>
      </c>
      <c r="Y40" s="42">
        <f>AC39</f>
        <v/>
      </c>
      <c r="Z40" s="42">
        <f>ROUND(Y40*Z$6/12,2)</f>
        <v/>
      </c>
      <c r="AA40" s="42">
        <f>MIN(AA$6,Y40+Z40)</f>
        <v/>
      </c>
      <c r="AB40" s="42">
        <f>MAX(0,MIN(Y40+Z40-AA40,X40))</f>
        <v/>
      </c>
      <c r="AC40" s="42">
        <f>ROUND(Y40+Z40-AA40-AB40,2)</f>
        <v/>
      </c>
      <c r="AD40">
        <f>X40-AB40</f>
        <v/>
      </c>
      <c r="AE40" s="42">
        <f>AI39</f>
        <v/>
      </c>
      <c r="AF40" s="42">
        <f>ROUND(AE40*AF$6/12,2)</f>
        <v/>
      </c>
      <c r="AG40" s="42">
        <f>MIN(AG$6,AE40+AF40)</f>
        <v/>
      </c>
      <c r="AH40" s="42">
        <f>MAX(0,MIN(AE40+AF40-AG40,AD40))</f>
        <v/>
      </c>
      <c r="AI40" s="42">
        <f>ROUND(AE40+AF40-AG40-AH40,2)</f>
        <v/>
      </c>
      <c r="AJ40">
        <f>AD40-AH40</f>
        <v/>
      </c>
      <c r="AK40" s="42">
        <f>AO39</f>
        <v/>
      </c>
      <c r="AL40" s="42">
        <f>ROUND(AK40*AL$6/12,2)</f>
        <v/>
      </c>
      <c r="AM40" s="42">
        <f>MIN(AM$6,AK40+AL40)</f>
        <v/>
      </c>
      <c r="AN40" s="42">
        <f>MAX(0,MIN(AK40+AL40-AM40,AJ40))</f>
        <v/>
      </c>
      <c r="AO40" s="42">
        <f>ROUND(AK40+AL40-AM40-AN40,2)</f>
        <v/>
      </c>
      <c r="AP40">
        <f>AJ40-AN40</f>
        <v/>
      </c>
      <c r="AQ40" s="42">
        <f>AU39</f>
        <v/>
      </c>
      <c r="AR40" s="42">
        <f>ROUND(AQ40*AR$6/12,2)</f>
        <v/>
      </c>
      <c r="AS40" s="42">
        <f>MIN(AS$6,AQ40+AR40)</f>
        <v/>
      </c>
      <c r="AT40" s="42">
        <f>MAX(0,MIN(AQ40+AR40-AS40,AP40))</f>
        <v/>
      </c>
      <c r="AU40" s="42">
        <f>ROUND(AQ40+AR40-AS40-AT40,2)</f>
        <v/>
      </c>
      <c r="AV40">
        <f>AP40-AT40</f>
        <v/>
      </c>
      <c r="AW40" s="42">
        <f>BA39</f>
        <v/>
      </c>
      <c r="AX40" s="42">
        <f>ROUND(AW40*AX$6/12,2)</f>
        <v/>
      </c>
      <c r="AY40" s="42">
        <f>MIN(AY$6,AW40+AX40)</f>
        <v/>
      </c>
      <c r="AZ40" s="42">
        <f>MAX(0,MIN(AW40+AX40-AY40,AV40))</f>
        <v/>
      </c>
      <c r="BA40" s="42">
        <f>ROUND(AW40+AX40-AY40-AZ40,2)</f>
        <v/>
      </c>
      <c r="BB40">
        <f>AV40-AZ40</f>
        <v/>
      </c>
      <c r="BC40" s="42">
        <f>BG39</f>
        <v/>
      </c>
      <c r="BD40" s="42">
        <f>ROUND(BC40*BD$6/12,2)</f>
        <v/>
      </c>
      <c r="BE40" s="42">
        <f>MIN(BE$6,BC40+BD40)</f>
        <v/>
      </c>
      <c r="BF40" s="42">
        <f>MAX(0,MIN(BC40+BD40-BE40,BB40))</f>
        <v/>
      </c>
      <c r="BG40" s="42">
        <f>ROUND(BC40+BD40-BE40-BF40,2)</f>
        <v/>
      </c>
      <c r="BH40">
        <f>BB40-BF40</f>
        <v/>
      </c>
      <c r="BI40" s="42">
        <f>BM39</f>
        <v/>
      </c>
      <c r="BJ40" s="42">
        <f>ROUND(BI40*BJ$6/12,2)</f>
        <v/>
      </c>
      <c r="BK40" s="42">
        <f>MIN(BK$6,BI40+BJ40)</f>
        <v/>
      </c>
      <c r="BL40" s="42">
        <f>MAX(0,MIN(BI40+BJ40-BK40,BH40))</f>
        <v/>
      </c>
      <c r="BM40" s="42">
        <f>ROUND(BI40+BJ40-BK40-BL40,2)</f>
        <v/>
      </c>
      <c r="BN40">
        <f>BH40-BL40</f>
        <v/>
      </c>
    </row>
    <row r="41">
      <c r="A41" s="43" t="n">
        <v>34</v>
      </c>
      <c r="B41" s="44">
        <f>EDATE('My Debts'!$C$6,A41-1)</f>
        <v/>
      </c>
      <c r="C41" s="45">
        <f>K41+Q41+W41+AC41+AI41+AO41+AU41+BA41+BG41+BM41</f>
        <v/>
      </c>
      <c r="D41" s="46">
        <f>I41+O41+U41+AA41+AG41+AM41+AS41+AY41+BE41+BK41+J41+P41+V41+AB41+AH41+AN41+AT41+AZ41+BF41+BL41</f>
        <v/>
      </c>
      <c r="E41" s="46">
        <f>H41+N41+T41+Z41+AF41+AL41+AR41+AX41+BD41+BJ41</f>
        <v/>
      </c>
      <c r="F41">
        <f>MAX(0,'My Debts'!$E$21-(I41+O41+U41+AA41+AG41+AM41+AS41+AY41+BE41+BK41))</f>
        <v/>
      </c>
      <c r="G41" s="42">
        <f>K40</f>
        <v/>
      </c>
      <c r="H41" s="42">
        <f>ROUND(G41*H$6/12,2)</f>
        <v/>
      </c>
      <c r="I41" s="42">
        <f>MIN(I$6,G41+H41)</f>
        <v/>
      </c>
      <c r="J41" s="42">
        <f>MAX(0,MIN(G41+H41-I41,$F41))</f>
        <v/>
      </c>
      <c r="K41" s="42">
        <f>ROUND(G41+H41-I41-J41,2)</f>
        <v/>
      </c>
      <c r="L41">
        <f>$F41-J41</f>
        <v/>
      </c>
      <c r="M41" s="42">
        <f>Q40</f>
        <v/>
      </c>
      <c r="N41" s="42">
        <f>ROUND(M41*N$6/12,2)</f>
        <v/>
      </c>
      <c r="O41" s="42">
        <f>MIN(O$6,M41+N41)</f>
        <v/>
      </c>
      <c r="P41" s="42">
        <f>MAX(0,MIN(M41+N41-O41,L41))</f>
        <v/>
      </c>
      <c r="Q41" s="42">
        <f>ROUND(M41+N41-O41-P41,2)</f>
        <v/>
      </c>
      <c r="R41">
        <f>L41-P41</f>
        <v/>
      </c>
      <c r="S41" s="42">
        <f>W40</f>
        <v/>
      </c>
      <c r="T41" s="42">
        <f>ROUND(S41*T$6/12,2)</f>
        <v/>
      </c>
      <c r="U41" s="42">
        <f>MIN(U$6,S41+T41)</f>
        <v/>
      </c>
      <c r="V41" s="42">
        <f>MAX(0,MIN(S41+T41-U41,R41))</f>
        <v/>
      </c>
      <c r="W41" s="42">
        <f>ROUND(S41+T41-U41-V41,2)</f>
        <v/>
      </c>
      <c r="X41">
        <f>R41-V41</f>
        <v/>
      </c>
      <c r="Y41" s="42">
        <f>AC40</f>
        <v/>
      </c>
      <c r="Z41" s="42">
        <f>ROUND(Y41*Z$6/12,2)</f>
        <v/>
      </c>
      <c r="AA41" s="42">
        <f>MIN(AA$6,Y41+Z41)</f>
        <v/>
      </c>
      <c r="AB41" s="42">
        <f>MAX(0,MIN(Y41+Z41-AA41,X41))</f>
        <v/>
      </c>
      <c r="AC41" s="42">
        <f>ROUND(Y41+Z41-AA41-AB41,2)</f>
        <v/>
      </c>
      <c r="AD41">
        <f>X41-AB41</f>
        <v/>
      </c>
      <c r="AE41" s="42">
        <f>AI40</f>
        <v/>
      </c>
      <c r="AF41" s="42">
        <f>ROUND(AE41*AF$6/12,2)</f>
        <v/>
      </c>
      <c r="AG41" s="42">
        <f>MIN(AG$6,AE41+AF41)</f>
        <v/>
      </c>
      <c r="AH41" s="42">
        <f>MAX(0,MIN(AE41+AF41-AG41,AD41))</f>
        <v/>
      </c>
      <c r="AI41" s="42">
        <f>ROUND(AE41+AF41-AG41-AH41,2)</f>
        <v/>
      </c>
      <c r="AJ41">
        <f>AD41-AH41</f>
        <v/>
      </c>
      <c r="AK41" s="42">
        <f>AO40</f>
        <v/>
      </c>
      <c r="AL41" s="42">
        <f>ROUND(AK41*AL$6/12,2)</f>
        <v/>
      </c>
      <c r="AM41" s="42">
        <f>MIN(AM$6,AK41+AL41)</f>
        <v/>
      </c>
      <c r="AN41" s="42">
        <f>MAX(0,MIN(AK41+AL41-AM41,AJ41))</f>
        <v/>
      </c>
      <c r="AO41" s="42">
        <f>ROUND(AK41+AL41-AM41-AN41,2)</f>
        <v/>
      </c>
      <c r="AP41">
        <f>AJ41-AN41</f>
        <v/>
      </c>
      <c r="AQ41" s="42">
        <f>AU40</f>
        <v/>
      </c>
      <c r="AR41" s="42">
        <f>ROUND(AQ41*AR$6/12,2)</f>
        <v/>
      </c>
      <c r="AS41" s="42">
        <f>MIN(AS$6,AQ41+AR41)</f>
        <v/>
      </c>
      <c r="AT41" s="42">
        <f>MAX(0,MIN(AQ41+AR41-AS41,AP41))</f>
        <v/>
      </c>
      <c r="AU41" s="42">
        <f>ROUND(AQ41+AR41-AS41-AT41,2)</f>
        <v/>
      </c>
      <c r="AV41">
        <f>AP41-AT41</f>
        <v/>
      </c>
      <c r="AW41" s="42">
        <f>BA40</f>
        <v/>
      </c>
      <c r="AX41" s="42">
        <f>ROUND(AW41*AX$6/12,2)</f>
        <v/>
      </c>
      <c r="AY41" s="42">
        <f>MIN(AY$6,AW41+AX41)</f>
        <v/>
      </c>
      <c r="AZ41" s="42">
        <f>MAX(0,MIN(AW41+AX41-AY41,AV41))</f>
        <v/>
      </c>
      <c r="BA41" s="42">
        <f>ROUND(AW41+AX41-AY41-AZ41,2)</f>
        <v/>
      </c>
      <c r="BB41">
        <f>AV41-AZ41</f>
        <v/>
      </c>
      <c r="BC41" s="42">
        <f>BG40</f>
        <v/>
      </c>
      <c r="BD41" s="42">
        <f>ROUND(BC41*BD$6/12,2)</f>
        <v/>
      </c>
      <c r="BE41" s="42">
        <f>MIN(BE$6,BC41+BD41)</f>
        <v/>
      </c>
      <c r="BF41" s="42">
        <f>MAX(0,MIN(BC41+BD41-BE41,BB41))</f>
        <v/>
      </c>
      <c r="BG41" s="42">
        <f>ROUND(BC41+BD41-BE41-BF41,2)</f>
        <v/>
      </c>
      <c r="BH41">
        <f>BB41-BF41</f>
        <v/>
      </c>
      <c r="BI41" s="42">
        <f>BM40</f>
        <v/>
      </c>
      <c r="BJ41" s="42">
        <f>ROUND(BI41*BJ$6/12,2)</f>
        <v/>
      </c>
      <c r="BK41" s="42">
        <f>MIN(BK$6,BI41+BJ41)</f>
        <v/>
      </c>
      <c r="BL41" s="42">
        <f>MAX(0,MIN(BI41+BJ41-BK41,BH41))</f>
        <v/>
      </c>
      <c r="BM41" s="42">
        <f>ROUND(BI41+BJ41-BK41-BL41,2)</f>
        <v/>
      </c>
      <c r="BN41">
        <f>BH41-BL41</f>
        <v/>
      </c>
    </row>
    <row r="42">
      <c r="A42" s="39" t="n">
        <v>35</v>
      </c>
      <c r="B42" s="40">
        <f>EDATE('My Debts'!$C$6,A42-1)</f>
        <v/>
      </c>
      <c r="C42" s="41">
        <f>K42+Q42+W42+AC42+AI42+AO42+AU42+BA42+BG42+BM42</f>
        <v/>
      </c>
      <c r="D42" s="42">
        <f>I42+O42+U42+AA42+AG42+AM42+AS42+AY42+BE42+BK42+J42+P42+V42+AB42+AH42+AN42+AT42+AZ42+BF42+BL42</f>
        <v/>
      </c>
      <c r="E42" s="42">
        <f>H42+N42+T42+Z42+AF42+AL42+AR42+AX42+BD42+BJ42</f>
        <v/>
      </c>
      <c r="F42">
        <f>MAX(0,'My Debts'!$E$21-(I42+O42+U42+AA42+AG42+AM42+AS42+AY42+BE42+BK42))</f>
        <v/>
      </c>
      <c r="G42" s="42">
        <f>K41</f>
        <v/>
      </c>
      <c r="H42" s="42">
        <f>ROUND(G42*H$6/12,2)</f>
        <v/>
      </c>
      <c r="I42" s="42">
        <f>MIN(I$6,G42+H42)</f>
        <v/>
      </c>
      <c r="J42" s="42">
        <f>MAX(0,MIN(G42+H42-I42,$F42))</f>
        <v/>
      </c>
      <c r="K42" s="42">
        <f>ROUND(G42+H42-I42-J42,2)</f>
        <v/>
      </c>
      <c r="L42">
        <f>$F42-J42</f>
        <v/>
      </c>
      <c r="M42" s="42">
        <f>Q41</f>
        <v/>
      </c>
      <c r="N42" s="42">
        <f>ROUND(M42*N$6/12,2)</f>
        <v/>
      </c>
      <c r="O42" s="42">
        <f>MIN(O$6,M42+N42)</f>
        <v/>
      </c>
      <c r="P42" s="42">
        <f>MAX(0,MIN(M42+N42-O42,L42))</f>
        <v/>
      </c>
      <c r="Q42" s="42">
        <f>ROUND(M42+N42-O42-P42,2)</f>
        <v/>
      </c>
      <c r="R42">
        <f>L42-P42</f>
        <v/>
      </c>
      <c r="S42" s="42">
        <f>W41</f>
        <v/>
      </c>
      <c r="T42" s="42">
        <f>ROUND(S42*T$6/12,2)</f>
        <v/>
      </c>
      <c r="U42" s="42">
        <f>MIN(U$6,S42+T42)</f>
        <v/>
      </c>
      <c r="V42" s="42">
        <f>MAX(0,MIN(S42+T42-U42,R42))</f>
        <v/>
      </c>
      <c r="W42" s="42">
        <f>ROUND(S42+T42-U42-V42,2)</f>
        <v/>
      </c>
      <c r="X42">
        <f>R42-V42</f>
        <v/>
      </c>
      <c r="Y42" s="42">
        <f>AC41</f>
        <v/>
      </c>
      <c r="Z42" s="42">
        <f>ROUND(Y42*Z$6/12,2)</f>
        <v/>
      </c>
      <c r="AA42" s="42">
        <f>MIN(AA$6,Y42+Z42)</f>
        <v/>
      </c>
      <c r="AB42" s="42">
        <f>MAX(0,MIN(Y42+Z42-AA42,X42))</f>
        <v/>
      </c>
      <c r="AC42" s="42">
        <f>ROUND(Y42+Z42-AA42-AB42,2)</f>
        <v/>
      </c>
      <c r="AD42">
        <f>X42-AB42</f>
        <v/>
      </c>
      <c r="AE42" s="42">
        <f>AI41</f>
        <v/>
      </c>
      <c r="AF42" s="42">
        <f>ROUND(AE42*AF$6/12,2)</f>
        <v/>
      </c>
      <c r="AG42" s="42">
        <f>MIN(AG$6,AE42+AF42)</f>
        <v/>
      </c>
      <c r="AH42" s="42">
        <f>MAX(0,MIN(AE42+AF42-AG42,AD42))</f>
        <v/>
      </c>
      <c r="AI42" s="42">
        <f>ROUND(AE42+AF42-AG42-AH42,2)</f>
        <v/>
      </c>
      <c r="AJ42">
        <f>AD42-AH42</f>
        <v/>
      </c>
      <c r="AK42" s="42">
        <f>AO41</f>
        <v/>
      </c>
      <c r="AL42" s="42">
        <f>ROUND(AK42*AL$6/12,2)</f>
        <v/>
      </c>
      <c r="AM42" s="42">
        <f>MIN(AM$6,AK42+AL42)</f>
        <v/>
      </c>
      <c r="AN42" s="42">
        <f>MAX(0,MIN(AK42+AL42-AM42,AJ42))</f>
        <v/>
      </c>
      <c r="AO42" s="42">
        <f>ROUND(AK42+AL42-AM42-AN42,2)</f>
        <v/>
      </c>
      <c r="AP42">
        <f>AJ42-AN42</f>
        <v/>
      </c>
      <c r="AQ42" s="42">
        <f>AU41</f>
        <v/>
      </c>
      <c r="AR42" s="42">
        <f>ROUND(AQ42*AR$6/12,2)</f>
        <v/>
      </c>
      <c r="AS42" s="42">
        <f>MIN(AS$6,AQ42+AR42)</f>
        <v/>
      </c>
      <c r="AT42" s="42">
        <f>MAX(0,MIN(AQ42+AR42-AS42,AP42))</f>
        <v/>
      </c>
      <c r="AU42" s="42">
        <f>ROUND(AQ42+AR42-AS42-AT42,2)</f>
        <v/>
      </c>
      <c r="AV42">
        <f>AP42-AT42</f>
        <v/>
      </c>
      <c r="AW42" s="42">
        <f>BA41</f>
        <v/>
      </c>
      <c r="AX42" s="42">
        <f>ROUND(AW42*AX$6/12,2)</f>
        <v/>
      </c>
      <c r="AY42" s="42">
        <f>MIN(AY$6,AW42+AX42)</f>
        <v/>
      </c>
      <c r="AZ42" s="42">
        <f>MAX(0,MIN(AW42+AX42-AY42,AV42))</f>
        <v/>
      </c>
      <c r="BA42" s="42">
        <f>ROUND(AW42+AX42-AY42-AZ42,2)</f>
        <v/>
      </c>
      <c r="BB42">
        <f>AV42-AZ42</f>
        <v/>
      </c>
      <c r="BC42" s="42">
        <f>BG41</f>
        <v/>
      </c>
      <c r="BD42" s="42">
        <f>ROUND(BC42*BD$6/12,2)</f>
        <v/>
      </c>
      <c r="BE42" s="42">
        <f>MIN(BE$6,BC42+BD42)</f>
        <v/>
      </c>
      <c r="BF42" s="42">
        <f>MAX(0,MIN(BC42+BD42-BE42,BB42))</f>
        <v/>
      </c>
      <c r="BG42" s="42">
        <f>ROUND(BC42+BD42-BE42-BF42,2)</f>
        <v/>
      </c>
      <c r="BH42">
        <f>BB42-BF42</f>
        <v/>
      </c>
      <c r="BI42" s="42">
        <f>BM41</f>
        <v/>
      </c>
      <c r="BJ42" s="42">
        <f>ROUND(BI42*BJ$6/12,2)</f>
        <v/>
      </c>
      <c r="BK42" s="42">
        <f>MIN(BK$6,BI42+BJ42)</f>
        <v/>
      </c>
      <c r="BL42" s="42">
        <f>MAX(0,MIN(BI42+BJ42-BK42,BH42))</f>
        <v/>
      </c>
      <c r="BM42" s="42">
        <f>ROUND(BI42+BJ42-BK42-BL42,2)</f>
        <v/>
      </c>
      <c r="BN42">
        <f>BH42-BL42</f>
        <v/>
      </c>
    </row>
    <row r="43">
      <c r="A43" s="43" t="n">
        <v>36</v>
      </c>
      <c r="B43" s="44">
        <f>EDATE('My Debts'!$C$6,A43-1)</f>
        <v/>
      </c>
      <c r="C43" s="45">
        <f>K43+Q43+W43+AC43+AI43+AO43+AU43+BA43+BG43+BM43</f>
        <v/>
      </c>
      <c r="D43" s="46">
        <f>I43+O43+U43+AA43+AG43+AM43+AS43+AY43+BE43+BK43+J43+P43+V43+AB43+AH43+AN43+AT43+AZ43+BF43+BL43</f>
        <v/>
      </c>
      <c r="E43" s="46">
        <f>H43+N43+T43+Z43+AF43+AL43+AR43+AX43+BD43+BJ43</f>
        <v/>
      </c>
      <c r="F43">
        <f>MAX(0,'My Debts'!$E$21-(I43+O43+U43+AA43+AG43+AM43+AS43+AY43+BE43+BK43))</f>
        <v/>
      </c>
      <c r="G43" s="42">
        <f>K42</f>
        <v/>
      </c>
      <c r="H43" s="42">
        <f>ROUND(G43*H$6/12,2)</f>
        <v/>
      </c>
      <c r="I43" s="42">
        <f>MIN(I$6,G43+H43)</f>
        <v/>
      </c>
      <c r="J43" s="42">
        <f>MAX(0,MIN(G43+H43-I43,$F43))</f>
        <v/>
      </c>
      <c r="K43" s="42">
        <f>ROUND(G43+H43-I43-J43,2)</f>
        <v/>
      </c>
      <c r="L43">
        <f>$F43-J43</f>
        <v/>
      </c>
      <c r="M43" s="42">
        <f>Q42</f>
        <v/>
      </c>
      <c r="N43" s="42">
        <f>ROUND(M43*N$6/12,2)</f>
        <v/>
      </c>
      <c r="O43" s="42">
        <f>MIN(O$6,M43+N43)</f>
        <v/>
      </c>
      <c r="P43" s="42">
        <f>MAX(0,MIN(M43+N43-O43,L43))</f>
        <v/>
      </c>
      <c r="Q43" s="42">
        <f>ROUND(M43+N43-O43-P43,2)</f>
        <v/>
      </c>
      <c r="R43">
        <f>L43-P43</f>
        <v/>
      </c>
      <c r="S43" s="42">
        <f>W42</f>
        <v/>
      </c>
      <c r="T43" s="42">
        <f>ROUND(S43*T$6/12,2)</f>
        <v/>
      </c>
      <c r="U43" s="42">
        <f>MIN(U$6,S43+T43)</f>
        <v/>
      </c>
      <c r="V43" s="42">
        <f>MAX(0,MIN(S43+T43-U43,R43))</f>
        <v/>
      </c>
      <c r="W43" s="42">
        <f>ROUND(S43+T43-U43-V43,2)</f>
        <v/>
      </c>
      <c r="X43">
        <f>R43-V43</f>
        <v/>
      </c>
      <c r="Y43" s="42">
        <f>AC42</f>
        <v/>
      </c>
      <c r="Z43" s="42">
        <f>ROUND(Y43*Z$6/12,2)</f>
        <v/>
      </c>
      <c r="AA43" s="42">
        <f>MIN(AA$6,Y43+Z43)</f>
        <v/>
      </c>
      <c r="AB43" s="42">
        <f>MAX(0,MIN(Y43+Z43-AA43,X43))</f>
        <v/>
      </c>
      <c r="AC43" s="42">
        <f>ROUND(Y43+Z43-AA43-AB43,2)</f>
        <v/>
      </c>
      <c r="AD43">
        <f>X43-AB43</f>
        <v/>
      </c>
      <c r="AE43" s="42">
        <f>AI42</f>
        <v/>
      </c>
      <c r="AF43" s="42">
        <f>ROUND(AE43*AF$6/12,2)</f>
        <v/>
      </c>
      <c r="AG43" s="42">
        <f>MIN(AG$6,AE43+AF43)</f>
        <v/>
      </c>
      <c r="AH43" s="42">
        <f>MAX(0,MIN(AE43+AF43-AG43,AD43))</f>
        <v/>
      </c>
      <c r="AI43" s="42">
        <f>ROUND(AE43+AF43-AG43-AH43,2)</f>
        <v/>
      </c>
      <c r="AJ43">
        <f>AD43-AH43</f>
        <v/>
      </c>
      <c r="AK43" s="42">
        <f>AO42</f>
        <v/>
      </c>
      <c r="AL43" s="42">
        <f>ROUND(AK43*AL$6/12,2)</f>
        <v/>
      </c>
      <c r="AM43" s="42">
        <f>MIN(AM$6,AK43+AL43)</f>
        <v/>
      </c>
      <c r="AN43" s="42">
        <f>MAX(0,MIN(AK43+AL43-AM43,AJ43))</f>
        <v/>
      </c>
      <c r="AO43" s="42">
        <f>ROUND(AK43+AL43-AM43-AN43,2)</f>
        <v/>
      </c>
      <c r="AP43">
        <f>AJ43-AN43</f>
        <v/>
      </c>
      <c r="AQ43" s="42">
        <f>AU42</f>
        <v/>
      </c>
      <c r="AR43" s="42">
        <f>ROUND(AQ43*AR$6/12,2)</f>
        <v/>
      </c>
      <c r="AS43" s="42">
        <f>MIN(AS$6,AQ43+AR43)</f>
        <v/>
      </c>
      <c r="AT43" s="42">
        <f>MAX(0,MIN(AQ43+AR43-AS43,AP43))</f>
        <v/>
      </c>
      <c r="AU43" s="42">
        <f>ROUND(AQ43+AR43-AS43-AT43,2)</f>
        <v/>
      </c>
      <c r="AV43">
        <f>AP43-AT43</f>
        <v/>
      </c>
      <c r="AW43" s="42">
        <f>BA42</f>
        <v/>
      </c>
      <c r="AX43" s="42">
        <f>ROUND(AW43*AX$6/12,2)</f>
        <v/>
      </c>
      <c r="AY43" s="42">
        <f>MIN(AY$6,AW43+AX43)</f>
        <v/>
      </c>
      <c r="AZ43" s="42">
        <f>MAX(0,MIN(AW43+AX43-AY43,AV43))</f>
        <v/>
      </c>
      <c r="BA43" s="42">
        <f>ROUND(AW43+AX43-AY43-AZ43,2)</f>
        <v/>
      </c>
      <c r="BB43">
        <f>AV43-AZ43</f>
        <v/>
      </c>
      <c r="BC43" s="42">
        <f>BG42</f>
        <v/>
      </c>
      <c r="BD43" s="42">
        <f>ROUND(BC43*BD$6/12,2)</f>
        <v/>
      </c>
      <c r="BE43" s="42">
        <f>MIN(BE$6,BC43+BD43)</f>
        <v/>
      </c>
      <c r="BF43" s="42">
        <f>MAX(0,MIN(BC43+BD43-BE43,BB43))</f>
        <v/>
      </c>
      <c r="BG43" s="42">
        <f>ROUND(BC43+BD43-BE43-BF43,2)</f>
        <v/>
      </c>
      <c r="BH43">
        <f>BB43-BF43</f>
        <v/>
      </c>
      <c r="BI43" s="42">
        <f>BM42</f>
        <v/>
      </c>
      <c r="BJ43" s="42">
        <f>ROUND(BI43*BJ$6/12,2)</f>
        <v/>
      </c>
      <c r="BK43" s="42">
        <f>MIN(BK$6,BI43+BJ43)</f>
        <v/>
      </c>
      <c r="BL43" s="42">
        <f>MAX(0,MIN(BI43+BJ43-BK43,BH43))</f>
        <v/>
      </c>
      <c r="BM43" s="42">
        <f>ROUND(BI43+BJ43-BK43-BL43,2)</f>
        <v/>
      </c>
      <c r="BN43">
        <f>BH43-BL43</f>
        <v/>
      </c>
    </row>
    <row r="44">
      <c r="A44" s="39" t="n">
        <v>37</v>
      </c>
      <c r="B44" s="40">
        <f>EDATE('My Debts'!$C$6,A44-1)</f>
        <v/>
      </c>
      <c r="C44" s="41">
        <f>K44+Q44+W44+AC44+AI44+AO44+AU44+BA44+BG44+BM44</f>
        <v/>
      </c>
      <c r="D44" s="42">
        <f>I44+O44+U44+AA44+AG44+AM44+AS44+AY44+BE44+BK44+J44+P44+V44+AB44+AH44+AN44+AT44+AZ44+BF44+BL44</f>
        <v/>
      </c>
      <c r="E44" s="42">
        <f>H44+N44+T44+Z44+AF44+AL44+AR44+AX44+BD44+BJ44</f>
        <v/>
      </c>
      <c r="F44">
        <f>MAX(0,'My Debts'!$E$21-(I44+O44+U44+AA44+AG44+AM44+AS44+AY44+BE44+BK44))</f>
        <v/>
      </c>
      <c r="G44" s="42">
        <f>K43</f>
        <v/>
      </c>
      <c r="H44" s="42">
        <f>ROUND(G44*H$6/12,2)</f>
        <v/>
      </c>
      <c r="I44" s="42">
        <f>MIN(I$6,G44+H44)</f>
        <v/>
      </c>
      <c r="J44" s="42">
        <f>MAX(0,MIN(G44+H44-I44,$F44))</f>
        <v/>
      </c>
      <c r="K44" s="42">
        <f>ROUND(G44+H44-I44-J44,2)</f>
        <v/>
      </c>
      <c r="L44">
        <f>$F44-J44</f>
        <v/>
      </c>
      <c r="M44" s="42">
        <f>Q43</f>
        <v/>
      </c>
      <c r="N44" s="42">
        <f>ROUND(M44*N$6/12,2)</f>
        <v/>
      </c>
      <c r="O44" s="42">
        <f>MIN(O$6,M44+N44)</f>
        <v/>
      </c>
      <c r="P44" s="42">
        <f>MAX(0,MIN(M44+N44-O44,L44))</f>
        <v/>
      </c>
      <c r="Q44" s="42">
        <f>ROUND(M44+N44-O44-P44,2)</f>
        <v/>
      </c>
      <c r="R44">
        <f>L44-P44</f>
        <v/>
      </c>
      <c r="S44" s="42">
        <f>W43</f>
        <v/>
      </c>
      <c r="T44" s="42">
        <f>ROUND(S44*T$6/12,2)</f>
        <v/>
      </c>
      <c r="U44" s="42">
        <f>MIN(U$6,S44+T44)</f>
        <v/>
      </c>
      <c r="V44" s="42">
        <f>MAX(0,MIN(S44+T44-U44,R44))</f>
        <v/>
      </c>
      <c r="W44" s="42">
        <f>ROUND(S44+T44-U44-V44,2)</f>
        <v/>
      </c>
      <c r="X44">
        <f>R44-V44</f>
        <v/>
      </c>
      <c r="Y44" s="42">
        <f>AC43</f>
        <v/>
      </c>
      <c r="Z44" s="42">
        <f>ROUND(Y44*Z$6/12,2)</f>
        <v/>
      </c>
      <c r="AA44" s="42">
        <f>MIN(AA$6,Y44+Z44)</f>
        <v/>
      </c>
      <c r="AB44" s="42">
        <f>MAX(0,MIN(Y44+Z44-AA44,X44))</f>
        <v/>
      </c>
      <c r="AC44" s="42">
        <f>ROUND(Y44+Z44-AA44-AB44,2)</f>
        <v/>
      </c>
      <c r="AD44">
        <f>X44-AB44</f>
        <v/>
      </c>
      <c r="AE44" s="42">
        <f>AI43</f>
        <v/>
      </c>
      <c r="AF44" s="42">
        <f>ROUND(AE44*AF$6/12,2)</f>
        <v/>
      </c>
      <c r="AG44" s="42">
        <f>MIN(AG$6,AE44+AF44)</f>
        <v/>
      </c>
      <c r="AH44" s="42">
        <f>MAX(0,MIN(AE44+AF44-AG44,AD44))</f>
        <v/>
      </c>
      <c r="AI44" s="42">
        <f>ROUND(AE44+AF44-AG44-AH44,2)</f>
        <v/>
      </c>
      <c r="AJ44">
        <f>AD44-AH44</f>
        <v/>
      </c>
      <c r="AK44" s="42">
        <f>AO43</f>
        <v/>
      </c>
      <c r="AL44" s="42">
        <f>ROUND(AK44*AL$6/12,2)</f>
        <v/>
      </c>
      <c r="AM44" s="42">
        <f>MIN(AM$6,AK44+AL44)</f>
        <v/>
      </c>
      <c r="AN44" s="42">
        <f>MAX(0,MIN(AK44+AL44-AM44,AJ44))</f>
        <v/>
      </c>
      <c r="AO44" s="42">
        <f>ROUND(AK44+AL44-AM44-AN44,2)</f>
        <v/>
      </c>
      <c r="AP44">
        <f>AJ44-AN44</f>
        <v/>
      </c>
      <c r="AQ44" s="42">
        <f>AU43</f>
        <v/>
      </c>
      <c r="AR44" s="42">
        <f>ROUND(AQ44*AR$6/12,2)</f>
        <v/>
      </c>
      <c r="AS44" s="42">
        <f>MIN(AS$6,AQ44+AR44)</f>
        <v/>
      </c>
      <c r="AT44" s="42">
        <f>MAX(0,MIN(AQ44+AR44-AS44,AP44))</f>
        <v/>
      </c>
      <c r="AU44" s="42">
        <f>ROUND(AQ44+AR44-AS44-AT44,2)</f>
        <v/>
      </c>
      <c r="AV44">
        <f>AP44-AT44</f>
        <v/>
      </c>
      <c r="AW44" s="42">
        <f>BA43</f>
        <v/>
      </c>
      <c r="AX44" s="42">
        <f>ROUND(AW44*AX$6/12,2)</f>
        <v/>
      </c>
      <c r="AY44" s="42">
        <f>MIN(AY$6,AW44+AX44)</f>
        <v/>
      </c>
      <c r="AZ44" s="42">
        <f>MAX(0,MIN(AW44+AX44-AY44,AV44))</f>
        <v/>
      </c>
      <c r="BA44" s="42">
        <f>ROUND(AW44+AX44-AY44-AZ44,2)</f>
        <v/>
      </c>
      <c r="BB44">
        <f>AV44-AZ44</f>
        <v/>
      </c>
      <c r="BC44" s="42">
        <f>BG43</f>
        <v/>
      </c>
      <c r="BD44" s="42">
        <f>ROUND(BC44*BD$6/12,2)</f>
        <v/>
      </c>
      <c r="BE44" s="42">
        <f>MIN(BE$6,BC44+BD44)</f>
        <v/>
      </c>
      <c r="BF44" s="42">
        <f>MAX(0,MIN(BC44+BD44-BE44,BB44))</f>
        <v/>
      </c>
      <c r="BG44" s="42">
        <f>ROUND(BC44+BD44-BE44-BF44,2)</f>
        <v/>
      </c>
      <c r="BH44">
        <f>BB44-BF44</f>
        <v/>
      </c>
      <c r="BI44" s="42">
        <f>BM43</f>
        <v/>
      </c>
      <c r="BJ44" s="42">
        <f>ROUND(BI44*BJ$6/12,2)</f>
        <v/>
      </c>
      <c r="BK44" s="42">
        <f>MIN(BK$6,BI44+BJ44)</f>
        <v/>
      </c>
      <c r="BL44" s="42">
        <f>MAX(0,MIN(BI44+BJ44-BK44,BH44))</f>
        <v/>
      </c>
      <c r="BM44" s="42">
        <f>ROUND(BI44+BJ44-BK44-BL44,2)</f>
        <v/>
      </c>
      <c r="BN44">
        <f>BH44-BL44</f>
        <v/>
      </c>
    </row>
    <row r="45">
      <c r="A45" s="43" t="n">
        <v>38</v>
      </c>
      <c r="B45" s="44">
        <f>EDATE('My Debts'!$C$6,A45-1)</f>
        <v/>
      </c>
      <c r="C45" s="45">
        <f>K45+Q45+W45+AC45+AI45+AO45+AU45+BA45+BG45+BM45</f>
        <v/>
      </c>
      <c r="D45" s="46">
        <f>I45+O45+U45+AA45+AG45+AM45+AS45+AY45+BE45+BK45+J45+P45+V45+AB45+AH45+AN45+AT45+AZ45+BF45+BL45</f>
        <v/>
      </c>
      <c r="E45" s="46">
        <f>H45+N45+T45+Z45+AF45+AL45+AR45+AX45+BD45+BJ45</f>
        <v/>
      </c>
      <c r="F45">
        <f>MAX(0,'My Debts'!$E$21-(I45+O45+U45+AA45+AG45+AM45+AS45+AY45+BE45+BK45))</f>
        <v/>
      </c>
      <c r="G45" s="42">
        <f>K44</f>
        <v/>
      </c>
      <c r="H45" s="42">
        <f>ROUND(G45*H$6/12,2)</f>
        <v/>
      </c>
      <c r="I45" s="42">
        <f>MIN(I$6,G45+H45)</f>
        <v/>
      </c>
      <c r="J45" s="42">
        <f>MAX(0,MIN(G45+H45-I45,$F45))</f>
        <v/>
      </c>
      <c r="K45" s="42">
        <f>ROUND(G45+H45-I45-J45,2)</f>
        <v/>
      </c>
      <c r="L45">
        <f>$F45-J45</f>
        <v/>
      </c>
      <c r="M45" s="42">
        <f>Q44</f>
        <v/>
      </c>
      <c r="N45" s="42">
        <f>ROUND(M45*N$6/12,2)</f>
        <v/>
      </c>
      <c r="O45" s="42">
        <f>MIN(O$6,M45+N45)</f>
        <v/>
      </c>
      <c r="P45" s="42">
        <f>MAX(0,MIN(M45+N45-O45,L45))</f>
        <v/>
      </c>
      <c r="Q45" s="42">
        <f>ROUND(M45+N45-O45-P45,2)</f>
        <v/>
      </c>
      <c r="R45">
        <f>L45-P45</f>
        <v/>
      </c>
      <c r="S45" s="42">
        <f>W44</f>
        <v/>
      </c>
      <c r="T45" s="42">
        <f>ROUND(S45*T$6/12,2)</f>
        <v/>
      </c>
      <c r="U45" s="42">
        <f>MIN(U$6,S45+T45)</f>
        <v/>
      </c>
      <c r="V45" s="42">
        <f>MAX(0,MIN(S45+T45-U45,R45))</f>
        <v/>
      </c>
      <c r="W45" s="42">
        <f>ROUND(S45+T45-U45-V45,2)</f>
        <v/>
      </c>
      <c r="X45">
        <f>R45-V45</f>
        <v/>
      </c>
      <c r="Y45" s="42">
        <f>AC44</f>
        <v/>
      </c>
      <c r="Z45" s="42">
        <f>ROUND(Y45*Z$6/12,2)</f>
        <v/>
      </c>
      <c r="AA45" s="42">
        <f>MIN(AA$6,Y45+Z45)</f>
        <v/>
      </c>
      <c r="AB45" s="42">
        <f>MAX(0,MIN(Y45+Z45-AA45,X45))</f>
        <v/>
      </c>
      <c r="AC45" s="42">
        <f>ROUND(Y45+Z45-AA45-AB45,2)</f>
        <v/>
      </c>
      <c r="AD45">
        <f>X45-AB45</f>
        <v/>
      </c>
      <c r="AE45" s="42">
        <f>AI44</f>
        <v/>
      </c>
      <c r="AF45" s="42">
        <f>ROUND(AE45*AF$6/12,2)</f>
        <v/>
      </c>
      <c r="AG45" s="42">
        <f>MIN(AG$6,AE45+AF45)</f>
        <v/>
      </c>
      <c r="AH45" s="42">
        <f>MAX(0,MIN(AE45+AF45-AG45,AD45))</f>
        <v/>
      </c>
      <c r="AI45" s="42">
        <f>ROUND(AE45+AF45-AG45-AH45,2)</f>
        <v/>
      </c>
      <c r="AJ45">
        <f>AD45-AH45</f>
        <v/>
      </c>
      <c r="AK45" s="42">
        <f>AO44</f>
        <v/>
      </c>
      <c r="AL45" s="42">
        <f>ROUND(AK45*AL$6/12,2)</f>
        <v/>
      </c>
      <c r="AM45" s="42">
        <f>MIN(AM$6,AK45+AL45)</f>
        <v/>
      </c>
      <c r="AN45" s="42">
        <f>MAX(0,MIN(AK45+AL45-AM45,AJ45))</f>
        <v/>
      </c>
      <c r="AO45" s="42">
        <f>ROUND(AK45+AL45-AM45-AN45,2)</f>
        <v/>
      </c>
      <c r="AP45">
        <f>AJ45-AN45</f>
        <v/>
      </c>
      <c r="AQ45" s="42">
        <f>AU44</f>
        <v/>
      </c>
      <c r="AR45" s="42">
        <f>ROUND(AQ45*AR$6/12,2)</f>
        <v/>
      </c>
      <c r="AS45" s="42">
        <f>MIN(AS$6,AQ45+AR45)</f>
        <v/>
      </c>
      <c r="AT45" s="42">
        <f>MAX(0,MIN(AQ45+AR45-AS45,AP45))</f>
        <v/>
      </c>
      <c r="AU45" s="42">
        <f>ROUND(AQ45+AR45-AS45-AT45,2)</f>
        <v/>
      </c>
      <c r="AV45">
        <f>AP45-AT45</f>
        <v/>
      </c>
      <c r="AW45" s="42">
        <f>BA44</f>
        <v/>
      </c>
      <c r="AX45" s="42">
        <f>ROUND(AW45*AX$6/12,2)</f>
        <v/>
      </c>
      <c r="AY45" s="42">
        <f>MIN(AY$6,AW45+AX45)</f>
        <v/>
      </c>
      <c r="AZ45" s="42">
        <f>MAX(0,MIN(AW45+AX45-AY45,AV45))</f>
        <v/>
      </c>
      <c r="BA45" s="42">
        <f>ROUND(AW45+AX45-AY45-AZ45,2)</f>
        <v/>
      </c>
      <c r="BB45">
        <f>AV45-AZ45</f>
        <v/>
      </c>
      <c r="BC45" s="42">
        <f>BG44</f>
        <v/>
      </c>
      <c r="BD45" s="42">
        <f>ROUND(BC45*BD$6/12,2)</f>
        <v/>
      </c>
      <c r="BE45" s="42">
        <f>MIN(BE$6,BC45+BD45)</f>
        <v/>
      </c>
      <c r="BF45" s="42">
        <f>MAX(0,MIN(BC45+BD45-BE45,BB45))</f>
        <v/>
      </c>
      <c r="BG45" s="42">
        <f>ROUND(BC45+BD45-BE45-BF45,2)</f>
        <v/>
      </c>
      <c r="BH45">
        <f>BB45-BF45</f>
        <v/>
      </c>
      <c r="BI45" s="42">
        <f>BM44</f>
        <v/>
      </c>
      <c r="BJ45" s="42">
        <f>ROUND(BI45*BJ$6/12,2)</f>
        <v/>
      </c>
      <c r="BK45" s="42">
        <f>MIN(BK$6,BI45+BJ45)</f>
        <v/>
      </c>
      <c r="BL45" s="42">
        <f>MAX(0,MIN(BI45+BJ45-BK45,BH45))</f>
        <v/>
      </c>
      <c r="BM45" s="42">
        <f>ROUND(BI45+BJ45-BK45-BL45,2)</f>
        <v/>
      </c>
      <c r="BN45">
        <f>BH45-BL45</f>
        <v/>
      </c>
    </row>
    <row r="46">
      <c r="A46" s="39" t="n">
        <v>39</v>
      </c>
      <c r="B46" s="40">
        <f>EDATE('My Debts'!$C$6,A46-1)</f>
        <v/>
      </c>
      <c r="C46" s="41">
        <f>K46+Q46+W46+AC46+AI46+AO46+AU46+BA46+BG46+BM46</f>
        <v/>
      </c>
      <c r="D46" s="42">
        <f>I46+O46+U46+AA46+AG46+AM46+AS46+AY46+BE46+BK46+J46+P46+V46+AB46+AH46+AN46+AT46+AZ46+BF46+BL46</f>
        <v/>
      </c>
      <c r="E46" s="42">
        <f>H46+N46+T46+Z46+AF46+AL46+AR46+AX46+BD46+BJ46</f>
        <v/>
      </c>
      <c r="F46">
        <f>MAX(0,'My Debts'!$E$21-(I46+O46+U46+AA46+AG46+AM46+AS46+AY46+BE46+BK46))</f>
        <v/>
      </c>
      <c r="G46" s="42">
        <f>K45</f>
        <v/>
      </c>
      <c r="H46" s="42">
        <f>ROUND(G46*H$6/12,2)</f>
        <v/>
      </c>
      <c r="I46" s="42">
        <f>MIN(I$6,G46+H46)</f>
        <v/>
      </c>
      <c r="J46" s="42">
        <f>MAX(0,MIN(G46+H46-I46,$F46))</f>
        <v/>
      </c>
      <c r="K46" s="42">
        <f>ROUND(G46+H46-I46-J46,2)</f>
        <v/>
      </c>
      <c r="L46">
        <f>$F46-J46</f>
        <v/>
      </c>
      <c r="M46" s="42">
        <f>Q45</f>
        <v/>
      </c>
      <c r="N46" s="42">
        <f>ROUND(M46*N$6/12,2)</f>
        <v/>
      </c>
      <c r="O46" s="42">
        <f>MIN(O$6,M46+N46)</f>
        <v/>
      </c>
      <c r="P46" s="42">
        <f>MAX(0,MIN(M46+N46-O46,L46))</f>
        <v/>
      </c>
      <c r="Q46" s="42">
        <f>ROUND(M46+N46-O46-P46,2)</f>
        <v/>
      </c>
      <c r="R46">
        <f>L46-P46</f>
        <v/>
      </c>
      <c r="S46" s="42">
        <f>W45</f>
        <v/>
      </c>
      <c r="T46" s="42">
        <f>ROUND(S46*T$6/12,2)</f>
        <v/>
      </c>
      <c r="U46" s="42">
        <f>MIN(U$6,S46+T46)</f>
        <v/>
      </c>
      <c r="V46" s="42">
        <f>MAX(0,MIN(S46+T46-U46,R46))</f>
        <v/>
      </c>
      <c r="W46" s="42">
        <f>ROUND(S46+T46-U46-V46,2)</f>
        <v/>
      </c>
      <c r="X46">
        <f>R46-V46</f>
        <v/>
      </c>
      <c r="Y46" s="42">
        <f>AC45</f>
        <v/>
      </c>
      <c r="Z46" s="42">
        <f>ROUND(Y46*Z$6/12,2)</f>
        <v/>
      </c>
      <c r="AA46" s="42">
        <f>MIN(AA$6,Y46+Z46)</f>
        <v/>
      </c>
      <c r="AB46" s="42">
        <f>MAX(0,MIN(Y46+Z46-AA46,X46))</f>
        <v/>
      </c>
      <c r="AC46" s="42">
        <f>ROUND(Y46+Z46-AA46-AB46,2)</f>
        <v/>
      </c>
      <c r="AD46">
        <f>X46-AB46</f>
        <v/>
      </c>
      <c r="AE46" s="42">
        <f>AI45</f>
        <v/>
      </c>
      <c r="AF46" s="42">
        <f>ROUND(AE46*AF$6/12,2)</f>
        <v/>
      </c>
      <c r="AG46" s="42">
        <f>MIN(AG$6,AE46+AF46)</f>
        <v/>
      </c>
      <c r="AH46" s="42">
        <f>MAX(0,MIN(AE46+AF46-AG46,AD46))</f>
        <v/>
      </c>
      <c r="AI46" s="42">
        <f>ROUND(AE46+AF46-AG46-AH46,2)</f>
        <v/>
      </c>
      <c r="AJ46">
        <f>AD46-AH46</f>
        <v/>
      </c>
      <c r="AK46" s="42">
        <f>AO45</f>
        <v/>
      </c>
      <c r="AL46" s="42">
        <f>ROUND(AK46*AL$6/12,2)</f>
        <v/>
      </c>
      <c r="AM46" s="42">
        <f>MIN(AM$6,AK46+AL46)</f>
        <v/>
      </c>
      <c r="AN46" s="42">
        <f>MAX(0,MIN(AK46+AL46-AM46,AJ46))</f>
        <v/>
      </c>
      <c r="AO46" s="42">
        <f>ROUND(AK46+AL46-AM46-AN46,2)</f>
        <v/>
      </c>
      <c r="AP46">
        <f>AJ46-AN46</f>
        <v/>
      </c>
      <c r="AQ46" s="42">
        <f>AU45</f>
        <v/>
      </c>
      <c r="AR46" s="42">
        <f>ROUND(AQ46*AR$6/12,2)</f>
        <v/>
      </c>
      <c r="AS46" s="42">
        <f>MIN(AS$6,AQ46+AR46)</f>
        <v/>
      </c>
      <c r="AT46" s="42">
        <f>MAX(0,MIN(AQ46+AR46-AS46,AP46))</f>
        <v/>
      </c>
      <c r="AU46" s="42">
        <f>ROUND(AQ46+AR46-AS46-AT46,2)</f>
        <v/>
      </c>
      <c r="AV46">
        <f>AP46-AT46</f>
        <v/>
      </c>
      <c r="AW46" s="42">
        <f>BA45</f>
        <v/>
      </c>
      <c r="AX46" s="42">
        <f>ROUND(AW46*AX$6/12,2)</f>
        <v/>
      </c>
      <c r="AY46" s="42">
        <f>MIN(AY$6,AW46+AX46)</f>
        <v/>
      </c>
      <c r="AZ46" s="42">
        <f>MAX(0,MIN(AW46+AX46-AY46,AV46))</f>
        <v/>
      </c>
      <c r="BA46" s="42">
        <f>ROUND(AW46+AX46-AY46-AZ46,2)</f>
        <v/>
      </c>
      <c r="BB46">
        <f>AV46-AZ46</f>
        <v/>
      </c>
      <c r="BC46" s="42">
        <f>BG45</f>
        <v/>
      </c>
      <c r="BD46" s="42">
        <f>ROUND(BC46*BD$6/12,2)</f>
        <v/>
      </c>
      <c r="BE46" s="42">
        <f>MIN(BE$6,BC46+BD46)</f>
        <v/>
      </c>
      <c r="BF46" s="42">
        <f>MAX(0,MIN(BC46+BD46-BE46,BB46))</f>
        <v/>
      </c>
      <c r="BG46" s="42">
        <f>ROUND(BC46+BD46-BE46-BF46,2)</f>
        <v/>
      </c>
      <c r="BH46">
        <f>BB46-BF46</f>
        <v/>
      </c>
      <c r="BI46" s="42">
        <f>BM45</f>
        <v/>
      </c>
      <c r="BJ46" s="42">
        <f>ROUND(BI46*BJ$6/12,2)</f>
        <v/>
      </c>
      <c r="BK46" s="42">
        <f>MIN(BK$6,BI46+BJ46)</f>
        <v/>
      </c>
      <c r="BL46" s="42">
        <f>MAX(0,MIN(BI46+BJ46-BK46,BH46))</f>
        <v/>
      </c>
      <c r="BM46" s="42">
        <f>ROUND(BI46+BJ46-BK46-BL46,2)</f>
        <v/>
      </c>
      <c r="BN46">
        <f>BH46-BL46</f>
        <v/>
      </c>
    </row>
    <row r="47">
      <c r="A47" s="43" t="n">
        <v>40</v>
      </c>
      <c r="B47" s="44">
        <f>EDATE('My Debts'!$C$6,A47-1)</f>
        <v/>
      </c>
      <c r="C47" s="45">
        <f>K47+Q47+W47+AC47+AI47+AO47+AU47+BA47+BG47+BM47</f>
        <v/>
      </c>
      <c r="D47" s="46">
        <f>I47+O47+U47+AA47+AG47+AM47+AS47+AY47+BE47+BK47+J47+P47+V47+AB47+AH47+AN47+AT47+AZ47+BF47+BL47</f>
        <v/>
      </c>
      <c r="E47" s="46">
        <f>H47+N47+T47+Z47+AF47+AL47+AR47+AX47+BD47+BJ47</f>
        <v/>
      </c>
      <c r="F47">
        <f>MAX(0,'My Debts'!$E$21-(I47+O47+U47+AA47+AG47+AM47+AS47+AY47+BE47+BK47))</f>
        <v/>
      </c>
      <c r="G47" s="42">
        <f>K46</f>
        <v/>
      </c>
      <c r="H47" s="42">
        <f>ROUND(G47*H$6/12,2)</f>
        <v/>
      </c>
      <c r="I47" s="42">
        <f>MIN(I$6,G47+H47)</f>
        <v/>
      </c>
      <c r="J47" s="42">
        <f>MAX(0,MIN(G47+H47-I47,$F47))</f>
        <v/>
      </c>
      <c r="K47" s="42">
        <f>ROUND(G47+H47-I47-J47,2)</f>
        <v/>
      </c>
      <c r="L47">
        <f>$F47-J47</f>
        <v/>
      </c>
      <c r="M47" s="42">
        <f>Q46</f>
        <v/>
      </c>
      <c r="N47" s="42">
        <f>ROUND(M47*N$6/12,2)</f>
        <v/>
      </c>
      <c r="O47" s="42">
        <f>MIN(O$6,M47+N47)</f>
        <v/>
      </c>
      <c r="P47" s="42">
        <f>MAX(0,MIN(M47+N47-O47,L47))</f>
        <v/>
      </c>
      <c r="Q47" s="42">
        <f>ROUND(M47+N47-O47-P47,2)</f>
        <v/>
      </c>
      <c r="R47">
        <f>L47-P47</f>
        <v/>
      </c>
      <c r="S47" s="42">
        <f>W46</f>
        <v/>
      </c>
      <c r="T47" s="42">
        <f>ROUND(S47*T$6/12,2)</f>
        <v/>
      </c>
      <c r="U47" s="42">
        <f>MIN(U$6,S47+T47)</f>
        <v/>
      </c>
      <c r="V47" s="42">
        <f>MAX(0,MIN(S47+T47-U47,R47))</f>
        <v/>
      </c>
      <c r="W47" s="42">
        <f>ROUND(S47+T47-U47-V47,2)</f>
        <v/>
      </c>
      <c r="X47">
        <f>R47-V47</f>
        <v/>
      </c>
      <c r="Y47" s="42">
        <f>AC46</f>
        <v/>
      </c>
      <c r="Z47" s="42">
        <f>ROUND(Y47*Z$6/12,2)</f>
        <v/>
      </c>
      <c r="AA47" s="42">
        <f>MIN(AA$6,Y47+Z47)</f>
        <v/>
      </c>
      <c r="AB47" s="42">
        <f>MAX(0,MIN(Y47+Z47-AA47,X47))</f>
        <v/>
      </c>
      <c r="AC47" s="42">
        <f>ROUND(Y47+Z47-AA47-AB47,2)</f>
        <v/>
      </c>
      <c r="AD47">
        <f>X47-AB47</f>
        <v/>
      </c>
      <c r="AE47" s="42">
        <f>AI46</f>
        <v/>
      </c>
      <c r="AF47" s="42">
        <f>ROUND(AE47*AF$6/12,2)</f>
        <v/>
      </c>
      <c r="AG47" s="42">
        <f>MIN(AG$6,AE47+AF47)</f>
        <v/>
      </c>
      <c r="AH47" s="42">
        <f>MAX(0,MIN(AE47+AF47-AG47,AD47))</f>
        <v/>
      </c>
      <c r="AI47" s="42">
        <f>ROUND(AE47+AF47-AG47-AH47,2)</f>
        <v/>
      </c>
      <c r="AJ47">
        <f>AD47-AH47</f>
        <v/>
      </c>
      <c r="AK47" s="42">
        <f>AO46</f>
        <v/>
      </c>
      <c r="AL47" s="42">
        <f>ROUND(AK47*AL$6/12,2)</f>
        <v/>
      </c>
      <c r="AM47" s="42">
        <f>MIN(AM$6,AK47+AL47)</f>
        <v/>
      </c>
      <c r="AN47" s="42">
        <f>MAX(0,MIN(AK47+AL47-AM47,AJ47))</f>
        <v/>
      </c>
      <c r="AO47" s="42">
        <f>ROUND(AK47+AL47-AM47-AN47,2)</f>
        <v/>
      </c>
      <c r="AP47">
        <f>AJ47-AN47</f>
        <v/>
      </c>
      <c r="AQ47" s="42">
        <f>AU46</f>
        <v/>
      </c>
      <c r="AR47" s="42">
        <f>ROUND(AQ47*AR$6/12,2)</f>
        <v/>
      </c>
      <c r="AS47" s="42">
        <f>MIN(AS$6,AQ47+AR47)</f>
        <v/>
      </c>
      <c r="AT47" s="42">
        <f>MAX(0,MIN(AQ47+AR47-AS47,AP47))</f>
        <v/>
      </c>
      <c r="AU47" s="42">
        <f>ROUND(AQ47+AR47-AS47-AT47,2)</f>
        <v/>
      </c>
      <c r="AV47">
        <f>AP47-AT47</f>
        <v/>
      </c>
      <c r="AW47" s="42">
        <f>BA46</f>
        <v/>
      </c>
      <c r="AX47" s="42">
        <f>ROUND(AW47*AX$6/12,2)</f>
        <v/>
      </c>
      <c r="AY47" s="42">
        <f>MIN(AY$6,AW47+AX47)</f>
        <v/>
      </c>
      <c r="AZ47" s="42">
        <f>MAX(0,MIN(AW47+AX47-AY47,AV47))</f>
        <v/>
      </c>
      <c r="BA47" s="42">
        <f>ROUND(AW47+AX47-AY47-AZ47,2)</f>
        <v/>
      </c>
      <c r="BB47">
        <f>AV47-AZ47</f>
        <v/>
      </c>
      <c r="BC47" s="42">
        <f>BG46</f>
        <v/>
      </c>
      <c r="BD47" s="42">
        <f>ROUND(BC47*BD$6/12,2)</f>
        <v/>
      </c>
      <c r="BE47" s="42">
        <f>MIN(BE$6,BC47+BD47)</f>
        <v/>
      </c>
      <c r="BF47" s="42">
        <f>MAX(0,MIN(BC47+BD47-BE47,BB47))</f>
        <v/>
      </c>
      <c r="BG47" s="42">
        <f>ROUND(BC47+BD47-BE47-BF47,2)</f>
        <v/>
      </c>
      <c r="BH47">
        <f>BB47-BF47</f>
        <v/>
      </c>
      <c r="BI47" s="42">
        <f>BM46</f>
        <v/>
      </c>
      <c r="BJ47" s="42">
        <f>ROUND(BI47*BJ$6/12,2)</f>
        <v/>
      </c>
      <c r="BK47" s="42">
        <f>MIN(BK$6,BI47+BJ47)</f>
        <v/>
      </c>
      <c r="BL47" s="42">
        <f>MAX(0,MIN(BI47+BJ47-BK47,BH47))</f>
        <v/>
      </c>
      <c r="BM47" s="42">
        <f>ROUND(BI47+BJ47-BK47-BL47,2)</f>
        <v/>
      </c>
      <c r="BN47">
        <f>BH47-BL47</f>
        <v/>
      </c>
    </row>
    <row r="48">
      <c r="A48" s="39" t="n">
        <v>41</v>
      </c>
      <c r="B48" s="40">
        <f>EDATE('My Debts'!$C$6,A48-1)</f>
        <v/>
      </c>
      <c r="C48" s="41">
        <f>K48+Q48+W48+AC48+AI48+AO48+AU48+BA48+BG48+BM48</f>
        <v/>
      </c>
      <c r="D48" s="42">
        <f>I48+O48+U48+AA48+AG48+AM48+AS48+AY48+BE48+BK48+J48+P48+V48+AB48+AH48+AN48+AT48+AZ48+BF48+BL48</f>
        <v/>
      </c>
      <c r="E48" s="42">
        <f>H48+N48+T48+Z48+AF48+AL48+AR48+AX48+BD48+BJ48</f>
        <v/>
      </c>
      <c r="F48">
        <f>MAX(0,'My Debts'!$E$21-(I48+O48+U48+AA48+AG48+AM48+AS48+AY48+BE48+BK48))</f>
        <v/>
      </c>
      <c r="G48" s="42">
        <f>K47</f>
        <v/>
      </c>
      <c r="H48" s="42">
        <f>ROUND(G48*H$6/12,2)</f>
        <v/>
      </c>
      <c r="I48" s="42">
        <f>MIN(I$6,G48+H48)</f>
        <v/>
      </c>
      <c r="J48" s="42">
        <f>MAX(0,MIN(G48+H48-I48,$F48))</f>
        <v/>
      </c>
      <c r="K48" s="42">
        <f>ROUND(G48+H48-I48-J48,2)</f>
        <v/>
      </c>
      <c r="L48">
        <f>$F48-J48</f>
        <v/>
      </c>
      <c r="M48" s="42">
        <f>Q47</f>
        <v/>
      </c>
      <c r="N48" s="42">
        <f>ROUND(M48*N$6/12,2)</f>
        <v/>
      </c>
      <c r="O48" s="42">
        <f>MIN(O$6,M48+N48)</f>
        <v/>
      </c>
      <c r="P48" s="42">
        <f>MAX(0,MIN(M48+N48-O48,L48))</f>
        <v/>
      </c>
      <c r="Q48" s="42">
        <f>ROUND(M48+N48-O48-P48,2)</f>
        <v/>
      </c>
      <c r="R48">
        <f>L48-P48</f>
        <v/>
      </c>
      <c r="S48" s="42">
        <f>W47</f>
        <v/>
      </c>
      <c r="T48" s="42">
        <f>ROUND(S48*T$6/12,2)</f>
        <v/>
      </c>
      <c r="U48" s="42">
        <f>MIN(U$6,S48+T48)</f>
        <v/>
      </c>
      <c r="V48" s="42">
        <f>MAX(0,MIN(S48+T48-U48,R48))</f>
        <v/>
      </c>
      <c r="W48" s="42">
        <f>ROUND(S48+T48-U48-V48,2)</f>
        <v/>
      </c>
      <c r="X48">
        <f>R48-V48</f>
        <v/>
      </c>
      <c r="Y48" s="42">
        <f>AC47</f>
        <v/>
      </c>
      <c r="Z48" s="42">
        <f>ROUND(Y48*Z$6/12,2)</f>
        <v/>
      </c>
      <c r="AA48" s="42">
        <f>MIN(AA$6,Y48+Z48)</f>
        <v/>
      </c>
      <c r="AB48" s="42">
        <f>MAX(0,MIN(Y48+Z48-AA48,X48))</f>
        <v/>
      </c>
      <c r="AC48" s="42">
        <f>ROUND(Y48+Z48-AA48-AB48,2)</f>
        <v/>
      </c>
      <c r="AD48">
        <f>X48-AB48</f>
        <v/>
      </c>
      <c r="AE48" s="42">
        <f>AI47</f>
        <v/>
      </c>
      <c r="AF48" s="42">
        <f>ROUND(AE48*AF$6/12,2)</f>
        <v/>
      </c>
      <c r="AG48" s="42">
        <f>MIN(AG$6,AE48+AF48)</f>
        <v/>
      </c>
      <c r="AH48" s="42">
        <f>MAX(0,MIN(AE48+AF48-AG48,AD48))</f>
        <v/>
      </c>
      <c r="AI48" s="42">
        <f>ROUND(AE48+AF48-AG48-AH48,2)</f>
        <v/>
      </c>
      <c r="AJ48">
        <f>AD48-AH48</f>
        <v/>
      </c>
      <c r="AK48" s="42">
        <f>AO47</f>
        <v/>
      </c>
      <c r="AL48" s="42">
        <f>ROUND(AK48*AL$6/12,2)</f>
        <v/>
      </c>
      <c r="AM48" s="42">
        <f>MIN(AM$6,AK48+AL48)</f>
        <v/>
      </c>
      <c r="AN48" s="42">
        <f>MAX(0,MIN(AK48+AL48-AM48,AJ48))</f>
        <v/>
      </c>
      <c r="AO48" s="42">
        <f>ROUND(AK48+AL48-AM48-AN48,2)</f>
        <v/>
      </c>
      <c r="AP48">
        <f>AJ48-AN48</f>
        <v/>
      </c>
      <c r="AQ48" s="42">
        <f>AU47</f>
        <v/>
      </c>
      <c r="AR48" s="42">
        <f>ROUND(AQ48*AR$6/12,2)</f>
        <v/>
      </c>
      <c r="AS48" s="42">
        <f>MIN(AS$6,AQ48+AR48)</f>
        <v/>
      </c>
      <c r="AT48" s="42">
        <f>MAX(0,MIN(AQ48+AR48-AS48,AP48))</f>
        <v/>
      </c>
      <c r="AU48" s="42">
        <f>ROUND(AQ48+AR48-AS48-AT48,2)</f>
        <v/>
      </c>
      <c r="AV48">
        <f>AP48-AT48</f>
        <v/>
      </c>
      <c r="AW48" s="42">
        <f>BA47</f>
        <v/>
      </c>
      <c r="AX48" s="42">
        <f>ROUND(AW48*AX$6/12,2)</f>
        <v/>
      </c>
      <c r="AY48" s="42">
        <f>MIN(AY$6,AW48+AX48)</f>
        <v/>
      </c>
      <c r="AZ48" s="42">
        <f>MAX(0,MIN(AW48+AX48-AY48,AV48))</f>
        <v/>
      </c>
      <c r="BA48" s="42">
        <f>ROUND(AW48+AX48-AY48-AZ48,2)</f>
        <v/>
      </c>
      <c r="BB48">
        <f>AV48-AZ48</f>
        <v/>
      </c>
      <c r="BC48" s="42">
        <f>BG47</f>
        <v/>
      </c>
      <c r="BD48" s="42">
        <f>ROUND(BC48*BD$6/12,2)</f>
        <v/>
      </c>
      <c r="BE48" s="42">
        <f>MIN(BE$6,BC48+BD48)</f>
        <v/>
      </c>
      <c r="BF48" s="42">
        <f>MAX(0,MIN(BC48+BD48-BE48,BB48))</f>
        <v/>
      </c>
      <c r="BG48" s="42">
        <f>ROUND(BC48+BD48-BE48-BF48,2)</f>
        <v/>
      </c>
      <c r="BH48">
        <f>BB48-BF48</f>
        <v/>
      </c>
      <c r="BI48" s="42">
        <f>BM47</f>
        <v/>
      </c>
      <c r="BJ48" s="42">
        <f>ROUND(BI48*BJ$6/12,2)</f>
        <v/>
      </c>
      <c r="BK48" s="42">
        <f>MIN(BK$6,BI48+BJ48)</f>
        <v/>
      </c>
      <c r="BL48" s="42">
        <f>MAX(0,MIN(BI48+BJ48-BK48,BH48))</f>
        <v/>
      </c>
      <c r="BM48" s="42">
        <f>ROUND(BI48+BJ48-BK48-BL48,2)</f>
        <v/>
      </c>
      <c r="BN48">
        <f>BH48-BL48</f>
        <v/>
      </c>
    </row>
    <row r="49">
      <c r="A49" s="43" t="n">
        <v>42</v>
      </c>
      <c r="B49" s="44">
        <f>EDATE('My Debts'!$C$6,A49-1)</f>
        <v/>
      </c>
      <c r="C49" s="45">
        <f>K49+Q49+W49+AC49+AI49+AO49+AU49+BA49+BG49+BM49</f>
        <v/>
      </c>
      <c r="D49" s="46">
        <f>I49+O49+U49+AA49+AG49+AM49+AS49+AY49+BE49+BK49+J49+P49+V49+AB49+AH49+AN49+AT49+AZ49+BF49+BL49</f>
        <v/>
      </c>
      <c r="E49" s="46">
        <f>H49+N49+T49+Z49+AF49+AL49+AR49+AX49+BD49+BJ49</f>
        <v/>
      </c>
      <c r="F49">
        <f>MAX(0,'My Debts'!$E$21-(I49+O49+U49+AA49+AG49+AM49+AS49+AY49+BE49+BK49))</f>
        <v/>
      </c>
      <c r="G49" s="42">
        <f>K48</f>
        <v/>
      </c>
      <c r="H49" s="42">
        <f>ROUND(G49*H$6/12,2)</f>
        <v/>
      </c>
      <c r="I49" s="42">
        <f>MIN(I$6,G49+H49)</f>
        <v/>
      </c>
      <c r="J49" s="42">
        <f>MAX(0,MIN(G49+H49-I49,$F49))</f>
        <v/>
      </c>
      <c r="K49" s="42">
        <f>ROUND(G49+H49-I49-J49,2)</f>
        <v/>
      </c>
      <c r="L49">
        <f>$F49-J49</f>
        <v/>
      </c>
      <c r="M49" s="42">
        <f>Q48</f>
        <v/>
      </c>
      <c r="N49" s="42">
        <f>ROUND(M49*N$6/12,2)</f>
        <v/>
      </c>
      <c r="O49" s="42">
        <f>MIN(O$6,M49+N49)</f>
        <v/>
      </c>
      <c r="P49" s="42">
        <f>MAX(0,MIN(M49+N49-O49,L49))</f>
        <v/>
      </c>
      <c r="Q49" s="42">
        <f>ROUND(M49+N49-O49-P49,2)</f>
        <v/>
      </c>
      <c r="R49">
        <f>L49-P49</f>
        <v/>
      </c>
      <c r="S49" s="42">
        <f>W48</f>
        <v/>
      </c>
      <c r="T49" s="42">
        <f>ROUND(S49*T$6/12,2)</f>
        <v/>
      </c>
      <c r="U49" s="42">
        <f>MIN(U$6,S49+T49)</f>
        <v/>
      </c>
      <c r="V49" s="42">
        <f>MAX(0,MIN(S49+T49-U49,R49))</f>
        <v/>
      </c>
      <c r="W49" s="42">
        <f>ROUND(S49+T49-U49-V49,2)</f>
        <v/>
      </c>
      <c r="X49">
        <f>R49-V49</f>
        <v/>
      </c>
      <c r="Y49" s="42">
        <f>AC48</f>
        <v/>
      </c>
      <c r="Z49" s="42">
        <f>ROUND(Y49*Z$6/12,2)</f>
        <v/>
      </c>
      <c r="AA49" s="42">
        <f>MIN(AA$6,Y49+Z49)</f>
        <v/>
      </c>
      <c r="AB49" s="42">
        <f>MAX(0,MIN(Y49+Z49-AA49,X49))</f>
        <v/>
      </c>
      <c r="AC49" s="42">
        <f>ROUND(Y49+Z49-AA49-AB49,2)</f>
        <v/>
      </c>
      <c r="AD49">
        <f>X49-AB49</f>
        <v/>
      </c>
      <c r="AE49" s="42">
        <f>AI48</f>
        <v/>
      </c>
      <c r="AF49" s="42">
        <f>ROUND(AE49*AF$6/12,2)</f>
        <v/>
      </c>
      <c r="AG49" s="42">
        <f>MIN(AG$6,AE49+AF49)</f>
        <v/>
      </c>
      <c r="AH49" s="42">
        <f>MAX(0,MIN(AE49+AF49-AG49,AD49))</f>
        <v/>
      </c>
      <c r="AI49" s="42">
        <f>ROUND(AE49+AF49-AG49-AH49,2)</f>
        <v/>
      </c>
      <c r="AJ49">
        <f>AD49-AH49</f>
        <v/>
      </c>
      <c r="AK49" s="42">
        <f>AO48</f>
        <v/>
      </c>
      <c r="AL49" s="42">
        <f>ROUND(AK49*AL$6/12,2)</f>
        <v/>
      </c>
      <c r="AM49" s="42">
        <f>MIN(AM$6,AK49+AL49)</f>
        <v/>
      </c>
      <c r="AN49" s="42">
        <f>MAX(0,MIN(AK49+AL49-AM49,AJ49))</f>
        <v/>
      </c>
      <c r="AO49" s="42">
        <f>ROUND(AK49+AL49-AM49-AN49,2)</f>
        <v/>
      </c>
      <c r="AP49">
        <f>AJ49-AN49</f>
        <v/>
      </c>
      <c r="AQ49" s="42">
        <f>AU48</f>
        <v/>
      </c>
      <c r="AR49" s="42">
        <f>ROUND(AQ49*AR$6/12,2)</f>
        <v/>
      </c>
      <c r="AS49" s="42">
        <f>MIN(AS$6,AQ49+AR49)</f>
        <v/>
      </c>
      <c r="AT49" s="42">
        <f>MAX(0,MIN(AQ49+AR49-AS49,AP49))</f>
        <v/>
      </c>
      <c r="AU49" s="42">
        <f>ROUND(AQ49+AR49-AS49-AT49,2)</f>
        <v/>
      </c>
      <c r="AV49">
        <f>AP49-AT49</f>
        <v/>
      </c>
      <c r="AW49" s="42">
        <f>BA48</f>
        <v/>
      </c>
      <c r="AX49" s="42">
        <f>ROUND(AW49*AX$6/12,2)</f>
        <v/>
      </c>
      <c r="AY49" s="42">
        <f>MIN(AY$6,AW49+AX49)</f>
        <v/>
      </c>
      <c r="AZ49" s="42">
        <f>MAX(0,MIN(AW49+AX49-AY49,AV49))</f>
        <v/>
      </c>
      <c r="BA49" s="42">
        <f>ROUND(AW49+AX49-AY49-AZ49,2)</f>
        <v/>
      </c>
      <c r="BB49">
        <f>AV49-AZ49</f>
        <v/>
      </c>
      <c r="BC49" s="42">
        <f>BG48</f>
        <v/>
      </c>
      <c r="BD49" s="42">
        <f>ROUND(BC49*BD$6/12,2)</f>
        <v/>
      </c>
      <c r="BE49" s="42">
        <f>MIN(BE$6,BC49+BD49)</f>
        <v/>
      </c>
      <c r="BF49" s="42">
        <f>MAX(0,MIN(BC49+BD49-BE49,BB49))</f>
        <v/>
      </c>
      <c r="BG49" s="42">
        <f>ROUND(BC49+BD49-BE49-BF49,2)</f>
        <v/>
      </c>
      <c r="BH49">
        <f>BB49-BF49</f>
        <v/>
      </c>
      <c r="BI49" s="42">
        <f>BM48</f>
        <v/>
      </c>
      <c r="BJ49" s="42">
        <f>ROUND(BI49*BJ$6/12,2)</f>
        <v/>
      </c>
      <c r="BK49" s="42">
        <f>MIN(BK$6,BI49+BJ49)</f>
        <v/>
      </c>
      <c r="BL49" s="42">
        <f>MAX(0,MIN(BI49+BJ49-BK49,BH49))</f>
        <v/>
      </c>
      <c r="BM49" s="42">
        <f>ROUND(BI49+BJ49-BK49-BL49,2)</f>
        <v/>
      </c>
      <c r="BN49">
        <f>BH49-BL49</f>
        <v/>
      </c>
    </row>
    <row r="50">
      <c r="A50" s="39" t="n">
        <v>43</v>
      </c>
      <c r="B50" s="40">
        <f>EDATE('My Debts'!$C$6,A50-1)</f>
        <v/>
      </c>
      <c r="C50" s="41">
        <f>K50+Q50+W50+AC50+AI50+AO50+AU50+BA50+BG50+BM50</f>
        <v/>
      </c>
      <c r="D50" s="42">
        <f>I50+O50+U50+AA50+AG50+AM50+AS50+AY50+BE50+BK50+J50+P50+V50+AB50+AH50+AN50+AT50+AZ50+BF50+BL50</f>
        <v/>
      </c>
      <c r="E50" s="42">
        <f>H50+N50+T50+Z50+AF50+AL50+AR50+AX50+BD50+BJ50</f>
        <v/>
      </c>
      <c r="F50">
        <f>MAX(0,'My Debts'!$E$21-(I50+O50+U50+AA50+AG50+AM50+AS50+AY50+BE50+BK50))</f>
        <v/>
      </c>
      <c r="G50" s="42">
        <f>K49</f>
        <v/>
      </c>
      <c r="H50" s="42">
        <f>ROUND(G50*H$6/12,2)</f>
        <v/>
      </c>
      <c r="I50" s="42">
        <f>MIN(I$6,G50+H50)</f>
        <v/>
      </c>
      <c r="J50" s="42">
        <f>MAX(0,MIN(G50+H50-I50,$F50))</f>
        <v/>
      </c>
      <c r="K50" s="42">
        <f>ROUND(G50+H50-I50-J50,2)</f>
        <v/>
      </c>
      <c r="L50">
        <f>$F50-J50</f>
        <v/>
      </c>
      <c r="M50" s="42">
        <f>Q49</f>
        <v/>
      </c>
      <c r="N50" s="42">
        <f>ROUND(M50*N$6/12,2)</f>
        <v/>
      </c>
      <c r="O50" s="42">
        <f>MIN(O$6,M50+N50)</f>
        <v/>
      </c>
      <c r="P50" s="42">
        <f>MAX(0,MIN(M50+N50-O50,L50))</f>
        <v/>
      </c>
      <c r="Q50" s="42">
        <f>ROUND(M50+N50-O50-P50,2)</f>
        <v/>
      </c>
      <c r="R50">
        <f>L50-P50</f>
        <v/>
      </c>
      <c r="S50" s="42">
        <f>W49</f>
        <v/>
      </c>
      <c r="T50" s="42">
        <f>ROUND(S50*T$6/12,2)</f>
        <v/>
      </c>
      <c r="U50" s="42">
        <f>MIN(U$6,S50+T50)</f>
        <v/>
      </c>
      <c r="V50" s="42">
        <f>MAX(0,MIN(S50+T50-U50,R50))</f>
        <v/>
      </c>
      <c r="W50" s="42">
        <f>ROUND(S50+T50-U50-V50,2)</f>
        <v/>
      </c>
      <c r="X50">
        <f>R50-V50</f>
        <v/>
      </c>
      <c r="Y50" s="42">
        <f>AC49</f>
        <v/>
      </c>
      <c r="Z50" s="42">
        <f>ROUND(Y50*Z$6/12,2)</f>
        <v/>
      </c>
      <c r="AA50" s="42">
        <f>MIN(AA$6,Y50+Z50)</f>
        <v/>
      </c>
      <c r="AB50" s="42">
        <f>MAX(0,MIN(Y50+Z50-AA50,X50))</f>
        <v/>
      </c>
      <c r="AC50" s="42">
        <f>ROUND(Y50+Z50-AA50-AB50,2)</f>
        <v/>
      </c>
      <c r="AD50">
        <f>X50-AB50</f>
        <v/>
      </c>
      <c r="AE50" s="42">
        <f>AI49</f>
        <v/>
      </c>
      <c r="AF50" s="42">
        <f>ROUND(AE50*AF$6/12,2)</f>
        <v/>
      </c>
      <c r="AG50" s="42">
        <f>MIN(AG$6,AE50+AF50)</f>
        <v/>
      </c>
      <c r="AH50" s="42">
        <f>MAX(0,MIN(AE50+AF50-AG50,AD50))</f>
        <v/>
      </c>
      <c r="AI50" s="42">
        <f>ROUND(AE50+AF50-AG50-AH50,2)</f>
        <v/>
      </c>
      <c r="AJ50">
        <f>AD50-AH50</f>
        <v/>
      </c>
      <c r="AK50" s="42">
        <f>AO49</f>
        <v/>
      </c>
      <c r="AL50" s="42">
        <f>ROUND(AK50*AL$6/12,2)</f>
        <v/>
      </c>
      <c r="AM50" s="42">
        <f>MIN(AM$6,AK50+AL50)</f>
        <v/>
      </c>
      <c r="AN50" s="42">
        <f>MAX(0,MIN(AK50+AL50-AM50,AJ50))</f>
        <v/>
      </c>
      <c r="AO50" s="42">
        <f>ROUND(AK50+AL50-AM50-AN50,2)</f>
        <v/>
      </c>
      <c r="AP50">
        <f>AJ50-AN50</f>
        <v/>
      </c>
      <c r="AQ50" s="42">
        <f>AU49</f>
        <v/>
      </c>
      <c r="AR50" s="42">
        <f>ROUND(AQ50*AR$6/12,2)</f>
        <v/>
      </c>
      <c r="AS50" s="42">
        <f>MIN(AS$6,AQ50+AR50)</f>
        <v/>
      </c>
      <c r="AT50" s="42">
        <f>MAX(0,MIN(AQ50+AR50-AS50,AP50))</f>
        <v/>
      </c>
      <c r="AU50" s="42">
        <f>ROUND(AQ50+AR50-AS50-AT50,2)</f>
        <v/>
      </c>
      <c r="AV50">
        <f>AP50-AT50</f>
        <v/>
      </c>
      <c r="AW50" s="42">
        <f>BA49</f>
        <v/>
      </c>
      <c r="AX50" s="42">
        <f>ROUND(AW50*AX$6/12,2)</f>
        <v/>
      </c>
      <c r="AY50" s="42">
        <f>MIN(AY$6,AW50+AX50)</f>
        <v/>
      </c>
      <c r="AZ50" s="42">
        <f>MAX(0,MIN(AW50+AX50-AY50,AV50))</f>
        <v/>
      </c>
      <c r="BA50" s="42">
        <f>ROUND(AW50+AX50-AY50-AZ50,2)</f>
        <v/>
      </c>
      <c r="BB50">
        <f>AV50-AZ50</f>
        <v/>
      </c>
      <c r="BC50" s="42">
        <f>BG49</f>
        <v/>
      </c>
      <c r="BD50" s="42">
        <f>ROUND(BC50*BD$6/12,2)</f>
        <v/>
      </c>
      <c r="BE50" s="42">
        <f>MIN(BE$6,BC50+BD50)</f>
        <v/>
      </c>
      <c r="BF50" s="42">
        <f>MAX(0,MIN(BC50+BD50-BE50,BB50))</f>
        <v/>
      </c>
      <c r="BG50" s="42">
        <f>ROUND(BC50+BD50-BE50-BF50,2)</f>
        <v/>
      </c>
      <c r="BH50">
        <f>BB50-BF50</f>
        <v/>
      </c>
      <c r="BI50" s="42">
        <f>BM49</f>
        <v/>
      </c>
      <c r="BJ50" s="42">
        <f>ROUND(BI50*BJ$6/12,2)</f>
        <v/>
      </c>
      <c r="BK50" s="42">
        <f>MIN(BK$6,BI50+BJ50)</f>
        <v/>
      </c>
      <c r="BL50" s="42">
        <f>MAX(0,MIN(BI50+BJ50-BK50,BH50))</f>
        <v/>
      </c>
      <c r="BM50" s="42">
        <f>ROUND(BI50+BJ50-BK50-BL50,2)</f>
        <v/>
      </c>
      <c r="BN50">
        <f>BH50-BL50</f>
        <v/>
      </c>
    </row>
    <row r="51">
      <c r="A51" s="43" t="n">
        <v>44</v>
      </c>
      <c r="B51" s="44">
        <f>EDATE('My Debts'!$C$6,A51-1)</f>
        <v/>
      </c>
      <c r="C51" s="45">
        <f>K51+Q51+W51+AC51+AI51+AO51+AU51+BA51+BG51+BM51</f>
        <v/>
      </c>
      <c r="D51" s="46">
        <f>I51+O51+U51+AA51+AG51+AM51+AS51+AY51+BE51+BK51+J51+P51+V51+AB51+AH51+AN51+AT51+AZ51+BF51+BL51</f>
        <v/>
      </c>
      <c r="E51" s="46">
        <f>H51+N51+T51+Z51+AF51+AL51+AR51+AX51+BD51+BJ51</f>
        <v/>
      </c>
      <c r="F51">
        <f>MAX(0,'My Debts'!$E$21-(I51+O51+U51+AA51+AG51+AM51+AS51+AY51+BE51+BK51))</f>
        <v/>
      </c>
      <c r="G51" s="42">
        <f>K50</f>
        <v/>
      </c>
      <c r="H51" s="42">
        <f>ROUND(G51*H$6/12,2)</f>
        <v/>
      </c>
      <c r="I51" s="42">
        <f>MIN(I$6,G51+H51)</f>
        <v/>
      </c>
      <c r="J51" s="42">
        <f>MAX(0,MIN(G51+H51-I51,$F51))</f>
        <v/>
      </c>
      <c r="K51" s="42">
        <f>ROUND(G51+H51-I51-J51,2)</f>
        <v/>
      </c>
      <c r="L51">
        <f>$F51-J51</f>
        <v/>
      </c>
      <c r="M51" s="42">
        <f>Q50</f>
        <v/>
      </c>
      <c r="N51" s="42">
        <f>ROUND(M51*N$6/12,2)</f>
        <v/>
      </c>
      <c r="O51" s="42">
        <f>MIN(O$6,M51+N51)</f>
        <v/>
      </c>
      <c r="P51" s="42">
        <f>MAX(0,MIN(M51+N51-O51,L51))</f>
        <v/>
      </c>
      <c r="Q51" s="42">
        <f>ROUND(M51+N51-O51-P51,2)</f>
        <v/>
      </c>
      <c r="R51">
        <f>L51-P51</f>
        <v/>
      </c>
      <c r="S51" s="42">
        <f>W50</f>
        <v/>
      </c>
      <c r="T51" s="42">
        <f>ROUND(S51*T$6/12,2)</f>
        <v/>
      </c>
      <c r="U51" s="42">
        <f>MIN(U$6,S51+T51)</f>
        <v/>
      </c>
      <c r="V51" s="42">
        <f>MAX(0,MIN(S51+T51-U51,R51))</f>
        <v/>
      </c>
      <c r="W51" s="42">
        <f>ROUND(S51+T51-U51-V51,2)</f>
        <v/>
      </c>
      <c r="X51">
        <f>R51-V51</f>
        <v/>
      </c>
      <c r="Y51" s="42">
        <f>AC50</f>
        <v/>
      </c>
      <c r="Z51" s="42">
        <f>ROUND(Y51*Z$6/12,2)</f>
        <v/>
      </c>
      <c r="AA51" s="42">
        <f>MIN(AA$6,Y51+Z51)</f>
        <v/>
      </c>
      <c r="AB51" s="42">
        <f>MAX(0,MIN(Y51+Z51-AA51,X51))</f>
        <v/>
      </c>
      <c r="AC51" s="42">
        <f>ROUND(Y51+Z51-AA51-AB51,2)</f>
        <v/>
      </c>
      <c r="AD51">
        <f>X51-AB51</f>
        <v/>
      </c>
      <c r="AE51" s="42">
        <f>AI50</f>
        <v/>
      </c>
      <c r="AF51" s="42">
        <f>ROUND(AE51*AF$6/12,2)</f>
        <v/>
      </c>
      <c r="AG51" s="42">
        <f>MIN(AG$6,AE51+AF51)</f>
        <v/>
      </c>
      <c r="AH51" s="42">
        <f>MAX(0,MIN(AE51+AF51-AG51,AD51))</f>
        <v/>
      </c>
      <c r="AI51" s="42">
        <f>ROUND(AE51+AF51-AG51-AH51,2)</f>
        <v/>
      </c>
      <c r="AJ51">
        <f>AD51-AH51</f>
        <v/>
      </c>
      <c r="AK51" s="42">
        <f>AO50</f>
        <v/>
      </c>
      <c r="AL51" s="42">
        <f>ROUND(AK51*AL$6/12,2)</f>
        <v/>
      </c>
      <c r="AM51" s="42">
        <f>MIN(AM$6,AK51+AL51)</f>
        <v/>
      </c>
      <c r="AN51" s="42">
        <f>MAX(0,MIN(AK51+AL51-AM51,AJ51))</f>
        <v/>
      </c>
      <c r="AO51" s="42">
        <f>ROUND(AK51+AL51-AM51-AN51,2)</f>
        <v/>
      </c>
      <c r="AP51">
        <f>AJ51-AN51</f>
        <v/>
      </c>
      <c r="AQ51" s="42">
        <f>AU50</f>
        <v/>
      </c>
      <c r="AR51" s="42">
        <f>ROUND(AQ51*AR$6/12,2)</f>
        <v/>
      </c>
      <c r="AS51" s="42">
        <f>MIN(AS$6,AQ51+AR51)</f>
        <v/>
      </c>
      <c r="AT51" s="42">
        <f>MAX(0,MIN(AQ51+AR51-AS51,AP51))</f>
        <v/>
      </c>
      <c r="AU51" s="42">
        <f>ROUND(AQ51+AR51-AS51-AT51,2)</f>
        <v/>
      </c>
      <c r="AV51">
        <f>AP51-AT51</f>
        <v/>
      </c>
      <c r="AW51" s="42">
        <f>BA50</f>
        <v/>
      </c>
      <c r="AX51" s="42">
        <f>ROUND(AW51*AX$6/12,2)</f>
        <v/>
      </c>
      <c r="AY51" s="42">
        <f>MIN(AY$6,AW51+AX51)</f>
        <v/>
      </c>
      <c r="AZ51" s="42">
        <f>MAX(0,MIN(AW51+AX51-AY51,AV51))</f>
        <v/>
      </c>
      <c r="BA51" s="42">
        <f>ROUND(AW51+AX51-AY51-AZ51,2)</f>
        <v/>
      </c>
      <c r="BB51">
        <f>AV51-AZ51</f>
        <v/>
      </c>
      <c r="BC51" s="42">
        <f>BG50</f>
        <v/>
      </c>
      <c r="BD51" s="42">
        <f>ROUND(BC51*BD$6/12,2)</f>
        <v/>
      </c>
      <c r="BE51" s="42">
        <f>MIN(BE$6,BC51+BD51)</f>
        <v/>
      </c>
      <c r="BF51" s="42">
        <f>MAX(0,MIN(BC51+BD51-BE51,BB51))</f>
        <v/>
      </c>
      <c r="BG51" s="42">
        <f>ROUND(BC51+BD51-BE51-BF51,2)</f>
        <v/>
      </c>
      <c r="BH51">
        <f>BB51-BF51</f>
        <v/>
      </c>
      <c r="BI51" s="42">
        <f>BM50</f>
        <v/>
      </c>
      <c r="BJ51" s="42">
        <f>ROUND(BI51*BJ$6/12,2)</f>
        <v/>
      </c>
      <c r="BK51" s="42">
        <f>MIN(BK$6,BI51+BJ51)</f>
        <v/>
      </c>
      <c r="BL51" s="42">
        <f>MAX(0,MIN(BI51+BJ51-BK51,BH51))</f>
        <v/>
      </c>
      <c r="BM51" s="42">
        <f>ROUND(BI51+BJ51-BK51-BL51,2)</f>
        <v/>
      </c>
      <c r="BN51">
        <f>BH51-BL51</f>
        <v/>
      </c>
    </row>
    <row r="52">
      <c r="A52" s="39" t="n">
        <v>45</v>
      </c>
      <c r="B52" s="40">
        <f>EDATE('My Debts'!$C$6,A52-1)</f>
        <v/>
      </c>
      <c r="C52" s="41">
        <f>K52+Q52+W52+AC52+AI52+AO52+AU52+BA52+BG52+BM52</f>
        <v/>
      </c>
      <c r="D52" s="42">
        <f>I52+O52+U52+AA52+AG52+AM52+AS52+AY52+BE52+BK52+J52+P52+V52+AB52+AH52+AN52+AT52+AZ52+BF52+BL52</f>
        <v/>
      </c>
      <c r="E52" s="42">
        <f>H52+N52+T52+Z52+AF52+AL52+AR52+AX52+BD52+BJ52</f>
        <v/>
      </c>
      <c r="F52">
        <f>MAX(0,'My Debts'!$E$21-(I52+O52+U52+AA52+AG52+AM52+AS52+AY52+BE52+BK52))</f>
        <v/>
      </c>
      <c r="G52" s="42">
        <f>K51</f>
        <v/>
      </c>
      <c r="H52" s="42">
        <f>ROUND(G52*H$6/12,2)</f>
        <v/>
      </c>
      <c r="I52" s="42">
        <f>MIN(I$6,G52+H52)</f>
        <v/>
      </c>
      <c r="J52" s="42">
        <f>MAX(0,MIN(G52+H52-I52,$F52))</f>
        <v/>
      </c>
      <c r="K52" s="42">
        <f>ROUND(G52+H52-I52-J52,2)</f>
        <v/>
      </c>
      <c r="L52">
        <f>$F52-J52</f>
        <v/>
      </c>
      <c r="M52" s="42">
        <f>Q51</f>
        <v/>
      </c>
      <c r="N52" s="42">
        <f>ROUND(M52*N$6/12,2)</f>
        <v/>
      </c>
      <c r="O52" s="42">
        <f>MIN(O$6,M52+N52)</f>
        <v/>
      </c>
      <c r="P52" s="42">
        <f>MAX(0,MIN(M52+N52-O52,L52))</f>
        <v/>
      </c>
      <c r="Q52" s="42">
        <f>ROUND(M52+N52-O52-P52,2)</f>
        <v/>
      </c>
      <c r="R52">
        <f>L52-P52</f>
        <v/>
      </c>
      <c r="S52" s="42">
        <f>W51</f>
        <v/>
      </c>
      <c r="T52" s="42">
        <f>ROUND(S52*T$6/12,2)</f>
        <v/>
      </c>
      <c r="U52" s="42">
        <f>MIN(U$6,S52+T52)</f>
        <v/>
      </c>
      <c r="V52" s="42">
        <f>MAX(0,MIN(S52+T52-U52,R52))</f>
        <v/>
      </c>
      <c r="W52" s="42">
        <f>ROUND(S52+T52-U52-V52,2)</f>
        <v/>
      </c>
      <c r="X52">
        <f>R52-V52</f>
        <v/>
      </c>
      <c r="Y52" s="42">
        <f>AC51</f>
        <v/>
      </c>
      <c r="Z52" s="42">
        <f>ROUND(Y52*Z$6/12,2)</f>
        <v/>
      </c>
      <c r="AA52" s="42">
        <f>MIN(AA$6,Y52+Z52)</f>
        <v/>
      </c>
      <c r="AB52" s="42">
        <f>MAX(0,MIN(Y52+Z52-AA52,X52))</f>
        <v/>
      </c>
      <c r="AC52" s="42">
        <f>ROUND(Y52+Z52-AA52-AB52,2)</f>
        <v/>
      </c>
      <c r="AD52">
        <f>X52-AB52</f>
        <v/>
      </c>
      <c r="AE52" s="42">
        <f>AI51</f>
        <v/>
      </c>
      <c r="AF52" s="42">
        <f>ROUND(AE52*AF$6/12,2)</f>
        <v/>
      </c>
      <c r="AG52" s="42">
        <f>MIN(AG$6,AE52+AF52)</f>
        <v/>
      </c>
      <c r="AH52" s="42">
        <f>MAX(0,MIN(AE52+AF52-AG52,AD52))</f>
        <v/>
      </c>
      <c r="AI52" s="42">
        <f>ROUND(AE52+AF52-AG52-AH52,2)</f>
        <v/>
      </c>
      <c r="AJ52">
        <f>AD52-AH52</f>
        <v/>
      </c>
      <c r="AK52" s="42">
        <f>AO51</f>
        <v/>
      </c>
      <c r="AL52" s="42">
        <f>ROUND(AK52*AL$6/12,2)</f>
        <v/>
      </c>
      <c r="AM52" s="42">
        <f>MIN(AM$6,AK52+AL52)</f>
        <v/>
      </c>
      <c r="AN52" s="42">
        <f>MAX(0,MIN(AK52+AL52-AM52,AJ52))</f>
        <v/>
      </c>
      <c r="AO52" s="42">
        <f>ROUND(AK52+AL52-AM52-AN52,2)</f>
        <v/>
      </c>
      <c r="AP52">
        <f>AJ52-AN52</f>
        <v/>
      </c>
      <c r="AQ52" s="42">
        <f>AU51</f>
        <v/>
      </c>
      <c r="AR52" s="42">
        <f>ROUND(AQ52*AR$6/12,2)</f>
        <v/>
      </c>
      <c r="AS52" s="42">
        <f>MIN(AS$6,AQ52+AR52)</f>
        <v/>
      </c>
      <c r="AT52" s="42">
        <f>MAX(0,MIN(AQ52+AR52-AS52,AP52))</f>
        <v/>
      </c>
      <c r="AU52" s="42">
        <f>ROUND(AQ52+AR52-AS52-AT52,2)</f>
        <v/>
      </c>
      <c r="AV52">
        <f>AP52-AT52</f>
        <v/>
      </c>
      <c r="AW52" s="42">
        <f>BA51</f>
        <v/>
      </c>
      <c r="AX52" s="42">
        <f>ROUND(AW52*AX$6/12,2)</f>
        <v/>
      </c>
      <c r="AY52" s="42">
        <f>MIN(AY$6,AW52+AX52)</f>
        <v/>
      </c>
      <c r="AZ52" s="42">
        <f>MAX(0,MIN(AW52+AX52-AY52,AV52))</f>
        <v/>
      </c>
      <c r="BA52" s="42">
        <f>ROUND(AW52+AX52-AY52-AZ52,2)</f>
        <v/>
      </c>
      <c r="BB52">
        <f>AV52-AZ52</f>
        <v/>
      </c>
      <c r="BC52" s="42">
        <f>BG51</f>
        <v/>
      </c>
      <c r="BD52" s="42">
        <f>ROUND(BC52*BD$6/12,2)</f>
        <v/>
      </c>
      <c r="BE52" s="42">
        <f>MIN(BE$6,BC52+BD52)</f>
        <v/>
      </c>
      <c r="BF52" s="42">
        <f>MAX(0,MIN(BC52+BD52-BE52,BB52))</f>
        <v/>
      </c>
      <c r="BG52" s="42">
        <f>ROUND(BC52+BD52-BE52-BF52,2)</f>
        <v/>
      </c>
      <c r="BH52">
        <f>BB52-BF52</f>
        <v/>
      </c>
      <c r="BI52" s="42">
        <f>BM51</f>
        <v/>
      </c>
      <c r="BJ52" s="42">
        <f>ROUND(BI52*BJ$6/12,2)</f>
        <v/>
      </c>
      <c r="BK52" s="42">
        <f>MIN(BK$6,BI52+BJ52)</f>
        <v/>
      </c>
      <c r="BL52" s="42">
        <f>MAX(0,MIN(BI52+BJ52-BK52,BH52))</f>
        <v/>
      </c>
      <c r="BM52" s="42">
        <f>ROUND(BI52+BJ52-BK52-BL52,2)</f>
        <v/>
      </c>
      <c r="BN52">
        <f>BH52-BL52</f>
        <v/>
      </c>
    </row>
    <row r="53">
      <c r="A53" s="43" t="n">
        <v>46</v>
      </c>
      <c r="B53" s="44">
        <f>EDATE('My Debts'!$C$6,A53-1)</f>
        <v/>
      </c>
      <c r="C53" s="45">
        <f>K53+Q53+W53+AC53+AI53+AO53+AU53+BA53+BG53+BM53</f>
        <v/>
      </c>
      <c r="D53" s="46">
        <f>I53+O53+U53+AA53+AG53+AM53+AS53+AY53+BE53+BK53+J53+P53+V53+AB53+AH53+AN53+AT53+AZ53+BF53+BL53</f>
        <v/>
      </c>
      <c r="E53" s="46">
        <f>H53+N53+T53+Z53+AF53+AL53+AR53+AX53+BD53+BJ53</f>
        <v/>
      </c>
      <c r="F53">
        <f>MAX(0,'My Debts'!$E$21-(I53+O53+U53+AA53+AG53+AM53+AS53+AY53+BE53+BK53))</f>
        <v/>
      </c>
      <c r="G53" s="42">
        <f>K52</f>
        <v/>
      </c>
      <c r="H53" s="42">
        <f>ROUND(G53*H$6/12,2)</f>
        <v/>
      </c>
      <c r="I53" s="42">
        <f>MIN(I$6,G53+H53)</f>
        <v/>
      </c>
      <c r="J53" s="42">
        <f>MAX(0,MIN(G53+H53-I53,$F53))</f>
        <v/>
      </c>
      <c r="K53" s="42">
        <f>ROUND(G53+H53-I53-J53,2)</f>
        <v/>
      </c>
      <c r="L53">
        <f>$F53-J53</f>
        <v/>
      </c>
      <c r="M53" s="42">
        <f>Q52</f>
        <v/>
      </c>
      <c r="N53" s="42">
        <f>ROUND(M53*N$6/12,2)</f>
        <v/>
      </c>
      <c r="O53" s="42">
        <f>MIN(O$6,M53+N53)</f>
        <v/>
      </c>
      <c r="P53" s="42">
        <f>MAX(0,MIN(M53+N53-O53,L53))</f>
        <v/>
      </c>
      <c r="Q53" s="42">
        <f>ROUND(M53+N53-O53-P53,2)</f>
        <v/>
      </c>
      <c r="R53">
        <f>L53-P53</f>
        <v/>
      </c>
      <c r="S53" s="42">
        <f>W52</f>
        <v/>
      </c>
      <c r="T53" s="42">
        <f>ROUND(S53*T$6/12,2)</f>
        <v/>
      </c>
      <c r="U53" s="42">
        <f>MIN(U$6,S53+T53)</f>
        <v/>
      </c>
      <c r="V53" s="42">
        <f>MAX(0,MIN(S53+T53-U53,R53))</f>
        <v/>
      </c>
      <c r="W53" s="42">
        <f>ROUND(S53+T53-U53-V53,2)</f>
        <v/>
      </c>
      <c r="X53">
        <f>R53-V53</f>
        <v/>
      </c>
      <c r="Y53" s="42">
        <f>AC52</f>
        <v/>
      </c>
      <c r="Z53" s="42">
        <f>ROUND(Y53*Z$6/12,2)</f>
        <v/>
      </c>
      <c r="AA53" s="42">
        <f>MIN(AA$6,Y53+Z53)</f>
        <v/>
      </c>
      <c r="AB53" s="42">
        <f>MAX(0,MIN(Y53+Z53-AA53,X53))</f>
        <v/>
      </c>
      <c r="AC53" s="42">
        <f>ROUND(Y53+Z53-AA53-AB53,2)</f>
        <v/>
      </c>
      <c r="AD53">
        <f>X53-AB53</f>
        <v/>
      </c>
      <c r="AE53" s="42">
        <f>AI52</f>
        <v/>
      </c>
      <c r="AF53" s="42">
        <f>ROUND(AE53*AF$6/12,2)</f>
        <v/>
      </c>
      <c r="AG53" s="42">
        <f>MIN(AG$6,AE53+AF53)</f>
        <v/>
      </c>
      <c r="AH53" s="42">
        <f>MAX(0,MIN(AE53+AF53-AG53,AD53))</f>
        <v/>
      </c>
      <c r="AI53" s="42">
        <f>ROUND(AE53+AF53-AG53-AH53,2)</f>
        <v/>
      </c>
      <c r="AJ53">
        <f>AD53-AH53</f>
        <v/>
      </c>
      <c r="AK53" s="42">
        <f>AO52</f>
        <v/>
      </c>
      <c r="AL53" s="42">
        <f>ROUND(AK53*AL$6/12,2)</f>
        <v/>
      </c>
      <c r="AM53" s="42">
        <f>MIN(AM$6,AK53+AL53)</f>
        <v/>
      </c>
      <c r="AN53" s="42">
        <f>MAX(0,MIN(AK53+AL53-AM53,AJ53))</f>
        <v/>
      </c>
      <c r="AO53" s="42">
        <f>ROUND(AK53+AL53-AM53-AN53,2)</f>
        <v/>
      </c>
      <c r="AP53">
        <f>AJ53-AN53</f>
        <v/>
      </c>
      <c r="AQ53" s="42">
        <f>AU52</f>
        <v/>
      </c>
      <c r="AR53" s="42">
        <f>ROUND(AQ53*AR$6/12,2)</f>
        <v/>
      </c>
      <c r="AS53" s="42">
        <f>MIN(AS$6,AQ53+AR53)</f>
        <v/>
      </c>
      <c r="AT53" s="42">
        <f>MAX(0,MIN(AQ53+AR53-AS53,AP53))</f>
        <v/>
      </c>
      <c r="AU53" s="42">
        <f>ROUND(AQ53+AR53-AS53-AT53,2)</f>
        <v/>
      </c>
      <c r="AV53">
        <f>AP53-AT53</f>
        <v/>
      </c>
      <c r="AW53" s="42">
        <f>BA52</f>
        <v/>
      </c>
      <c r="AX53" s="42">
        <f>ROUND(AW53*AX$6/12,2)</f>
        <v/>
      </c>
      <c r="AY53" s="42">
        <f>MIN(AY$6,AW53+AX53)</f>
        <v/>
      </c>
      <c r="AZ53" s="42">
        <f>MAX(0,MIN(AW53+AX53-AY53,AV53))</f>
        <v/>
      </c>
      <c r="BA53" s="42">
        <f>ROUND(AW53+AX53-AY53-AZ53,2)</f>
        <v/>
      </c>
      <c r="BB53">
        <f>AV53-AZ53</f>
        <v/>
      </c>
      <c r="BC53" s="42">
        <f>BG52</f>
        <v/>
      </c>
      <c r="BD53" s="42">
        <f>ROUND(BC53*BD$6/12,2)</f>
        <v/>
      </c>
      <c r="BE53" s="42">
        <f>MIN(BE$6,BC53+BD53)</f>
        <v/>
      </c>
      <c r="BF53" s="42">
        <f>MAX(0,MIN(BC53+BD53-BE53,BB53))</f>
        <v/>
      </c>
      <c r="BG53" s="42">
        <f>ROUND(BC53+BD53-BE53-BF53,2)</f>
        <v/>
      </c>
      <c r="BH53">
        <f>BB53-BF53</f>
        <v/>
      </c>
      <c r="BI53" s="42">
        <f>BM52</f>
        <v/>
      </c>
      <c r="BJ53" s="42">
        <f>ROUND(BI53*BJ$6/12,2)</f>
        <v/>
      </c>
      <c r="BK53" s="42">
        <f>MIN(BK$6,BI53+BJ53)</f>
        <v/>
      </c>
      <c r="BL53" s="42">
        <f>MAX(0,MIN(BI53+BJ53-BK53,BH53))</f>
        <v/>
      </c>
      <c r="BM53" s="42">
        <f>ROUND(BI53+BJ53-BK53-BL53,2)</f>
        <v/>
      </c>
      <c r="BN53">
        <f>BH53-BL53</f>
        <v/>
      </c>
    </row>
    <row r="54">
      <c r="A54" s="39" t="n">
        <v>47</v>
      </c>
      <c r="B54" s="40">
        <f>EDATE('My Debts'!$C$6,A54-1)</f>
        <v/>
      </c>
      <c r="C54" s="41">
        <f>K54+Q54+W54+AC54+AI54+AO54+AU54+BA54+BG54+BM54</f>
        <v/>
      </c>
      <c r="D54" s="42">
        <f>I54+O54+U54+AA54+AG54+AM54+AS54+AY54+BE54+BK54+J54+P54+V54+AB54+AH54+AN54+AT54+AZ54+BF54+BL54</f>
        <v/>
      </c>
      <c r="E54" s="42">
        <f>H54+N54+T54+Z54+AF54+AL54+AR54+AX54+BD54+BJ54</f>
        <v/>
      </c>
      <c r="F54">
        <f>MAX(0,'My Debts'!$E$21-(I54+O54+U54+AA54+AG54+AM54+AS54+AY54+BE54+BK54))</f>
        <v/>
      </c>
      <c r="G54" s="42">
        <f>K53</f>
        <v/>
      </c>
      <c r="H54" s="42">
        <f>ROUND(G54*H$6/12,2)</f>
        <v/>
      </c>
      <c r="I54" s="42">
        <f>MIN(I$6,G54+H54)</f>
        <v/>
      </c>
      <c r="J54" s="42">
        <f>MAX(0,MIN(G54+H54-I54,$F54))</f>
        <v/>
      </c>
      <c r="K54" s="42">
        <f>ROUND(G54+H54-I54-J54,2)</f>
        <v/>
      </c>
      <c r="L54">
        <f>$F54-J54</f>
        <v/>
      </c>
      <c r="M54" s="42">
        <f>Q53</f>
        <v/>
      </c>
      <c r="N54" s="42">
        <f>ROUND(M54*N$6/12,2)</f>
        <v/>
      </c>
      <c r="O54" s="42">
        <f>MIN(O$6,M54+N54)</f>
        <v/>
      </c>
      <c r="P54" s="42">
        <f>MAX(0,MIN(M54+N54-O54,L54))</f>
        <v/>
      </c>
      <c r="Q54" s="42">
        <f>ROUND(M54+N54-O54-P54,2)</f>
        <v/>
      </c>
      <c r="R54">
        <f>L54-P54</f>
        <v/>
      </c>
      <c r="S54" s="42">
        <f>W53</f>
        <v/>
      </c>
      <c r="T54" s="42">
        <f>ROUND(S54*T$6/12,2)</f>
        <v/>
      </c>
      <c r="U54" s="42">
        <f>MIN(U$6,S54+T54)</f>
        <v/>
      </c>
      <c r="V54" s="42">
        <f>MAX(0,MIN(S54+T54-U54,R54))</f>
        <v/>
      </c>
      <c r="W54" s="42">
        <f>ROUND(S54+T54-U54-V54,2)</f>
        <v/>
      </c>
      <c r="X54">
        <f>R54-V54</f>
        <v/>
      </c>
      <c r="Y54" s="42">
        <f>AC53</f>
        <v/>
      </c>
      <c r="Z54" s="42">
        <f>ROUND(Y54*Z$6/12,2)</f>
        <v/>
      </c>
      <c r="AA54" s="42">
        <f>MIN(AA$6,Y54+Z54)</f>
        <v/>
      </c>
      <c r="AB54" s="42">
        <f>MAX(0,MIN(Y54+Z54-AA54,X54))</f>
        <v/>
      </c>
      <c r="AC54" s="42">
        <f>ROUND(Y54+Z54-AA54-AB54,2)</f>
        <v/>
      </c>
      <c r="AD54">
        <f>X54-AB54</f>
        <v/>
      </c>
      <c r="AE54" s="42">
        <f>AI53</f>
        <v/>
      </c>
      <c r="AF54" s="42">
        <f>ROUND(AE54*AF$6/12,2)</f>
        <v/>
      </c>
      <c r="AG54" s="42">
        <f>MIN(AG$6,AE54+AF54)</f>
        <v/>
      </c>
      <c r="AH54" s="42">
        <f>MAX(0,MIN(AE54+AF54-AG54,AD54))</f>
        <v/>
      </c>
      <c r="AI54" s="42">
        <f>ROUND(AE54+AF54-AG54-AH54,2)</f>
        <v/>
      </c>
      <c r="AJ54">
        <f>AD54-AH54</f>
        <v/>
      </c>
      <c r="AK54" s="42">
        <f>AO53</f>
        <v/>
      </c>
      <c r="AL54" s="42">
        <f>ROUND(AK54*AL$6/12,2)</f>
        <v/>
      </c>
      <c r="AM54" s="42">
        <f>MIN(AM$6,AK54+AL54)</f>
        <v/>
      </c>
      <c r="AN54" s="42">
        <f>MAX(0,MIN(AK54+AL54-AM54,AJ54))</f>
        <v/>
      </c>
      <c r="AO54" s="42">
        <f>ROUND(AK54+AL54-AM54-AN54,2)</f>
        <v/>
      </c>
      <c r="AP54">
        <f>AJ54-AN54</f>
        <v/>
      </c>
      <c r="AQ54" s="42">
        <f>AU53</f>
        <v/>
      </c>
      <c r="AR54" s="42">
        <f>ROUND(AQ54*AR$6/12,2)</f>
        <v/>
      </c>
      <c r="AS54" s="42">
        <f>MIN(AS$6,AQ54+AR54)</f>
        <v/>
      </c>
      <c r="AT54" s="42">
        <f>MAX(0,MIN(AQ54+AR54-AS54,AP54))</f>
        <v/>
      </c>
      <c r="AU54" s="42">
        <f>ROUND(AQ54+AR54-AS54-AT54,2)</f>
        <v/>
      </c>
      <c r="AV54">
        <f>AP54-AT54</f>
        <v/>
      </c>
      <c r="AW54" s="42">
        <f>BA53</f>
        <v/>
      </c>
      <c r="AX54" s="42">
        <f>ROUND(AW54*AX$6/12,2)</f>
        <v/>
      </c>
      <c r="AY54" s="42">
        <f>MIN(AY$6,AW54+AX54)</f>
        <v/>
      </c>
      <c r="AZ54" s="42">
        <f>MAX(0,MIN(AW54+AX54-AY54,AV54))</f>
        <v/>
      </c>
      <c r="BA54" s="42">
        <f>ROUND(AW54+AX54-AY54-AZ54,2)</f>
        <v/>
      </c>
      <c r="BB54">
        <f>AV54-AZ54</f>
        <v/>
      </c>
      <c r="BC54" s="42">
        <f>BG53</f>
        <v/>
      </c>
      <c r="BD54" s="42">
        <f>ROUND(BC54*BD$6/12,2)</f>
        <v/>
      </c>
      <c r="BE54" s="42">
        <f>MIN(BE$6,BC54+BD54)</f>
        <v/>
      </c>
      <c r="BF54" s="42">
        <f>MAX(0,MIN(BC54+BD54-BE54,BB54))</f>
        <v/>
      </c>
      <c r="BG54" s="42">
        <f>ROUND(BC54+BD54-BE54-BF54,2)</f>
        <v/>
      </c>
      <c r="BH54">
        <f>BB54-BF54</f>
        <v/>
      </c>
      <c r="BI54" s="42">
        <f>BM53</f>
        <v/>
      </c>
      <c r="BJ54" s="42">
        <f>ROUND(BI54*BJ$6/12,2)</f>
        <v/>
      </c>
      <c r="BK54" s="42">
        <f>MIN(BK$6,BI54+BJ54)</f>
        <v/>
      </c>
      <c r="BL54" s="42">
        <f>MAX(0,MIN(BI54+BJ54-BK54,BH54))</f>
        <v/>
      </c>
      <c r="BM54" s="42">
        <f>ROUND(BI54+BJ54-BK54-BL54,2)</f>
        <v/>
      </c>
      <c r="BN54">
        <f>BH54-BL54</f>
        <v/>
      </c>
    </row>
    <row r="55">
      <c r="A55" s="43" t="n">
        <v>48</v>
      </c>
      <c r="B55" s="44">
        <f>EDATE('My Debts'!$C$6,A55-1)</f>
        <v/>
      </c>
      <c r="C55" s="45">
        <f>K55+Q55+W55+AC55+AI55+AO55+AU55+BA55+BG55+BM55</f>
        <v/>
      </c>
      <c r="D55" s="46">
        <f>I55+O55+U55+AA55+AG55+AM55+AS55+AY55+BE55+BK55+J55+P55+V55+AB55+AH55+AN55+AT55+AZ55+BF55+BL55</f>
        <v/>
      </c>
      <c r="E55" s="46">
        <f>H55+N55+T55+Z55+AF55+AL55+AR55+AX55+BD55+BJ55</f>
        <v/>
      </c>
      <c r="F55">
        <f>MAX(0,'My Debts'!$E$21-(I55+O55+U55+AA55+AG55+AM55+AS55+AY55+BE55+BK55))</f>
        <v/>
      </c>
      <c r="G55" s="42">
        <f>K54</f>
        <v/>
      </c>
      <c r="H55" s="42">
        <f>ROUND(G55*H$6/12,2)</f>
        <v/>
      </c>
      <c r="I55" s="42">
        <f>MIN(I$6,G55+H55)</f>
        <v/>
      </c>
      <c r="J55" s="42">
        <f>MAX(0,MIN(G55+H55-I55,$F55))</f>
        <v/>
      </c>
      <c r="K55" s="42">
        <f>ROUND(G55+H55-I55-J55,2)</f>
        <v/>
      </c>
      <c r="L55">
        <f>$F55-J55</f>
        <v/>
      </c>
      <c r="M55" s="42">
        <f>Q54</f>
        <v/>
      </c>
      <c r="N55" s="42">
        <f>ROUND(M55*N$6/12,2)</f>
        <v/>
      </c>
      <c r="O55" s="42">
        <f>MIN(O$6,M55+N55)</f>
        <v/>
      </c>
      <c r="P55" s="42">
        <f>MAX(0,MIN(M55+N55-O55,L55))</f>
        <v/>
      </c>
      <c r="Q55" s="42">
        <f>ROUND(M55+N55-O55-P55,2)</f>
        <v/>
      </c>
      <c r="R55">
        <f>L55-P55</f>
        <v/>
      </c>
      <c r="S55" s="42">
        <f>W54</f>
        <v/>
      </c>
      <c r="T55" s="42">
        <f>ROUND(S55*T$6/12,2)</f>
        <v/>
      </c>
      <c r="U55" s="42">
        <f>MIN(U$6,S55+T55)</f>
        <v/>
      </c>
      <c r="V55" s="42">
        <f>MAX(0,MIN(S55+T55-U55,R55))</f>
        <v/>
      </c>
      <c r="W55" s="42">
        <f>ROUND(S55+T55-U55-V55,2)</f>
        <v/>
      </c>
      <c r="X55">
        <f>R55-V55</f>
        <v/>
      </c>
      <c r="Y55" s="42">
        <f>AC54</f>
        <v/>
      </c>
      <c r="Z55" s="42">
        <f>ROUND(Y55*Z$6/12,2)</f>
        <v/>
      </c>
      <c r="AA55" s="42">
        <f>MIN(AA$6,Y55+Z55)</f>
        <v/>
      </c>
      <c r="AB55" s="42">
        <f>MAX(0,MIN(Y55+Z55-AA55,X55))</f>
        <v/>
      </c>
      <c r="AC55" s="42">
        <f>ROUND(Y55+Z55-AA55-AB55,2)</f>
        <v/>
      </c>
      <c r="AD55">
        <f>X55-AB55</f>
        <v/>
      </c>
      <c r="AE55" s="42">
        <f>AI54</f>
        <v/>
      </c>
      <c r="AF55" s="42">
        <f>ROUND(AE55*AF$6/12,2)</f>
        <v/>
      </c>
      <c r="AG55" s="42">
        <f>MIN(AG$6,AE55+AF55)</f>
        <v/>
      </c>
      <c r="AH55" s="42">
        <f>MAX(0,MIN(AE55+AF55-AG55,AD55))</f>
        <v/>
      </c>
      <c r="AI55" s="42">
        <f>ROUND(AE55+AF55-AG55-AH55,2)</f>
        <v/>
      </c>
      <c r="AJ55">
        <f>AD55-AH55</f>
        <v/>
      </c>
      <c r="AK55" s="42">
        <f>AO54</f>
        <v/>
      </c>
      <c r="AL55" s="42">
        <f>ROUND(AK55*AL$6/12,2)</f>
        <v/>
      </c>
      <c r="AM55" s="42">
        <f>MIN(AM$6,AK55+AL55)</f>
        <v/>
      </c>
      <c r="AN55" s="42">
        <f>MAX(0,MIN(AK55+AL55-AM55,AJ55))</f>
        <v/>
      </c>
      <c r="AO55" s="42">
        <f>ROUND(AK55+AL55-AM55-AN55,2)</f>
        <v/>
      </c>
      <c r="AP55">
        <f>AJ55-AN55</f>
        <v/>
      </c>
      <c r="AQ55" s="42">
        <f>AU54</f>
        <v/>
      </c>
      <c r="AR55" s="42">
        <f>ROUND(AQ55*AR$6/12,2)</f>
        <v/>
      </c>
      <c r="AS55" s="42">
        <f>MIN(AS$6,AQ55+AR55)</f>
        <v/>
      </c>
      <c r="AT55" s="42">
        <f>MAX(0,MIN(AQ55+AR55-AS55,AP55))</f>
        <v/>
      </c>
      <c r="AU55" s="42">
        <f>ROUND(AQ55+AR55-AS55-AT55,2)</f>
        <v/>
      </c>
      <c r="AV55">
        <f>AP55-AT55</f>
        <v/>
      </c>
      <c r="AW55" s="42">
        <f>BA54</f>
        <v/>
      </c>
      <c r="AX55" s="42">
        <f>ROUND(AW55*AX$6/12,2)</f>
        <v/>
      </c>
      <c r="AY55" s="42">
        <f>MIN(AY$6,AW55+AX55)</f>
        <v/>
      </c>
      <c r="AZ55" s="42">
        <f>MAX(0,MIN(AW55+AX55-AY55,AV55))</f>
        <v/>
      </c>
      <c r="BA55" s="42">
        <f>ROUND(AW55+AX55-AY55-AZ55,2)</f>
        <v/>
      </c>
      <c r="BB55">
        <f>AV55-AZ55</f>
        <v/>
      </c>
      <c r="BC55" s="42">
        <f>BG54</f>
        <v/>
      </c>
      <c r="BD55" s="42">
        <f>ROUND(BC55*BD$6/12,2)</f>
        <v/>
      </c>
      <c r="BE55" s="42">
        <f>MIN(BE$6,BC55+BD55)</f>
        <v/>
      </c>
      <c r="BF55" s="42">
        <f>MAX(0,MIN(BC55+BD55-BE55,BB55))</f>
        <v/>
      </c>
      <c r="BG55" s="42">
        <f>ROUND(BC55+BD55-BE55-BF55,2)</f>
        <v/>
      </c>
      <c r="BH55">
        <f>BB55-BF55</f>
        <v/>
      </c>
      <c r="BI55" s="42">
        <f>BM54</f>
        <v/>
      </c>
      <c r="BJ55" s="42">
        <f>ROUND(BI55*BJ$6/12,2)</f>
        <v/>
      </c>
      <c r="BK55" s="42">
        <f>MIN(BK$6,BI55+BJ55)</f>
        <v/>
      </c>
      <c r="BL55" s="42">
        <f>MAX(0,MIN(BI55+BJ55-BK55,BH55))</f>
        <v/>
      </c>
      <c r="BM55" s="42">
        <f>ROUND(BI55+BJ55-BK55-BL55,2)</f>
        <v/>
      </c>
      <c r="BN55">
        <f>BH55-BL55</f>
        <v/>
      </c>
    </row>
    <row r="56">
      <c r="A56" s="39" t="n">
        <v>49</v>
      </c>
      <c r="B56" s="40">
        <f>EDATE('My Debts'!$C$6,A56-1)</f>
        <v/>
      </c>
      <c r="C56" s="41">
        <f>K56+Q56+W56+AC56+AI56+AO56+AU56+BA56+BG56+BM56</f>
        <v/>
      </c>
      <c r="D56" s="42">
        <f>I56+O56+U56+AA56+AG56+AM56+AS56+AY56+BE56+BK56+J56+P56+V56+AB56+AH56+AN56+AT56+AZ56+BF56+BL56</f>
        <v/>
      </c>
      <c r="E56" s="42">
        <f>H56+N56+T56+Z56+AF56+AL56+AR56+AX56+BD56+BJ56</f>
        <v/>
      </c>
      <c r="F56">
        <f>MAX(0,'My Debts'!$E$21-(I56+O56+U56+AA56+AG56+AM56+AS56+AY56+BE56+BK56))</f>
        <v/>
      </c>
      <c r="G56" s="42">
        <f>K55</f>
        <v/>
      </c>
      <c r="H56" s="42">
        <f>ROUND(G56*H$6/12,2)</f>
        <v/>
      </c>
      <c r="I56" s="42">
        <f>MIN(I$6,G56+H56)</f>
        <v/>
      </c>
      <c r="J56" s="42">
        <f>MAX(0,MIN(G56+H56-I56,$F56))</f>
        <v/>
      </c>
      <c r="K56" s="42">
        <f>ROUND(G56+H56-I56-J56,2)</f>
        <v/>
      </c>
      <c r="L56">
        <f>$F56-J56</f>
        <v/>
      </c>
      <c r="M56" s="42">
        <f>Q55</f>
        <v/>
      </c>
      <c r="N56" s="42">
        <f>ROUND(M56*N$6/12,2)</f>
        <v/>
      </c>
      <c r="O56" s="42">
        <f>MIN(O$6,M56+N56)</f>
        <v/>
      </c>
      <c r="P56" s="42">
        <f>MAX(0,MIN(M56+N56-O56,L56))</f>
        <v/>
      </c>
      <c r="Q56" s="42">
        <f>ROUND(M56+N56-O56-P56,2)</f>
        <v/>
      </c>
      <c r="R56">
        <f>L56-P56</f>
        <v/>
      </c>
      <c r="S56" s="42">
        <f>W55</f>
        <v/>
      </c>
      <c r="T56" s="42">
        <f>ROUND(S56*T$6/12,2)</f>
        <v/>
      </c>
      <c r="U56" s="42">
        <f>MIN(U$6,S56+T56)</f>
        <v/>
      </c>
      <c r="V56" s="42">
        <f>MAX(0,MIN(S56+T56-U56,R56))</f>
        <v/>
      </c>
      <c r="W56" s="42">
        <f>ROUND(S56+T56-U56-V56,2)</f>
        <v/>
      </c>
      <c r="X56">
        <f>R56-V56</f>
        <v/>
      </c>
      <c r="Y56" s="42">
        <f>AC55</f>
        <v/>
      </c>
      <c r="Z56" s="42">
        <f>ROUND(Y56*Z$6/12,2)</f>
        <v/>
      </c>
      <c r="AA56" s="42">
        <f>MIN(AA$6,Y56+Z56)</f>
        <v/>
      </c>
      <c r="AB56" s="42">
        <f>MAX(0,MIN(Y56+Z56-AA56,X56))</f>
        <v/>
      </c>
      <c r="AC56" s="42">
        <f>ROUND(Y56+Z56-AA56-AB56,2)</f>
        <v/>
      </c>
      <c r="AD56">
        <f>X56-AB56</f>
        <v/>
      </c>
      <c r="AE56" s="42">
        <f>AI55</f>
        <v/>
      </c>
      <c r="AF56" s="42">
        <f>ROUND(AE56*AF$6/12,2)</f>
        <v/>
      </c>
      <c r="AG56" s="42">
        <f>MIN(AG$6,AE56+AF56)</f>
        <v/>
      </c>
      <c r="AH56" s="42">
        <f>MAX(0,MIN(AE56+AF56-AG56,AD56))</f>
        <v/>
      </c>
      <c r="AI56" s="42">
        <f>ROUND(AE56+AF56-AG56-AH56,2)</f>
        <v/>
      </c>
      <c r="AJ56">
        <f>AD56-AH56</f>
        <v/>
      </c>
      <c r="AK56" s="42">
        <f>AO55</f>
        <v/>
      </c>
      <c r="AL56" s="42">
        <f>ROUND(AK56*AL$6/12,2)</f>
        <v/>
      </c>
      <c r="AM56" s="42">
        <f>MIN(AM$6,AK56+AL56)</f>
        <v/>
      </c>
      <c r="AN56" s="42">
        <f>MAX(0,MIN(AK56+AL56-AM56,AJ56))</f>
        <v/>
      </c>
      <c r="AO56" s="42">
        <f>ROUND(AK56+AL56-AM56-AN56,2)</f>
        <v/>
      </c>
      <c r="AP56">
        <f>AJ56-AN56</f>
        <v/>
      </c>
      <c r="AQ56" s="42">
        <f>AU55</f>
        <v/>
      </c>
      <c r="AR56" s="42">
        <f>ROUND(AQ56*AR$6/12,2)</f>
        <v/>
      </c>
      <c r="AS56" s="42">
        <f>MIN(AS$6,AQ56+AR56)</f>
        <v/>
      </c>
      <c r="AT56" s="42">
        <f>MAX(0,MIN(AQ56+AR56-AS56,AP56))</f>
        <v/>
      </c>
      <c r="AU56" s="42">
        <f>ROUND(AQ56+AR56-AS56-AT56,2)</f>
        <v/>
      </c>
      <c r="AV56">
        <f>AP56-AT56</f>
        <v/>
      </c>
      <c r="AW56" s="42">
        <f>BA55</f>
        <v/>
      </c>
      <c r="AX56" s="42">
        <f>ROUND(AW56*AX$6/12,2)</f>
        <v/>
      </c>
      <c r="AY56" s="42">
        <f>MIN(AY$6,AW56+AX56)</f>
        <v/>
      </c>
      <c r="AZ56" s="42">
        <f>MAX(0,MIN(AW56+AX56-AY56,AV56))</f>
        <v/>
      </c>
      <c r="BA56" s="42">
        <f>ROUND(AW56+AX56-AY56-AZ56,2)</f>
        <v/>
      </c>
      <c r="BB56">
        <f>AV56-AZ56</f>
        <v/>
      </c>
      <c r="BC56" s="42">
        <f>BG55</f>
        <v/>
      </c>
      <c r="BD56" s="42">
        <f>ROUND(BC56*BD$6/12,2)</f>
        <v/>
      </c>
      <c r="BE56" s="42">
        <f>MIN(BE$6,BC56+BD56)</f>
        <v/>
      </c>
      <c r="BF56" s="42">
        <f>MAX(0,MIN(BC56+BD56-BE56,BB56))</f>
        <v/>
      </c>
      <c r="BG56" s="42">
        <f>ROUND(BC56+BD56-BE56-BF56,2)</f>
        <v/>
      </c>
      <c r="BH56">
        <f>BB56-BF56</f>
        <v/>
      </c>
      <c r="BI56" s="42">
        <f>BM55</f>
        <v/>
      </c>
      <c r="BJ56" s="42">
        <f>ROUND(BI56*BJ$6/12,2)</f>
        <v/>
      </c>
      <c r="BK56" s="42">
        <f>MIN(BK$6,BI56+BJ56)</f>
        <v/>
      </c>
      <c r="BL56" s="42">
        <f>MAX(0,MIN(BI56+BJ56-BK56,BH56))</f>
        <v/>
      </c>
      <c r="BM56" s="42">
        <f>ROUND(BI56+BJ56-BK56-BL56,2)</f>
        <v/>
      </c>
      <c r="BN56">
        <f>BH56-BL56</f>
        <v/>
      </c>
    </row>
    <row r="57">
      <c r="A57" s="43" t="n">
        <v>50</v>
      </c>
      <c r="B57" s="44">
        <f>EDATE('My Debts'!$C$6,A57-1)</f>
        <v/>
      </c>
      <c r="C57" s="45">
        <f>K57+Q57+W57+AC57+AI57+AO57+AU57+BA57+BG57+BM57</f>
        <v/>
      </c>
      <c r="D57" s="46">
        <f>I57+O57+U57+AA57+AG57+AM57+AS57+AY57+BE57+BK57+J57+P57+V57+AB57+AH57+AN57+AT57+AZ57+BF57+BL57</f>
        <v/>
      </c>
      <c r="E57" s="46">
        <f>H57+N57+T57+Z57+AF57+AL57+AR57+AX57+BD57+BJ57</f>
        <v/>
      </c>
      <c r="F57">
        <f>MAX(0,'My Debts'!$E$21-(I57+O57+U57+AA57+AG57+AM57+AS57+AY57+BE57+BK57))</f>
        <v/>
      </c>
      <c r="G57" s="42">
        <f>K56</f>
        <v/>
      </c>
      <c r="H57" s="42">
        <f>ROUND(G57*H$6/12,2)</f>
        <v/>
      </c>
      <c r="I57" s="42">
        <f>MIN(I$6,G57+H57)</f>
        <v/>
      </c>
      <c r="J57" s="42">
        <f>MAX(0,MIN(G57+H57-I57,$F57))</f>
        <v/>
      </c>
      <c r="K57" s="42">
        <f>ROUND(G57+H57-I57-J57,2)</f>
        <v/>
      </c>
      <c r="L57">
        <f>$F57-J57</f>
        <v/>
      </c>
      <c r="M57" s="42">
        <f>Q56</f>
        <v/>
      </c>
      <c r="N57" s="42">
        <f>ROUND(M57*N$6/12,2)</f>
        <v/>
      </c>
      <c r="O57" s="42">
        <f>MIN(O$6,M57+N57)</f>
        <v/>
      </c>
      <c r="P57" s="42">
        <f>MAX(0,MIN(M57+N57-O57,L57))</f>
        <v/>
      </c>
      <c r="Q57" s="42">
        <f>ROUND(M57+N57-O57-P57,2)</f>
        <v/>
      </c>
      <c r="R57">
        <f>L57-P57</f>
        <v/>
      </c>
      <c r="S57" s="42">
        <f>W56</f>
        <v/>
      </c>
      <c r="T57" s="42">
        <f>ROUND(S57*T$6/12,2)</f>
        <v/>
      </c>
      <c r="U57" s="42">
        <f>MIN(U$6,S57+T57)</f>
        <v/>
      </c>
      <c r="V57" s="42">
        <f>MAX(0,MIN(S57+T57-U57,R57))</f>
        <v/>
      </c>
      <c r="W57" s="42">
        <f>ROUND(S57+T57-U57-V57,2)</f>
        <v/>
      </c>
      <c r="X57">
        <f>R57-V57</f>
        <v/>
      </c>
      <c r="Y57" s="42">
        <f>AC56</f>
        <v/>
      </c>
      <c r="Z57" s="42">
        <f>ROUND(Y57*Z$6/12,2)</f>
        <v/>
      </c>
      <c r="AA57" s="42">
        <f>MIN(AA$6,Y57+Z57)</f>
        <v/>
      </c>
      <c r="AB57" s="42">
        <f>MAX(0,MIN(Y57+Z57-AA57,X57))</f>
        <v/>
      </c>
      <c r="AC57" s="42">
        <f>ROUND(Y57+Z57-AA57-AB57,2)</f>
        <v/>
      </c>
      <c r="AD57">
        <f>X57-AB57</f>
        <v/>
      </c>
      <c r="AE57" s="42">
        <f>AI56</f>
        <v/>
      </c>
      <c r="AF57" s="42">
        <f>ROUND(AE57*AF$6/12,2)</f>
        <v/>
      </c>
      <c r="AG57" s="42">
        <f>MIN(AG$6,AE57+AF57)</f>
        <v/>
      </c>
      <c r="AH57" s="42">
        <f>MAX(0,MIN(AE57+AF57-AG57,AD57))</f>
        <v/>
      </c>
      <c r="AI57" s="42">
        <f>ROUND(AE57+AF57-AG57-AH57,2)</f>
        <v/>
      </c>
      <c r="AJ57">
        <f>AD57-AH57</f>
        <v/>
      </c>
      <c r="AK57" s="42">
        <f>AO56</f>
        <v/>
      </c>
      <c r="AL57" s="42">
        <f>ROUND(AK57*AL$6/12,2)</f>
        <v/>
      </c>
      <c r="AM57" s="42">
        <f>MIN(AM$6,AK57+AL57)</f>
        <v/>
      </c>
      <c r="AN57" s="42">
        <f>MAX(0,MIN(AK57+AL57-AM57,AJ57))</f>
        <v/>
      </c>
      <c r="AO57" s="42">
        <f>ROUND(AK57+AL57-AM57-AN57,2)</f>
        <v/>
      </c>
      <c r="AP57">
        <f>AJ57-AN57</f>
        <v/>
      </c>
      <c r="AQ57" s="42">
        <f>AU56</f>
        <v/>
      </c>
      <c r="AR57" s="42">
        <f>ROUND(AQ57*AR$6/12,2)</f>
        <v/>
      </c>
      <c r="AS57" s="42">
        <f>MIN(AS$6,AQ57+AR57)</f>
        <v/>
      </c>
      <c r="AT57" s="42">
        <f>MAX(0,MIN(AQ57+AR57-AS57,AP57))</f>
        <v/>
      </c>
      <c r="AU57" s="42">
        <f>ROUND(AQ57+AR57-AS57-AT57,2)</f>
        <v/>
      </c>
      <c r="AV57">
        <f>AP57-AT57</f>
        <v/>
      </c>
      <c r="AW57" s="42">
        <f>BA56</f>
        <v/>
      </c>
      <c r="AX57" s="42">
        <f>ROUND(AW57*AX$6/12,2)</f>
        <v/>
      </c>
      <c r="AY57" s="42">
        <f>MIN(AY$6,AW57+AX57)</f>
        <v/>
      </c>
      <c r="AZ57" s="42">
        <f>MAX(0,MIN(AW57+AX57-AY57,AV57))</f>
        <v/>
      </c>
      <c r="BA57" s="42">
        <f>ROUND(AW57+AX57-AY57-AZ57,2)</f>
        <v/>
      </c>
      <c r="BB57">
        <f>AV57-AZ57</f>
        <v/>
      </c>
      <c r="BC57" s="42">
        <f>BG56</f>
        <v/>
      </c>
      <c r="BD57" s="42">
        <f>ROUND(BC57*BD$6/12,2)</f>
        <v/>
      </c>
      <c r="BE57" s="42">
        <f>MIN(BE$6,BC57+BD57)</f>
        <v/>
      </c>
      <c r="BF57" s="42">
        <f>MAX(0,MIN(BC57+BD57-BE57,BB57))</f>
        <v/>
      </c>
      <c r="BG57" s="42">
        <f>ROUND(BC57+BD57-BE57-BF57,2)</f>
        <v/>
      </c>
      <c r="BH57">
        <f>BB57-BF57</f>
        <v/>
      </c>
      <c r="BI57" s="42">
        <f>BM56</f>
        <v/>
      </c>
      <c r="BJ57" s="42">
        <f>ROUND(BI57*BJ$6/12,2)</f>
        <v/>
      </c>
      <c r="BK57" s="42">
        <f>MIN(BK$6,BI57+BJ57)</f>
        <v/>
      </c>
      <c r="BL57" s="42">
        <f>MAX(0,MIN(BI57+BJ57-BK57,BH57))</f>
        <v/>
      </c>
      <c r="BM57" s="42">
        <f>ROUND(BI57+BJ57-BK57-BL57,2)</f>
        <v/>
      </c>
      <c r="BN57">
        <f>BH57-BL57</f>
        <v/>
      </c>
    </row>
    <row r="58">
      <c r="A58" s="39" t="n">
        <v>51</v>
      </c>
      <c r="B58" s="40">
        <f>EDATE('My Debts'!$C$6,A58-1)</f>
        <v/>
      </c>
      <c r="C58" s="41">
        <f>K58+Q58+W58+AC58+AI58+AO58+AU58+BA58+BG58+BM58</f>
        <v/>
      </c>
      <c r="D58" s="42">
        <f>I58+O58+U58+AA58+AG58+AM58+AS58+AY58+BE58+BK58+J58+P58+V58+AB58+AH58+AN58+AT58+AZ58+BF58+BL58</f>
        <v/>
      </c>
      <c r="E58" s="42">
        <f>H58+N58+T58+Z58+AF58+AL58+AR58+AX58+BD58+BJ58</f>
        <v/>
      </c>
      <c r="F58">
        <f>MAX(0,'My Debts'!$E$21-(I58+O58+U58+AA58+AG58+AM58+AS58+AY58+BE58+BK58))</f>
        <v/>
      </c>
      <c r="G58" s="42">
        <f>K57</f>
        <v/>
      </c>
      <c r="H58" s="42">
        <f>ROUND(G58*H$6/12,2)</f>
        <v/>
      </c>
      <c r="I58" s="42">
        <f>MIN(I$6,G58+H58)</f>
        <v/>
      </c>
      <c r="J58" s="42">
        <f>MAX(0,MIN(G58+H58-I58,$F58))</f>
        <v/>
      </c>
      <c r="K58" s="42">
        <f>ROUND(G58+H58-I58-J58,2)</f>
        <v/>
      </c>
      <c r="L58">
        <f>$F58-J58</f>
        <v/>
      </c>
      <c r="M58" s="42">
        <f>Q57</f>
        <v/>
      </c>
      <c r="N58" s="42">
        <f>ROUND(M58*N$6/12,2)</f>
        <v/>
      </c>
      <c r="O58" s="42">
        <f>MIN(O$6,M58+N58)</f>
        <v/>
      </c>
      <c r="P58" s="42">
        <f>MAX(0,MIN(M58+N58-O58,L58))</f>
        <v/>
      </c>
      <c r="Q58" s="42">
        <f>ROUND(M58+N58-O58-P58,2)</f>
        <v/>
      </c>
      <c r="R58">
        <f>L58-P58</f>
        <v/>
      </c>
      <c r="S58" s="42">
        <f>W57</f>
        <v/>
      </c>
      <c r="T58" s="42">
        <f>ROUND(S58*T$6/12,2)</f>
        <v/>
      </c>
      <c r="U58" s="42">
        <f>MIN(U$6,S58+T58)</f>
        <v/>
      </c>
      <c r="V58" s="42">
        <f>MAX(0,MIN(S58+T58-U58,R58))</f>
        <v/>
      </c>
      <c r="W58" s="42">
        <f>ROUND(S58+T58-U58-V58,2)</f>
        <v/>
      </c>
      <c r="X58">
        <f>R58-V58</f>
        <v/>
      </c>
      <c r="Y58" s="42">
        <f>AC57</f>
        <v/>
      </c>
      <c r="Z58" s="42">
        <f>ROUND(Y58*Z$6/12,2)</f>
        <v/>
      </c>
      <c r="AA58" s="42">
        <f>MIN(AA$6,Y58+Z58)</f>
        <v/>
      </c>
      <c r="AB58" s="42">
        <f>MAX(0,MIN(Y58+Z58-AA58,X58))</f>
        <v/>
      </c>
      <c r="AC58" s="42">
        <f>ROUND(Y58+Z58-AA58-AB58,2)</f>
        <v/>
      </c>
      <c r="AD58">
        <f>X58-AB58</f>
        <v/>
      </c>
      <c r="AE58" s="42">
        <f>AI57</f>
        <v/>
      </c>
      <c r="AF58" s="42">
        <f>ROUND(AE58*AF$6/12,2)</f>
        <v/>
      </c>
      <c r="AG58" s="42">
        <f>MIN(AG$6,AE58+AF58)</f>
        <v/>
      </c>
      <c r="AH58" s="42">
        <f>MAX(0,MIN(AE58+AF58-AG58,AD58))</f>
        <v/>
      </c>
      <c r="AI58" s="42">
        <f>ROUND(AE58+AF58-AG58-AH58,2)</f>
        <v/>
      </c>
      <c r="AJ58">
        <f>AD58-AH58</f>
        <v/>
      </c>
      <c r="AK58" s="42">
        <f>AO57</f>
        <v/>
      </c>
      <c r="AL58" s="42">
        <f>ROUND(AK58*AL$6/12,2)</f>
        <v/>
      </c>
      <c r="AM58" s="42">
        <f>MIN(AM$6,AK58+AL58)</f>
        <v/>
      </c>
      <c r="AN58" s="42">
        <f>MAX(0,MIN(AK58+AL58-AM58,AJ58))</f>
        <v/>
      </c>
      <c r="AO58" s="42">
        <f>ROUND(AK58+AL58-AM58-AN58,2)</f>
        <v/>
      </c>
      <c r="AP58">
        <f>AJ58-AN58</f>
        <v/>
      </c>
      <c r="AQ58" s="42">
        <f>AU57</f>
        <v/>
      </c>
      <c r="AR58" s="42">
        <f>ROUND(AQ58*AR$6/12,2)</f>
        <v/>
      </c>
      <c r="AS58" s="42">
        <f>MIN(AS$6,AQ58+AR58)</f>
        <v/>
      </c>
      <c r="AT58" s="42">
        <f>MAX(0,MIN(AQ58+AR58-AS58,AP58))</f>
        <v/>
      </c>
      <c r="AU58" s="42">
        <f>ROUND(AQ58+AR58-AS58-AT58,2)</f>
        <v/>
      </c>
      <c r="AV58">
        <f>AP58-AT58</f>
        <v/>
      </c>
      <c r="AW58" s="42">
        <f>BA57</f>
        <v/>
      </c>
      <c r="AX58" s="42">
        <f>ROUND(AW58*AX$6/12,2)</f>
        <v/>
      </c>
      <c r="AY58" s="42">
        <f>MIN(AY$6,AW58+AX58)</f>
        <v/>
      </c>
      <c r="AZ58" s="42">
        <f>MAX(0,MIN(AW58+AX58-AY58,AV58))</f>
        <v/>
      </c>
      <c r="BA58" s="42">
        <f>ROUND(AW58+AX58-AY58-AZ58,2)</f>
        <v/>
      </c>
      <c r="BB58">
        <f>AV58-AZ58</f>
        <v/>
      </c>
      <c r="BC58" s="42">
        <f>BG57</f>
        <v/>
      </c>
      <c r="BD58" s="42">
        <f>ROUND(BC58*BD$6/12,2)</f>
        <v/>
      </c>
      <c r="BE58" s="42">
        <f>MIN(BE$6,BC58+BD58)</f>
        <v/>
      </c>
      <c r="BF58" s="42">
        <f>MAX(0,MIN(BC58+BD58-BE58,BB58))</f>
        <v/>
      </c>
      <c r="BG58" s="42">
        <f>ROUND(BC58+BD58-BE58-BF58,2)</f>
        <v/>
      </c>
      <c r="BH58">
        <f>BB58-BF58</f>
        <v/>
      </c>
      <c r="BI58" s="42">
        <f>BM57</f>
        <v/>
      </c>
      <c r="BJ58" s="42">
        <f>ROUND(BI58*BJ$6/12,2)</f>
        <v/>
      </c>
      <c r="BK58" s="42">
        <f>MIN(BK$6,BI58+BJ58)</f>
        <v/>
      </c>
      <c r="BL58" s="42">
        <f>MAX(0,MIN(BI58+BJ58-BK58,BH58))</f>
        <v/>
      </c>
      <c r="BM58" s="42">
        <f>ROUND(BI58+BJ58-BK58-BL58,2)</f>
        <v/>
      </c>
      <c r="BN58">
        <f>BH58-BL58</f>
        <v/>
      </c>
    </row>
    <row r="59">
      <c r="A59" s="43" t="n">
        <v>52</v>
      </c>
      <c r="B59" s="44">
        <f>EDATE('My Debts'!$C$6,A59-1)</f>
        <v/>
      </c>
      <c r="C59" s="45">
        <f>K59+Q59+W59+AC59+AI59+AO59+AU59+BA59+BG59+BM59</f>
        <v/>
      </c>
      <c r="D59" s="46">
        <f>I59+O59+U59+AA59+AG59+AM59+AS59+AY59+BE59+BK59+J59+P59+V59+AB59+AH59+AN59+AT59+AZ59+BF59+BL59</f>
        <v/>
      </c>
      <c r="E59" s="46">
        <f>H59+N59+T59+Z59+AF59+AL59+AR59+AX59+BD59+BJ59</f>
        <v/>
      </c>
      <c r="F59">
        <f>MAX(0,'My Debts'!$E$21-(I59+O59+U59+AA59+AG59+AM59+AS59+AY59+BE59+BK59))</f>
        <v/>
      </c>
      <c r="G59" s="42">
        <f>K58</f>
        <v/>
      </c>
      <c r="H59" s="42">
        <f>ROUND(G59*H$6/12,2)</f>
        <v/>
      </c>
      <c r="I59" s="42">
        <f>MIN(I$6,G59+H59)</f>
        <v/>
      </c>
      <c r="J59" s="42">
        <f>MAX(0,MIN(G59+H59-I59,$F59))</f>
        <v/>
      </c>
      <c r="K59" s="42">
        <f>ROUND(G59+H59-I59-J59,2)</f>
        <v/>
      </c>
      <c r="L59">
        <f>$F59-J59</f>
        <v/>
      </c>
      <c r="M59" s="42">
        <f>Q58</f>
        <v/>
      </c>
      <c r="N59" s="42">
        <f>ROUND(M59*N$6/12,2)</f>
        <v/>
      </c>
      <c r="O59" s="42">
        <f>MIN(O$6,M59+N59)</f>
        <v/>
      </c>
      <c r="P59" s="42">
        <f>MAX(0,MIN(M59+N59-O59,L59))</f>
        <v/>
      </c>
      <c r="Q59" s="42">
        <f>ROUND(M59+N59-O59-P59,2)</f>
        <v/>
      </c>
      <c r="R59">
        <f>L59-P59</f>
        <v/>
      </c>
      <c r="S59" s="42">
        <f>W58</f>
        <v/>
      </c>
      <c r="T59" s="42">
        <f>ROUND(S59*T$6/12,2)</f>
        <v/>
      </c>
      <c r="U59" s="42">
        <f>MIN(U$6,S59+T59)</f>
        <v/>
      </c>
      <c r="V59" s="42">
        <f>MAX(0,MIN(S59+T59-U59,R59))</f>
        <v/>
      </c>
      <c r="W59" s="42">
        <f>ROUND(S59+T59-U59-V59,2)</f>
        <v/>
      </c>
      <c r="X59">
        <f>R59-V59</f>
        <v/>
      </c>
      <c r="Y59" s="42">
        <f>AC58</f>
        <v/>
      </c>
      <c r="Z59" s="42">
        <f>ROUND(Y59*Z$6/12,2)</f>
        <v/>
      </c>
      <c r="AA59" s="42">
        <f>MIN(AA$6,Y59+Z59)</f>
        <v/>
      </c>
      <c r="AB59" s="42">
        <f>MAX(0,MIN(Y59+Z59-AA59,X59))</f>
        <v/>
      </c>
      <c r="AC59" s="42">
        <f>ROUND(Y59+Z59-AA59-AB59,2)</f>
        <v/>
      </c>
      <c r="AD59">
        <f>X59-AB59</f>
        <v/>
      </c>
      <c r="AE59" s="42">
        <f>AI58</f>
        <v/>
      </c>
      <c r="AF59" s="42">
        <f>ROUND(AE59*AF$6/12,2)</f>
        <v/>
      </c>
      <c r="AG59" s="42">
        <f>MIN(AG$6,AE59+AF59)</f>
        <v/>
      </c>
      <c r="AH59" s="42">
        <f>MAX(0,MIN(AE59+AF59-AG59,AD59))</f>
        <v/>
      </c>
      <c r="AI59" s="42">
        <f>ROUND(AE59+AF59-AG59-AH59,2)</f>
        <v/>
      </c>
      <c r="AJ59">
        <f>AD59-AH59</f>
        <v/>
      </c>
      <c r="AK59" s="42">
        <f>AO58</f>
        <v/>
      </c>
      <c r="AL59" s="42">
        <f>ROUND(AK59*AL$6/12,2)</f>
        <v/>
      </c>
      <c r="AM59" s="42">
        <f>MIN(AM$6,AK59+AL59)</f>
        <v/>
      </c>
      <c r="AN59" s="42">
        <f>MAX(0,MIN(AK59+AL59-AM59,AJ59))</f>
        <v/>
      </c>
      <c r="AO59" s="42">
        <f>ROUND(AK59+AL59-AM59-AN59,2)</f>
        <v/>
      </c>
      <c r="AP59">
        <f>AJ59-AN59</f>
        <v/>
      </c>
      <c r="AQ59" s="42">
        <f>AU58</f>
        <v/>
      </c>
      <c r="AR59" s="42">
        <f>ROUND(AQ59*AR$6/12,2)</f>
        <v/>
      </c>
      <c r="AS59" s="42">
        <f>MIN(AS$6,AQ59+AR59)</f>
        <v/>
      </c>
      <c r="AT59" s="42">
        <f>MAX(0,MIN(AQ59+AR59-AS59,AP59))</f>
        <v/>
      </c>
      <c r="AU59" s="42">
        <f>ROUND(AQ59+AR59-AS59-AT59,2)</f>
        <v/>
      </c>
      <c r="AV59">
        <f>AP59-AT59</f>
        <v/>
      </c>
      <c r="AW59" s="42">
        <f>BA58</f>
        <v/>
      </c>
      <c r="AX59" s="42">
        <f>ROUND(AW59*AX$6/12,2)</f>
        <v/>
      </c>
      <c r="AY59" s="42">
        <f>MIN(AY$6,AW59+AX59)</f>
        <v/>
      </c>
      <c r="AZ59" s="42">
        <f>MAX(0,MIN(AW59+AX59-AY59,AV59))</f>
        <v/>
      </c>
      <c r="BA59" s="42">
        <f>ROUND(AW59+AX59-AY59-AZ59,2)</f>
        <v/>
      </c>
      <c r="BB59">
        <f>AV59-AZ59</f>
        <v/>
      </c>
      <c r="BC59" s="42">
        <f>BG58</f>
        <v/>
      </c>
      <c r="BD59" s="42">
        <f>ROUND(BC59*BD$6/12,2)</f>
        <v/>
      </c>
      <c r="BE59" s="42">
        <f>MIN(BE$6,BC59+BD59)</f>
        <v/>
      </c>
      <c r="BF59" s="42">
        <f>MAX(0,MIN(BC59+BD59-BE59,BB59))</f>
        <v/>
      </c>
      <c r="BG59" s="42">
        <f>ROUND(BC59+BD59-BE59-BF59,2)</f>
        <v/>
      </c>
      <c r="BH59">
        <f>BB59-BF59</f>
        <v/>
      </c>
      <c r="BI59" s="42">
        <f>BM58</f>
        <v/>
      </c>
      <c r="BJ59" s="42">
        <f>ROUND(BI59*BJ$6/12,2)</f>
        <v/>
      </c>
      <c r="BK59" s="42">
        <f>MIN(BK$6,BI59+BJ59)</f>
        <v/>
      </c>
      <c r="BL59" s="42">
        <f>MAX(0,MIN(BI59+BJ59-BK59,BH59))</f>
        <v/>
      </c>
      <c r="BM59" s="42">
        <f>ROUND(BI59+BJ59-BK59-BL59,2)</f>
        <v/>
      </c>
      <c r="BN59">
        <f>BH59-BL59</f>
        <v/>
      </c>
    </row>
    <row r="60">
      <c r="A60" s="39" t="n">
        <v>53</v>
      </c>
      <c r="B60" s="40">
        <f>EDATE('My Debts'!$C$6,A60-1)</f>
        <v/>
      </c>
      <c r="C60" s="41">
        <f>K60+Q60+W60+AC60+AI60+AO60+AU60+BA60+BG60+BM60</f>
        <v/>
      </c>
      <c r="D60" s="42">
        <f>I60+O60+U60+AA60+AG60+AM60+AS60+AY60+BE60+BK60+J60+P60+V60+AB60+AH60+AN60+AT60+AZ60+BF60+BL60</f>
        <v/>
      </c>
      <c r="E60" s="42">
        <f>H60+N60+T60+Z60+AF60+AL60+AR60+AX60+BD60+BJ60</f>
        <v/>
      </c>
      <c r="F60">
        <f>MAX(0,'My Debts'!$E$21-(I60+O60+U60+AA60+AG60+AM60+AS60+AY60+BE60+BK60))</f>
        <v/>
      </c>
      <c r="G60" s="42">
        <f>K59</f>
        <v/>
      </c>
      <c r="H60" s="42">
        <f>ROUND(G60*H$6/12,2)</f>
        <v/>
      </c>
      <c r="I60" s="42">
        <f>MIN(I$6,G60+H60)</f>
        <v/>
      </c>
      <c r="J60" s="42">
        <f>MAX(0,MIN(G60+H60-I60,$F60))</f>
        <v/>
      </c>
      <c r="K60" s="42">
        <f>ROUND(G60+H60-I60-J60,2)</f>
        <v/>
      </c>
      <c r="L60">
        <f>$F60-J60</f>
        <v/>
      </c>
      <c r="M60" s="42">
        <f>Q59</f>
        <v/>
      </c>
      <c r="N60" s="42">
        <f>ROUND(M60*N$6/12,2)</f>
        <v/>
      </c>
      <c r="O60" s="42">
        <f>MIN(O$6,M60+N60)</f>
        <v/>
      </c>
      <c r="P60" s="42">
        <f>MAX(0,MIN(M60+N60-O60,L60))</f>
        <v/>
      </c>
      <c r="Q60" s="42">
        <f>ROUND(M60+N60-O60-P60,2)</f>
        <v/>
      </c>
      <c r="R60">
        <f>L60-P60</f>
        <v/>
      </c>
      <c r="S60" s="42">
        <f>W59</f>
        <v/>
      </c>
      <c r="T60" s="42">
        <f>ROUND(S60*T$6/12,2)</f>
        <v/>
      </c>
      <c r="U60" s="42">
        <f>MIN(U$6,S60+T60)</f>
        <v/>
      </c>
      <c r="V60" s="42">
        <f>MAX(0,MIN(S60+T60-U60,R60))</f>
        <v/>
      </c>
      <c r="W60" s="42">
        <f>ROUND(S60+T60-U60-V60,2)</f>
        <v/>
      </c>
      <c r="X60">
        <f>R60-V60</f>
        <v/>
      </c>
      <c r="Y60" s="42">
        <f>AC59</f>
        <v/>
      </c>
      <c r="Z60" s="42">
        <f>ROUND(Y60*Z$6/12,2)</f>
        <v/>
      </c>
      <c r="AA60" s="42">
        <f>MIN(AA$6,Y60+Z60)</f>
        <v/>
      </c>
      <c r="AB60" s="42">
        <f>MAX(0,MIN(Y60+Z60-AA60,X60))</f>
        <v/>
      </c>
      <c r="AC60" s="42">
        <f>ROUND(Y60+Z60-AA60-AB60,2)</f>
        <v/>
      </c>
      <c r="AD60">
        <f>X60-AB60</f>
        <v/>
      </c>
      <c r="AE60" s="42">
        <f>AI59</f>
        <v/>
      </c>
      <c r="AF60" s="42">
        <f>ROUND(AE60*AF$6/12,2)</f>
        <v/>
      </c>
      <c r="AG60" s="42">
        <f>MIN(AG$6,AE60+AF60)</f>
        <v/>
      </c>
      <c r="AH60" s="42">
        <f>MAX(0,MIN(AE60+AF60-AG60,AD60))</f>
        <v/>
      </c>
      <c r="AI60" s="42">
        <f>ROUND(AE60+AF60-AG60-AH60,2)</f>
        <v/>
      </c>
      <c r="AJ60">
        <f>AD60-AH60</f>
        <v/>
      </c>
      <c r="AK60" s="42">
        <f>AO59</f>
        <v/>
      </c>
      <c r="AL60" s="42">
        <f>ROUND(AK60*AL$6/12,2)</f>
        <v/>
      </c>
      <c r="AM60" s="42">
        <f>MIN(AM$6,AK60+AL60)</f>
        <v/>
      </c>
      <c r="AN60" s="42">
        <f>MAX(0,MIN(AK60+AL60-AM60,AJ60))</f>
        <v/>
      </c>
      <c r="AO60" s="42">
        <f>ROUND(AK60+AL60-AM60-AN60,2)</f>
        <v/>
      </c>
      <c r="AP60">
        <f>AJ60-AN60</f>
        <v/>
      </c>
      <c r="AQ60" s="42">
        <f>AU59</f>
        <v/>
      </c>
      <c r="AR60" s="42">
        <f>ROUND(AQ60*AR$6/12,2)</f>
        <v/>
      </c>
      <c r="AS60" s="42">
        <f>MIN(AS$6,AQ60+AR60)</f>
        <v/>
      </c>
      <c r="AT60" s="42">
        <f>MAX(0,MIN(AQ60+AR60-AS60,AP60))</f>
        <v/>
      </c>
      <c r="AU60" s="42">
        <f>ROUND(AQ60+AR60-AS60-AT60,2)</f>
        <v/>
      </c>
      <c r="AV60">
        <f>AP60-AT60</f>
        <v/>
      </c>
      <c r="AW60" s="42">
        <f>BA59</f>
        <v/>
      </c>
      <c r="AX60" s="42">
        <f>ROUND(AW60*AX$6/12,2)</f>
        <v/>
      </c>
      <c r="AY60" s="42">
        <f>MIN(AY$6,AW60+AX60)</f>
        <v/>
      </c>
      <c r="AZ60" s="42">
        <f>MAX(0,MIN(AW60+AX60-AY60,AV60))</f>
        <v/>
      </c>
      <c r="BA60" s="42">
        <f>ROUND(AW60+AX60-AY60-AZ60,2)</f>
        <v/>
      </c>
      <c r="BB60">
        <f>AV60-AZ60</f>
        <v/>
      </c>
      <c r="BC60" s="42">
        <f>BG59</f>
        <v/>
      </c>
      <c r="BD60" s="42">
        <f>ROUND(BC60*BD$6/12,2)</f>
        <v/>
      </c>
      <c r="BE60" s="42">
        <f>MIN(BE$6,BC60+BD60)</f>
        <v/>
      </c>
      <c r="BF60" s="42">
        <f>MAX(0,MIN(BC60+BD60-BE60,BB60))</f>
        <v/>
      </c>
      <c r="BG60" s="42">
        <f>ROUND(BC60+BD60-BE60-BF60,2)</f>
        <v/>
      </c>
      <c r="BH60">
        <f>BB60-BF60</f>
        <v/>
      </c>
      <c r="BI60" s="42">
        <f>BM59</f>
        <v/>
      </c>
      <c r="BJ60" s="42">
        <f>ROUND(BI60*BJ$6/12,2)</f>
        <v/>
      </c>
      <c r="BK60" s="42">
        <f>MIN(BK$6,BI60+BJ60)</f>
        <v/>
      </c>
      <c r="BL60" s="42">
        <f>MAX(0,MIN(BI60+BJ60-BK60,BH60))</f>
        <v/>
      </c>
      <c r="BM60" s="42">
        <f>ROUND(BI60+BJ60-BK60-BL60,2)</f>
        <v/>
      </c>
      <c r="BN60">
        <f>BH60-BL60</f>
        <v/>
      </c>
    </row>
    <row r="61">
      <c r="A61" s="43" t="n">
        <v>54</v>
      </c>
      <c r="B61" s="44">
        <f>EDATE('My Debts'!$C$6,A61-1)</f>
        <v/>
      </c>
      <c r="C61" s="45">
        <f>K61+Q61+W61+AC61+AI61+AO61+AU61+BA61+BG61+BM61</f>
        <v/>
      </c>
      <c r="D61" s="46">
        <f>I61+O61+U61+AA61+AG61+AM61+AS61+AY61+BE61+BK61+J61+P61+V61+AB61+AH61+AN61+AT61+AZ61+BF61+BL61</f>
        <v/>
      </c>
      <c r="E61" s="46">
        <f>H61+N61+T61+Z61+AF61+AL61+AR61+AX61+BD61+BJ61</f>
        <v/>
      </c>
      <c r="F61">
        <f>MAX(0,'My Debts'!$E$21-(I61+O61+U61+AA61+AG61+AM61+AS61+AY61+BE61+BK61))</f>
        <v/>
      </c>
      <c r="G61" s="42">
        <f>K60</f>
        <v/>
      </c>
      <c r="H61" s="42">
        <f>ROUND(G61*H$6/12,2)</f>
        <v/>
      </c>
      <c r="I61" s="42">
        <f>MIN(I$6,G61+H61)</f>
        <v/>
      </c>
      <c r="J61" s="42">
        <f>MAX(0,MIN(G61+H61-I61,$F61))</f>
        <v/>
      </c>
      <c r="K61" s="42">
        <f>ROUND(G61+H61-I61-J61,2)</f>
        <v/>
      </c>
      <c r="L61">
        <f>$F61-J61</f>
        <v/>
      </c>
      <c r="M61" s="42">
        <f>Q60</f>
        <v/>
      </c>
      <c r="N61" s="42">
        <f>ROUND(M61*N$6/12,2)</f>
        <v/>
      </c>
      <c r="O61" s="42">
        <f>MIN(O$6,M61+N61)</f>
        <v/>
      </c>
      <c r="P61" s="42">
        <f>MAX(0,MIN(M61+N61-O61,L61))</f>
        <v/>
      </c>
      <c r="Q61" s="42">
        <f>ROUND(M61+N61-O61-P61,2)</f>
        <v/>
      </c>
      <c r="R61">
        <f>L61-P61</f>
        <v/>
      </c>
      <c r="S61" s="42">
        <f>W60</f>
        <v/>
      </c>
      <c r="T61" s="42">
        <f>ROUND(S61*T$6/12,2)</f>
        <v/>
      </c>
      <c r="U61" s="42">
        <f>MIN(U$6,S61+T61)</f>
        <v/>
      </c>
      <c r="V61" s="42">
        <f>MAX(0,MIN(S61+T61-U61,R61))</f>
        <v/>
      </c>
      <c r="W61" s="42">
        <f>ROUND(S61+T61-U61-V61,2)</f>
        <v/>
      </c>
      <c r="X61">
        <f>R61-V61</f>
        <v/>
      </c>
      <c r="Y61" s="42">
        <f>AC60</f>
        <v/>
      </c>
      <c r="Z61" s="42">
        <f>ROUND(Y61*Z$6/12,2)</f>
        <v/>
      </c>
      <c r="AA61" s="42">
        <f>MIN(AA$6,Y61+Z61)</f>
        <v/>
      </c>
      <c r="AB61" s="42">
        <f>MAX(0,MIN(Y61+Z61-AA61,X61))</f>
        <v/>
      </c>
      <c r="AC61" s="42">
        <f>ROUND(Y61+Z61-AA61-AB61,2)</f>
        <v/>
      </c>
      <c r="AD61">
        <f>X61-AB61</f>
        <v/>
      </c>
      <c r="AE61" s="42">
        <f>AI60</f>
        <v/>
      </c>
      <c r="AF61" s="42">
        <f>ROUND(AE61*AF$6/12,2)</f>
        <v/>
      </c>
      <c r="AG61" s="42">
        <f>MIN(AG$6,AE61+AF61)</f>
        <v/>
      </c>
      <c r="AH61" s="42">
        <f>MAX(0,MIN(AE61+AF61-AG61,AD61))</f>
        <v/>
      </c>
      <c r="AI61" s="42">
        <f>ROUND(AE61+AF61-AG61-AH61,2)</f>
        <v/>
      </c>
      <c r="AJ61">
        <f>AD61-AH61</f>
        <v/>
      </c>
      <c r="AK61" s="42">
        <f>AO60</f>
        <v/>
      </c>
      <c r="AL61" s="42">
        <f>ROUND(AK61*AL$6/12,2)</f>
        <v/>
      </c>
      <c r="AM61" s="42">
        <f>MIN(AM$6,AK61+AL61)</f>
        <v/>
      </c>
      <c r="AN61" s="42">
        <f>MAX(0,MIN(AK61+AL61-AM61,AJ61))</f>
        <v/>
      </c>
      <c r="AO61" s="42">
        <f>ROUND(AK61+AL61-AM61-AN61,2)</f>
        <v/>
      </c>
      <c r="AP61">
        <f>AJ61-AN61</f>
        <v/>
      </c>
      <c r="AQ61" s="42">
        <f>AU60</f>
        <v/>
      </c>
      <c r="AR61" s="42">
        <f>ROUND(AQ61*AR$6/12,2)</f>
        <v/>
      </c>
      <c r="AS61" s="42">
        <f>MIN(AS$6,AQ61+AR61)</f>
        <v/>
      </c>
      <c r="AT61" s="42">
        <f>MAX(0,MIN(AQ61+AR61-AS61,AP61))</f>
        <v/>
      </c>
      <c r="AU61" s="42">
        <f>ROUND(AQ61+AR61-AS61-AT61,2)</f>
        <v/>
      </c>
      <c r="AV61">
        <f>AP61-AT61</f>
        <v/>
      </c>
      <c r="AW61" s="42">
        <f>BA60</f>
        <v/>
      </c>
      <c r="AX61" s="42">
        <f>ROUND(AW61*AX$6/12,2)</f>
        <v/>
      </c>
      <c r="AY61" s="42">
        <f>MIN(AY$6,AW61+AX61)</f>
        <v/>
      </c>
      <c r="AZ61" s="42">
        <f>MAX(0,MIN(AW61+AX61-AY61,AV61))</f>
        <v/>
      </c>
      <c r="BA61" s="42">
        <f>ROUND(AW61+AX61-AY61-AZ61,2)</f>
        <v/>
      </c>
      <c r="BB61">
        <f>AV61-AZ61</f>
        <v/>
      </c>
      <c r="BC61" s="42">
        <f>BG60</f>
        <v/>
      </c>
      <c r="BD61" s="42">
        <f>ROUND(BC61*BD$6/12,2)</f>
        <v/>
      </c>
      <c r="BE61" s="42">
        <f>MIN(BE$6,BC61+BD61)</f>
        <v/>
      </c>
      <c r="BF61" s="42">
        <f>MAX(0,MIN(BC61+BD61-BE61,BB61))</f>
        <v/>
      </c>
      <c r="BG61" s="42">
        <f>ROUND(BC61+BD61-BE61-BF61,2)</f>
        <v/>
      </c>
      <c r="BH61">
        <f>BB61-BF61</f>
        <v/>
      </c>
      <c r="BI61" s="42">
        <f>BM60</f>
        <v/>
      </c>
      <c r="BJ61" s="42">
        <f>ROUND(BI61*BJ$6/12,2)</f>
        <v/>
      </c>
      <c r="BK61" s="42">
        <f>MIN(BK$6,BI61+BJ61)</f>
        <v/>
      </c>
      <c r="BL61" s="42">
        <f>MAX(0,MIN(BI61+BJ61-BK61,BH61))</f>
        <v/>
      </c>
      <c r="BM61" s="42">
        <f>ROUND(BI61+BJ61-BK61-BL61,2)</f>
        <v/>
      </c>
      <c r="BN61">
        <f>BH61-BL61</f>
        <v/>
      </c>
    </row>
    <row r="62">
      <c r="A62" s="39" t="n">
        <v>55</v>
      </c>
      <c r="B62" s="40">
        <f>EDATE('My Debts'!$C$6,A62-1)</f>
        <v/>
      </c>
      <c r="C62" s="41">
        <f>K62+Q62+W62+AC62+AI62+AO62+AU62+BA62+BG62+BM62</f>
        <v/>
      </c>
      <c r="D62" s="42">
        <f>I62+O62+U62+AA62+AG62+AM62+AS62+AY62+BE62+BK62+J62+P62+V62+AB62+AH62+AN62+AT62+AZ62+BF62+BL62</f>
        <v/>
      </c>
      <c r="E62" s="42">
        <f>H62+N62+T62+Z62+AF62+AL62+AR62+AX62+BD62+BJ62</f>
        <v/>
      </c>
      <c r="F62">
        <f>MAX(0,'My Debts'!$E$21-(I62+O62+U62+AA62+AG62+AM62+AS62+AY62+BE62+BK62))</f>
        <v/>
      </c>
      <c r="G62" s="42">
        <f>K61</f>
        <v/>
      </c>
      <c r="H62" s="42">
        <f>ROUND(G62*H$6/12,2)</f>
        <v/>
      </c>
      <c r="I62" s="42">
        <f>MIN(I$6,G62+H62)</f>
        <v/>
      </c>
      <c r="J62" s="42">
        <f>MAX(0,MIN(G62+H62-I62,$F62))</f>
        <v/>
      </c>
      <c r="K62" s="42">
        <f>ROUND(G62+H62-I62-J62,2)</f>
        <v/>
      </c>
      <c r="L62">
        <f>$F62-J62</f>
        <v/>
      </c>
      <c r="M62" s="42">
        <f>Q61</f>
        <v/>
      </c>
      <c r="N62" s="42">
        <f>ROUND(M62*N$6/12,2)</f>
        <v/>
      </c>
      <c r="O62" s="42">
        <f>MIN(O$6,M62+N62)</f>
        <v/>
      </c>
      <c r="P62" s="42">
        <f>MAX(0,MIN(M62+N62-O62,L62))</f>
        <v/>
      </c>
      <c r="Q62" s="42">
        <f>ROUND(M62+N62-O62-P62,2)</f>
        <v/>
      </c>
      <c r="R62">
        <f>L62-P62</f>
        <v/>
      </c>
      <c r="S62" s="42">
        <f>W61</f>
        <v/>
      </c>
      <c r="T62" s="42">
        <f>ROUND(S62*T$6/12,2)</f>
        <v/>
      </c>
      <c r="U62" s="42">
        <f>MIN(U$6,S62+T62)</f>
        <v/>
      </c>
      <c r="V62" s="42">
        <f>MAX(0,MIN(S62+T62-U62,R62))</f>
        <v/>
      </c>
      <c r="W62" s="42">
        <f>ROUND(S62+T62-U62-V62,2)</f>
        <v/>
      </c>
      <c r="X62">
        <f>R62-V62</f>
        <v/>
      </c>
      <c r="Y62" s="42">
        <f>AC61</f>
        <v/>
      </c>
      <c r="Z62" s="42">
        <f>ROUND(Y62*Z$6/12,2)</f>
        <v/>
      </c>
      <c r="AA62" s="42">
        <f>MIN(AA$6,Y62+Z62)</f>
        <v/>
      </c>
      <c r="AB62" s="42">
        <f>MAX(0,MIN(Y62+Z62-AA62,X62))</f>
        <v/>
      </c>
      <c r="AC62" s="42">
        <f>ROUND(Y62+Z62-AA62-AB62,2)</f>
        <v/>
      </c>
      <c r="AD62">
        <f>X62-AB62</f>
        <v/>
      </c>
      <c r="AE62" s="42">
        <f>AI61</f>
        <v/>
      </c>
      <c r="AF62" s="42">
        <f>ROUND(AE62*AF$6/12,2)</f>
        <v/>
      </c>
      <c r="AG62" s="42">
        <f>MIN(AG$6,AE62+AF62)</f>
        <v/>
      </c>
      <c r="AH62" s="42">
        <f>MAX(0,MIN(AE62+AF62-AG62,AD62))</f>
        <v/>
      </c>
      <c r="AI62" s="42">
        <f>ROUND(AE62+AF62-AG62-AH62,2)</f>
        <v/>
      </c>
      <c r="AJ62">
        <f>AD62-AH62</f>
        <v/>
      </c>
      <c r="AK62" s="42">
        <f>AO61</f>
        <v/>
      </c>
      <c r="AL62" s="42">
        <f>ROUND(AK62*AL$6/12,2)</f>
        <v/>
      </c>
      <c r="AM62" s="42">
        <f>MIN(AM$6,AK62+AL62)</f>
        <v/>
      </c>
      <c r="AN62" s="42">
        <f>MAX(0,MIN(AK62+AL62-AM62,AJ62))</f>
        <v/>
      </c>
      <c r="AO62" s="42">
        <f>ROUND(AK62+AL62-AM62-AN62,2)</f>
        <v/>
      </c>
      <c r="AP62">
        <f>AJ62-AN62</f>
        <v/>
      </c>
      <c r="AQ62" s="42">
        <f>AU61</f>
        <v/>
      </c>
      <c r="AR62" s="42">
        <f>ROUND(AQ62*AR$6/12,2)</f>
        <v/>
      </c>
      <c r="AS62" s="42">
        <f>MIN(AS$6,AQ62+AR62)</f>
        <v/>
      </c>
      <c r="AT62" s="42">
        <f>MAX(0,MIN(AQ62+AR62-AS62,AP62))</f>
        <v/>
      </c>
      <c r="AU62" s="42">
        <f>ROUND(AQ62+AR62-AS62-AT62,2)</f>
        <v/>
      </c>
      <c r="AV62">
        <f>AP62-AT62</f>
        <v/>
      </c>
      <c r="AW62" s="42">
        <f>BA61</f>
        <v/>
      </c>
      <c r="AX62" s="42">
        <f>ROUND(AW62*AX$6/12,2)</f>
        <v/>
      </c>
      <c r="AY62" s="42">
        <f>MIN(AY$6,AW62+AX62)</f>
        <v/>
      </c>
      <c r="AZ62" s="42">
        <f>MAX(0,MIN(AW62+AX62-AY62,AV62))</f>
        <v/>
      </c>
      <c r="BA62" s="42">
        <f>ROUND(AW62+AX62-AY62-AZ62,2)</f>
        <v/>
      </c>
      <c r="BB62">
        <f>AV62-AZ62</f>
        <v/>
      </c>
      <c r="BC62" s="42">
        <f>BG61</f>
        <v/>
      </c>
      <c r="BD62" s="42">
        <f>ROUND(BC62*BD$6/12,2)</f>
        <v/>
      </c>
      <c r="BE62" s="42">
        <f>MIN(BE$6,BC62+BD62)</f>
        <v/>
      </c>
      <c r="BF62" s="42">
        <f>MAX(0,MIN(BC62+BD62-BE62,BB62))</f>
        <v/>
      </c>
      <c r="BG62" s="42">
        <f>ROUND(BC62+BD62-BE62-BF62,2)</f>
        <v/>
      </c>
      <c r="BH62">
        <f>BB62-BF62</f>
        <v/>
      </c>
      <c r="BI62" s="42">
        <f>BM61</f>
        <v/>
      </c>
      <c r="BJ62" s="42">
        <f>ROUND(BI62*BJ$6/12,2)</f>
        <v/>
      </c>
      <c r="BK62" s="42">
        <f>MIN(BK$6,BI62+BJ62)</f>
        <v/>
      </c>
      <c r="BL62" s="42">
        <f>MAX(0,MIN(BI62+BJ62-BK62,BH62))</f>
        <v/>
      </c>
      <c r="BM62" s="42">
        <f>ROUND(BI62+BJ62-BK62-BL62,2)</f>
        <v/>
      </c>
      <c r="BN62">
        <f>BH62-BL62</f>
        <v/>
      </c>
    </row>
    <row r="63">
      <c r="A63" s="43" t="n">
        <v>56</v>
      </c>
      <c r="B63" s="44">
        <f>EDATE('My Debts'!$C$6,A63-1)</f>
        <v/>
      </c>
      <c r="C63" s="45">
        <f>K63+Q63+W63+AC63+AI63+AO63+AU63+BA63+BG63+BM63</f>
        <v/>
      </c>
      <c r="D63" s="46">
        <f>I63+O63+U63+AA63+AG63+AM63+AS63+AY63+BE63+BK63+J63+P63+V63+AB63+AH63+AN63+AT63+AZ63+BF63+BL63</f>
        <v/>
      </c>
      <c r="E63" s="46">
        <f>H63+N63+T63+Z63+AF63+AL63+AR63+AX63+BD63+BJ63</f>
        <v/>
      </c>
      <c r="F63">
        <f>MAX(0,'My Debts'!$E$21-(I63+O63+U63+AA63+AG63+AM63+AS63+AY63+BE63+BK63))</f>
        <v/>
      </c>
      <c r="G63" s="42">
        <f>K62</f>
        <v/>
      </c>
      <c r="H63" s="42">
        <f>ROUND(G63*H$6/12,2)</f>
        <v/>
      </c>
      <c r="I63" s="42">
        <f>MIN(I$6,G63+H63)</f>
        <v/>
      </c>
      <c r="J63" s="42">
        <f>MAX(0,MIN(G63+H63-I63,$F63))</f>
        <v/>
      </c>
      <c r="K63" s="42">
        <f>ROUND(G63+H63-I63-J63,2)</f>
        <v/>
      </c>
      <c r="L63">
        <f>$F63-J63</f>
        <v/>
      </c>
      <c r="M63" s="42">
        <f>Q62</f>
        <v/>
      </c>
      <c r="N63" s="42">
        <f>ROUND(M63*N$6/12,2)</f>
        <v/>
      </c>
      <c r="O63" s="42">
        <f>MIN(O$6,M63+N63)</f>
        <v/>
      </c>
      <c r="P63" s="42">
        <f>MAX(0,MIN(M63+N63-O63,L63))</f>
        <v/>
      </c>
      <c r="Q63" s="42">
        <f>ROUND(M63+N63-O63-P63,2)</f>
        <v/>
      </c>
      <c r="R63">
        <f>L63-P63</f>
        <v/>
      </c>
      <c r="S63" s="42">
        <f>W62</f>
        <v/>
      </c>
      <c r="T63" s="42">
        <f>ROUND(S63*T$6/12,2)</f>
        <v/>
      </c>
      <c r="U63" s="42">
        <f>MIN(U$6,S63+T63)</f>
        <v/>
      </c>
      <c r="V63" s="42">
        <f>MAX(0,MIN(S63+T63-U63,R63))</f>
        <v/>
      </c>
      <c r="W63" s="42">
        <f>ROUND(S63+T63-U63-V63,2)</f>
        <v/>
      </c>
      <c r="X63">
        <f>R63-V63</f>
        <v/>
      </c>
      <c r="Y63" s="42">
        <f>AC62</f>
        <v/>
      </c>
      <c r="Z63" s="42">
        <f>ROUND(Y63*Z$6/12,2)</f>
        <v/>
      </c>
      <c r="AA63" s="42">
        <f>MIN(AA$6,Y63+Z63)</f>
        <v/>
      </c>
      <c r="AB63" s="42">
        <f>MAX(0,MIN(Y63+Z63-AA63,X63))</f>
        <v/>
      </c>
      <c r="AC63" s="42">
        <f>ROUND(Y63+Z63-AA63-AB63,2)</f>
        <v/>
      </c>
      <c r="AD63">
        <f>X63-AB63</f>
        <v/>
      </c>
      <c r="AE63" s="42">
        <f>AI62</f>
        <v/>
      </c>
      <c r="AF63" s="42">
        <f>ROUND(AE63*AF$6/12,2)</f>
        <v/>
      </c>
      <c r="AG63" s="42">
        <f>MIN(AG$6,AE63+AF63)</f>
        <v/>
      </c>
      <c r="AH63" s="42">
        <f>MAX(0,MIN(AE63+AF63-AG63,AD63))</f>
        <v/>
      </c>
      <c r="AI63" s="42">
        <f>ROUND(AE63+AF63-AG63-AH63,2)</f>
        <v/>
      </c>
      <c r="AJ63">
        <f>AD63-AH63</f>
        <v/>
      </c>
      <c r="AK63" s="42">
        <f>AO62</f>
        <v/>
      </c>
      <c r="AL63" s="42">
        <f>ROUND(AK63*AL$6/12,2)</f>
        <v/>
      </c>
      <c r="AM63" s="42">
        <f>MIN(AM$6,AK63+AL63)</f>
        <v/>
      </c>
      <c r="AN63" s="42">
        <f>MAX(0,MIN(AK63+AL63-AM63,AJ63))</f>
        <v/>
      </c>
      <c r="AO63" s="42">
        <f>ROUND(AK63+AL63-AM63-AN63,2)</f>
        <v/>
      </c>
      <c r="AP63">
        <f>AJ63-AN63</f>
        <v/>
      </c>
      <c r="AQ63" s="42">
        <f>AU62</f>
        <v/>
      </c>
      <c r="AR63" s="42">
        <f>ROUND(AQ63*AR$6/12,2)</f>
        <v/>
      </c>
      <c r="AS63" s="42">
        <f>MIN(AS$6,AQ63+AR63)</f>
        <v/>
      </c>
      <c r="AT63" s="42">
        <f>MAX(0,MIN(AQ63+AR63-AS63,AP63))</f>
        <v/>
      </c>
      <c r="AU63" s="42">
        <f>ROUND(AQ63+AR63-AS63-AT63,2)</f>
        <v/>
      </c>
      <c r="AV63">
        <f>AP63-AT63</f>
        <v/>
      </c>
      <c r="AW63" s="42">
        <f>BA62</f>
        <v/>
      </c>
      <c r="AX63" s="42">
        <f>ROUND(AW63*AX$6/12,2)</f>
        <v/>
      </c>
      <c r="AY63" s="42">
        <f>MIN(AY$6,AW63+AX63)</f>
        <v/>
      </c>
      <c r="AZ63" s="42">
        <f>MAX(0,MIN(AW63+AX63-AY63,AV63))</f>
        <v/>
      </c>
      <c r="BA63" s="42">
        <f>ROUND(AW63+AX63-AY63-AZ63,2)</f>
        <v/>
      </c>
      <c r="BB63">
        <f>AV63-AZ63</f>
        <v/>
      </c>
      <c r="BC63" s="42">
        <f>BG62</f>
        <v/>
      </c>
      <c r="BD63" s="42">
        <f>ROUND(BC63*BD$6/12,2)</f>
        <v/>
      </c>
      <c r="BE63" s="42">
        <f>MIN(BE$6,BC63+BD63)</f>
        <v/>
      </c>
      <c r="BF63" s="42">
        <f>MAX(0,MIN(BC63+BD63-BE63,BB63))</f>
        <v/>
      </c>
      <c r="BG63" s="42">
        <f>ROUND(BC63+BD63-BE63-BF63,2)</f>
        <v/>
      </c>
      <c r="BH63">
        <f>BB63-BF63</f>
        <v/>
      </c>
      <c r="BI63" s="42">
        <f>BM62</f>
        <v/>
      </c>
      <c r="BJ63" s="42">
        <f>ROUND(BI63*BJ$6/12,2)</f>
        <v/>
      </c>
      <c r="BK63" s="42">
        <f>MIN(BK$6,BI63+BJ63)</f>
        <v/>
      </c>
      <c r="BL63" s="42">
        <f>MAX(0,MIN(BI63+BJ63-BK63,BH63))</f>
        <v/>
      </c>
      <c r="BM63" s="42">
        <f>ROUND(BI63+BJ63-BK63-BL63,2)</f>
        <v/>
      </c>
      <c r="BN63">
        <f>BH63-BL63</f>
        <v/>
      </c>
    </row>
    <row r="64">
      <c r="A64" s="39" t="n">
        <v>57</v>
      </c>
      <c r="B64" s="40">
        <f>EDATE('My Debts'!$C$6,A64-1)</f>
        <v/>
      </c>
      <c r="C64" s="41">
        <f>K64+Q64+W64+AC64+AI64+AO64+AU64+BA64+BG64+BM64</f>
        <v/>
      </c>
      <c r="D64" s="42">
        <f>I64+O64+U64+AA64+AG64+AM64+AS64+AY64+BE64+BK64+J64+P64+V64+AB64+AH64+AN64+AT64+AZ64+BF64+BL64</f>
        <v/>
      </c>
      <c r="E64" s="42">
        <f>H64+N64+T64+Z64+AF64+AL64+AR64+AX64+BD64+BJ64</f>
        <v/>
      </c>
      <c r="F64">
        <f>MAX(0,'My Debts'!$E$21-(I64+O64+U64+AA64+AG64+AM64+AS64+AY64+BE64+BK64))</f>
        <v/>
      </c>
      <c r="G64" s="42">
        <f>K63</f>
        <v/>
      </c>
      <c r="H64" s="42">
        <f>ROUND(G64*H$6/12,2)</f>
        <v/>
      </c>
      <c r="I64" s="42">
        <f>MIN(I$6,G64+H64)</f>
        <v/>
      </c>
      <c r="J64" s="42">
        <f>MAX(0,MIN(G64+H64-I64,$F64))</f>
        <v/>
      </c>
      <c r="K64" s="42">
        <f>ROUND(G64+H64-I64-J64,2)</f>
        <v/>
      </c>
      <c r="L64">
        <f>$F64-J64</f>
        <v/>
      </c>
      <c r="M64" s="42">
        <f>Q63</f>
        <v/>
      </c>
      <c r="N64" s="42">
        <f>ROUND(M64*N$6/12,2)</f>
        <v/>
      </c>
      <c r="O64" s="42">
        <f>MIN(O$6,M64+N64)</f>
        <v/>
      </c>
      <c r="P64" s="42">
        <f>MAX(0,MIN(M64+N64-O64,L64))</f>
        <v/>
      </c>
      <c r="Q64" s="42">
        <f>ROUND(M64+N64-O64-P64,2)</f>
        <v/>
      </c>
      <c r="R64">
        <f>L64-P64</f>
        <v/>
      </c>
      <c r="S64" s="42">
        <f>W63</f>
        <v/>
      </c>
      <c r="T64" s="42">
        <f>ROUND(S64*T$6/12,2)</f>
        <v/>
      </c>
      <c r="U64" s="42">
        <f>MIN(U$6,S64+T64)</f>
        <v/>
      </c>
      <c r="V64" s="42">
        <f>MAX(0,MIN(S64+T64-U64,R64))</f>
        <v/>
      </c>
      <c r="W64" s="42">
        <f>ROUND(S64+T64-U64-V64,2)</f>
        <v/>
      </c>
      <c r="X64">
        <f>R64-V64</f>
        <v/>
      </c>
      <c r="Y64" s="42">
        <f>AC63</f>
        <v/>
      </c>
      <c r="Z64" s="42">
        <f>ROUND(Y64*Z$6/12,2)</f>
        <v/>
      </c>
      <c r="AA64" s="42">
        <f>MIN(AA$6,Y64+Z64)</f>
        <v/>
      </c>
      <c r="AB64" s="42">
        <f>MAX(0,MIN(Y64+Z64-AA64,X64))</f>
        <v/>
      </c>
      <c r="AC64" s="42">
        <f>ROUND(Y64+Z64-AA64-AB64,2)</f>
        <v/>
      </c>
      <c r="AD64">
        <f>X64-AB64</f>
        <v/>
      </c>
      <c r="AE64" s="42">
        <f>AI63</f>
        <v/>
      </c>
      <c r="AF64" s="42">
        <f>ROUND(AE64*AF$6/12,2)</f>
        <v/>
      </c>
      <c r="AG64" s="42">
        <f>MIN(AG$6,AE64+AF64)</f>
        <v/>
      </c>
      <c r="AH64" s="42">
        <f>MAX(0,MIN(AE64+AF64-AG64,AD64))</f>
        <v/>
      </c>
      <c r="AI64" s="42">
        <f>ROUND(AE64+AF64-AG64-AH64,2)</f>
        <v/>
      </c>
      <c r="AJ64">
        <f>AD64-AH64</f>
        <v/>
      </c>
      <c r="AK64" s="42">
        <f>AO63</f>
        <v/>
      </c>
      <c r="AL64" s="42">
        <f>ROUND(AK64*AL$6/12,2)</f>
        <v/>
      </c>
      <c r="AM64" s="42">
        <f>MIN(AM$6,AK64+AL64)</f>
        <v/>
      </c>
      <c r="AN64" s="42">
        <f>MAX(0,MIN(AK64+AL64-AM64,AJ64))</f>
        <v/>
      </c>
      <c r="AO64" s="42">
        <f>ROUND(AK64+AL64-AM64-AN64,2)</f>
        <v/>
      </c>
      <c r="AP64">
        <f>AJ64-AN64</f>
        <v/>
      </c>
      <c r="AQ64" s="42">
        <f>AU63</f>
        <v/>
      </c>
      <c r="AR64" s="42">
        <f>ROUND(AQ64*AR$6/12,2)</f>
        <v/>
      </c>
      <c r="AS64" s="42">
        <f>MIN(AS$6,AQ64+AR64)</f>
        <v/>
      </c>
      <c r="AT64" s="42">
        <f>MAX(0,MIN(AQ64+AR64-AS64,AP64))</f>
        <v/>
      </c>
      <c r="AU64" s="42">
        <f>ROUND(AQ64+AR64-AS64-AT64,2)</f>
        <v/>
      </c>
      <c r="AV64">
        <f>AP64-AT64</f>
        <v/>
      </c>
      <c r="AW64" s="42">
        <f>BA63</f>
        <v/>
      </c>
      <c r="AX64" s="42">
        <f>ROUND(AW64*AX$6/12,2)</f>
        <v/>
      </c>
      <c r="AY64" s="42">
        <f>MIN(AY$6,AW64+AX64)</f>
        <v/>
      </c>
      <c r="AZ64" s="42">
        <f>MAX(0,MIN(AW64+AX64-AY64,AV64))</f>
        <v/>
      </c>
      <c r="BA64" s="42">
        <f>ROUND(AW64+AX64-AY64-AZ64,2)</f>
        <v/>
      </c>
      <c r="BB64">
        <f>AV64-AZ64</f>
        <v/>
      </c>
      <c r="BC64" s="42">
        <f>BG63</f>
        <v/>
      </c>
      <c r="BD64" s="42">
        <f>ROUND(BC64*BD$6/12,2)</f>
        <v/>
      </c>
      <c r="BE64" s="42">
        <f>MIN(BE$6,BC64+BD64)</f>
        <v/>
      </c>
      <c r="BF64" s="42">
        <f>MAX(0,MIN(BC64+BD64-BE64,BB64))</f>
        <v/>
      </c>
      <c r="BG64" s="42">
        <f>ROUND(BC64+BD64-BE64-BF64,2)</f>
        <v/>
      </c>
      <c r="BH64">
        <f>BB64-BF64</f>
        <v/>
      </c>
      <c r="BI64" s="42">
        <f>BM63</f>
        <v/>
      </c>
      <c r="BJ64" s="42">
        <f>ROUND(BI64*BJ$6/12,2)</f>
        <v/>
      </c>
      <c r="BK64" s="42">
        <f>MIN(BK$6,BI64+BJ64)</f>
        <v/>
      </c>
      <c r="BL64" s="42">
        <f>MAX(0,MIN(BI64+BJ64-BK64,BH64))</f>
        <v/>
      </c>
      <c r="BM64" s="42">
        <f>ROUND(BI64+BJ64-BK64-BL64,2)</f>
        <v/>
      </c>
      <c r="BN64">
        <f>BH64-BL64</f>
        <v/>
      </c>
    </row>
    <row r="65">
      <c r="A65" s="43" t="n">
        <v>58</v>
      </c>
      <c r="B65" s="44">
        <f>EDATE('My Debts'!$C$6,A65-1)</f>
        <v/>
      </c>
      <c r="C65" s="45">
        <f>K65+Q65+W65+AC65+AI65+AO65+AU65+BA65+BG65+BM65</f>
        <v/>
      </c>
      <c r="D65" s="46">
        <f>I65+O65+U65+AA65+AG65+AM65+AS65+AY65+BE65+BK65+J65+P65+V65+AB65+AH65+AN65+AT65+AZ65+BF65+BL65</f>
        <v/>
      </c>
      <c r="E65" s="46">
        <f>H65+N65+T65+Z65+AF65+AL65+AR65+AX65+BD65+BJ65</f>
        <v/>
      </c>
      <c r="F65">
        <f>MAX(0,'My Debts'!$E$21-(I65+O65+U65+AA65+AG65+AM65+AS65+AY65+BE65+BK65))</f>
        <v/>
      </c>
      <c r="G65" s="42">
        <f>K64</f>
        <v/>
      </c>
      <c r="H65" s="42">
        <f>ROUND(G65*H$6/12,2)</f>
        <v/>
      </c>
      <c r="I65" s="42">
        <f>MIN(I$6,G65+H65)</f>
        <v/>
      </c>
      <c r="J65" s="42">
        <f>MAX(0,MIN(G65+H65-I65,$F65))</f>
        <v/>
      </c>
      <c r="K65" s="42">
        <f>ROUND(G65+H65-I65-J65,2)</f>
        <v/>
      </c>
      <c r="L65">
        <f>$F65-J65</f>
        <v/>
      </c>
      <c r="M65" s="42">
        <f>Q64</f>
        <v/>
      </c>
      <c r="N65" s="42">
        <f>ROUND(M65*N$6/12,2)</f>
        <v/>
      </c>
      <c r="O65" s="42">
        <f>MIN(O$6,M65+N65)</f>
        <v/>
      </c>
      <c r="P65" s="42">
        <f>MAX(0,MIN(M65+N65-O65,L65))</f>
        <v/>
      </c>
      <c r="Q65" s="42">
        <f>ROUND(M65+N65-O65-P65,2)</f>
        <v/>
      </c>
      <c r="R65">
        <f>L65-P65</f>
        <v/>
      </c>
      <c r="S65" s="42">
        <f>W64</f>
        <v/>
      </c>
      <c r="T65" s="42">
        <f>ROUND(S65*T$6/12,2)</f>
        <v/>
      </c>
      <c r="U65" s="42">
        <f>MIN(U$6,S65+T65)</f>
        <v/>
      </c>
      <c r="V65" s="42">
        <f>MAX(0,MIN(S65+T65-U65,R65))</f>
        <v/>
      </c>
      <c r="W65" s="42">
        <f>ROUND(S65+T65-U65-V65,2)</f>
        <v/>
      </c>
      <c r="X65">
        <f>R65-V65</f>
        <v/>
      </c>
      <c r="Y65" s="42">
        <f>AC64</f>
        <v/>
      </c>
      <c r="Z65" s="42">
        <f>ROUND(Y65*Z$6/12,2)</f>
        <v/>
      </c>
      <c r="AA65" s="42">
        <f>MIN(AA$6,Y65+Z65)</f>
        <v/>
      </c>
      <c r="AB65" s="42">
        <f>MAX(0,MIN(Y65+Z65-AA65,X65))</f>
        <v/>
      </c>
      <c r="AC65" s="42">
        <f>ROUND(Y65+Z65-AA65-AB65,2)</f>
        <v/>
      </c>
      <c r="AD65">
        <f>X65-AB65</f>
        <v/>
      </c>
      <c r="AE65" s="42">
        <f>AI64</f>
        <v/>
      </c>
      <c r="AF65" s="42">
        <f>ROUND(AE65*AF$6/12,2)</f>
        <v/>
      </c>
      <c r="AG65" s="42">
        <f>MIN(AG$6,AE65+AF65)</f>
        <v/>
      </c>
      <c r="AH65" s="42">
        <f>MAX(0,MIN(AE65+AF65-AG65,AD65))</f>
        <v/>
      </c>
      <c r="AI65" s="42">
        <f>ROUND(AE65+AF65-AG65-AH65,2)</f>
        <v/>
      </c>
      <c r="AJ65">
        <f>AD65-AH65</f>
        <v/>
      </c>
      <c r="AK65" s="42">
        <f>AO64</f>
        <v/>
      </c>
      <c r="AL65" s="42">
        <f>ROUND(AK65*AL$6/12,2)</f>
        <v/>
      </c>
      <c r="AM65" s="42">
        <f>MIN(AM$6,AK65+AL65)</f>
        <v/>
      </c>
      <c r="AN65" s="42">
        <f>MAX(0,MIN(AK65+AL65-AM65,AJ65))</f>
        <v/>
      </c>
      <c r="AO65" s="42">
        <f>ROUND(AK65+AL65-AM65-AN65,2)</f>
        <v/>
      </c>
      <c r="AP65">
        <f>AJ65-AN65</f>
        <v/>
      </c>
      <c r="AQ65" s="42">
        <f>AU64</f>
        <v/>
      </c>
      <c r="AR65" s="42">
        <f>ROUND(AQ65*AR$6/12,2)</f>
        <v/>
      </c>
      <c r="AS65" s="42">
        <f>MIN(AS$6,AQ65+AR65)</f>
        <v/>
      </c>
      <c r="AT65" s="42">
        <f>MAX(0,MIN(AQ65+AR65-AS65,AP65))</f>
        <v/>
      </c>
      <c r="AU65" s="42">
        <f>ROUND(AQ65+AR65-AS65-AT65,2)</f>
        <v/>
      </c>
      <c r="AV65">
        <f>AP65-AT65</f>
        <v/>
      </c>
      <c r="AW65" s="42">
        <f>BA64</f>
        <v/>
      </c>
      <c r="AX65" s="42">
        <f>ROUND(AW65*AX$6/12,2)</f>
        <v/>
      </c>
      <c r="AY65" s="42">
        <f>MIN(AY$6,AW65+AX65)</f>
        <v/>
      </c>
      <c r="AZ65" s="42">
        <f>MAX(0,MIN(AW65+AX65-AY65,AV65))</f>
        <v/>
      </c>
      <c r="BA65" s="42">
        <f>ROUND(AW65+AX65-AY65-AZ65,2)</f>
        <v/>
      </c>
      <c r="BB65">
        <f>AV65-AZ65</f>
        <v/>
      </c>
      <c r="BC65" s="42">
        <f>BG64</f>
        <v/>
      </c>
      <c r="BD65" s="42">
        <f>ROUND(BC65*BD$6/12,2)</f>
        <v/>
      </c>
      <c r="BE65" s="42">
        <f>MIN(BE$6,BC65+BD65)</f>
        <v/>
      </c>
      <c r="BF65" s="42">
        <f>MAX(0,MIN(BC65+BD65-BE65,BB65))</f>
        <v/>
      </c>
      <c r="BG65" s="42">
        <f>ROUND(BC65+BD65-BE65-BF65,2)</f>
        <v/>
      </c>
      <c r="BH65">
        <f>BB65-BF65</f>
        <v/>
      </c>
      <c r="BI65" s="42">
        <f>BM64</f>
        <v/>
      </c>
      <c r="BJ65" s="42">
        <f>ROUND(BI65*BJ$6/12,2)</f>
        <v/>
      </c>
      <c r="BK65" s="42">
        <f>MIN(BK$6,BI65+BJ65)</f>
        <v/>
      </c>
      <c r="BL65" s="42">
        <f>MAX(0,MIN(BI65+BJ65-BK65,BH65))</f>
        <v/>
      </c>
      <c r="BM65" s="42">
        <f>ROUND(BI65+BJ65-BK65-BL65,2)</f>
        <v/>
      </c>
      <c r="BN65">
        <f>BH65-BL65</f>
        <v/>
      </c>
    </row>
    <row r="66">
      <c r="A66" s="39" t="n">
        <v>59</v>
      </c>
      <c r="B66" s="40">
        <f>EDATE('My Debts'!$C$6,A66-1)</f>
        <v/>
      </c>
      <c r="C66" s="41">
        <f>K66+Q66+W66+AC66+AI66+AO66+AU66+BA66+BG66+BM66</f>
        <v/>
      </c>
      <c r="D66" s="42">
        <f>I66+O66+U66+AA66+AG66+AM66+AS66+AY66+BE66+BK66+J66+P66+V66+AB66+AH66+AN66+AT66+AZ66+BF66+BL66</f>
        <v/>
      </c>
      <c r="E66" s="42">
        <f>H66+N66+T66+Z66+AF66+AL66+AR66+AX66+BD66+BJ66</f>
        <v/>
      </c>
      <c r="F66">
        <f>MAX(0,'My Debts'!$E$21-(I66+O66+U66+AA66+AG66+AM66+AS66+AY66+BE66+BK66))</f>
        <v/>
      </c>
      <c r="G66" s="42">
        <f>K65</f>
        <v/>
      </c>
      <c r="H66" s="42">
        <f>ROUND(G66*H$6/12,2)</f>
        <v/>
      </c>
      <c r="I66" s="42">
        <f>MIN(I$6,G66+H66)</f>
        <v/>
      </c>
      <c r="J66" s="42">
        <f>MAX(0,MIN(G66+H66-I66,$F66))</f>
        <v/>
      </c>
      <c r="K66" s="42">
        <f>ROUND(G66+H66-I66-J66,2)</f>
        <v/>
      </c>
      <c r="L66">
        <f>$F66-J66</f>
        <v/>
      </c>
      <c r="M66" s="42">
        <f>Q65</f>
        <v/>
      </c>
      <c r="N66" s="42">
        <f>ROUND(M66*N$6/12,2)</f>
        <v/>
      </c>
      <c r="O66" s="42">
        <f>MIN(O$6,M66+N66)</f>
        <v/>
      </c>
      <c r="P66" s="42">
        <f>MAX(0,MIN(M66+N66-O66,L66))</f>
        <v/>
      </c>
      <c r="Q66" s="42">
        <f>ROUND(M66+N66-O66-P66,2)</f>
        <v/>
      </c>
      <c r="R66">
        <f>L66-P66</f>
        <v/>
      </c>
      <c r="S66" s="42">
        <f>W65</f>
        <v/>
      </c>
      <c r="T66" s="42">
        <f>ROUND(S66*T$6/12,2)</f>
        <v/>
      </c>
      <c r="U66" s="42">
        <f>MIN(U$6,S66+T66)</f>
        <v/>
      </c>
      <c r="V66" s="42">
        <f>MAX(0,MIN(S66+T66-U66,R66))</f>
        <v/>
      </c>
      <c r="W66" s="42">
        <f>ROUND(S66+T66-U66-V66,2)</f>
        <v/>
      </c>
      <c r="X66">
        <f>R66-V66</f>
        <v/>
      </c>
      <c r="Y66" s="42">
        <f>AC65</f>
        <v/>
      </c>
      <c r="Z66" s="42">
        <f>ROUND(Y66*Z$6/12,2)</f>
        <v/>
      </c>
      <c r="AA66" s="42">
        <f>MIN(AA$6,Y66+Z66)</f>
        <v/>
      </c>
      <c r="AB66" s="42">
        <f>MAX(0,MIN(Y66+Z66-AA66,X66))</f>
        <v/>
      </c>
      <c r="AC66" s="42">
        <f>ROUND(Y66+Z66-AA66-AB66,2)</f>
        <v/>
      </c>
      <c r="AD66">
        <f>X66-AB66</f>
        <v/>
      </c>
      <c r="AE66" s="42">
        <f>AI65</f>
        <v/>
      </c>
      <c r="AF66" s="42">
        <f>ROUND(AE66*AF$6/12,2)</f>
        <v/>
      </c>
      <c r="AG66" s="42">
        <f>MIN(AG$6,AE66+AF66)</f>
        <v/>
      </c>
      <c r="AH66" s="42">
        <f>MAX(0,MIN(AE66+AF66-AG66,AD66))</f>
        <v/>
      </c>
      <c r="AI66" s="42">
        <f>ROUND(AE66+AF66-AG66-AH66,2)</f>
        <v/>
      </c>
      <c r="AJ66">
        <f>AD66-AH66</f>
        <v/>
      </c>
      <c r="AK66" s="42">
        <f>AO65</f>
        <v/>
      </c>
      <c r="AL66" s="42">
        <f>ROUND(AK66*AL$6/12,2)</f>
        <v/>
      </c>
      <c r="AM66" s="42">
        <f>MIN(AM$6,AK66+AL66)</f>
        <v/>
      </c>
      <c r="AN66" s="42">
        <f>MAX(0,MIN(AK66+AL66-AM66,AJ66))</f>
        <v/>
      </c>
      <c r="AO66" s="42">
        <f>ROUND(AK66+AL66-AM66-AN66,2)</f>
        <v/>
      </c>
      <c r="AP66">
        <f>AJ66-AN66</f>
        <v/>
      </c>
      <c r="AQ66" s="42">
        <f>AU65</f>
        <v/>
      </c>
      <c r="AR66" s="42">
        <f>ROUND(AQ66*AR$6/12,2)</f>
        <v/>
      </c>
      <c r="AS66" s="42">
        <f>MIN(AS$6,AQ66+AR66)</f>
        <v/>
      </c>
      <c r="AT66" s="42">
        <f>MAX(0,MIN(AQ66+AR66-AS66,AP66))</f>
        <v/>
      </c>
      <c r="AU66" s="42">
        <f>ROUND(AQ66+AR66-AS66-AT66,2)</f>
        <v/>
      </c>
      <c r="AV66">
        <f>AP66-AT66</f>
        <v/>
      </c>
      <c r="AW66" s="42">
        <f>BA65</f>
        <v/>
      </c>
      <c r="AX66" s="42">
        <f>ROUND(AW66*AX$6/12,2)</f>
        <v/>
      </c>
      <c r="AY66" s="42">
        <f>MIN(AY$6,AW66+AX66)</f>
        <v/>
      </c>
      <c r="AZ66" s="42">
        <f>MAX(0,MIN(AW66+AX66-AY66,AV66))</f>
        <v/>
      </c>
      <c r="BA66" s="42">
        <f>ROUND(AW66+AX66-AY66-AZ66,2)</f>
        <v/>
      </c>
      <c r="BB66">
        <f>AV66-AZ66</f>
        <v/>
      </c>
      <c r="BC66" s="42">
        <f>BG65</f>
        <v/>
      </c>
      <c r="BD66" s="42">
        <f>ROUND(BC66*BD$6/12,2)</f>
        <v/>
      </c>
      <c r="BE66" s="42">
        <f>MIN(BE$6,BC66+BD66)</f>
        <v/>
      </c>
      <c r="BF66" s="42">
        <f>MAX(0,MIN(BC66+BD66-BE66,BB66))</f>
        <v/>
      </c>
      <c r="BG66" s="42">
        <f>ROUND(BC66+BD66-BE66-BF66,2)</f>
        <v/>
      </c>
      <c r="BH66">
        <f>BB66-BF66</f>
        <v/>
      </c>
      <c r="BI66" s="42">
        <f>BM65</f>
        <v/>
      </c>
      <c r="BJ66" s="42">
        <f>ROUND(BI66*BJ$6/12,2)</f>
        <v/>
      </c>
      <c r="BK66" s="42">
        <f>MIN(BK$6,BI66+BJ66)</f>
        <v/>
      </c>
      <c r="BL66" s="42">
        <f>MAX(0,MIN(BI66+BJ66-BK66,BH66))</f>
        <v/>
      </c>
      <c r="BM66" s="42">
        <f>ROUND(BI66+BJ66-BK66-BL66,2)</f>
        <v/>
      </c>
      <c r="BN66">
        <f>BH66-BL66</f>
        <v/>
      </c>
    </row>
    <row r="67">
      <c r="A67" s="43" t="n">
        <v>60</v>
      </c>
      <c r="B67" s="44">
        <f>EDATE('My Debts'!$C$6,A67-1)</f>
        <v/>
      </c>
      <c r="C67" s="45">
        <f>K67+Q67+W67+AC67+AI67+AO67+AU67+BA67+BG67+BM67</f>
        <v/>
      </c>
      <c r="D67" s="46">
        <f>I67+O67+U67+AA67+AG67+AM67+AS67+AY67+BE67+BK67+J67+P67+V67+AB67+AH67+AN67+AT67+AZ67+BF67+BL67</f>
        <v/>
      </c>
      <c r="E67" s="46">
        <f>H67+N67+T67+Z67+AF67+AL67+AR67+AX67+BD67+BJ67</f>
        <v/>
      </c>
      <c r="F67">
        <f>MAX(0,'My Debts'!$E$21-(I67+O67+U67+AA67+AG67+AM67+AS67+AY67+BE67+BK67))</f>
        <v/>
      </c>
      <c r="G67" s="42">
        <f>K66</f>
        <v/>
      </c>
      <c r="H67" s="42">
        <f>ROUND(G67*H$6/12,2)</f>
        <v/>
      </c>
      <c r="I67" s="42">
        <f>MIN(I$6,G67+H67)</f>
        <v/>
      </c>
      <c r="J67" s="42">
        <f>MAX(0,MIN(G67+H67-I67,$F67))</f>
        <v/>
      </c>
      <c r="K67" s="42">
        <f>ROUND(G67+H67-I67-J67,2)</f>
        <v/>
      </c>
      <c r="L67">
        <f>$F67-J67</f>
        <v/>
      </c>
      <c r="M67" s="42">
        <f>Q66</f>
        <v/>
      </c>
      <c r="N67" s="42">
        <f>ROUND(M67*N$6/12,2)</f>
        <v/>
      </c>
      <c r="O67" s="42">
        <f>MIN(O$6,M67+N67)</f>
        <v/>
      </c>
      <c r="P67" s="42">
        <f>MAX(0,MIN(M67+N67-O67,L67))</f>
        <v/>
      </c>
      <c r="Q67" s="42">
        <f>ROUND(M67+N67-O67-P67,2)</f>
        <v/>
      </c>
      <c r="R67">
        <f>L67-P67</f>
        <v/>
      </c>
      <c r="S67" s="42">
        <f>W66</f>
        <v/>
      </c>
      <c r="T67" s="42">
        <f>ROUND(S67*T$6/12,2)</f>
        <v/>
      </c>
      <c r="U67" s="42">
        <f>MIN(U$6,S67+T67)</f>
        <v/>
      </c>
      <c r="V67" s="42">
        <f>MAX(0,MIN(S67+T67-U67,R67))</f>
        <v/>
      </c>
      <c r="W67" s="42">
        <f>ROUND(S67+T67-U67-V67,2)</f>
        <v/>
      </c>
      <c r="X67">
        <f>R67-V67</f>
        <v/>
      </c>
      <c r="Y67" s="42">
        <f>AC66</f>
        <v/>
      </c>
      <c r="Z67" s="42">
        <f>ROUND(Y67*Z$6/12,2)</f>
        <v/>
      </c>
      <c r="AA67" s="42">
        <f>MIN(AA$6,Y67+Z67)</f>
        <v/>
      </c>
      <c r="AB67" s="42">
        <f>MAX(0,MIN(Y67+Z67-AA67,X67))</f>
        <v/>
      </c>
      <c r="AC67" s="42">
        <f>ROUND(Y67+Z67-AA67-AB67,2)</f>
        <v/>
      </c>
      <c r="AD67">
        <f>X67-AB67</f>
        <v/>
      </c>
      <c r="AE67" s="42">
        <f>AI66</f>
        <v/>
      </c>
      <c r="AF67" s="42">
        <f>ROUND(AE67*AF$6/12,2)</f>
        <v/>
      </c>
      <c r="AG67" s="42">
        <f>MIN(AG$6,AE67+AF67)</f>
        <v/>
      </c>
      <c r="AH67" s="42">
        <f>MAX(0,MIN(AE67+AF67-AG67,AD67))</f>
        <v/>
      </c>
      <c r="AI67" s="42">
        <f>ROUND(AE67+AF67-AG67-AH67,2)</f>
        <v/>
      </c>
      <c r="AJ67">
        <f>AD67-AH67</f>
        <v/>
      </c>
      <c r="AK67" s="42">
        <f>AO66</f>
        <v/>
      </c>
      <c r="AL67" s="42">
        <f>ROUND(AK67*AL$6/12,2)</f>
        <v/>
      </c>
      <c r="AM67" s="42">
        <f>MIN(AM$6,AK67+AL67)</f>
        <v/>
      </c>
      <c r="AN67" s="42">
        <f>MAX(0,MIN(AK67+AL67-AM67,AJ67))</f>
        <v/>
      </c>
      <c r="AO67" s="42">
        <f>ROUND(AK67+AL67-AM67-AN67,2)</f>
        <v/>
      </c>
      <c r="AP67">
        <f>AJ67-AN67</f>
        <v/>
      </c>
      <c r="AQ67" s="42">
        <f>AU66</f>
        <v/>
      </c>
      <c r="AR67" s="42">
        <f>ROUND(AQ67*AR$6/12,2)</f>
        <v/>
      </c>
      <c r="AS67" s="42">
        <f>MIN(AS$6,AQ67+AR67)</f>
        <v/>
      </c>
      <c r="AT67" s="42">
        <f>MAX(0,MIN(AQ67+AR67-AS67,AP67))</f>
        <v/>
      </c>
      <c r="AU67" s="42">
        <f>ROUND(AQ67+AR67-AS67-AT67,2)</f>
        <v/>
      </c>
      <c r="AV67">
        <f>AP67-AT67</f>
        <v/>
      </c>
      <c r="AW67" s="42">
        <f>BA66</f>
        <v/>
      </c>
      <c r="AX67" s="42">
        <f>ROUND(AW67*AX$6/12,2)</f>
        <v/>
      </c>
      <c r="AY67" s="42">
        <f>MIN(AY$6,AW67+AX67)</f>
        <v/>
      </c>
      <c r="AZ67" s="42">
        <f>MAX(0,MIN(AW67+AX67-AY67,AV67))</f>
        <v/>
      </c>
      <c r="BA67" s="42">
        <f>ROUND(AW67+AX67-AY67-AZ67,2)</f>
        <v/>
      </c>
      <c r="BB67">
        <f>AV67-AZ67</f>
        <v/>
      </c>
      <c r="BC67" s="42">
        <f>BG66</f>
        <v/>
      </c>
      <c r="BD67" s="42">
        <f>ROUND(BC67*BD$6/12,2)</f>
        <v/>
      </c>
      <c r="BE67" s="42">
        <f>MIN(BE$6,BC67+BD67)</f>
        <v/>
      </c>
      <c r="BF67" s="42">
        <f>MAX(0,MIN(BC67+BD67-BE67,BB67))</f>
        <v/>
      </c>
      <c r="BG67" s="42">
        <f>ROUND(BC67+BD67-BE67-BF67,2)</f>
        <v/>
      </c>
      <c r="BH67">
        <f>BB67-BF67</f>
        <v/>
      </c>
      <c r="BI67" s="42">
        <f>BM66</f>
        <v/>
      </c>
      <c r="BJ67" s="42">
        <f>ROUND(BI67*BJ$6/12,2)</f>
        <v/>
      </c>
      <c r="BK67" s="42">
        <f>MIN(BK$6,BI67+BJ67)</f>
        <v/>
      </c>
      <c r="BL67" s="42">
        <f>MAX(0,MIN(BI67+BJ67-BK67,BH67))</f>
        <v/>
      </c>
      <c r="BM67" s="42">
        <f>ROUND(BI67+BJ67-BK67-BL67,2)</f>
        <v/>
      </c>
      <c r="BN67">
        <f>BH67-BL67</f>
        <v/>
      </c>
    </row>
    <row r="68">
      <c r="A68" s="39" t="n">
        <v>61</v>
      </c>
      <c r="B68" s="40">
        <f>EDATE('My Debts'!$C$6,A68-1)</f>
        <v/>
      </c>
      <c r="C68" s="41">
        <f>K68+Q68+W68+AC68+AI68+AO68+AU68+BA68+BG68+BM68</f>
        <v/>
      </c>
      <c r="D68" s="42">
        <f>I68+O68+U68+AA68+AG68+AM68+AS68+AY68+BE68+BK68+J68+P68+V68+AB68+AH68+AN68+AT68+AZ68+BF68+BL68</f>
        <v/>
      </c>
      <c r="E68" s="42">
        <f>H68+N68+T68+Z68+AF68+AL68+AR68+AX68+BD68+BJ68</f>
        <v/>
      </c>
      <c r="F68">
        <f>MAX(0,'My Debts'!$E$21-(I68+O68+U68+AA68+AG68+AM68+AS68+AY68+BE68+BK68))</f>
        <v/>
      </c>
      <c r="G68" s="42">
        <f>K67</f>
        <v/>
      </c>
      <c r="H68" s="42">
        <f>ROUND(G68*H$6/12,2)</f>
        <v/>
      </c>
      <c r="I68" s="42">
        <f>MIN(I$6,G68+H68)</f>
        <v/>
      </c>
      <c r="J68" s="42">
        <f>MAX(0,MIN(G68+H68-I68,$F68))</f>
        <v/>
      </c>
      <c r="K68" s="42">
        <f>ROUND(G68+H68-I68-J68,2)</f>
        <v/>
      </c>
      <c r="L68">
        <f>$F68-J68</f>
        <v/>
      </c>
      <c r="M68" s="42">
        <f>Q67</f>
        <v/>
      </c>
      <c r="N68" s="42">
        <f>ROUND(M68*N$6/12,2)</f>
        <v/>
      </c>
      <c r="O68" s="42">
        <f>MIN(O$6,M68+N68)</f>
        <v/>
      </c>
      <c r="P68" s="42">
        <f>MAX(0,MIN(M68+N68-O68,L68))</f>
        <v/>
      </c>
      <c r="Q68" s="42">
        <f>ROUND(M68+N68-O68-P68,2)</f>
        <v/>
      </c>
      <c r="R68">
        <f>L68-P68</f>
        <v/>
      </c>
      <c r="S68" s="42">
        <f>W67</f>
        <v/>
      </c>
      <c r="T68" s="42">
        <f>ROUND(S68*T$6/12,2)</f>
        <v/>
      </c>
      <c r="U68" s="42">
        <f>MIN(U$6,S68+T68)</f>
        <v/>
      </c>
      <c r="V68" s="42">
        <f>MAX(0,MIN(S68+T68-U68,R68))</f>
        <v/>
      </c>
      <c r="W68" s="42">
        <f>ROUND(S68+T68-U68-V68,2)</f>
        <v/>
      </c>
      <c r="X68">
        <f>R68-V68</f>
        <v/>
      </c>
      <c r="Y68" s="42">
        <f>AC67</f>
        <v/>
      </c>
      <c r="Z68" s="42">
        <f>ROUND(Y68*Z$6/12,2)</f>
        <v/>
      </c>
      <c r="AA68" s="42">
        <f>MIN(AA$6,Y68+Z68)</f>
        <v/>
      </c>
      <c r="AB68" s="42">
        <f>MAX(0,MIN(Y68+Z68-AA68,X68))</f>
        <v/>
      </c>
      <c r="AC68" s="42">
        <f>ROUND(Y68+Z68-AA68-AB68,2)</f>
        <v/>
      </c>
      <c r="AD68">
        <f>X68-AB68</f>
        <v/>
      </c>
      <c r="AE68" s="42">
        <f>AI67</f>
        <v/>
      </c>
      <c r="AF68" s="42">
        <f>ROUND(AE68*AF$6/12,2)</f>
        <v/>
      </c>
      <c r="AG68" s="42">
        <f>MIN(AG$6,AE68+AF68)</f>
        <v/>
      </c>
      <c r="AH68" s="42">
        <f>MAX(0,MIN(AE68+AF68-AG68,AD68))</f>
        <v/>
      </c>
      <c r="AI68" s="42">
        <f>ROUND(AE68+AF68-AG68-AH68,2)</f>
        <v/>
      </c>
      <c r="AJ68">
        <f>AD68-AH68</f>
        <v/>
      </c>
      <c r="AK68" s="42">
        <f>AO67</f>
        <v/>
      </c>
      <c r="AL68" s="42">
        <f>ROUND(AK68*AL$6/12,2)</f>
        <v/>
      </c>
      <c r="AM68" s="42">
        <f>MIN(AM$6,AK68+AL68)</f>
        <v/>
      </c>
      <c r="AN68" s="42">
        <f>MAX(0,MIN(AK68+AL68-AM68,AJ68))</f>
        <v/>
      </c>
      <c r="AO68" s="42">
        <f>ROUND(AK68+AL68-AM68-AN68,2)</f>
        <v/>
      </c>
      <c r="AP68">
        <f>AJ68-AN68</f>
        <v/>
      </c>
      <c r="AQ68" s="42">
        <f>AU67</f>
        <v/>
      </c>
      <c r="AR68" s="42">
        <f>ROUND(AQ68*AR$6/12,2)</f>
        <v/>
      </c>
      <c r="AS68" s="42">
        <f>MIN(AS$6,AQ68+AR68)</f>
        <v/>
      </c>
      <c r="AT68" s="42">
        <f>MAX(0,MIN(AQ68+AR68-AS68,AP68))</f>
        <v/>
      </c>
      <c r="AU68" s="42">
        <f>ROUND(AQ68+AR68-AS68-AT68,2)</f>
        <v/>
      </c>
      <c r="AV68">
        <f>AP68-AT68</f>
        <v/>
      </c>
      <c r="AW68" s="42">
        <f>BA67</f>
        <v/>
      </c>
      <c r="AX68" s="42">
        <f>ROUND(AW68*AX$6/12,2)</f>
        <v/>
      </c>
      <c r="AY68" s="42">
        <f>MIN(AY$6,AW68+AX68)</f>
        <v/>
      </c>
      <c r="AZ68" s="42">
        <f>MAX(0,MIN(AW68+AX68-AY68,AV68))</f>
        <v/>
      </c>
      <c r="BA68" s="42">
        <f>ROUND(AW68+AX68-AY68-AZ68,2)</f>
        <v/>
      </c>
      <c r="BB68">
        <f>AV68-AZ68</f>
        <v/>
      </c>
      <c r="BC68" s="42">
        <f>BG67</f>
        <v/>
      </c>
      <c r="BD68" s="42">
        <f>ROUND(BC68*BD$6/12,2)</f>
        <v/>
      </c>
      <c r="BE68" s="42">
        <f>MIN(BE$6,BC68+BD68)</f>
        <v/>
      </c>
      <c r="BF68" s="42">
        <f>MAX(0,MIN(BC68+BD68-BE68,BB68))</f>
        <v/>
      </c>
      <c r="BG68" s="42">
        <f>ROUND(BC68+BD68-BE68-BF68,2)</f>
        <v/>
      </c>
      <c r="BH68">
        <f>BB68-BF68</f>
        <v/>
      </c>
      <c r="BI68" s="42">
        <f>BM67</f>
        <v/>
      </c>
      <c r="BJ68" s="42">
        <f>ROUND(BI68*BJ$6/12,2)</f>
        <v/>
      </c>
      <c r="BK68" s="42">
        <f>MIN(BK$6,BI68+BJ68)</f>
        <v/>
      </c>
      <c r="BL68" s="42">
        <f>MAX(0,MIN(BI68+BJ68-BK68,BH68))</f>
        <v/>
      </c>
      <c r="BM68" s="42">
        <f>ROUND(BI68+BJ68-BK68-BL68,2)</f>
        <v/>
      </c>
      <c r="BN68">
        <f>BH68-BL68</f>
        <v/>
      </c>
    </row>
    <row r="69">
      <c r="A69" s="43" t="n">
        <v>62</v>
      </c>
      <c r="B69" s="44">
        <f>EDATE('My Debts'!$C$6,A69-1)</f>
        <v/>
      </c>
      <c r="C69" s="45">
        <f>K69+Q69+W69+AC69+AI69+AO69+AU69+BA69+BG69+BM69</f>
        <v/>
      </c>
      <c r="D69" s="46">
        <f>I69+O69+U69+AA69+AG69+AM69+AS69+AY69+BE69+BK69+J69+P69+V69+AB69+AH69+AN69+AT69+AZ69+BF69+BL69</f>
        <v/>
      </c>
      <c r="E69" s="46">
        <f>H69+N69+T69+Z69+AF69+AL69+AR69+AX69+BD69+BJ69</f>
        <v/>
      </c>
      <c r="F69">
        <f>MAX(0,'My Debts'!$E$21-(I69+O69+U69+AA69+AG69+AM69+AS69+AY69+BE69+BK69))</f>
        <v/>
      </c>
      <c r="G69" s="42">
        <f>K68</f>
        <v/>
      </c>
      <c r="H69" s="42">
        <f>ROUND(G69*H$6/12,2)</f>
        <v/>
      </c>
      <c r="I69" s="42">
        <f>MIN(I$6,G69+H69)</f>
        <v/>
      </c>
      <c r="J69" s="42">
        <f>MAX(0,MIN(G69+H69-I69,$F69))</f>
        <v/>
      </c>
      <c r="K69" s="42">
        <f>ROUND(G69+H69-I69-J69,2)</f>
        <v/>
      </c>
      <c r="L69">
        <f>$F69-J69</f>
        <v/>
      </c>
      <c r="M69" s="42">
        <f>Q68</f>
        <v/>
      </c>
      <c r="N69" s="42">
        <f>ROUND(M69*N$6/12,2)</f>
        <v/>
      </c>
      <c r="O69" s="42">
        <f>MIN(O$6,M69+N69)</f>
        <v/>
      </c>
      <c r="P69" s="42">
        <f>MAX(0,MIN(M69+N69-O69,L69))</f>
        <v/>
      </c>
      <c r="Q69" s="42">
        <f>ROUND(M69+N69-O69-P69,2)</f>
        <v/>
      </c>
      <c r="R69">
        <f>L69-P69</f>
        <v/>
      </c>
      <c r="S69" s="42">
        <f>W68</f>
        <v/>
      </c>
      <c r="T69" s="42">
        <f>ROUND(S69*T$6/12,2)</f>
        <v/>
      </c>
      <c r="U69" s="42">
        <f>MIN(U$6,S69+T69)</f>
        <v/>
      </c>
      <c r="V69" s="42">
        <f>MAX(0,MIN(S69+T69-U69,R69))</f>
        <v/>
      </c>
      <c r="W69" s="42">
        <f>ROUND(S69+T69-U69-V69,2)</f>
        <v/>
      </c>
      <c r="X69">
        <f>R69-V69</f>
        <v/>
      </c>
      <c r="Y69" s="42">
        <f>AC68</f>
        <v/>
      </c>
      <c r="Z69" s="42">
        <f>ROUND(Y69*Z$6/12,2)</f>
        <v/>
      </c>
      <c r="AA69" s="42">
        <f>MIN(AA$6,Y69+Z69)</f>
        <v/>
      </c>
      <c r="AB69" s="42">
        <f>MAX(0,MIN(Y69+Z69-AA69,X69))</f>
        <v/>
      </c>
      <c r="AC69" s="42">
        <f>ROUND(Y69+Z69-AA69-AB69,2)</f>
        <v/>
      </c>
      <c r="AD69">
        <f>X69-AB69</f>
        <v/>
      </c>
      <c r="AE69" s="42">
        <f>AI68</f>
        <v/>
      </c>
      <c r="AF69" s="42">
        <f>ROUND(AE69*AF$6/12,2)</f>
        <v/>
      </c>
      <c r="AG69" s="42">
        <f>MIN(AG$6,AE69+AF69)</f>
        <v/>
      </c>
      <c r="AH69" s="42">
        <f>MAX(0,MIN(AE69+AF69-AG69,AD69))</f>
        <v/>
      </c>
      <c r="AI69" s="42">
        <f>ROUND(AE69+AF69-AG69-AH69,2)</f>
        <v/>
      </c>
      <c r="AJ69">
        <f>AD69-AH69</f>
        <v/>
      </c>
      <c r="AK69" s="42">
        <f>AO68</f>
        <v/>
      </c>
      <c r="AL69" s="42">
        <f>ROUND(AK69*AL$6/12,2)</f>
        <v/>
      </c>
      <c r="AM69" s="42">
        <f>MIN(AM$6,AK69+AL69)</f>
        <v/>
      </c>
      <c r="AN69" s="42">
        <f>MAX(0,MIN(AK69+AL69-AM69,AJ69))</f>
        <v/>
      </c>
      <c r="AO69" s="42">
        <f>ROUND(AK69+AL69-AM69-AN69,2)</f>
        <v/>
      </c>
      <c r="AP69">
        <f>AJ69-AN69</f>
        <v/>
      </c>
      <c r="AQ69" s="42">
        <f>AU68</f>
        <v/>
      </c>
      <c r="AR69" s="42">
        <f>ROUND(AQ69*AR$6/12,2)</f>
        <v/>
      </c>
      <c r="AS69" s="42">
        <f>MIN(AS$6,AQ69+AR69)</f>
        <v/>
      </c>
      <c r="AT69" s="42">
        <f>MAX(0,MIN(AQ69+AR69-AS69,AP69))</f>
        <v/>
      </c>
      <c r="AU69" s="42">
        <f>ROUND(AQ69+AR69-AS69-AT69,2)</f>
        <v/>
      </c>
      <c r="AV69">
        <f>AP69-AT69</f>
        <v/>
      </c>
      <c r="AW69" s="42">
        <f>BA68</f>
        <v/>
      </c>
      <c r="AX69" s="42">
        <f>ROUND(AW69*AX$6/12,2)</f>
        <v/>
      </c>
      <c r="AY69" s="42">
        <f>MIN(AY$6,AW69+AX69)</f>
        <v/>
      </c>
      <c r="AZ69" s="42">
        <f>MAX(0,MIN(AW69+AX69-AY69,AV69))</f>
        <v/>
      </c>
      <c r="BA69" s="42">
        <f>ROUND(AW69+AX69-AY69-AZ69,2)</f>
        <v/>
      </c>
      <c r="BB69">
        <f>AV69-AZ69</f>
        <v/>
      </c>
      <c r="BC69" s="42">
        <f>BG68</f>
        <v/>
      </c>
      <c r="BD69" s="42">
        <f>ROUND(BC69*BD$6/12,2)</f>
        <v/>
      </c>
      <c r="BE69" s="42">
        <f>MIN(BE$6,BC69+BD69)</f>
        <v/>
      </c>
      <c r="BF69" s="42">
        <f>MAX(0,MIN(BC69+BD69-BE69,BB69))</f>
        <v/>
      </c>
      <c r="BG69" s="42">
        <f>ROUND(BC69+BD69-BE69-BF69,2)</f>
        <v/>
      </c>
      <c r="BH69">
        <f>BB69-BF69</f>
        <v/>
      </c>
      <c r="BI69" s="42">
        <f>BM68</f>
        <v/>
      </c>
      <c r="BJ69" s="42">
        <f>ROUND(BI69*BJ$6/12,2)</f>
        <v/>
      </c>
      <c r="BK69" s="42">
        <f>MIN(BK$6,BI69+BJ69)</f>
        <v/>
      </c>
      <c r="BL69" s="42">
        <f>MAX(0,MIN(BI69+BJ69-BK69,BH69))</f>
        <v/>
      </c>
      <c r="BM69" s="42">
        <f>ROUND(BI69+BJ69-BK69-BL69,2)</f>
        <v/>
      </c>
      <c r="BN69">
        <f>BH69-BL69</f>
        <v/>
      </c>
    </row>
    <row r="70">
      <c r="A70" s="39" t="n">
        <v>63</v>
      </c>
      <c r="B70" s="40">
        <f>EDATE('My Debts'!$C$6,A70-1)</f>
        <v/>
      </c>
      <c r="C70" s="41">
        <f>K70+Q70+W70+AC70+AI70+AO70+AU70+BA70+BG70+BM70</f>
        <v/>
      </c>
      <c r="D70" s="42">
        <f>I70+O70+U70+AA70+AG70+AM70+AS70+AY70+BE70+BK70+J70+P70+V70+AB70+AH70+AN70+AT70+AZ70+BF70+BL70</f>
        <v/>
      </c>
      <c r="E70" s="42">
        <f>H70+N70+T70+Z70+AF70+AL70+AR70+AX70+BD70+BJ70</f>
        <v/>
      </c>
      <c r="F70">
        <f>MAX(0,'My Debts'!$E$21-(I70+O70+U70+AA70+AG70+AM70+AS70+AY70+BE70+BK70))</f>
        <v/>
      </c>
      <c r="G70" s="42">
        <f>K69</f>
        <v/>
      </c>
      <c r="H70" s="42">
        <f>ROUND(G70*H$6/12,2)</f>
        <v/>
      </c>
      <c r="I70" s="42">
        <f>MIN(I$6,G70+H70)</f>
        <v/>
      </c>
      <c r="J70" s="42">
        <f>MAX(0,MIN(G70+H70-I70,$F70))</f>
        <v/>
      </c>
      <c r="K70" s="42">
        <f>ROUND(G70+H70-I70-J70,2)</f>
        <v/>
      </c>
      <c r="L70">
        <f>$F70-J70</f>
        <v/>
      </c>
      <c r="M70" s="42">
        <f>Q69</f>
        <v/>
      </c>
      <c r="N70" s="42">
        <f>ROUND(M70*N$6/12,2)</f>
        <v/>
      </c>
      <c r="O70" s="42">
        <f>MIN(O$6,M70+N70)</f>
        <v/>
      </c>
      <c r="P70" s="42">
        <f>MAX(0,MIN(M70+N70-O70,L70))</f>
        <v/>
      </c>
      <c r="Q70" s="42">
        <f>ROUND(M70+N70-O70-P70,2)</f>
        <v/>
      </c>
      <c r="R70">
        <f>L70-P70</f>
        <v/>
      </c>
      <c r="S70" s="42">
        <f>W69</f>
        <v/>
      </c>
      <c r="T70" s="42">
        <f>ROUND(S70*T$6/12,2)</f>
        <v/>
      </c>
      <c r="U70" s="42">
        <f>MIN(U$6,S70+T70)</f>
        <v/>
      </c>
      <c r="V70" s="42">
        <f>MAX(0,MIN(S70+T70-U70,R70))</f>
        <v/>
      </c>
      <c r="W70" s="42">
        <f>ROUND(S70+T70-U70-V70,2)</f>
        <v/>
      </c>
      <c r="X70">
        <f>R70-V70</f>
        <v/>
      </c>
      <c r="Y70" s="42">
        <f>AC69</f>
        <v/>
      </c>
      <c r="Z70" s="42">
        <f>ROUND(Y70*Z$6/12,2)</f>
        <v/>
      </c>
      <c r="AA70" s="42">
        <f>MIN(AA$6,Y70+Z70)</f>
        <v/>
      </c>
      <c r="AB70" s="42">
        <f>MAX(0,MIN(Y70+Z70-AA70,X70))</f>
        <v/>
      </c>
      <c r="AC70" s="42">
        <f>ROUND(Y70+Z70-AA70-AB70,2)</f>
        <v/>
      </c>
      <c r="AD70">
        <f>X70-AB70</f>
        <v/>
      </c>
      <c r="AE70" s="42">
        <f>AI69</f>
        <v/>
      </c>
      <c r="AF70" s="42">
        <f>ROUND(AE70*AF$6/12,2)</f>
        <v/>
      </c>
      <c r="AG70" s="42">
        <f>MIN(AG$6,AE70+AF70)</f>
        <v/>
      </c>
      <c r="AH70" s="42">
        <f>MAX(0,MIN(AE70+AF70-AG70,AD70))</f>
        <v/>
      </c>
      <c r="AI70" s="42">
        <f>ROUND(AE70+AF70-AG70-AH70,2)</f>
        <v/>
      </c>
      <c r="AJ70">
        <f>AD70-AH70</f>
        <v/>
      </c>
      <c r="AK70" s="42">
        <f>AO69</f>
        <v/>
      </c>
      <c r="AL70" s="42">
        <f>ROUND(AK70*AL$6/12,2)</f>
        <v/>
      </c>
      <c r="AM70" s="42">
        <f>MIN(AM$6,AK70+AL70)</f>
        <v/>
      </c>
      <c r="AN70" s="42">
        <f>MAX(0,MIN(AK70+AL70-AM70,AJ70))</f>
        <v/>
      </c>
      <c r="AO70" s="42">
        <f>ROUND(AK70+AL70-AM70-AN70,2)</f>
        <v/>
      </c>
      <c r="AP70">
        <f>AJ70-AN70</f>
        <v/>
      </c>
      <c r="AQ70" s="42">
        <f>AU69</f>
        <v/>
      </c>
      <c r="AR70" s="42">
        <f>ROUND(AQ70*AR$6/12,2)</f>
        <v/>
      </c>
      <c r="AS70" s="42">
        <f>MIN(AS$6,AQ70+AR70)</f>
        <v/>
      </c>
      <c r="AT70" s="42">
        <f>MAX(0,MIN(AQ70+AR70-AS70,AP70))</f>
        <v/>
      </c>
      <c r="AU70" s="42">
        <f>ROUND(AQ70+AR70-AS70-AT70,2)</f>
        <v/>
      </c>
      <c r="AV70">
        <f>AP70-AT70</f>
        <v/>
      </c>
      <c r="AW70" s="42">
        <f>BA69</f>
        <v/>
      </c>
      <c r="AX70" s="42">
        <f>ROUND(AW70*AX$6/12,2)</f>
        <v/>
      </c>
      <c r="AY70" s="42">
        <f>MIN(AY$6,AW70+AX70)</f>
        <v/>
      </c>
      <c r="AZ70" s="42">
        <f>MAX(0,MIN(AW70+AX70-AY70,AV70))</f>
        <v/>
      </c>
      <c r="BA70" s="42">
        <f>ROUND(AW70+AX70-AY70-AZ70,2)</f>
        <v/>
      </c>
      <c r="BB70">
        <f>AV70-AZ70</f>
        <v/>
      </c>
      <c r="BC70" s="42">
        <f>BG69</f>
        <v/>
      </c>
      <c r="BD70" s="42">
        <f>ROUND(BC70*BD$6/12,2)</f>
        <v/>
      </c>
      <c r="BE70" s="42">
        <f>MIN(BE$6,BC70+BD70)</f>
        <v/>
      </c>
      <c r="BF70" s="42">
        <f>MAX(0,MIN(BC70+BD70-BE70,BB70))</f>
        <v/>
      </c>
      <c r="BG70" s="42">
        <f>ROUND(BC70+BD70-BE70-BF70,2)</f>
        <v/>
      </c>
      <c r="BH70">
        <f>BB70-BF70</f>
        <v/>
      </c>
      <c r="BI70" s="42">
        <f>BM69</f>
        <v/>
      </c>
      <c r="BJ70" s="42">
        <f>ROUND(BI70*BJ$6/12,2)</f>
        <v/>
      </c>
      <c r="BK70" s="42">
        <f>MIN(BK$6,BI70+BJ70)</f>
        <v/>
      </c>
      <c r="BL70" s="42">
        <f>MAX(0,MIN(BI70+BJ70-BK70,BH70))</f>
        <v/>
      </c>
      <c r="BM70" s="42">
        <f>ROUND(BI70+BJ70-BK70-BL70,2)</f>
        <v/>
      </c>
      <c r="BN70">
        <f>BH70-BL70</f>
        <v/>
      </c>
    </row>
    <row r="71">
      <c r="A71" s="43" t="n">
        <v>64</v>
      </c>
      <c r="B71" s="44">
        <f>EDATE('My Debts'!$C$6,A71-1)</f>
        <v/>
      </c>
      <c r="C71" s="45">
        <f>K71+Q71+W71+AC71+AI71+AO71+AU71+BA71+BG71+BM71</f>
        <v/>
      </c>
      <c r="D71" s="46">
        <f>I71+O71+U71+AA71+AG71+AM71+AS71+AY71+BE71+BK71+J71+P71+V71+AB71+AH71+AN71+AT71+AZ71+BF71+BL71</f>
        <v/>
      </c>
      <c r="E71" s="46">
        <f>H71+N71+T71+Z71+AF71+AL71+AR71+AX71+BD71+BJ71</f>
        <v/>
      </c>
      <c r="F71">
        <f>MAX(0,'My Debts'!$E$21-(I71+O71+U71+AA71+AG71+AM71+AS71+AY71+BE71+BK71))</f>
        <v/>
      </c>
      <c r="G71" s="42">
        <f>K70</f>
        <v/>
      </c>
      <c r="H71" s="42">
        <f>ROUND(G71*H$6/12,2)</f>
        <v/>
      </c>
      <c r="I71" s="42">
        <f>MIN(I$6,G71+H71)</f>
        <v/>
      </c>
      <c r="J71" s="42">
        <f>MAX(0,MIN(G71+H71-I71,$F71))</f>
        <v/>
      </c>
      <c r="K71" s="42">
        <f>ROUND(G71+H71-I71-J71,2)</f>
        <v/>
      </c>
      <c r="L71">
        <f>$F71-J71</f>
        <v/>
      </c>
      <c r="M71" s="42">
        <f>Q70</f>
        <v/>
      </c>
      <c r="N71" s="42">
        <f>ROUND(M71*N$6/12,2)</f>
        <v/>
      </c>
      <c r="O71" s="42">
        <f>MIN(O$6,M71+N71)</f>
        <v/>
      </c>
      <c r="P71" s="42">
        <f>MAX(0,MIN(M71+N71-O71,L71))</f>
        <v/>
      </c>
      <c r="Q71" s="42">
        <f>ROUND(M71+N71-O71-P71,2)</f>
        <v/>
      </c>
      <c r="R71">
        <f>L71-P71</f>
        <v/>
      </c>
      <c r="S71" s="42">
        <f>W70</f>
        <v/>
      </c>
      <c r="T71" s="42">
        <f>ROUND(S71*T$6/12,2)</f>
        <v/>
      </c>
      <c r="U71" s="42">
        <f>MIN(U$6,S71+T71)</f>
        <v/>
      </c>
      <c r="V71" s="42">
        <f>MAX(0,MIN(S71+T71-U71,R71))</f>
        <v/>
      </c>
      <c r="W71" s="42">
        <f>ROUND(S71+T71-U71-V71,2)</f>
        <v/>
      </c>
      <c r="X71">
        <f>R71-V71</f>
        <v/>
      </c>
      <c r="Y71" s="42">
        <f>AC70</f>
        <v/>
      </c>
      <c r="Z71" s="42">
        <f>ROUND(Y71*Z$6/12,2)</f>
        <v/>
      </c>
      <c r="AA71" s="42">
        <f>MIN(AA$6,Y71+Z71)</f>
        <v/>
      </c>
      <c r="AB71" s="42">
        <f>MAX(0,MIN(Y71+Z71-AA71,X71))</f>
        <v/>
      </c>
      <c r="AC71" s="42">
        <f>ROUND(Y71+Z71-AA71-AB71,2)</f>
        <v/>
      </c>
      <c r="AD71">
        <f>X71-AB71</f>
        <v/>
      </c>
      <c r="AE71" s="42">
        <f>AI70</f>
        <v/>
      </c>
      <c r="AF71" s="42">
        <f>ROUND(AE71*AF$6/12,2)</f>
        <v/>
      </c>
      <c r="AG71" s="42">
        <f>MIN(AG$6,AE71+AF71)</f>
        <v/>
      </c>
      <c r="AH71" s="42">
        <f>MAX(0,MIN(AE71+AF71-AG71,AD71))</f>
        <v/>
      </c>
      <c r="AI71" s="42">
        <f>ROUND(AE71+AF71-AG71-AH71,2)</f>
        <v/>
      </c>
      <c r="AJ71">
        <f>AD71-AH71</f>
        <v/>
      </c>
      <c r="AK71" s="42">
        <f>AO70</f>
        <v/>
      </c>
      <c r="AL71" s="42">
        <f>ROUND(AK71*AL$6/12,2)</f>
        <v/>
      </c>
      <c r="AM71" s="42">
        <f>MIN(AM$6,AK71+AL71)</f>
        <v/>
      </c>
      <c r="AN71" s="42">
        <f>MAX(0,MIN(AK71+AL71-AM71,AJ71))</f>
        <v/>
      </c>
      <c r="AO71" s="42">
        <f>ROUND(AK71+AL71-AM71-AN71,2)</f>
        <v/>
      </c>
      <c r="AP71">
        <f>AJ71-AN71</f>
        <v/>
      </c>
      <c r="AQ71" s="42">
        <f>AU70</f>
        <v/>
      </c>
      <c r="AR71" s="42">
        <f>ROUND(AQ71*AR$6/12,2)</f>
        <v/>
      </c>
      <c r="AS71" s="42">
        <f>MIN(AS$6,AQ71+AR71)</f>
        <v/>
      </c>
      <c r="AT71" s="42">
        <f>MAX(0,MIN(AQ71+AR71-AS71,AP71))</f>
        <v/>
      </c>
      <c r="AU71" s="42">
        <f>ROUND(AQ71+AR71-AS71-AT71,2)</f>
        <v/>
      </c>
      <c r="AV71">
        <f>AP71-AT71</f>
        <v/>
      </c>
      <c r="AW71" s="42">
        <f>BA70</f>
        <v/>
      </c>
      <c r="AX71" s="42">
        <f>ROUND(AW71*AX$6/12,2)</f>
        <v/>
      </c>
      <c r="AY71" s="42">
        <f>MIN(AY$6,AW71+AX71)</f>
        <v/>
      </c>
      <c r="AZ71" s="42">
        <f>MAX(0,MIN(AW71+AX71-AY71,AV71))</f>
        <v/>
      </c>
      <c r="BA71" s="42">
        <f>ROUND(AW71+AX71-AY71-AZ71,2)</f>
        <v/>
      </c>
      <c r="BB71">
        <f>AV71-AZ71</f>
        <v/>
      </c>
      <c r="BC71" s="42">
        <f>BG70</f>
        <v/>
      </c>
      <c r="BD71" s="42">
        <f>ROUND(BC71*BD$6/12,2)</f>
        <v/>
      </c>
      <c r="BE71" s="42">
        <f>MIN(BE$6,BC71+BD71)</f>
        <v/>
      </c>
      <c r="BF71" s="42">
        <f>MAX(0,MIN(BC71+BD71-BE71,BB71))</f>
        <v/>
      </c>
      <c r="BG71" s="42">
        <f>ROUND(BC71+BD71-BE71-BF71,2)</f>
        <v/>
      </c>
      <c r="BH71">
        <f>BB71-BF71</f>
        <v/>
      </c>
      <c r="BI71" s="42">
        <f>BM70</f>
        <v/>
      </c>
      <c r="BJ71" s="42">
        <f>ROUND(BI71*BJ$6/12,2)</f>
        <v/>
      </c>
      <c r="BK71" s="42">
        <f>MIN(BK$6,BI71+BJ71)</f>
        <v/>
      </c>
      <c r="BL71" s="42">
        <f>MAX(0,MIN(BI71+BJ71-BK71,BH71))</f>
        <v/>
      </c>
      <c r="BM71" s="42">
        <f>ROUND(BI71+BJ71-BK71-BL71,2)</f>
        <v/>
      </c>
      <c r="BN71">
        <f>BH71-BL71</f>
        <v/>
      </c>
    </row>
    <row r="72">
      <c r="A72" s="39" t="n">
        <v>65</v>
      </c>
      <c r="B72" s="40">
        <f>EDATE('My Debts'!$C$6,A72-1)</f>
        <v/>
      </c>
      <c r="C72" s="41">
        <f>K72+Q72+W72+AC72+AI72+AO72+AU72+BA72+BG72+BM72</f>
        <v/>
      </c>
      <c r="D72" s="42">
        <f>I72+O72+U72+AA72+AG72+AM72+AS72+AY72+BE72+BK72+J72+P72+V72+AB72+AH72+AN72+AT72+AZ72+BF72+BL72</f>
        <v/>
      </c>
      <c r="E72" s="42">
        <f>H72+N72+T72+Z72+AF72+AL72+AR72+AX72+BD72+BJ72</f>
        <v/>
      </c>
      <c r="F72">
        <f>MAX(0,'My Debts'!$E$21-(I72+O72+U72+AA72+AG72+AM72+AS72+AY72+BE72+BK72))</f>
        <v/>
      </c>
      <c r="G72" s="42">
        <f>K71</f>
        <v/>
      </c>
      <c r="H72" s="42">
        <f>ROUND(G72*H$6/12,2)</f>
        <v/>
      </c>
      <c r="I72" s="42">
        <f>MIN(I$6,G72+H72)</f>
        <v/>
      </c>
      <c r="J72" s="42">
        <f>MAX(0,MIN(G72+H72-I72,$F72))</f>
        <v/>
      </c>
      <c r="K72" s="42">
        <f>ROUND(G72+H72-I72-J72,2)</f>
        <v/>
      </c>
      <c r="L72">
        <f>$F72-J72</f>
        <v/>
      </c>
      <c r="M72" s="42">
        <f>Q71</f>
        <v/>
      </c>
      <c r="N72" s="42">
        <f>ROUND(M72*N$6/12,2)</f>
        <v/>
      </c>
      <c r="O72" s="42">
        <f>MIN(O$6,M72+N72)</f>
        <v/>
      </c>
      <c r="P72" s="42">
        <f>MAX(0,MIN(M72+N72-O72,L72))</f>
        <v/>
      </c>
      <c r="Q72" s="42">
        <f>ROUND(M72+N72-O72-P72,2)</f>
        <v/>
      </c>
      <c r="R72">
        <f>L72-P72</f>
        <v/>
      </c>
      <c r="S72" s="42">
        <f>W71</f>
        <v/>
      </c>
      <c r="T72" s="42">
        <f>ROUND(S72*T$6/12,2)</f>
        <v/>
      </c>
      <c r="U72" s="42">
        <f>MIN(U$6,S72+T72)</f>
        <v/>
      </c>
      <c r="V72" s="42">
        <f>MAX(0,MIN(S72+T72-U72,R72))</f>
        <v/>
      </c>
      <c r="W72" s="42">
        <f>ROUND(S72+T72-U72-V72,2)</f>
        <v/>
      </c>
      <c r="X72">
        <f>R72-V72</f>
        <v/>
      </c>
      <c r="Y72" s="42">
        <f>AC71</f>
        <v/>
      </c>
      <c r="Z72" s="42">
        <f>ROUND(Y72*Z$6/12,2)</f>
        <v/>
      </c>
      <c r="AA72" s="42">
        <f>MIN(AA$6,Y72+Z72)</f>
        <v/>
      </c>
      <c r="AB72" s="42">
        <f>MAX(0,MIN(Y72+Z72-AA72,X72))</f>
        <v/>
      </c>
      <c r="AC72" s="42">
        <f>ROUND(Y72+Z72-AA72-AB72,2)</f>
        <v/>
      </c>
      <c r="AD72">
        <f>X72-AB72</f>
        <v/>
      </c>
      <c r="AE72" s="42">
        <f>AI71</f>
        <v/>
      </c>
      <c r="AF72" s="42">
        <f>ROUND(AE72*AF$6/12,2)</f>
        <v/>
      </c>
      <c r="AG72" s="42">
        <f>MIN(AG$6,AE72+AF72)</f>
        <v/>
      </c>
      <c r="AH72" s="42">
        <f>MAX(0,MIN(AE72+AF72-AG72,AD72))</f>
        <v/>
      </c>
      <c r="AI72" s="42">
        <f>ROUND(AE72+AF72-AG72-AH72,2)</f>
        <v/>
      </c>
      <c r="AJ72">
        <f>AD72-AH72</f>
        <v/>
      </c>
      <c r="AK72" s="42">
        <f>AO71</f>
        <v/>
      </c>
      <c r="AL72" s="42">
        <f>ROUND(AK72*AL$6/12,2)</f>
        <v/>
      </c>
      <c r="AM72" s="42">
        <f>MIN(AM$6,AK72+AL72)</f>
        <v/>
      </c>
      <c r="AN72" s="42">
        <f>MAX(0,MIN(AK72+AL72-AM72,AJ72))</f>
        <v/>
      </c>
      <c r="AO72" s="42">
        <f>ROUND(AK72+AL72-AM72-AN72,2)</f>
        <v/>
      </c>
      <c r="AP72">
        <f>AJ72-AN72</f>
        <v/>
      </c>
      <c r="AQ72" s="42">
        <f>AU71</f>
        <v/>
      </c>
      <c r="AR72" s="42">
        <f>ROUND(AQ72*AR$6/12,2)</f>
        <v/>
      </c>
      <c r="AS72" s="42">
        <f>MIN(AS$6,AQ72+AR72)</f>
        <v/>
      </c>
      <c r="AT72" s="42">
        <f>MAX(0,MIN(AQ72+AR72-AS72,AP72))</f>
        <v/>
      </c>
      <c r="AU72" s="42">
        <f>ROUND(AQ72+AR72-AS72-AT72,2)</f>
        <v/>
      </c>
      <c r="AV72">
        <f>AP72-AT72</f>
        <v/>
      </c>
      <c r="AW72" s="42">
        <f>BA71</f>
        <v/>
      </c>
      <c r="AX72" s="42">
        <f>ROUND(AW72*AX$6/12,2)</f>
        <v/>
      </c>
      <c r="AY72" s="42">
        <f>MIN(AY$6,AW72+AX72)</f>
        <v/>
      </c>
      <c r="AZ72" s="42">
        <f>MAX(0,MIN(AW72+AX72-AY72,AV72))</f>
        <v/>
      </c>
      <c r="BA72" s="42">
        <f>ROUND(AW72+AX72-AY72-AZ72,2)</f>
        <v/>
      </c>
      <c r="BB72">
        <f>AV72-AZ72</f>
        <v/>
      </c>
      <c r="BC72" s="42">
        <f>BG71</f>
        <v/>
      </c>
      <c r="BD72" s="42">
        <f>ROUND(BC72*BD$6/12,2)</f>
        <v/>
      </c>
      <c r="BE72" s="42">
        <f>MIN(BE$6,BC72+BD72)</f>
        <v/>
      </c>
      <c r="BF72" s="42">
        <f>MAX(0,MIN(BC72+BD72-BE72,BB72))</f>
        <v/>
      </c>
      <c r="BG72" s="42">
        <f>ROUND(BC72+BD72-BE72-BF72,2)</f>
        <v/>
      </c>
      <c r="BH72">
        <f>BB72-BF72</f>
        <v/>
      </c>
      <c r="BI72" s="42">
        <f>BM71</f>
        <v/>
      </c>
      <c r="BJ72" s="42">
        <f>ROUND(BI72*BJ$6/12,2)</f>
        <v/>
      </c>
      <c r="BK72" s="42">
        <f>MIN(BK$6,BI72+BJ72)</f>
        <v/>
      </c>
      <c r="BL72" s="42">
        <f>MAX(0,MIN(BI72+BJ72-BK72,BH72))</f>
        <v/>
      </c>
      <c r="BM72" s="42">
        <f>ROUND(BI72+BJ72-BK72-BL72,2)</f>
        <v/>
      </c>
      <c r="BN72">
        <f>BH72-BL72</f>
        <v/>
      </c>
    </row>
    <row r="73">
      <c r="A73" s="43" t="n">
        <v>66</v>
      </c>
      <c r="B73" s="44">
        <f>EDATE('My Debts'!$C$6,A73-1)</f>
        <v/>
      </c>
      <c r="C73" s="45">
        <f>K73+Q73+W73+AC73+AI73+AO73+AU73+BA73+BG73+BM73</f>
        <v/>
      </c>
      <c r="D73" s="46">
        <f>I73+O73+U73+AA73+AG73+AM73+AS73+AY73+BE73+BK73+J73+P73+V73+AB73+AH73+AN73+AT73+AZ73+BF73+BL73</f>
        <v/>
      </c>
      <c r="E73" s="46">
        <f>H73+N73+T73+Z73+AF73+AL73+AR73+AX73+BD73+BJ73</f>
        <v/>
      </c>
      <c r="F73">
        <f>MAX(0,'My Debts'!$E$21-(I73+O73+U73+AA73+AG73+AM73+AS73+AY73+BE73+BK73))</f>
        <v/>
      </c>
      <c r="G73" s="42">
        <f>K72</f>
        <v/>
      </c>
      <c r="H73" s="42">
        <f>ROUND(G73*H$6/12,2)</f>
        <v/>
      </c>
      <c r="I73" s="42">
        <f>MIN(I$6,G73+H73)</f>
        <v/>
      </c>
      <c r="J73" s="42">
        <f>MAX(0,MIN(G73+H73-I73,$F73))</f>
        <v/>
      </c>
      <c r="K73" s="42">
        <f>ROUND(G73+H73-I73-J73,2)</f>
        <v/>
      </c>
      <c r="L73">
        <f>$F73-J73</f>
        <v/>
      </c>
      <c r="M73" s="42">
        <f>Q72</f>
        <v/>
      </c>
      <c r="N73" s="42">
        <f>ROUND(M73*N$6/12,2)</f>
        <v/>
      </c>
      <c r="O73" s="42">
        <f>MIN(O$6,M73+N73)</f>
        <v/>
      </c>
      <c r="P73" s="42">
        <f>MAX(0,MIN(M73+N73-O73,L73))</f>
        <v/>
      </c>
      <c r="Q73" s="42">
        <f>ROUND(M73+N73-O73-P73,2)</f>
        <v/>
      </c>
      <c r="R73">
        <f>L73-P73</f>
        <v/>
      </c>
      <c r="S73" s="42">
        <f>W72</f>
        <v/>
      </c>
      <c r="T73" s="42">
        <f>ROUND(S73*T$6/12,2)</f>
        <v/>
      </c>
      <c r="U73" s="42">
        <f>MIN(U$6,S73+T73)</f>
        <v/>
      </c>
      <c r="V73" s="42">
        <f>MAX(0,MIN(S73+T73-U73,R73))</f>
        <v/>
      </c>
      <c r="W73" s="42">
        <f>ROUND(S73+T73-U73-V73,2)</f>
        <v/>
      </c>
      <c r="X73">
        <f>R73-V73</f>
        <v/>
      </c>
      <c r="Y73" s="42">
        <f>AC72</f>
        <v/>
      </c>
      <c r="Z73" s="42">
        <f>ROUND(Y73*Z$6/12,2)</f>
        <v/>
      </c>
      <c r="AA73" s="42">
        <f>MIN(AA$6,Y73+Z73)</f>
        <v/>
      </c>
      <c r="AB73" s="42">
        <f>MAX(0,MIN(Y73+Z73-AA73,X73))</f>
        <v/>
      </c>
      <c r="AC73" s="42">
        <f>ROUND(Y73+Z73-AA73-AB73,2)</f>
        <v/>
      </c>
      <c r="AD73">
        <f>X73-AB73</f>
        <v/>
      </c>
      <c r="AE73" s="42">
        <f>AI72</f>
        <v/>
      </c>
      <c r="AF73" s="42">
        <f>ROUND(AE73*AF$6/12,2)</f>
        <v/>
      </c>
      <c r="AG73" s="42">
        <f>MIN(AG$6,AE73+AF73)</f>
        <v/>
      </c>
      <c r="AH73" s="42">
        <f>MAX(0,MIN(AE73+AF73-AG73,AD73))</f>
        <v/>
      </c>
      <c r="AI73" s="42">
        <f>ROUND(AE73+AF73-AG73-AH73,2)</f>
        <v/>
      </c>
      <c r="AJ73">
        <f>AD73-AH73</f>
        <v/>
      </c>
      <c r="AK73" s="42">
        <f>AO72</f>
        <v/>
      </c>
      <c r="AL73" s="42">
        <f>ROUND(AK73*AL$6/12,2)</f>
        <v/>
      </c>
      <c r="AM73" s="42">
        <f>MIN(AM$6,AK73+AL73)</f>
        <v/>
      </c>
      <c r="AN73" s="42">
        <f>MAX(0,MIN(AK73+AL73-AM73,AJ73))</f>
        <v/>
      </c>
      <c r="AO73" s="42">
        <f>ROUND(AK73+AL73-AM73-AN73,2)</f>
        <v/>
      </c>
      <c r="AP73">
        <f>AJ73-AN73</f>
        <v/>
      </c>
      <c r="AQ73" s="42">
        <f>AU72</f>
        <v/>
      </c>
      <c r="AR73" s="42">
        <f>ROUND(AQ73*AR$6/12,2)</f>
        <v/>
      </c>
      <c r="AS73" s="42">
        <f>MIN(AS$6,AQ73+AR73)</f>
        <v/>
      </c>
      <c r="AT73" s="42">
        <f>MAX(0,MIN(AQ73+AR73-AS73,AP73))</f>
        <v/>
      </c>
      <c r="AU73" s="42">
        <f>ROUND(AQ73+AR73-AS73-AT73,2)</f>
        <v/>
      </c>
      <c r="AV73">
        <f>AP73-AT73</f>
        <v/>
      </c>
      <c r="AW73" s="42">
        <f>BA72</f>
        <v/>
      </c>
      <c r="AX73" s="42">
        <f>ROUND(AW73*AX$6/12,2)</f>
        <v/>
      </c>
      <c r="AY73" s="42">
        <f>MIN(AY$6,AW73+AX73)</f>
        <v/>
      </c>
      <c r="AZ73" s="42">
        <f>MAX(0,MIN(AW73+AX73-AY73,AV73))</f>
        <v/>
      </c>
      <c r="BA73" s="42">
        <f>ROUND(AW73+AX73-AY73-AZ73,2)</f>
        <v/>
      </c>
      <c r="BB73">
        <f>AV73-AZ73</f>
        <v/>
      </c>
      <c r="BC73" s="42">
        <f>BG72</f>
        <v/>
      </c>
      <c r="BD73" s="42">
        <f>ROUND(BC73*BD$6/12,2)</f>
        <v/>
      </c>
      <c r="BE73" s="42">
        <f>MIN(BE$6,BC73+BD73)</f>
        <v/>
      </c>
      <c r="BF73" s="42">
        <f>MAX(0,MIN(BC73+BD73-BE73,BB73))</f>
        <v/>
      </c>
      <c r="BG73" s="42">
        <f>ROUND(BC73+BD73-BE73-BF73,2)</f>
        <v/>
      </c>
      <c r="BH73">
        <f>BB73-BF73</f>
        <v/>
      </c>
      <c r="BI73" s="42">
        <f>BM72</f>
        <v/>
      </c>
      <c r="BJ73" s="42">
        <f>ROUND(BI73*BJ$6/12,2)</f>
        <v/>
      </c>
      <c r="BK73" s="42">
        <f>MIN(BK$6,BI73+BJ73)</f>
        <v/>
      </c>
      <c r="BL73" s="42">
        <f>MAX(0,MIN(BI73+BJ73-BK73,BH73))</f>
        <v/>
      </c>
      <c r="BM73" s="42">
        <f>ROUND(BI73+BJ73-BK73-BL73,2)</f>
        <v/>
      </c>
      <c r="BN73">
        <f>BH73-BL73</f>
        <v/>
      </c>
    </row>
    <row r="74">
      <c r="A74" s="39" t="n">
        <v>67</v>
      </c>
      <c r="B74" s="40">
        <f>EDATE('My Debts'!$C$6,A74-1)</f>
        <v/>
      </c>
      <c r="C74" s="41">
        <f>K74+Q74+W74+AC74+AI74+AO74+AU74+BA74+BG74+BM74</f>
        <v/>
      </c>
      <c r="D74" s="42">
        <f>I74+O74+U74+AA74+AG74+AM74+AS74+AY74+BE74+BK74+J74+P74+V74+AB74+AH74+AN74+AT74+AZ74+BF74+BL74</f>
        <v/>
      </c>
      <c r="E74" s="42">
        <f>H74+N74+T74+Z74+AF74+AL74+AR74+AX74+BD74+BJ74</f>
        <v/>
      </c>
      <c r="F74">
        <f>MAX(0,'My Debts'!$E$21-(I74+O74+U74+AA74+AG74+AM74+AS74+AY74+BE74+BK74))</f>
        <v/>
      </c>
      <c r="G74" s="42">
        <f>K73</f>
        <v/>
      </c>
      <c r="H74" s="42">
        <f>ROUND(G74*H$6/12,2)</f>
        <v/>
      </c>
      <c r="I74" s="42">
        <f>MIN(I$6,G74+H74)</f>
        <v/>
      </c>
      <c r="J74" s="42">
        <f>MAX(0,MIN(G74+H74-I74,$F74))</f>
        <v/>
      </c>
      <c r="K74" s="42">
        <f>ROUND(G74+H74-I74-J74,2)</f>
        <v/>
      </c>
      <c r="L74">
        <f>$F74-J74</f>
        <v/>
      </c>
      <c r="M74" s="42">
        <f>Q73</f>
        <v/>
      </c>
      <c r="N74" s="42">
        <f>ROUND(M74*N$6/12,2)</f>
        <v/>
      </c>
      <c r="O74" s="42">
        <f>MIN(O$6,M74+N74)</f>
        <v/>
      </c>
      <c r="P74" s="42">
        <f>MAX(0,MIN(M74+N74-O74,L74))</f>
        <v/>
      </c>
      <c r="Q74" s="42">
        <f>ROUND(M74+N74-O74-P74,2)</f>
        <v/>
      </c>
      <c r="R74">
        <f>L74-P74</f>
        <v/>
      </c>
      <c r="S74" s="42">
        <f>W73</f>
        <v/>
      </c>
      <c r="T74" s="42">
        <f>ROUND(S74*T$6/12,2)</f>
        <v/>
      </c>
      <c r="U74" s="42">
        <f>MIN(U$6,S74+T74)</f>
        <v/>
      </c>
      <c r="V74" s="42">
        <f>MAX(0,MIN(S74+T74-U74,R74))</f>
        <v/>
      </c>
      <c r="W74" s="42">
        <f>ROUND(S74+T74-U74-V74,2)</f>
        <v/>
      </c>
      <c r="X74">
        <f>R74-V74</f>
        <v/>
      </c>
      <c r="Y74" s="42">
        <f>AC73</f>
        <v/>
      </c>
      <c r="Z74" s="42">
        <f>ROUND(Y74*Z$6/12,2)</f>
        <v/>
      </c>
      <c r="AA74" s="42">
        <f>MIN(AA$6,Y74+Z74)</f>
        <v/>
      </c>
      <c r="AB74" s="42">
        <f>MAX(0,MIN(Y74+Z74-AA74,X74))</f>
        <v/>
      </c>
      <c r="AC74" s="42">
        <f>ROUND(Y74+Z74-AA74-AB74,2)</f>
        <v/>
      </c>
      <c r="AD74">
        <f>X74-AB74</f>
        <v/>
      </c>
      <c r="AE74" s="42">
        <f>AI73</f>
        <v/>
      </c>
      <c r="AF74" s="42">
        <f>ROUND(AE74*AF$6/12,2)</f>
        <v/>
      </c>
      <c r="AG74" s="42">
        <f>MIN(AG$6,AE74+AF74)</f>
        <v/>
      </c>
      <c r="AH74" s="42">
        <f>MAX(0,MIN(AE74+AF74-AG74,AD74))</f>
        <v/>
      </c>
      <c r="AI74" s="42">
        <f>ROUND(AE74+AF74-AG74-AH74,2)</f>
        <v/>
      </c>
      <c r="AJ74">
        <f>AD74-AH74</f>
        <v/>
      </c>
      <c r="AK74" s="42">
        <f>AO73</f>
        <v/>
      </c>
      <c r="AL74" s="42">
        <f>ROUND(AK74*AL$6/12,2)</f>
        <v/>
      </c>
      <c r="AM74" s="42">
        <f>MIN(AM$6,AK74+AL74)</f>
        <v/>
      </c>
      <c r="AN74" s="42">
        <f>MAX(0,MIN(AK74+AL74-AM74,AJ74))</f>
        <v/>
      </c>
      <c r="AO74" s="42">
        <f>ROUND(AK74+AL74-AM74-AN74,2)</f>
        <v/>
      </c>
      <c r="AP74">
        <f>AJ74-AN74</f>
        <v/>
      </c>
      <c r="AQ74" s="42">
        <f>AU73</f>
        <v/>
      </c>
      <c r="AR74" s="42">
        <f>ROUND(AQ74*AR$6/12,2)</f>
        <v/>
      </c>
      <c r="AS74" s="42">
        <f>MIN(AS$6,AQ74+AR74)</f>
        <v/>
      </c>
      <c r="AT74" s="42">
        <f>MAX(0,MIN(AQ74+AR74-AS74,AP74))</f>
        <v/>
      </c>
      <c r="AU74" s="42">
        <f>ROUND(AQ74+AR74-AS74-AT74,2)</f>
        <v/>
      </c>
      <c r="AV74">
        <f>AP74-AT74</f>
        <v/>
      </c>
      <c r="AW74" s="42">
        <f>BA73</f>
        <v/>
      </c>
      <c r="AX74" s="42">
        <f>ROUND(AW74*AX$6/12,2)</f>
        <v/>
      </c>
      <c r="AY74" s="42">
        <f>MIN(AY$6,AW74+AX74)</f>
        <v/>
      </c>
      <c r="AZ74" s="42">
        <f>MAX(0,MIN(AW74+AX74-AY74,AV74))</f>
        <v/>
      </c>
      <c r="BA74" s="42">
        <f>ROUND(AW74+AX74-AY74-AZ74,2)</f>
        <v/>
      </c>
      <c r="BB74">
        <f>AV74-AZ74</f>
        <v/>
      </c>
      <c r="BC74" s="42">
        <f>BG73</f>
        <v/>
      </c>
      <c r="BD74" s="42">
        <f>ROUND(BC74*BD$6/12,2)</f>
        <v/>
      </c>
      <c r="BE74" s="42">
        <f>MIN(BE$6,BC74+BD74)</f>
        <v/>
      </c>
      <c r="BF74" s="42">
        <f>MAX(0,MIN(BC74+BD74-BE74,BB74))</f>
        <v/>
      </c>
      <c r="BG74" s="42">
        <f>ROUND(BC74+BD74-BE74-BF74,2)</f>
        <v/>
      </c>
      <c r="BH74">
        <f>BB74-BF74</f>
        <v/>
      </c>
      <c r="BI74" s="42">
        <f>BM73</f>
        <v/>
      </c>
      <c r="BJ74" s="42">
        <f>ROUND(BI74*BJ$6/12,2)</f>
        <v/>
      </c>
      <c r="BK74" s="42">
        <f>MIN(BK$6,BI74+BJ74)</f>
        <v/>
      </c>
      <c r="BL74" s="42">
        <f>MAX(0,MIN(BI74+BJ74-BK74,BH74))</f>
        <v/>
      </c>
      <c r="BM74" s="42">
        <f>ROUND(BI74+BJ74-BK74-BL74,2)</f>
        <v/>
      </c>
      <c r="BN74">
        <f>BH74-BL74</f>
        <v/>
      </c>
    </row>
    <row r="75">
      <c r="A75" s="43" t="n">
        <v>68</v>
      </c>
      <c r="B75" s="44">
        <f>EDATE('My Debts'!$C$6,A75-1)</f>
        <v/>
      </c>
      <c r="C75" s="45">
        <f>K75+Q75+W75+AC75+AI75+AO75+AU75+BA75+BG75+BM75</f>
        <v/>
      </c>
      <c r="D75" s="46">
        <f>I75+O75+U75+AA75+AG75+AM75+AS75+AY75+BE75+BK75+J75+P75+V75+AB75+AH75+AN75+AT75+AZ75+BF75+BL75</f>
        <v/>
      </c>
      <c r="E75" s="46">
        <f>H75+N75+T75+Z75+AF75+AL75+AR75+AX75+BD75+BJ75</f>
        <v/>
      </c>
      <c r="F75">
        <f>MAX(0,'My Debts'!$E$21-(I75+O75+U75+AA75+AG75+AM75+AS75+AY75+BE75+BK75))</f>
        <v/>
      </c>
      <c r="G75" s="42">
        <f>K74</f>
        <v/>
      </c>
      <c r="H75" s="42">
        <f>ROUND(G75*H$6/12,2)</f>
        <v/>
      </c>
      <c r="I75" s="42">
        <f>MIN(I$6,G75+H75)</f>
        <v/>
      </c>
      <c r="J75" s="42">
        <f>MAX(0,MIN(G75+H75-I75,$F75))</f>
        <v/>
      </c>
      <c r="K75" s="42">
        <f>ROUND(G75+H75-I75-J75,2)</f>
        <v/>
      </c>
      <c r="L75">
        <f>$F75-J75</f>
        <v/>
      </c>
      <c r="M75" s="42">
        <f>Q74</f>
        <v/>
      </c>
      <c r="N75" s="42">
        <f>ROUND(M75*N$6/12,2)</f>
        <v/>
      </c>
      <c r="O75" s="42">
        <f>MIN(O$6,M75+N75)</f>
        <v/>
      </c>
      <c r="P75" s="42">
        <f>MAX(0,MIN(M75+N75-O75,L75))</f>
        <v/>
      </c>
      <c r="Q75" s="42">
        <f>ROUND(M75+N75-O75-P75,2)</f>
        <v/>
      </c>
      <c r="R75">
        <f>L75-P75</f>
        <v/>
      </c>
      <c r="S75" s="42">
        <f>W74</f>
        <v/>
      </c>
      <c r="T75" s="42">
        <f>ROUND(S75*T$6/12,2)</f>
        <v/>
      </c>
      <c r="U75" s="42">
        <f>MIN(U$6,S75+T75)</f>
        <v/>
      </c>
      <c r="V75" s="42">
        <f>MAX(0,MIN(S75+T75-U75,R75))</f>
        <v/>
      </c>
      <c r="W75" s="42">
        <f>ROUND(S75+T75-U75-V75,2)</f>
        <v/>
      </c>
      <c r="X75">
        <f>R75-V75</f>
        <v/>
      </c>
      <c r="Y75" s="42">
        <f>AC74</f>
        <v/>
      </c>
      <c r="Z75" s="42">
        <f>ROUND(Y75*Z$6/12,2)</f>
        <v/>
      </c>
      <c r="AA75" s="42">
        <f>MIN(AA$6,Y75+Z75)</f>
        <v/>
      </c>
      <c r="AB75" s="42">
        <f>MAX(0,MIN(Y75+Z75-AA75,X75))</f>
        <v/>
      </c>
      <c r="AC75" s="42">
        <f>ROUND(Y75+Z75-AA75-AB75,2)</f>
        <v/>
      </c>
      <c r="AD75">
        <f>X75-AB75</f>
        <v/>
      </c>
      <c r="AE75" s="42">
        <f>AI74</f>
        <v/>
      </c>
      <c r="AF75" s="42">
        <f>ROUND(AE75*AF$6/12,2)</f>
        <v/>
      </c>
      <c r="AG75" s="42">
        <f>MIN(AG$6,AE75+AF75)</f>
        <v/>
      </c>
      <c r="AH75" s="42">
        <f>MAX(0,MIN(AE75+AF75-AG75,AD75))</f>
        <v/>
      </c>
      <c r="AI75" s="42">
        <f>ROUND(AE75+AF75-AG75-AH75,2)</f>
        <v/>
      </c>
      <c r="AJ75">
        <f>AD75-AH75</f>
        <v/>
      </c>
      <c r="AK75" s="42">
        <f>AO74</f>
        <v/>
      </c>
      <c r="AL75" s="42">
        <f>ROUND(AK75*AL$6/12,2)</f>
        <v/>
      </c>
      <c r="AM75" s="42">
        <f>MIN(AM$6,AK75+AL75)</f>
        <v/>
      </c>
      <c r="AN75" s="42">
        <f>MAX(0,MIN(AK75+AL75-AM75,AJ75))</f>
        <v/>
      </c>
      <c r="AO75" s="42">
        <f>ROUND(AK75+AL75-AM75-AN75,2)</f>
        <v/>
      </c>
      <c r="AP75">
        <f>AJ75-AN75</f>
        <v/>
      </c>
      <c r="AQ75" s="42">
        <f>AU74</f>
        <v/>
      </c>
      <c r="AR75" s="42">
        <f>ROUND(AQ75*AR$6/12,2)</f>
        <v/>
      </c>
      <c r="AS75" s="42">
        <f>MIN(AS$6,AQ75+AR75)</f>
        <v/>
      </c>
      <c r="AT75" s="42">
        <f>MAX(0,MIN(AQ75+AR75-AS75,AP75))</f>
        <v/>
      </c>
      <c r="AU75" s="42">
        <f>ROUND(AQ75+AR75-AS75-AT75,2)</f>
        <v/>
      </c>
      <c r="AV75">
        <f>AP75-AT75</f>
        <v/>
      </c>
      <c r="AW75" s="42">
        <f>BA74</f>
        <v/>
      </c>
      <c r="AX75" s="42">
        <f>ROUND(AW75*AX$6/12,2)</f>
        <v/>
      </c>
      <c r="AY75" s="42">
        <f>MIN(AY$6,AW75+AX75)</f>
        <v/>
      </c>
      <c r="AZ75" s="42">
        <f>MAX(0,MIN(AW75+AX75-AY75,AV75))</f>
        <v/>
      </c>
      <c r="BA75" s="42">
        <f>ROUND(AW75+AX75-AY75-AZ75,2)</f>
        <v/>
      </c>
      <c r="BB75">
        <f>AV75-AZ75</f>
        <v/>
      </c>
      <c r="BC75" s="42">
        <f>BG74</f>
        <v/>
      </c>
      <c r="BD75" s="42">
        <f>ROUND(BC75*BD$6/12,2)</f>
        <v/>
      </c>
      <c r="BE75" s="42">
        <f>MIN(BE$6,BC75+BD75)</f>
        <v/>
      </c>
      <c r="BF75" s="42">
        <f>MAX(0,MIN(BC75+BD75-BE75,BB75))</f>
        <v/>
      </c>
      <c r="BG75" s="42">
        <f>ROUND(BC75+BD75-BE75-BF75,2)</f>
        <v/>
      </c>
      <c r="BH75">
        <f>BB75-BF75</f>
        <v/>
      </c>
      <c r="BI75" s="42">
        <f>BM74</f>
        <v/>
      </c>
      <c r="BJ75" s="42">
        <f>ROUND(BI75*BJ$6/12,2)</f>
        <v/>
      </c>
      <c r="BK75" s="42">
        <f>MIN(BK$6,BI75+BJ75)</f>
        <v/>
      </c>
      <c r="BL75" s="42">
        <f>MAX(0,MIN(BI75+BJ75-BK75,BH75))</f>
        <v/>
      </c>
      <c r="BM75" s="42">
        <f>ROUND(BI75+BJ75-BK75-BL75,2)</f>
        <v/>
      </c>
      <c r="BN75">
        <f>BH75-BL75</f>
        <v/>
      </c>
    </row>
    <row r="76">
      <c r="A76" s="39" t="n">
        <v>69</v>
      </c>
      <c r="B76" s="40">
        <f>EDATE('My Debts'!$C$6,A76-1)</f>
        <v/>
      </c>
      <c r="C76" s="41">
        <f>K76+Q76+W76+AC76+AI76+AO76+AU76+BA76+BG76+BM76</f>
        <v/>
      </c>
      <c r="D76" s="42">
        <f>I76+O76+U76+AA76+AG76+AM76+AS76+AY76+BE76+BK76+J76+P76+V76+AB76+AH76+AN76+AT76+AZ76+BF76+BL76</f>
        <v/>
      </c>
      <c r="E76" s="42">
        <f>H76+N76+T76+Z76+AF76+AL76+AR76+AX76+BD76+BJ76</f>
        <v/>
      </c>
      <c r="F76">
        <f>MAX(0,'My Debts'!$E$21-(I76+O76+U76+AA76+AG76+AM76+AS76+AY76+BE76+BK76))</f>
        <v/>
      </c>
      <c r="G76" s="42">
        <f>K75</f>
        <v/>
      </c>
      <c r="H76" s="42">
        <f>ROUND(G76*H$6/12,2)</f>
        <v/>
      </c>
      <c r="I76" s="42">
        <f>MIN(I$6,G76+H76)</f>
        <v/>
      </c>
      <c r="J76" s="42">
        <f>MAX(0,MIN(G76+H76-I76,$F76))</f>
        <v/>
      </c>
      <c r="K76" s="42">
        <f>ROUND(G76+H76-I76-J76,2)</f>
        <v/>
      </c>
      <c r="L76">
        <f>$F76-J76</f>
        <v/>
      </c>
      <c r="M76" s="42">
        <f>Q75</f>
        <v/>
      </c>
      <c r="N76" s="42">
        <f>ROUND(M76*N$6/12,2)</f>
        <v/>
      </c>
      <c r="O76" s="42">
        <f>MIN(O$6,M76+N76)</f>
        <v/>
      </c>
      <c r="P76" s="42">
        <f>MAX(0,MIN(M76+N76-O76,L76))</f>
        <v/>
      </c>
      <c r="Q76" s="42">
        <f>ROUND(M76+N76-O76-P76,2)</f>
        <v/>
      </c>
      <c r="R76">
        <f>L76-P76</f>
        <v/>
      </c>
      <c r="S76" s="42">
        <f>W75</f>
        <v/>
      </c>
      <c r="T76" s="42">
        <f>ROUND(S76*T$6/12,2)</f>
        <v/>
      </c>
      <c r="U76" s="42">
        <f>MIN(U$6,S76+T76)</f>
        <v/>
      </c>
      <c r="V76" s="42">
        <f>MAX(0,MIN(S76+T76-U76,R76))</f>
        <v/>
      </c>
      <c r="W76" s="42">
        <f>ROUND(S76+T76-U76-V76,2)</f>
        <v/>
      </c>
      <c r="X76">
        <f>R76-V76</f>
        <v/>
      </c>
      <c r="Y76" s="42">
        <f>AC75</f>
        <v/>
      </c>
      <c r="Z76" s="42">
        <f>ROUND(Y76*Z$6/12,2)</f>
        <v/>
      </c>
      <c r="AA76" s="42">
        <f>MIN(AA$6,Y76+Z76)</f>
        <v/>
      </c>
      <c r="AB76" s="42">
        <f>MAX(0,MIN(Y76+Z76-AA76,X76))</f>
        <v/>
      </c>
      <c r="AC76" s="42">
        <f>ROUND(Y76+Z76-AA76-AB76,2)</f>
        <v/>
      </c>
      <c r="AD76">
        <f>X76-AB76</f>
        <v/>
      </c>
      <c r="AE76" s="42">
        <f>AI75</f>
        <v/>
      </c>
      <c r="AF76" s="42">
        <f>ROUND(AE76*AF$6/12,2)</f>
        <v/>
      </c>
      <c r="AG76" s="42">
        <f>MIN(AG$6,AE76+AF76)</f>
        <v/>
      </c>
      <c r="AH76" s="42">
        <f>MAX(0,MIN(AE76+AF76-AG76,AD76))</f>
        <v/>
      </c>
      <c r="AI76" s="42">
        <f>ROUND(AE76+AF76-AG76-AH76,2)</f>
        <v/>
      </c>
      <c r="AJ76">
        <f>AD76-AH76</f>
        <v/>
      </c>
      <c r="AK76" s="42">
        <f>AO75</f>
        <v/>
      </c>
      <c r="AL76" s="42">
        <f>ROUND(AK76*AL$6/12,2)</f>
        <v/>
      </c>
      <c r="AM76" s="42">
        <f>MIN(AM$6,AK76+AL76)</f>
        <v/>
      </c>
      <c r="AN76" s="42">
        <f>MAX(0,MIN(AK76+AL76-AM76,AJ76))</f>
        <v/>
      </c>
      <c r="AO76" s="42">
        <f>ROUND(AK76+AL76-AM76-AN76,2)</f>
        <v/>
      </c>
      <c r="AP76">
        <f>AJ76-AN76</f>
        <v/>
      </c>
      <c r="AQ76" s="42">
        <f>AU75</f>
        <v/>
      </c>
      <c r="AR76" s="42">
        <f>ROUND(AQ76*AR$6/12,2)</f>
        <v/>
      </c>
      <c r="AS76" s="42">
        <f>MIN(AS$6,AQ76+AR76)</f>
        <v/>
      </c>
      <c r="AT76" s="42">
        <f>MAX(0,MIN(AQ76+AR76-AS76,AP76))</f>
        <v/>
      </c>
      <c r="AU76" s="42">
        <f>ROUND(AQ76+AR76-AS76-AT76,2)</f>
        <v/>
      </c>
      <c r="AV76">
        <f>AP76-AT76</f>
        <v/>
      </c>
      <c r="AW76" s="42">
        <f>BA75</f>
        <v/>
      </c>
      <c r="AX76" s="42">
        <f>ROUND(AW76*AX$6/12,2)</f>
        <v/>
      </c>
      <c r="AY76" s="42">
        <f>MIN(AY$6,AW76+AX76)</f>
        <v/>
      </c>
      <c r="AZ76" s="42">
        <f>MAX(0,MIN(AW76+AX76-AY76,AV76))</f>
        <v/>
      </c>
      <c r="BA76" s="42">
        <f>ROUND(AW76+AX76-AY76-AZ76,2)</f>
        <v/>
      </c>
      <c r="BB76">
        <f>AV76-AZ76</f>
        <v/>
      </c>
      <c r="BC76" s="42">
        <f>BG75</f>
        <v/>
      </c>
      <c r="BD76" s="42">
        <f>ROUND(BC76*BD$6/12,2)</f>
        <v/>
      </c>
      <c r="BE76" s="42">
        <f>MIN(BE$6,BC76+BD76)</f>
        <v/>
      </c>
      <c r="BF76" s="42">
        <f>MAX(0,MIN(BC76+BD76-BE76,BB76))</f>
        <v/>
      </c>
      <c r="BG76" s="42">
        <f>ROUND(BC76+BD76-BE76-BF76,2)</f>
        <v/>
      </c>
      <c r="BH76">
        <f>BB76-BF76</f>
        <v/>
      </c>
      <c r="BI76" s="42">
        <f>BM75</f>
        <v/>
      </c>
      <c r="BJ76" s="42">
        <f>ROUND(BI76*BJ$6/12,2)</f>
        <v/>
      </c>
      <c r="BK76" s="42">
        <f>MIN(BK$6,BI76+BJ76)</f>
        <v/>
      </c>
      <c r="BL76" s="42">
        <f>MAX(0,MIN(BI76+BJ76-BK76,BH76))</f>
        <v/>
      </c>
      <c r="BM76" s="42">
        <f>ROUND(BI76+BJ76-BK76-BL76,2)</f>
        <v/>
      </c>
      <c r="BN76">
        <f>BH76-BL76</f>
        <v/>
      </c>
    </row>
    <row r="77">
      <c r="A77" s="43" t="n">
        <v>70</v>
      </c>
      <c r="B77" s="44">
        <f>EDATE('My Debts'!$C$6,A77-1)</f>
        <v/>
      </c>
      <c r="C77" s="45">
        <f>K77+Q77+W77+AC77+AI77+AO77+AU77+BA77+BG77+BM77</f>
        <v/>
      </c>
      <c r="D77" s="46">
        <f>I77+O77+U77+AA77+AG77+AM77+AS77+AY77+BE77+BK77+J77+P77+V77+AB77+AH77+AN77+AT77+AZ77+BF77+BL77</f>
        <v/>
      </c>
      <c r="E77" s="46">
        <f>H77+N77+T77+Z77+AF77+AL77+AR77+AX77+BD77+BJ77</f>
        <v/>
      </c>
      <c r="F77">
        <f>MAX(0,'My Debts'!$E$21-(I77+O77+U77+AA77+AG77+AM77+AS77+AY77+BE77+BK77))</f>
        <v/>
      </c>
      <c r="G77" s="42">
        <f>K76</f>
        <v/>
      </c>
      <c r="H77" s="42">
        <f>ROUND(G77*H$6/12,2)</f>
        <v/>
      </c>
      <c r="I77" s="42">
        <f>MIN(I$6,G77+H77)</f>
        <v/>
      </c>
      <c r="J77" s="42">
        <f>MAX(0,MIN(G77+H77-I77,$F77))</f>
        <v/>
      </c>
      <c r="K77" s="42">
        <f>ROUND(G77+H77-I77-J77,2)</f>
        <v/>
      </c>
      <c r="L77">
        <f>$F77-J77</f>
        <v/>
      </c>
      <c r="M77" s="42">
        <f>Q76</f>
        <v/>
      </c>
      <c r="N77" s="42">
        <f>ROUND(M77*N$6/12,2)</f>
        <v/>
      </c>
      <c r="O77" s="42">
        <f>MIN(O$6,M77+N77)</f>
        <v/>
      </c>
      <c r="P77" s="42">
        <f>MAX(0,MIN(M77+N77-O77,L77))</f>
        <v/>
      </c>
      <c r="Q77" s="42">
        <f>ROUND(M77+N77-O77-P77,2)</f>
        <v/>
      </c>
      <c r="R77">
        <f>L77-P77</f>
        <v/>
      </c>
      <c r="S77" s="42">
        <f>W76</f>
        <v/>
      </c>
      <c r="T77" s="42">
        <f>ROUND(S77*T$6/12,2)</f>
        <v/>
      </c>
      <c r="U77" s="42">
        <f>MIN(U$6,S77+T77)</f>
        <v/>
      </c>
      <c r="V77" s="42">
        <f>MAX(0,MIN(S77+T77-U77,R77))</f>
        <v/>
      </c>
      <c r="W77" s="42">
        <f>ROUND(S77+T77-U77-V77,2)</f>
        <v/>
      </c>
      <c r="X77">
        <f>R77-V77</f>
        <v/>
      </c>
      <c r="Y77" s="42">
        <f>AC76</f>
        <v/>
      </c>
      <c r="Z77" s="42">
        <f>ROUND(Y77*Z$6/12,2)</f>
        <v/>
      </c>
      <c r="AA77" s="42">
        <f>MIN(AA$6,Y77+Z77)</f>
        <v/>
      </c>
      <c r="AB77" s="42">
        <f>MAX(0,MIN(Y77+Z77-AA77,X77))</f>
        <v/>
      </c>
      <c r="AC77" s="42">
        <f>ROUND(Y77+Z77-AA77-AB77,2)</f>
        <v/>
      </c>
      <c r="AD77">
        <f>X77-AB77</f>
        <v/>
      </c>
      <c r="AE77" s="42">
        <f>AI76</f>
        <v/>
      </c>
      <c r="AF77" s="42">
        <f>ROUND(AE77*AF$6/12,2)</f>
        <v/>
      </c>
      <c r="AG77" s="42">
        <f>MIN(AG$6,AE77+AF77)</f>
        <v/>
      </c>
      <c r="AH77" s="42">
        <f>MAX(0,MIN(AE77+AF77-AG77,AD77))</f>
        <v/>
      </c>
      <c r="AI77" s="42">
        <f>ROUND(AE77+AF77-AG77-AH77,2)</f>
        <v/>
      </c>
      <c r="AJ77">
        <f>AD77-AH77</f>
        <v/>
      </c>
      <c r="AK77" s="42">
        <f>AO76</f>
        <v/>
      </c>
      <c r="AL77" s="42">
        <f>ROUND(AK77*AL$6/12,2)</f>
        <v/>
      </c>
      <c r="AM77" s="42">
        <f>MIN(AM$6,AK77+AL77)</f>
        <v/>
      </c>
      <c r="AN77" s="42">
        <f>MAX(0,MIN(AK77+AL77-AM77,AJ77))</f>
        <v/>
      </c>
      <c r="AO77" s="42">
        <f>ROUND(AK77+AL77-AM77-AN77,2)</f>
        <v/>
      </c>
      <c r="AP77">
        <f>AJ77-AN77</f>
        <v/>
      </c>
      <c r="AQ77" s="42">
        <f>AU76</f>
        <v/>
      </c>
      <c r="AR77" s="42">
        <f>ROUND(AQ77*AR$6/12,2)</f>
        <v/>
      </c>
      <c r="AS77" s="42">
        <f>MIN(AS$6,AQ77+AR77)</f>
        <v/>
      </c>
      <c r="AT77" s="42">
        <f>MAX(0,MIN(AQ77+AR77-AS77,AP77))</f>
        <v/>
      </c>
      <c r="AU77" s="42">
        <f>ROUND(AQ77+AR77-AS77-AT77,2)</f>
        <v/>
      </c>
      <c r="AV77">
        <f>AP77-AT77</f>
        <v/>
      </c>
      <c r="AW77" s="42">
        <f>BA76</f>
        <v/>
      </c>
      <c r="AX77" s="42">
        <f>ROUND(AW77*AX$6/12,2)</f>
        <v/>
      </c>
      <c r="AY77" s="42">
        <f>MIN(AY$6,AW77+AX77)</f>
        <v/>
      </c>
      <c r="AZ77" s="42">
        <f>MAX(0,MIN(AW77+AX77-AY77,AV77))</f>
        <v/>
      </c>
      <c r="BA77" s="42">
        <f>ROUND(AW77+AX77-AY77-AZ77,2)</f>
        <v/>
      </c>
      <c r="BB77">
        <f>AV77-AZ77</f>
        <v/>
      </c>
      <c r="BC77" s="42">
        <f>BG76</f>
        <v/>
      </c>
      <c r="BD77" s="42">
        <f>ROUND(BC77*BD$6/12,2)</f>
        <v/>
      </c>
      <c r="BE77" s="42">
        <f>MIN(BE$6,BC77+BD77)</f>
        <v/>
      </c>
      <c r="BF77" s="42">
        <f>MAX(0,MIN(BC77+BD77-BE77,BB77))</f>
        <v/>
      </c>
      <c r="BG77" s="42">
        <f>ROUND(BC77+BD77-BE77-BF77,2)</f>
        <v/>
      </c>
      <c r="BH77">
        <f>BB77-BF77</f>
        <v/>
      </c>
      <c r="BI77" s="42">
        <f>BM76</f>
        <v/>
      </c>
      <c r="BJ77" s="42">
        <f>ROUND(BI77*BJ$6/12,2)</f>
        <v/>
      </c>
      <c r="BK77" s="42">
        <f>MIN(BK$6,BI77+BJ77)</f>
        <v/>
      </c>
      <c r="BL77" s="42">
        <f>MAX(0,MIN(BI77+BJ77-BK77,BH77))</f>
        <v/>
      </c>
      <c r="BM77" s="42">
        <f>ROUND(BI77+BJ77-BK77-BL77,2)</f>
        <v/>
      </c>
      <c r="BN77">
        <f>BH77-BL77</f>
        <v/>
      </c>
    </row>
    <row r="78">
      <c r="A78" s="39" t="n">
        <v>71</v>
      </c>
      <c r="B78" s="40">
        <f>EDATE('My Debts'!$C$6,A78-1)</f>
        <v/>
      </c>
      <c r="C78" s="41">
        <f>K78+Q78+W78+AC78+AI78+AO78+AU78+BA78+BG78+BM78</f>
        <v/>
      </c>
      <c r="D78" s="42">
        <f>I78+O78+U78+AA78+AG78+AM78+AS78+AY78+BE78+BK78+J78+P78+V78+AB78+AH78+AN78+AT78+AZ78+BF78+BL78</f>
        <v/>
      </c>
      <c r="E78" s="42">
        <f>H78+N78+T78+Z78+AF78+AL78+AR78+AX78+BD78+BJ78</f>
        <v/>
      </c>
      <c r="F78">
        <f>MAX(0,'My Debts'!$E$21-(I78+O78+U78+AA78+AG78+AM78+AS78+AY78+BE78+BK78))</f>
        <v/>
      </c>
      <c r="G78" s="42">
        <f>K77</f>
        <v/>
      </c>
      <c r="H78" s="42">
        <f>ROUND(G78*H$6/12,2)</f>
        <v/>
      </c>
      <c r="I78" s="42">
        <f>MIN(I$6,G78+H78)</f>
        <v/>
      </c>
      <c r="J78" s="42">
        <f>MAX(0,MIN(G78+H78-I78,$F78))</f>
        <v/>
      </c>
      <c r="K78" s="42">
        <f>ROUND(G78+H78-I78-J78,2)</f>
        <v/>
      </c>
      <c r="L78">
        <f>$F78-J78</f>
        <v/>
      </c>
      <c r="M78" s="42">
        <f>Q77</f>
        <v/>
      </c>
      <c r="N78" s="42">
        <f>ROUND(M78*N$6/12,2)</f>
        <v/>
      </c>
      <c r="O78" s="42">
        <f>MIN(O$6,M78+N78)</f>
        <v/>
      </c>
      <c r="P78" s="42">
        <f>MAX(0,MIN(M78+N78-O78,L78))</f>
        <v/>
      </c>
      <c r="Q78" s="42">
        <f>ROUND(M78+N78-O78-P78,2)</f>
        <v/>
      </c>
      <c r="R78">
        <f>L78-P78</f>
        <v/>
      </c>
      <c r="S78" s="42">
        <f>W77</f>
        <v/>
      </c>
      <c r="T78" s="42">
        <f>ROUND(S78*T$6/12,2)</f>
        <v/>
      </c>
      <c r="U78" s="42">
        <f>MIN(U$6,S78+T78)</f>
        <v/>
      </c>
      <c r="V78" s="42">
        <f>MAX(0,MIN(S78+T78-U78,R78))</f>
        <v/>
      </c>
      <c r="W78" s="42">
        <f>ROUND(S78+T78-U78-V78,2)</f>
        <v/>
      </c>
      <c r="X78">
        <f>R78-V78</f>
        <v/>
      </c>
      <c r="Y78" s="42">
        <f>AC77</f>
        <v/>
      </c>
      <c r="Z78" s="42">
        <f>ROUND(Y78*Z$6/12,2)</f>
        <v/>
      </c>
      <c r="AA78" s="42">
        <f>MIN(AA$6,Y78+Z78)</f>
        <v/>
      </c>
      <c r="AB78" s="42">
        <f>MAX(0,MIN(Y78+Z78-AA78,X78))</f>
        <v/>
      </c>
      <c r="AC78" s="42">
        <f>ROUND(Y78+Z78-AA78-AB78,2)</f>
        <v/>
      </c>
      <c r="AD78">
        <f>X78-AB78</f>
        <v/>
      </c>
      <c r="AE78" s="42">
        <f>AI77</f>
        <v/>
      </c>
      <c r="AF78" s="42">
        <f>ROUND(AE78*AF$6/12,2)</f>
        <v/>
      </c>
      <c r="AG78" s="42">
        <f>MIN(AG$6,AE78+AF78)</f>
        <v/>
      </c>
      <c r="AH78" s="42">
        <f>MAX(0,MIN(AE78+AF78-AG78,AD78))</f>
        <v/>
      </c>
      <c r="AI78" s="42">
        <f>ROUND(AE78+AF78-AG78-AH78,2)</f>
        <v/>
      </c>
      <c r="AJ78">
        <f>AD78-AH78</f>
        <v/>
      </c>
      <c r="AK78" s="42">
        <f>AO77</f>
        <v/>
      </c>
      <c r="AL78" s="42">
        <f>ROUND(AK78*AL$6/12,2)</f>
        <v/>
      </c>
      <c r="AM78" s="42">
        <f>MIN(AM$6,AK78+AL78)</f>
        <v/>
      </c>
      <c r="AN78" s="42">
        <f>MAX(0,MIN(AK78+AL78-AM78,AJ78))</f>
        <v/>
      </c>
      <c r="AO78" s="42">
        <f>ROUND(AK78+AL78-AM78-AN78,2)</f>
        <v/>
      </c>
      <c r="AP78">
        <f>AJ78-AN78</f>
        <v/>
      </c>
      <c r="AQ78" s="42">
        <f>AU77</f>
        <v/>
      </c>
      <c r="AR78" s="42">
        <f>ROUND(AQ78*AR$6/12,2)</f>
        <v/>
      </c>
      <c r="AS78" s="42">
        <f>MIN(AS$6,AQ78+AR78)</f>
        <v/>
      </c>
      <c r="AT78" s="42">
        <f>MAX(0,MIN(AQ78+AR78-AS78,AP78))</f>
        <v/>
      </c>
      <c r="AU78" s="42">
        <f>ROUND(AQ78+AR78-AS78-AT78,2)</f>
        <v/>
      </c>
      <c r="AV78">
        <f>AP78-AT78</f>
        <v/>
      </c>
      <c r="AW78" s="42">
        <f>BA77</f>
        <v/>
      </c>
      <c r="AX78" s="42">
        <f>ROUND(AW78*AX$6/12,2)</f>
        <v/>
      </c>
      <c r="AY78" s="42">
        <f>MIN(AY$6,AW78+AX78)</f>
        <v/>
      </c>
      <c r="AZ78" s="42">
        <f>MAX(0,MIN(AW78+AX78-AY78,AV78))</f>
        <v/>
      </c>
      <c r="BA78" s="42">
        <f>ROUND(AW78+AX78-AY78-AZ78,2)</f>
        <v/>
      </c>
      <c r="BB78">
        <f>AV78-AZ78</f>
        <v/>
      </c>
      <c r="BC78" s="42">
        <f>BG77</f>
        <v/>
      </c>
      <c r="BD78" s="42">
        <f>ROUND(BC78*BD$6/12,2)</f>
        <v/>
      </c>
      <c r="BE78" s="42">
        <f>MIN(BE$6,BC78+BD78)</f>
        <v/>
      </c>
      <c r="BF78" s="42">
        <f>MAX(0,MIN(BC78+BD78-BE78,BB78))</f>
        <v/>
      </c>
      <c r="BG78" s="42">
        <f>ROUND(BC78+BD78-BE78-BF78,2)</f>
        <v/>
      </c>
      <c r="BH78">
        <f>BB78-BF78</f>
        <v/>
      </c>
      <c r="BI78" s="42">
        <f>BM77</f>
        <v/>
      </c>
      <c r="BJ78" s="42">
        <f>ROUND(BI78*BJ$6/12,2)</f>
        <v/>
      </c>
      <c r="BK78" s="42">
        <f>MIN(BK$6,BI78+BJ78)</f>
        <v/>
      </c>
      <c r="BL78" s="42">
        <f>MAX(0,MIN(BI78+BJ78-BK78,BH78))</f>
        <v/>
      </c>
      <c r="BM78" s="42">
        <f>ROUND(BI78+BJ78-BK78-BL78,2)</f>
        <v/>
      </c>
      <c r="BN78">
        <f>BH78-BL78</f>
        <v/>
      </c>
    </row>
    <row r="79">
      <c r="A79" s="43" t="n">
        <v>72</v>
      </c>
      <c r="B79" s="44">
        <f>EDATE('My Debts'!$C$6,A79-1)</f>
        <v/>
      </c>
      <c r="C79" s="45">
        <f>K79+Q79+W79+AC79+AI79+AO79+AU79+BA79+BG79+BM79</f>
        <v/>
      </c>
      <c r="D79" s="46">
        <f>I79+O79+U79+AA79+AG79+AM79+AS79+AY79+BE79+BK79+J79+P79+V79+AB79+AH79+AN79+AT79+AZ79+BF79+BL79</f>
        <v/>
      </c>
      <c r="E79" s="46">
        <f>H79+N79+T79+Z79+AF79+AL79+AR79+AX79+BD79+BJ79</f>
        <v/>
      </c>
      <c r="F79">
        <f>MAX(0,'My Debts'!$E$21-(I79+O79+U79+AA79+AG79+AM79+AS79+AY79+BE79+BK79))</f>
        <v/>
      </c>
      <c r="G79" s="42">
        <f>K78</f>
        <v/>
      </c>
      <c r="H79" s="42">
        <f>ROUND(G79*H$6/12,2)</f>
        <v/>
      </c>
      <c r="I79" s="42">
        <f>MIN(I$6,G79+H79)</f>
        <v/>
      </c>
      <c r="J79" s="42">
        <f>MAX(0,MIN(G79+H79-I79,$F79))</f>
        <v/>
      </c>
      <c r="K79" s="42">
        <f>ROUND(G79+H79-I79-J79,2)</f>
        <v/>
      </c>
      <c r="L79">
        <f>$F79-J79</f>
        <v/>
      </c>
      <c r="M79" s="42">
        <f>Q78</f>
        <v/>
      </c>
      <c r="N79" s="42">
        <f>ROUND(M79*N$6/12,2)</f>
        <v/>
      </c>
      <c r="O79" s="42">
        <f>MIN(O$6,M79+N79)</f>
        <v/>
      </c>
      <c r="P79" s="42">
        <f>MAX(0,MIN(M79+N79-O79,L79))</f>
        <v/>
      </c>
      <c r="Q79" s="42">
        <f>ROUND(M79+N79-O79-P79,2)</f>
        <v/>
      </c>
      <c r="R79">
        <f>L79-P79</f>
        <v/>
      </c>
      <c r="S79" s="42">
        <f>W78</f>
        <v/>
      </c>
      <c r="T79" s="42">
        <f>ROUND(S79*T$6/12,2)</f>
        <v/>
      </c>
      <c r="U79" s="42">
        <f>MIN(U$6,S79+T79)</f>
        <v/>
      </c>
      <c r="V79" s="42">
        <f>MAX(0,MIN(S79+T79-U79,R79))</f>
        <v/>
      </c>
      <c r="W79" s="42">
        <f>ROUND(S79+T79-U79-V79,2)</f>
        <v/>
      </c>
      <c r="X79">
        <f>R79-V79</f>
        <v/>
      </c>
      <c r="Y79" s="42">
        <f>AC78</f>
        <v/>
      </c>
      <c r="Z79" s="42">
        <f>ROUND(Y79*Z$6/12,2)</f>
        <v/>
      </c>
      <c r="AA79" s="42">
        <f>MIN(AA$6,Y79+Z79)</f>
        <v/>
      </c>
      <c r="AB79" s="42">
        <f>MAX(0,MIN(Y79+Z79-AA79,X79))</f>
        <v/>
      </c>
      <c r="AC79" s="42">
        <f>ROUND(Y79+Z79-AA79-AB79,2)</f>
        <v/>
      </c>
      <c r="AD79">
        <f>X79-AB79</f>
        <v/>
      </c>
      <c r="AE79" s="42">
        <f>AI78</f>
        <v/>
      </c>
      <c r="AF79" s="42">
        <f>ROUND(AE79*AF$6/12,2)</f>
        <v/>
      </c>
      <c r="AG79" s="42">
        <f>MIN(AG$6,AE79+AF79)</f>
        <v/>
      </c>
      <c r="AH79" s="42">
        <f>MAX(0,MIN(AE79+AF79-AG79,AD79))</f>
        <v/>
      </c>
      <c r="AI79" s="42">
        <f>ROUND(AE79+AF79-AG79-AH79,2)</f>
        <v/>
      </c>
      <c r="AJ79">
        <f>AD79-AH79</f>
        <v/>
      </c>
      <c r="AK79" s="42">
        <f>AO78</f>
        <v/>
      </c>
      <c r="AL79" s="42">
        <f>ROUND(AK79*AL$6/12,2)</f>
        <v/>
      </c>
      <c r="AM79" s="42">
        <f>MIN(AM$6,AK79+AL79)</f>
        <v/>
      </c>
      <c r="AN79" s="42">
        <f>MAX(0,MIN(AK79+AL79-AM79,AJ79))</f>
        <v/>
      </c>
      <c r="AO79" s="42">
        <f>ROUND(AK79+AL79-AM79-AN79,2)</f>
        <v/>
      </c>
      <c r="AP79">
        <f>AJ79-AN79</f>
        <v/>
      </c>
      <c r="AQ79" s="42">
        <f>AU78</f>
        <v/>
      </c>
      <c r="AR79" s="42">
        <f>ROUND(AQ79*AR$6/12,2)</f>
        <v/>
      </c>
      <c r="AS79" s="42">
        <f>MIN(AS$6,AQ79+AR79)</f>
        <v/>
      </c>
      <c r="AT79" s="42">
        <f>MAX(0,MIN(AQ79+AR79-AS79,AP79))</f>
        <v/>
      </c>
      <c r="AU79" s="42">
        <f>ROUND(AQ79+AR79-AS79-AT79,2)</f>
        <v/>
      </c>
      <c r="AV79">
        <f>AP79-AT79</f>
        <v/>
      </c>
      <c r="AW79" s="42">
        <f>BA78</f>
        <v/>
      </c>
      <c r="AX79" s="42">
        <f>ROUND(AW79*AX$6/12,2)</f>
        <v/>
      </c>
      <c r="AY79" s="42">
        <f>MIN(AY$6,AW79+AX79)</f>
        <v/>
      </c>
      <c r="AZ79" s="42">
        <f>MAX(0,MIN(AW79+AX79-AY79,AV79))</f>
        <v/>
      </c>
      <c r="BA79" s="42">
        <f>ROUND(AW79+AX79-AY79-AZ79,2)</f>
        <v/>
      </c>
      <c r="BB79">
        <f>AV79-AZ79</f>
        <v/>
      </c>
      <c r="BC79" s="42">
        <f>BG78</f>
        <v/>
      </c>
      <c r="BD79" s="42">
        <f>ROUND(BC79*BD$6/12,2)</f>
        <v/>
      </c>
      <c r="BE79" s="42">
        <f>MIN(BE$6,BC79+BD79)</f>
        <v/>
      </c>
      <c r="BF79" s="42">
        <f>MAX(0,MIN(BC79+BD79-BE79,BB79))</f>
        <v/>
      </c>
      <c r="BG79" s="42">
        <f>ROUND(BC79+BD79-BE79-BF79,2)</f>
        <v/>
      </c>
      <c r="BH79">
        <f>BB79-BF79</f>
        <v/>
      </c>
      <c r="BI79" s="42">
        <f>BM78</f>
        <v/>
      </c>
      <c r="BJ79" s="42">
        <f>ROUND(BI79*BJ$6/12,2)</f>
        <v/>
      </c>
      <c r="BK79" s="42">
        <f>MIN(BK$6,BI79+BJ79)</f>
        <v/>
      </c>
      <c r="BL79" s="42">
        <f>MAX(0,MIN(BI79+BJ79-BK79,BH79))</f>
        <v/>
      </c>
      <c r="BM79" s="42">
        <f>ROUND(BI79+BJ79-BK79-BL79,2)</f>
        <v/>
      </c>
      <c r="BN79">
        <f>BH79-BL79</f>
        <v/>
      </c>
    </row>
    <row r="80">
      <c r="A80" s="39" t="n">
        <v>73</v>
      </c>
      <c r="B80" s="40">
        <f>EDATE('My Debts'!$C$6,A80-1)</f>
        <v/>
      </c>
      <c r="C80" s="41">
        <f>K80+Q80+W80+AC80+AI80+AO80+AU80+BA80+BG80+BM80</f>
        <v/>
      </c>
      <c r="D80" s="42">
        <f>I80+O80+U80+AA80+AG80+AM80+AS80+AY80+BE80+BK80+J80+P80+V80+AB80+AH80+AN80+AT80+AZ80+BF80+BL80</f>
        <v/>
      </c>
      <c r="E80" s="42">
        <f>H80+N80+T80+Z80+AF80+AL80+AR80+AX80+BD80+BJ80</f>
        <v/>
      </c>
      <c r="F80">
        <f>MAX(0,'My Debts'!$E$21-(I80+O80+U80+AA80+AG80+AM80+AS80+AY80+BE80+BK80))</f>
        <v/>
      </c>
      <c r="G80" s="42">
        <f>K79</f>
        <v/>
      </c>
      <c r="H80" s="42">
        <f>ROUND(G80*H$6/12,2)</f>
        <v/>
      </c>
      <c r="I80" s="42">
        <f>MIN(I$6,G80+H80)</f>
        <v/>
      </c>
      <c r="J80" s="42">
        <f>MAX(0,MIN(G80+H80-I80,$F80))</f>
        <v/>
      </c>
      <c r="K80" s="42">
        <f>ROUND(G80+H80-I80-J80,2)</f>
        <v/>
      </c>
      <c r="L80">
        <f>$F80-J80</f>
        <v/>
      </c>
      <c r="M80" s="42">
        <f>Q79</f>
        <v/>
      </c>
      <c r="N80" s="42">
        <f>ROUND(M80*N$6/12,2)</f>
        <v/>
      </c>
      <c r="O80" s="42">
        <f>MIN(O$6,M80+N80)</f>
        <v/>
      </c>
      <c r="P80" s="42">
        <f>MAX(0,MIN(M80+N80-O80,L80))</f>
        <v/>
      </c>
      <c r="Q80" s="42">
        <f>ROUND(M80+N80-O80-P80,2)</f>
        <v/>
      </c>
      <c r="R80">
        <f>L80-P80</f>
        <v/>
      </c>
      <c r="S80" s="42">
        <f>W79</f>
        <v/>
      </c>
      <c r="T80" s="42">
        <f>ROUND(S80*T$6/12,2)</f>
        <v/>
      </c>
      <c r="U80" s="42">
        <f>MIN(U$6,S80+T80)</f>
        <v/>
      </c>
      <c r="V80" s="42">
        <f>MAX(0,MIN(S80+T80-U80,R80))</f>
        <v/>
      </c>
      <c r="W80" s="42">
        <f>ROUND(S80+T80-U80-V80,2)</f>
        <v/>
      </c>
      <c r="X80">
        <f>R80-V80</f>
        <v/>
      </c>
      <c r="Y80" s="42">
        <f>AC79</f>
        <v/>
      </c>
      <c r="Z80" s="42">
        <f>ROUND(Y80*Z$6/12,2)</f>
        <v/>
      </c>
      <c r="AA80" s="42">
        <f>MIN(AA$6,Y80+Z80)</f>
        <v/>
      </c>
      <c r="AB80" s="42">
        <f>MAX(0,MIN(Y80+Z80-AA80,X80))</f>
        <v/>
      </c>
      <c r="AC80" s="42">
        <f>ROUND(Y80+Z80-AA80-AB80,2)</f>
        <v/>
      </c>
      <c r="AD80">
        <f>X80-AB80</f>
        <v/>
      </c>
      <c r="AE80" s="42">
        <f>AI79</f>
        <v/>
      </c>
      <c r="AF80" s="42">
        <f>ROUND(AE80*AF$6/12,2)</f>
        <v/>
      </c>
      <c r="AG80" s="42">
        <f>MIN(AG$6,AE80+AF80)</f>
        <v/>
      </c>
      <c r="AH80" s="42">
        <f>MAX(0,MIN(AE80+AF80-AG80,AD80))</f>
        <v/>
      </c>
      <c r="AI80" s="42">
        <f>ROUND(AE80+AF80-AG80-AH80,2)</f>
        <v/>
      </c>
      <c r="AJ80">
        <f>AD80-AH80</f>
        <v/>
      </c>
      <c r="AK80" s="42">
        <f>AO79</f>
        <v/>
      </c>
      <c r="AL80" s="42">
        <f>ROUND(AK80*AL$6/12,2)</f>
        <v/>
      </c>
      <c r="AM80" s="42">
        <f>MIN(AM$6,AK80+AL80)</f>
        <v/>
      </c>
      <c r="AN80" s="42">
        <f>MAX(0,MIN(AK80+AL80-AM80,AJ80))</f>
        <v/>
      </c>
      <c r="AO80" s="42">
        <f>ROUND(AK80+AL80-AM80-AN80,2)</f>
        <v/>
      </c>
      <c r="AP80">
        <f>AJ80-AN80</f>
        <v/>
      </c>
      <c r="AQ80" s="42">
        <f>AU79</f>
        <v/>
      </c>
      <c r="AR80" s="42">
        <f>ROUND(AQ80*AR$6/12,2)</f>
        <v/>
      </c>
      <c r="AS80" s="42">
        <f>MIN(AS$6,AQ80+AR80)</f>
        <v/>
      </c>
      <c r="AT80" s="42">
        <f>MAX(0,MIN(AQ80+AR80-AS80,AP80))</f>
        <v/>
      </c>
      <c r="AU80" s="42">
        <f>ROUND(AQ80+AR80-AS80-AT80,2)</f>
        <v/>
      </c>
      <c r="AV80">
        <f>AP80-AT80</f>
        <v/>
      </c>
      <c r="AW80" s="42">
        <f>BA79</f>
        <v/>
      </c>
      <c r="AX80" s="42">
        <f>ROUND(AW80*AX$6/12,2)</f>
        <v/>
      </c>
      <c r="AY80" s="42">
        <f>MIN(AY$6,AW80+AX80)</f>
        <v/>
      </c>
      <c r="AZ80" s="42">
        <f>MAX(0,MIN(AW80+AX80-AY80,AV80))</f>
        <v/>
      </c>
      <c r="BA80" s="42">
        <f>ROUND(AW80+AX80-AY80-AZ80,2)</f>
        <v/>
      </c>
      <c r="BB80">
        <f>AV80-AZ80</f>
        <v/>
      </c>
      <c r="BC80" s="42">
        <f>BG79</f>
        <v/>
      </c>
      <c r="BD80" s="42">
        <f>ROUND(BC80*BD$6/12,2)</f>
        <v/>
      </c>
      <c r="BE80" s="42">
        <f>MIN(BE$6,BC80+BD80)</f>
        <v/>
      </c>
      <c r="BF80" s="42">
        <f>MAX(0,MIN(BC80+BD80-BE80,BB80))</f>
        <v/>
      </c>
      <c r="BG80" s="42">
        <f>ROUND(BC80+BD80-BE80-BF80,2)</f>
        <v/>
      </c>
      <c r="BH80">
        <f>BB80-BF80</f>
        <v/>
      </c>
      <c r="BI80" s="42">
        <f>BM79</f>
        <v/>
      </c>
      <c r="BJ80" s="42">
        <f>ROUND(BI80*BJ$6/12,2)</f>
        <v/>
      </c>
      <c r="BK80" s="42">
        <f>MIN(BK$6,BI80+BJ80)</f>
        <v/>
      </c>
      <c r="BL80" s="42">
        <f>MAX(0,MIN(BI80+BJ80-BK80,BH80))</f>
        <v/>
      </c>
      <c r="BM80" s="42">
        <f>ROUND(BI80+BJ80-BK80-BL80,2)</f>
        <v/>
      </c>
      <c r="BN80">
        <f>BH80-BL80</f>
        <v/>
      </c>
    </row>
    <row r="81">
      <c r="A81" s="43" t="n">
        <v>74</v>
      </c>
      <c r="B81" s="44">
        <f>EDATE('My Debts'!$C$6,A81-1)</f>
        <v/>
      </c>
      <c r="C81" s="45">
        <f>K81+Q81+W81+AC81+AI81+AO81+AU81+BA81+BG81+BM81</f>
        <v/>
      </c>
      <c r="D81" s="46">
        <f>I81+O81+U81+AA81+AG81+AM81+AS81+AY81+BE81+BK81+J81+P81+V81+AB81+AH81+AN81+AT81+AZ81+BF81+BL81</f>
        <v/>
      </c>
      <c r="E81" s="46">
        <f>H81+N81+T81+Z81+AF81+AL81+AR81+AX81+BD81+BJ81</f>
        <v/>
      </c>
      <c r="F81">
        <f>MAX(0,'My Debts'!$E$21-(I81+O81+U81+AA81+AG81+AM81+AS81+AY81+BE81+BK81))</f>
        <v/>
      </c>
      <c r="G81" s="42">
        <f>K80</f>
        <v/>
      </c>
      <c r="H81" s="42">
        <f>ROUND(G81*H$6/12,2)</f>
        <v/>
      </c>
      <c r="I81" s="42">
        <f>MIN(I$6,G81+H81)</f>
        <v/>
      </c>
      <c r="J81" s="42">
        <f>MAX(0,MIN(G81+H81-I81,$F81))</f>
        <v/>
      </c>
      <c r="K81" s="42">
        <f>ROUND(G81+H81-I81-J81,2)</f>
        <v/>
      </c>
      <c r="L81">
        <f>$F81-J81</f>
        <v/>
      </c>
      <c r="M81" s="42">
        <f>Q80</f>
        <v/>
      </c>
      <c r="N81" s="42">
        <f>ROUND(M81*N$6/12,2)</f>
        <v/>
      </c>
      <c r="O81" s="42">
        <f>MIN(O$6,M81+N81)</f>
        <v/>
      </c>
      <c r="P81" s="42">
        <f>MAX(0,MIN(M81+N81-O81,L81))</f>
        <v/>
      </c>
      <c r="Q81" s="42">
        <f>ROUND(M81+N81-O81-P81,2)</f>
        <v/>
      </c>
      <c r="R81">
        <f>L81-P81</f>
        <v/>
      </c>
      <c r="S81" s="42">
        <f>W80</f>
        <v/>
      </c>
      <c r="T81" s="42">
        <f>ROUND(S81*T$6/12,2)</f>
        <v/>
      </c>
      <c r="U81" s="42">
        <f>MIN(U$6,S81+T81)</f>
        <v/>
      </c>
      <c r="V81" s="42">
        <f>MAX(0,MIN(S81+T81-U81,R81))</f>
        <v/>
      </c>
      <c r="W81" s="42">
        <f>ROUND(S81+T81-U81-V81,2)</f>
        <v/>
      </c>
      <c r="X81">
        <f>R81-V81</f>
        <v/>
      </c>
      <c r="Y81" s="42">
        <f>AC80</f>
        <v/>
      </c>
      <c r="Z81" s="42">
        <f>ROUND(Y81*Z$6/12,2)</f>
        <v/>
      </c>
      <c r="AA81" s="42">
        <f>MIN(AA$6,Y81+Z81)</f>
        <v/>
      </c>
      <c r="AB81" s="42">
        <f>MAX(0,MIN(Y81+Z81-AA81,X81))</f>
        <v/>
      </c>
      <c r="AC81" s="42">
        <f>ROUND(Y81+Z81-AA81-AB81,2)</f>
        <v/>
      </c>
      <c r="AD81">
        <f>X81-AB81</f>
        <v/>
      </c>
      <c r="AE81" s="42">
        <f>AI80</f>
        <v/>
      </c>
      <c r="AF81" s="42">
        <f>ROUND(AE81*AF$6/12,2)</f>
        <v/>
      </c>
      <c r="AG81" s="42">
        <f>MIN(AG$6,AE81+AF81)</f>
        <v/>
      </c>
      <c r="AH81" s="42">
        <f>MAX(0,MIN(AE81+AF81-AG81,AD81))</f>
        <v/>
      </c>
      <c r="AI81" s="42">
        <f>ROUND(AE81+AF81-AG81-AH81,2)</f>
        <v/>
      </c>
      <c r="AJ81">
        <f>AD81-AH81</f>
        <v/>
      </c>
      <c r="AK81" s="42">
        <f>AO80</f>
        <v/>
      </c>
      <c r="AL81" s="42">
        <f>ROUND(AK81*AL$6/12,2)</f>
        <v/>
      </c>
      <c r="AM81" s="42">
        <f>MIN(AM$6,AK81+AL81)</f>
        <v/>
      </c>
      <c r="AN81" s="42">
        <f>MAX(0,MIN(AK81+AL81-AM81,AJ81))</f>
        <v/>
      </c>
      <c r="AO81" s="42">
        <f>ROUND(AK81+AL81-AM81-AN81,2)</f>
        <v/>
      </c>
      <c r="AP81">
        <f>AJ81-AN81</f>
        <v/>
      </c>
      <c r="AQ81" s="42">
        <f>AU80</f>
        <v/>
      </c>
      <c r="AR81" s="42">
        <f>ROUND(AQ81*AR$6/12,2)</f>
        <v/>
      </c>
      <c r="AS81" s="42">
        <f>MIN(AS$6,AQ81+AR81)</f>
        <v/>
      </c>
      <c r="AT81" s="42">
        <f>MAX(0,MIN(AQ81+AR81-AS81,AP81))</f>
        <v/>
      </c>
      <c r="AU81" s="42">
        <f>ROUND(AQ81+AR81-AS81-AT81,2)</f>
        <v/>
      </c>
      <c r="AV81">
        <f>AP81-AT81</f>
        <v/>
      </c>
      <c r="AW81" s="42">
        <f>BA80</f>
        <v/>
      </c>
      <c r="AX81" s="42">
        <f>ROUND(AW81*AX$6/12,2)</f>
        <v/>
      </c>
      <c r="AY81" s="42">
        <f>MIN(AY$6,AW81+AX81)</f>
        <v/>
      </c>
      <c r="AZ81" s="42">
        <f>MAX(0,MIN(AW81+AX81-AY81,AV81))</f>
        <v/>
      </c>
      <c r="BA81" s="42">
        <f>ROUND(AW81+AX81-AY81-AZ81,2)</f>
        <v/>
      </c>
      <c r="BB81">
        <f>AV81-AZ81</f>
        <v/>
      </c>
      <c r="BC81" s="42">
        <f>BG80</f>
        <v/>
      </c>
      <c r="BD81" s="42">
        <f>ROUND(BC81*BD$6/12,2)</f>
        <v/>
      </c>
      <c r="BE81" s="42">
        <f>MIN(BE$6,BC81+BD81)</f>
        <v/>
      </c>
      <c r="BF81" s="42">
        <f>MAX(0,MIN(BC81+BD81-BE81,BB81))</f>
        <v/>
      </c>
      <c r="BG81" s="42">
        <f>ROUND(BC81+BD81-BE81-BF81,2)</f>
        <v/>
      </c>
      <c r="BH81">
        <f>BB81-BF81</f>
        <v/>
      </c>
      <c r="BI81" s="42">
        <f>BM80</f>
        <v/>
      </c>
      <c r="BJ81" s="42">
        <f>ROUND(BI81*BJ$6/12,2)</f>
        <v/>
      </c>
      <c r="BK81" s="42">
        <f>MIN(BK$6,BI81+BJ81)</f>
        <v/>
      </c>
      <c r="BL81" s="42">
        <f>MAX(0,MIN(BI81+BJ81-BK81,BH81))</f>
        <v/>
      </c>
      <c r="BM81" s="42">
        <f>ROUND(BI81+BJ81-BK81-BL81,2)</f>
        <v/>
      </c>
      <c r="BN81">
        <f>BH81-BL81</f>
        <v/>
      </c>
    </row>
    <row r="82">
      <c r="A82" s="39" t="n">
        <v>75</v>
      </c>
      <c r="B82" s="40">
        <f>EDATE('My Debts'!$C$6,A82-1)</f>
        <v/>
      </c>
      <c r="C82" s="41">
        <f>K82+Q82+W82+AC82+AI82+AO82+AU82+BA82+BG82+BM82</f>
        <v/>
      </c>
      <c r="D82" s="42">
        <f>I82+O82+U82+AA82+AG82+AM82+AS82+AY82+BE82+BK82+J82+P82+V82+AB82+AH82+AN82+AT82+AZ82+BF82+BL82</f>
        <v/>
      </c>
      <c r="E82" s="42">
        <f>H82+N82+T82+Z82+AF82+AL82+AR82+AX82+BD82+BJ82</f>
        <v/>
      </c>
      <c r="F82">
        <f>MAX(0,'My Debts'!$E$21-(I82+O82+U82+AA82+AG82+AM82+AS82+AY82+BE82+BK82))</f>
        <v/>
      </c>
      <c r="G82" s="42">
        <f>K81</f>
        <v/>
      </c>
      <c r="H82" s="42">
        <f>ROUND(G82*H$6/12,2)</f>
        <v/>
      </c>
      <c r="I82" s="42">
        <f>MIN(I$6,G82+H82)</f>
        <v/>
      </c>
      <c r="J82" s="42">
        <f>MAX(0,MIN(G82+H82-I82,$F82))</f>
        <v/>
      </c>
      <c r="K82" s="42">
        <f>ROUND(G82+H82-I82-J82,2)</f>
        <v/>
      </c>
      <c r="L82">
        <f>$F82-J82</f>
        <v/>
      </c>
      <c r="M82" s="42">
        <f>Q81</f>
        <v/>
      </c>
      <c r="N82" s="42">
        <f>ROUND(M82*N$6/12,2)</f>
        <v/>
      </c>
      <c r="O82" s="42">
        <f>MIN(O$6,M82+N82)</f>
        <v/>
      </c>
      <c r="P82" s="42">
        <f>MAX(0,MIN(M82+N82-O82,L82))</f>
        <v/>
      </c>
      <c r="Q82" s="42">
        <f>ROUND(M82+N82-O82-P82,2)</f>
        <v/>
      </c>
      <c r="R82">
        <f>L82-P82</f>
        <v/>
      </c>
      <c r="S82" s="42">
        <f>W81</f>
        <v/>
      </c>
      <c r="T82" s="42">
        <f>ROUND(S82*T$6/12,2)</f>
        <v/>
      </c>
      <c r="U82" s="42">
        <f>MIN(U$6,S82+T82)</f>
        <v/>
      </c>
      <c r="V82" s="42">
        <f>MAX(0,MIN(S82+T82-U82,R82))</f>
        <v/>
      </c>
      <c r="W82" s="42">
        <f>ROUND(S82+T82-U82-V82,2)</f>
        <v/>
      </c>
      <c r="X82">
        <f>R82-V82</f>
        <v/>
      </c>
      <c r="Y82" s="42">
        <f>AC81</f>
        <v/>
      </c>
      <c r="Z82" s="42">
        <f>ROUND(Y82*Z$6/12,2)</f>
        <v/>
      </c>
      <c r="AA82" s="42">
        <f>MIN(AA$6,Y82+Z82)</f>
        <v/>
      </c>
      <c r="AB82" s="42">
        <f>MAX(0,MIN(Y82+Z82-AA82,X82))</f>
        <v/>
      </c>
      <c r="AC82" s="42">
        <f>ROUND(Y82+Z82-AA82-AB82,2)</f>
        <v/>
      </c>
      <c r="AD82">
        <f>X82-AB82</f>
        <v/>
      </c>
      <c r="AE82" s="42">
        <f>AI81</f>
        <v/>
      </c>
      <c r="AF82" s="42">
        <f>ROUND(AE82*AF$6/12,2)</f>
        <v/>
      </c>
      <c r="AG82" s="42">
        <f>MIN(AG$6,AE82+AF82)</f>
        <v/>
      </c>
      <c r="AH82" s="42">
        <f>MAX(0,MIN(AE82+AF82-AG82,AD82))</f>
        <v/>
      </c>
      <c r="AI82" s="42">
        <f>ROUND(AE82+AF82-AG82-AH82,2)</f>
        <v/>
      </c>
      <c r="AJ82">
        <f>AD82-AH82</f>
        <v/>
      </c>
      <c r="AK82" s="42">
        <f>AO81</f>
        <v/>
      </c>
      <c r="AL82" s="42">
        <f>ROUND(AK82*AL$6/12,2)</f>
        <v/>
      </c>
      <c r="AM82" s="42">
        <f>MIN(AM$6,AK82+AL82)</f>
        <v/>
      </c>
      <c r="AN82" s="42">
        <f>MAX(0,MIN(AK82+AL82-AM82,AJ82))</f>
        <v/>
      </c>
      <c r="AO82" s="42">
        <f>ROUND(AK82+AL82-AM82-AN82,2)</f>
        <v/>
      </c>
      <c r="AP82">
        <f>AJ82-AN82</f>
        <v/>
      </c>
      <c r="AQ82" s="42">
        <f>AU81</f>
        <v/>
      </c>
      <c r="AR82" s="42">
        <f>ROUND(AQ82*AR$6/12,2)</f>
        <v/>
      </c>
      <c r="AS82" s="42">
        <f>MIN(AS$6,AQ82+AR82)</f>
        <v/>
      </c>
      <c r="AT82" s="42">
        <f>MAX(0,MIN(AQ82+AR82-AS82,AP82))</f>
        <v/>
      </c>
      <c r="AU82" s="42">
        <f>ROUND(AQ82+AR82-AS82-AT82,2)</f>
        <v/>
      </c>
      <c r="AV82">
        <f>AP82-AT82</f>
        <v/>
      </c>
      <c r="AW82" s="42">
        <f>BA81</f>
        <v/>
      </c>
      <c r="AX82" s="42">
        <f>ROUND(AW82*AX$6/12,2)</f>
        <v/>
      </c>
      <c r="AY82" s="42">
        <f>MIN(AY$6,AW82+AX82)</f>
        <v/>
      </c>
      <c r="AZ82" s="42">
        <f>MAX(0,MIN(AW82+AX82-AY82,AV82))</f>
        <v/>
      </c>
      <c r="BA82" s="42">
        <f>ROUND(AW82+AX82-AY82-AZ82,2)</f>
        <v/>
      </c>
      <c r="BB82">
        <f>AV82-AZ82</f>
        <v/>
      </c>
      <c r="BC82" s="42">
        <f>BG81</f>
        <v/>
      </c>
      <c r="BD82" s="42">
        <f>ROUND(BC82*BD$6/12,2)</f>
        <v/>
      </c>
      <c r="BE82" s="42">
        <f>MIN(BE$6,BC82+BD82)</f>
        <v/>
      </c>
      <c r="BF82" s="42">
        <f>MAX(0,MIN(BC82+BD82-BE82,BB82))</f>
        <v/>
      </c>
      <c r="BG82" s="42">
        <f>ROUND(BC82+BD82-BE82-BF82,2)</f>
        <v/>
      </c>
      <c r="BH82">
        <f>BB82-BF82</f>
        <v/>
      </c>
      <c r="BI82" s="42">
        <f>BM81</f>
        <v/>
      </c>
      <c r="BJ82" s="42">
        <f>ROUND(BI82*BJ$6/12,2)</f>
        <v/>
      </c>
      <c r="BK82" s="42">
        <f>MIN(BK$6,BI82+BJ82)</f>
        <v/>
      </c>
      <c r="BL82" s="42">
        <f>MAX(0,MIN(BI82+BJ82-BK82,BH82))</f>
        <v/>
      </c>
      <c r="BM82" s="42">
        <f>ROUND(BI82+BJ82-BK82-BL82,2)</f>
        <v/>
      </c>
      <c r="BN82">
        <f>BH82-BL82</f>
        <v/>
      </c>
    </row>
    <row r="83">
      <c r="A83" s="43" t="n">
        <v>76</v>
      </c>
      <c r="B83" s="44">
        <f>EDATE('My Debts'!$C$6,A83-1)</f>
        <v/>
      </c>
      <c r="C83" s="45">
        <f>K83+Q83+W83+AC83+AI83+AO83+AU83+BA83+BG83+BM83</f>
        <v/>
      </c>
      <c r="D83" s="46">
        <f>I83+O83+U83+AA83+AG83+AM83+AS83+AY83+BE83+BK83+J83+P83+V83+AB83+AH83+AN83+AT83+AZ83+BF83+BL83</f>
        <v/>
      </c>
      <c r="E83" s="46">
        <f>H83+N83+T83+Z83+AF83+AL83+AR83+AX83+BD83+BJ83</f>
        <v/>
      </c>
      <c r="F83">
        <f>MAX(0,'My Debts'!$E$21-(I83+O83+U83+AA83+AG83+AM83+AS83+AY83+BE83+BK83))</f>
        <v/>
      </c>
      <c r="G83" s="42">
        <f>K82</f>
        <v/>
      </c>
      <c r="H83" s="42">
        <f>ROUND(G83*H$6/12,2)</f>
        <v/>
      </c>
      <c r="I83" s="42">
        <f>MIN(I$6,G83+H83)</f>
        <v/>
      </c>
      <c r="J83" s="42">
        <f>MAX(0,MIN(G83+H83-I83,$F83))</f>
        <v/>
      </c>
      <c r="K83" s="42">
        <f>ROUND(G83+H83-I83-J83,2)</f>
        <v/>
      </c>
      <c r="L83">
        <f>$F83-J83</f>
        <v/>
      </c>
      <c r="M83" s="42">
        <f>Q82</f>
        <v/>
      </c>
      <c r="N83" s="42">
        <f>ROUND(M83*N$6/12,2)</f>
        <v/>
      </c>
      <c r="O83" s="42">
        <f>MIN(O$6,M83+N83)</f>
        <v/>
      </c>
      <c r="P83" s="42">
        <f>MAX(0,MIN(M83+N83-O83,L83))</f>
        <v/>
      </c>
      <c r="Q83" s="42">
        <f>ROUND(M83+N83-O83-P83,2)</f>
        <v/>
      </c>
      <c r="R83">
        <f>L83-P83</f>
        <v/>
      </c>
      <c r="S83" s="42">
        <f>W82</f>
        <v/>
      </c>
      <c r="T83" s="42">
        <f>ROUND(S83*T$6/12,2)</f>
        <v/>
      </c>
      <c r="U83" s="42">
        <f>MIN(U$6,S83+T83)</f>
        <v/>
      </c>
      <c r="V83" s="42">
        <f>MAX(0,MIN(S83+T83-U83,R83))</f>
        <v/>
      </c>
      <c r="W83" s="42">
        <f>ROUND(S83+T83-U83-V83,2)</f>
        <v/>
      </c>
      <c r="X83">
        <f>R83-V83</f>
        <v/>
      </c>
      <c r="Y83" s="42">
        <f>AC82</f>
        <v/>
      </c>
      <c r="Z83" s="42">
        <f>ROUND(Y83*Z$6/12,2)</f>
        <v/>
      </c>
      <c r="AA83" s="42">
        <f>MIN(AA$6,Y83+Z83)</f>
        <v/>
      </c>
      <c r="AB83" s="42">
        <f>MAX(0,MIN(Y83+Z83-AA83,X83))</f>
        <v/>
      </c>
      <c r="AC83" s="42">
        <f>ROUND(Y83+Z83-AA83-AB83,2)</f>
        <v/>
      </c>
      <c r="AD83">
        <f>X83-AB83</f>
        <v/>
      </c>
      <c r="AE83" s="42">
        <f>AI82</f>
        <v/>
      </c>
      <c r="AF83" s="42">
        <f>ROUND(AE83*AF$6/12,2)</f>
        <v/>
      </c>
      <c r="AG83" s="42">
        <f>MIN(AG$6,AE83+AF83)</f>
        <v/>
      </c>
      <c r="AH83" s="42">
        <f>MAX(0,MIN(AE83+AF83-AG83,AD83))</f>
        <v/>
      </c>
      <c r="AI83" s="42">
        <f>ROUND(AE83+AF83-AG83-AH83,2)</f>
        <v/>
      </c>
      <c r="AJ83">
        <f>AD83-AH83</f>
        <v/>
      </c>
      <c r="AK83" s="42">
        <f>AO82</f>
        <v/>
      </c>
      <c r="AL83" s="42">
        <f>ROUND(AK83*AL$6/12,2)</f>
        <v/>
      </c>
      <c r="AM83" s="42">
        <f>MIN(AM$6,AK83+AL83)</f>
        <v/>
      </c>
      <c r="AN83" s="42">
        <f>MAX(0,MIN(AK83+AL83-AM83,AJ83))</f>
        <v/>
      </c>
      <c r="AO83" s="42">
        <f>ROUND(AK83+AL83-AM83-AN83,2)</f>
        <v/>
      </c>
      <c r="AP83">
        <f>AJ83-AN83</f>
        <v/>
      </c>
      <c r="AQ83" s="42">
        <f>AU82</f>
        <v/>
      </c>
      <c r="AR83" s="42">
        <f>ROUND(AQ83*AR$6/12,2)</f>
        <v/>
      </c>
      <c r="AS83" s="42">
        <f>MIN(AS$6,AQ83+AR83)</f>
        <v/>
      </c>
      <c r="AT83" s="42">
        <f>MAX(0,MIN(AQ83+AR83-AS83,AP83))</f>
        <v/>
      </c>
      <c r="AU83" s="42">
        <f>ROUND(AQ83+AR83-AS83-AT83,2)</f>
        <v/>
      </c>
      <c r="AV83">
        <f>AP83-AT83</f>
        <v/>
      </c>
      <c r="AW83" s="42">
        <f>BA82</f>
        <v/>
      </c>
      <c r="AX83" s="42">
        <f>ROUND(AW83*AX$6/12,2)</f>
        <v/>
      </c>
      <c r="AY83" s="42">
        <f>MIN(AY$6,AW83+AX83)</f>
        <v/>
      </c>
      <c r="AZ83" s="42">
        <f>MAX(0,MIN(AW83+AX83-AY83,AV83))</f>
        <v/>
      </c>
      <c r="BA83" s="42">
        <f>ROUND(AW83+AX83-AY83-AZ83,2)</f>
        <v/>
      </c>
      <c r="BB83">
        <f>AV83-AZ83</f>
        <v/>
      </c>
      <c r="BC83" s="42">
        <f>BG82</f>
        <v/>
      </c>
      <c r="BD83" s="42">
        <f>ROUND(BC83*BD$6/12,2)</f>
        <v/>
      </c>
      <c r="BE83" s="42">
        <f>MIN(BE$6,BC83+BD83)</f>
        <v/>
      </c>
      <c r="BF83" s="42">
        <f>MAX(0,MIN(BC83+BD83-BE83,BB83))</f>
        <v/>
      </c>
      <c r="BG83" s="42">
        <f>ROUND(BC83+BD83-BE83-BF83,2)</f>
        <v/>
      </c>
      <c r="BH83">
        <f>BB83-BF83</f>
        <v/>
      </c>
      <c r="BI83" s="42">
        <f>BM82</f>
        <v/>
      </c>
      <c r="BJ83" s="42">
        <f>ROUND(BI83*BJ$6/12,2)</f>
        <v/>
      </c>
      <c r="BK83" s="42">
        <f>MIN(BK$6,BI83+BJ83)</f>
        <v/>
      </c>
      <c r="BL83" s="42">
        <f>MAX(0,MIN(BI83+BJ83-BK83,BH83))</f>
        <v/>
      </c>
      <c r="BM83" s="42">
        <f>ROUND(BI83+BJ83-BK83-BL83,2)</f>
        <v/>
      </c>
      <c r="BN83">
        <f>BH83-BL83</f>
        <v/>
      </c>
    </row>
    <row r="84">
      <c r="A84" s="39" t="n">
        <v>77</v>
      </c>
      <c r="B84" s="40">
        <f>EDATE('My Debts'!$C$6,A84-1)</f>
        <v/>
      </c>
      <c r="C84" s="41">
        <f>K84+Q84+W84+AC84+AI84+AO84+AU84+BA84+BG84+BM84</f>
        <v/>
      </c>
      <c r="D84" s="42">
        <f>I84+O84+U84+AA84+AG84+AM84+AS84+AY84+BE84+BK84+J84+P84+V84+AB84+AH84+AN84+AT84+AZ84+BF84+BL84</f>
        <v/>
      </c>
      <c r="E84" s="42">
        <f>H84+N84+T84+Z84+AF84+AL84+AR84+AX84+BD84+BJ84</f>
        <v/>
      </c>
      <c r="F84">
        <f>MAX(0,'My Debts'!$E$21-(I84+O84+U84+AA84+AG84+AM84+AS84+AY84+BE84+BK84))</f>
        <v/>
      </c>
      <c r="G84" s="42">
        <f>K83</f>
        <v/>
      </c>
      <c r="H84" s="42">
        <f>ROUND(G84*H$6/12,2)</f>
        <v/>
      </c>
      <c r="I84" s="42">
        <f>MIN(I$6,G84+H84)</f>
        <v/>
      </c>
      <c r="J84" s="42">
        <f>MAX(0,MIN(G84+H84-I84,$F84))</f>
        <v/>
      </c>
      <c r="K84" s="42">
        <f>ROUND(G84+H84-I84-J84,2)</f>
        <v/>
      </c>
      <c r="L84">
        <f>$F84-J84</f>
        <v/>
      </c>
      <c r="M84" s="42">
        <f>Q83</f>
        <v/>
      </c>
      <c r="N84" s="42">
        <f>ROUND(M84*N$6/12,2)</f>
        <v/>
      </c>
      <c r="O84" s="42">
        <f>MIN(O$6,M84+N84)</f>
        <v/>
      </c>
      <c r="P84" s="42">
        <f>MAX(0,MIN(M84+N84-O84,L84))</f>
        <v/>
      </c>
      <c r="Q84" s="42">
        <f>ROUND(M84+N84-O84-P84,2)</f>
        <v/>
      </c>
      <c r="R84">
        <f>L84-P84</f>
        <v/>
      </c>
      <c r="S84" s="42">
        <f>W83</f>
        <v/>
      </c>
      <c r="T84" s="42">
        <f>ROUND(S84*T$6/12,2)</f>
        <v/>
      </c>
      <c r="U84" s="42">
        <f>MIN(U$6,S84+T84)</f>
        <v/>
      </c>
      <c r="V84" s="42">
        <f>MAX(0,MIN(S84+T84-U84,R84))</f>
        <v/>
      </c>
      <c r="W84" s="42">
        <f>ROUND(S84+T84-U84-V84,2)</f>
        <v/>
      </c>
      <c r="X84">
        <f>R84-V84</f>
        <v/>
      </c>
      <c r="Y84" s="42">
        <f>AC83</f>
        <v/>
      </c>
      <c r="Z84" s="42">
        <f>ROUND(Y84*Z$6/12,2)</f>
        <v/>
      </c>
      <c r="AA84" s="42">
        <f>MIN(AA$6,Y84+Z84)</f>
        <v/>
      </c>
      <c r="AB84" s="42">
        <f>MAX(0,MIN(Y84+Z84-AA84,X84))</f>
        <v/>
      </c>
      <c r="AC84" s="42">
        <f>ROUND(Y84+Z84-AA84-AB84,2)</f>
        <v/>
      </c>
      <c r="AD84">
        <f>X84-AB84</f>
        <v/>
      </c>
      <c r="AE84" s="42">
        <f>AI83</f>
        <v/>
      </c>
      <c r="AF84" s="42">
        <f>ROUND(AE84*AF$6/12,2)</f>
        <v/>
      </c>
      <c r="AG84" s="42">
        <f>MIN(AG$6,AE84+AF84)</f>
        <v/>
      </c>
      <c r="AH84" s="42">
        <f>MAX(0,MIN(AE84+AF84-AG84,AD84))</f>
        <v/>
      </c>
      <c r="AI84" s="42">
        <f>ROUND(AE84+AF84-AG84-AH84,2)</f>
        <v/>
      </c>
      <c r="AJ84">
        <f>AD84-AH84</f>
        <v/>
      </c>
      <c r="AK84" s="42">
        <f>AO83</f>
        <v/>
      </c>
      <c r="AL84" s="42">
        <f>ROUND(AK84*AL$6/12,2)</f>
        <v/>
      </c>
      <c r="AM84" s="42">
        <f>MIN(AM$6,AK84+AL84)</f>
        <v/>
      </c>
      <c r="AN84" s="42">
        <f>MAX(0,MIN(AK84+AL84-AM84,AJ84))</f>
        <v/>
      </c>
      <c r="AO84" s="42">
        <f>ROUND(AK84+AL84-AM84-AN84,2)</f>
        <v/>
      </c>
      <c r="AP84">
        <f>AJ84-AN84</f>
        <v/>
      </c>
      <c r="AQ84" s="42">
        <f>AU83</f>
        <v/>
      </c>
      <c r="AR84" s="42">
        <f>ROUND(AQ84*AR$6/12,2)</f>
        <v/>
      </c>
      <c r="AS84" s="42">
        <f>MIN(AS$6,AQ84+AR84)</f>
        <v/>
      </c>
      <c r="AT84" s="42">
        <f>MAX(0,MIN(AQ84+AR84-AS84,AP84))</f>
        <v/>
      </c>
      <c r="AU84" s="42">
        <f>ROUND(AQ84+AR84-AS84-AT84,2)</f>
        <v/>
      </c>
      <c r="AV84">
        <f>AP84-AT84</f>
        <v/>
      </c>
      <c r="AW84" s="42">
        <f>BA83</f>
        <v/>
      </c>
      <c r="AX84" s="42">
        <f>ROUND(AW84*AX$6/12,2)</f>
        <v/>
      </c>
      <c r="AY84" s="42">
        <f>MIN(AY$6,AW84+AX84)</f>
        <v/>
      </c>
      <c r="AZ84" s="42">
        <f>MAX(0,MIN(AW84+AX84-AY84,AV84))</f>
        <v/>
      </c>
      <c r="BA84" s="42">
        <f>ROUND(AW84+AX84-AY84-AZ84,2)</f>
        <v/>
      </c>
      <c r="BB84">
        <f>AV84-AZ84</f>
        <v/>
      </c>
      <c r="BC84" s="42">
        <f>BG83</f>
        <v/>
      </c>
      <c r="BD84" s="42">
        <f>ROUND(BC84*BD$6/12,2)</f>
        <v/>
      </c>
      <c r="BE84" s="42">
        <f>MIN(BE$6,BC84+BD84)</f>
        <v/>
      </c>
      <c r="BF84" s="42">
        <f>MAX(0,MIN(BC84+BD84-BE84,BB84))</f>
        <v/>
      </c>
      <c r="BG84" s="42">
        <f>ROUND(BC84+BD84-BE84-BF84,2)</f>
        <v/>
      </c>
      <c r="BH84">
        <f>BB84-BF84</f>
        <v/>
      </c>
      <c r="BI84" s="42">
        <f>BM83</f>
        <v/>
      </c>
      <c r="BJ84" s="42">
        <f>ROUND(BI84*BJ$6/12,2)</f>
        <v/>
      </c>
      <c r="BK84" s="42">
        <f>MIN(BK$6,BI84+BJ84)</f>
        <v/>
      </c>
      <c r="BL84" s="42">
        <f>MAX(0,MIN(BI84+BJ84-BK84,BH84))</f>
        <v/>
      </c>
      <c r="BM84" s="42">
        <f>ROUND(BI84+BJ84-BK84-BL84,2)</f>
        <v/>
      </c>
      <c r="BN84">
        <f>BH84-BL84</f>
        <v/>
      </c>
    </row>
    <row r="85">
      <c r="A85" s="43" t="n">
        <v>78</v>
      </c>
      <c r="B85" s="44">
        <f>EDATE('My Debts'!$C$6,A85-1)</f>
        <v/>
      </c>
      <c r="C85" s="45">
        <f>K85+Q85+W85+AC85+AI85+AO85+AU85+BA85+BG85+BM85</f>
        <v/>
      </c>
      <c r="D85" s="46">
        <f>I85+O85+U85+AA85+AG85+AM85+AS85+AY85+BE85+BK85+J85+P85+V85+AB85+AH85+AN85+AT85+AZ85+BF85+BL85</f>
        <v/>
      </c>
      <c r="E85" s="46">
        <f>H85+N85+T85+Z85+AF85+AL85+AR85+AX85+BD85+BJ85</f>
        <v/>
      </c>
      <c r="F85">
        <f>MAX(0,'My Debts'!$E$21-(I85+O85+U85+AA85+AG85+AM85+AS85+AY85+BE85+BK85))</f>
        <v/>
      </c>
      <c r="G85" s="42">
        <f>K84</f>
        <v/>
      </c>
      <c r="H85" s="42">
        <f>ROUND(G85*H$6/12,2)</f>
        <v/>
      </c>
      <c r="I85" s="42">
        <f>MIN(I$6,G85+H85)</f>
        <v/>
      </c>
      <c r="J85" s="42">
        <f>MAX(0,MIN(G85+H85-I85,$F85))</f>
        <v/>
      </c>
      <c r="K85" s="42">
        <f>ROUND(G85+H85-I85-J85,2)</f>
        <v/>
      </c>
      <c r="L85">
        <f>$F85-J85</f>
        <v/>
      </c>
      <c r="M85" s="42">
        <f>Q84</f>
        <v/>
      </c>
      <c r="N85" s="42">
        <f>ROUND(M85*N$6/12,2)</f>
        <v/>
      </c>
      <c r="O85" s="42">
        <f>MIN(O$6,M85+N85)</f>
        <v/>
      </c>
      <c r="P85" s="42">
        <f>MAX(0,MIN(M85+N85-O85,L85))</f>
        <v/>
      </c>
      <c r="Q85" s="42">
        <f>ROUND(M85+N85-O85-P85,2)</f>
        <v/>
      </c>
      <c r="R85">
        <f>L85-P85</f>
        <v/>
      </c>
      <c r="S85" s="42">
        <f>W84</f>
        <v/>
      </c>
      <c r="T85" s="42">
        <f>ROUND(S85*T$6/12,2)</f>
        <v/>
      </c>
      <c r="U85" s="42">
        <f>MIN(U$6,S85+T85)</f>
        <v/>
      </c>
      <c r="V85" s="42">
        <f>MAX(0,MIN(S85+T85-U85,R85))</f>
        <v/>
      </c>
      <c r="W85" s="42">
        <f>ROUND(S85+T85-U85-V85,2)</f>
        <v/>
      </c>
      <c r="X85">
        <f>R85-V85</f>
        <v/>
      </c>
      <c r="Y85" s="42">
        <f>AC84</f>
        <v/>
      </c>
      <c r="Z85" s="42">
        <f>ROUND(Y85*Z$6/12,2)</f>
        <v/>
      </c>
      <c r="AA85" s="42">
        <f>MIN(AA$6,Y85+Z85)</f>
        <v/>
      </c>
      <c r="AB85" s="42">
        <f>MAX(0,MIN(Y85+Z85-AA85,X85))</f>
        <v/>
      </c>
      <c r="AC85" s="42">
        <f>ROUND(Y85+Z85-AA85-AB85,2)</f>
        <v/>
      </c>
      <c r="AD85">
        <f>X85-AB85</f>
        <v/>
      </c>
      <c r="AE85" s="42">
        <f>AI84</f>
        <v/>
      </c>
      <c r="AF85" s="42">
        <f>ROUND(AE85*AF$6/12,2)</f>
        <v/>
      </c>
      <c r="AG85" s="42">
        <f>MIN(AG$6,AE85+AF85)</f>
        <v/>
      </c>
      <c r="AH85" s="42">
        <f>MAX(0,MIN(AE85+AF85-AG85,AD85))</f>
        <v/>
      </c>
      <c r="AI85" s="42">
        <f>ROUND(AE85+AF85-AG85-AH85,2)</f>
        <v/>
      </c>
      <c r="AJ85">
        <f>AD85-AH85</f>
        <v/>
      </c>
      <c r="AK85" s="42">
        <f>AO84</f>
        <v/>
      </c>
      <c r="AL85" s="42">
        <f>ROUND(AK85*AL$6/12,2)</f>
        <v/>
      </c>
      <c r="AM85" s="42">
        <f>MIN(AM$6,AK85+AL85)</f>
        <v/>
      </c>
      <c r="AN85" s="42">
        <f>MAX(0,MIN(AK85+AL85-AM85,AJ85))</f>
        <v/>
      </c>
      <c r="AO85" s="42">
        <f>ROUND(AK85+AL85-AM85-AN85,2)</f>
        <v/>
      </c>
      <c r="AP85">
        <f>AJ85-AN85</f>
        <v/>
      </c>
      <c r="AQ85" s="42">
        <f>AU84</f>
        <v/>
      </c>
      <c r="AR85" s="42">
        <f>ROUND(AQ85*AR$6/12,2)</f>
        <v/>
      </c>
      <c r="AS85" s="42">
        <f>MIN(AS$6,AQ85+AR85)</f>
        <v/>
      </c>
      <c r="AT85" s="42">
        <f>MAX(0,MIN(AQ85+AR85-AS85,AP85))</f>
        <v/>
      </c>
      <c r="AU85" s="42">
        <f>ROUND(AQ85+AR85-AS85-AT85,2)</f>
        <v/>
      </c>
      <c r="AV85">
        <f>AP85-AT85</f>
        <v/>
      </c>
      <c r="AW85" s="42">
        <f>BA84</f>
        <v/>
      </c>
      <c r="AX85" s="42">
        <f>ROUND(AW85*AX$6/12,2)</f>
        <v/>
      </c>
      <c r="AY85" s="42">
        <f>MIN(AY$6,AW85+AX85)</f>
        <v/>
      </c>
      <c r="AZ85" s="42">
        <f>MAX(0,MIN(AW85+AX85-AY85,AV85))</f>
        <v/>
      </c>
      <c r="BA85" s="42">
        <f>ROUND(AW85+AX85-AY85-AZ85,2)</f>
        <v/>
      </c>
      <c r="BB85">
        <f>AV85-AZ85</f>
        <v/>
      </c>
      <c r="BC85" s="42">
        <f>BG84</f>
        <v/>
      </c>
      <c r="BD85" s="42">
        <f>ROUND(BC85*BD$6/12,2)</f>
        <v/>
      </c>
      <c r="BE85" s="42">
        <f>MIN(BE$6,BC85+BD85)</f>
        <v/>
      </c>
      <c r="BF85" s="42">
        <f>MAX(0,MIN(BC85+BD85-BE85,BB85))</f>
        <v/>
      </c>
      <c r="BG85" s="42">
        <f>ROUND(BC85+BD85-BE85-BF85,2)</f>
        <v/>
      </c>
      <c r="BH85">
        <f>BB85-BF85</f>
        <v/>
      </c>
      <c r="BI85" s="42">
        <f>BM84</f>
        <v/>
      </c>
      <c r="BJ85" s="42">
        <f>ROUND(BI85*BJ$6/12,2)</f>
        <v/>
      </c>
      <c r="BK85" s="42">
        <f>MIN(BK$6,BI85+BJ85)</f>
        <v/>
      </c>
      <c r="BL85" s="42">
        <f>MAX(0,MIN(BI85+BJ85-BK85,BH85))</f>
        <v/>
      </c>
      <c r="BM85" s="42">
        <f>ROUND(BI85+BJ85-BK85-BL85,2)</f>
        <v/>
      </c>
      <c r="BN85">
        <f>BH85-BL85</f>
        <v/>
      </c>
    </row>
    <row r="86">
      <c r="A86" s="39" t="n">
        <v>79</v>
      </c>
      <c r="B86" s="40">
        <f>EDATE('My Debts'!$C$6,A86-1)</f>
        <v/>
      </c>
      <c r="C86" s="41">
        <f>K86+Q86+W86+AC86+AI86+AO86+AU86+BA86+BG86+BM86</f>
        <v/>
      </c>
      <c r="D86" s="42">
        <f>I86+O86+U86+AA86+AG86+AM86+AS86+AY86+BE86+BK86+J86+P86+V86+AB86+AH86+AN86+AT86+AZ86+BF86+BL86</f>
        <v/>
      </c>
      <c r="E86" s="42">
        <f>H86+N86+T86+Z86+AF86+AL86+AR86+AX86+BD86+BJ86</f>
        <v/>
      </c>
      <c r="F86">
        <f>MAX(0,'My Debts'!$E$21-(I86+O86+U86+AA86+AG86+AM86+AS86+AY86+BE86+BK86))</f>
        <v/>
      </c>
      <c r="G86" s="42">
        <f>K85</f>
        <v/>
      </c>
      <c r="H86" s="42">
        <f>ROUND(G86*H$6/12,2)</f>
        <v/>
      </c>
      <c r="I86" s="42">
        <f>MIN(I$6,G86+H86)</f>
        <v/>
      </c>
      <c r="J86" s="42">
        <f>MAX(0,MIN(G86+H86-I86,$F86))</f>
        <v/>
      </c>
      <c r="K86" s="42">
        <f>ROUND(G86+H86-I86-J86,2)</f>
        <v/>
      </c>
      <c r="L86">
        <f>$F86-J86</f>
        <v/>
      </c>
      <c r="M86" s="42">
        <f>Q85</f>
        <v/>
      </c>
      <c r="N86" s="42">
        <f>ROUND(M86*N$6/12,2)</f>
        <v/>
      </c>
      <c r="O86" s="42">
        <f>MIN(O$6,M86+N86)</f>
        <v/>
      </c>
      <c r="P86" s="42">
        <f>MAX(0,MIN(M86+N86-O86,L86))</f>
        <v/>
      </c>
      <c r="Q86" s="42">
        <f>ROUND(M86+N86-O86-P86,2)</f>
        <v/>
      </c>
      <c r="R86">
        <f>L86-P86</f>
        <v/>
      </c>
      <c r="S86" s="42">
        <f>W85</f>
        <v/>
      </c>
      <c r="T86" s="42">
        <f>ROUND(S86*T$6/12,2)</f>
        <v/>
      </c>
      <c r="U86" s="42">
        <f>MIN(U$6,S86+T86)</f>
        <v/>
      </c>
      <c r="V86" s="42">
        <f>MAX(0,MIN(S86+T86-U86,R86))</f>
        <v/>
      </c>
      <c r="W86" s="42">
        <f>ROUND(S86+T86-U86-V86,2)</f>
        <v/>
      </c>
      <c r="X86">
        <f>R86-V86</f>
        <v/>
      </c>
      <c r="Y86" s="42">
        <f>AC85</f>
        <v/>
      </c>
      <c r="Z86" s="42">
        <f>ROUND(Y86*Z$6/12,2)</f>
        <v/>
      </c>
      <c r="AA86" s="42">
        <f>MIN(AA$6,Y86+Z86)</f>
        <v/>
      </c>
      <c r="AB86" s="42">
        <f>MAX(0,MIN(Y86+Z86-AA86,X86))</f>
        <v/>
      </c>
      <c r="AC86" s="42">
        <f>ROUND(Y86+Z86-AA86-AB86,2)</f>
        <v/>
      </c>
      <c r="AD86">
        <f>X86-AB86</f>
        <v/>
      </c>
      <c r="AE86" s="42">
        <f>AI85</f>
        <v/>
      </c>
      <c r="AF86" s="42">
        <f>ROUND(AE86*AF$6/12,2)</f>
        <v/>
      </c>
      <c r="AG86" s="42">
        <f>MIN(AG$6,AE86+AF86)</f>
        <v/>
      </c>
      <c r="AH86" s="42">
        <f>MAX(0,MIN(AE86+AF86-AG86,AD86))</f>
        <v/>
      </c>
      <c r="AI86" s="42">
        <f>ROUND(AE86+AF86-AG86-AH86,2)</f>
        <v/>
      </c>
      <c r="AJ86">
        <f>AD86-AH86</f>
        <v/>
      </c>
      <c r="AK86" s="42">
        <f>AO85</f>
        <v/>
      </c>
      <c r="AL86" s="42">
        <f>ROUND(AK86*AL$6/12,2)</f>
        <v/>
      </c>
      <c r="AM86" s="42">
        <f>MIN(AM$6,AK86+AL86)</f>
        <v/>
      </c>
      <c r="AN86" s="42">
        <f>MAX(0,MIN(AK86+AL86-AM86,AJ86))</f>
        <v/>
      </c>
      <c r="AO86" s="42">
        <f>ROUND(AK86+AL86-AM86-AN86,2)</f>
        <v/>
      </c>
      <c r="AP86">
        <f>AJ86-AN86</f>
        <v/>
      </c>
      <c r="AQ86" s="42">
        <f>AU85</f>
        <v/>
      </c>
      <c r="AR86" s="42">
        <f>ROUND(AQ86*AR$6/12,2)</f>
        <v/>
      </c>
      <c r="AS86" s="42">
        <f>MIN(AS$6,AQ86+AR86)</f>
        <v/>
      </c>
      <c r="AT86" s="42">
        <f>MAX(0,MIN(AQ86+AR86-AS86,AP86))</f>
        <v/>
      </c>
      <c r="AU86" s="42">
        <f>ROUND(AQ86+AR86-AS86-AT86,2)</f>
        <v/>
      </c>
      <c r="AV86">
        <f>AP86-AT86</f>
        <v/>
      </c>
      <c r="AW86" s="42">
        <f>BA85</f>
        <v/>
      </c>
      <c r="AX86" s="42">
        <f>ROUND(AW86*AX$6/12,2)</f>
        <v/>
      </c>
      <c r="AY86" s="42">
        <f>MIN(AY$6,AW86+AX86)</f>
        <v/>
      </c>
      <c r="AZ86" s="42">
        <f>MAX(0,MIN(AW86+AX86-AY86,AV86))</f>
        <v/>
      </c>
      <c r="BA86" s="42">
        <f>ROUND(AW86+AX86-AY86-AZ86,2)</f>
        <v/>
      </c>
      <c r="BB86">
        <f>AV86-AZ86</f>
        <v/>
      </c>
      <c r="BC86" s="42">
        <f>BG85</f>
        <v/>
      </c>
      <c r="BD86" s="42">
        <f>ROUND(BC86*BD$6/12,2)</f>
        <v/>
      </c>
      <c r="BE86" s="42">
        <f>MIN(BE$6,BC86+BD86)</f>
        <v/>
      </c>
      <c r="BF86" s="42">
        <f>MAX(0,MIN(BC86+BD86-BE86,BB86))</f>
        <v/>
      </c>
      <c r="BG86" s="42">
        <f>ROUND(BC86+BD86-BE86-BF86,2)</f>
        <v/>
      </c>
      <c r="BH86">
        <f>BB86-BF86</f>
        <v/>
      </c>
      <c r="BI86" s="42">
        <f>BM85</f>
        <v/>
      </c>
      <c r="BJ86" s="42">
        <f>ROUND(BI86*BJ$6/12,2)</f>
        <v/>
      </c>
      <c r="BK86" s="42">
        <f>MIN(BK$6,BI86+BJ86)</f>
        <v/>
      </c>
      <c r="BL86" s="42">
        <f>MAX(0,MIN(BI86+BJ86-BK86,BH86))</f>
        <v/>
      </c>
      <c r="BM86" s="42">
        <f>ROUND(BI86+BJ86-BK86-BL86,2)</f>
        <v/>
      </c>
      <c r="BN86">
        <f>BH86-BL86</f>
        <v/>
      </c>
    </row>
    <row r="87">
      <c r="A87" s="43" t="n">
        <v>80</v>
      </c>
      <c r="B87" s="44">
        <f>EDATE('My Debts'!$C$6,A87-1)</f>
        <v/>
      </c>
      <c r="C87" s="45">
        <f>K87+Q87+W87+AC87+AI87+AO87+AU87+BA87+BG87+BM87</f>
        <v/>
      </c>
      <c r="D87" s="46">
        <f>I87+O87+U87+AA87+AG87+AM87+AS87+AY87+BE87+BK87+J87+P87+V87+AB87+AH87+AN87+AT87+AZ87+BF87+BL87</f>
        <v/>
      </c>
      <c r="E87" s="46">
        <f>H87+N87+T87+Z87+AF87+AL87+AR87+AX87+BD87+BJ87</f>
        <v/>
      </c>
      <c r="F87">
        <f>MAX(0,'My Debts'!$E$21-(I87+O87+U87+AA87+AG87+AM87+AS87+AY87+BE87+BK87))</f>
        <v/>
      </c>
      <c r="G87" s="42">
        <f>K86</f>
        <v/>
      </c>
      <c r="H87" s="42">
        <f>ROUND(G87*H$6/12,2)</f>
        <v/>
      </c>
      <c r="I87" s="42">
        <f>MIN(I$6,G87+H87)</f>
        <v/>
      </c>
      <c r="J87" s="42">
        <f>MAX(0,MIN(G87+H87-I87,$F87))</f>
        <v/>
      </c>
      <c r="K87" s="42">
        <f>ROUND(G87+H87-I87-J87,2)</f>
        <v/>
      </c>
      <c r="L87">
        <f>$F87-J87</f>
        <v/>
      </c>
      <c r="M87" s="42">
        <f>Q86</f>
        <v/>
      </c>
      <c r="N87" s="42">
        <f>ROUND(M87*N$6/12,2)</f>
        <v/>
      </c>
      <c r="O87" s="42">
        <f>MIN(O$6,M87+N87)</f>
        <v/>
      </c>
      <c r="P87" s="42">
        <f>MAX(0,MIN(M87+N87-O87,L87))</f>
        <v/>
      </c>
      <c r="Q87" s="42">
        <f>ROUND(M87+N87-O87-P87,2)</f>
        <v/>
      </c>
      <c r="R87">
        <f>L87-P87</f>
        <v/>
      </c>
      <c r="S87" s="42">
        <f>W86</f>
        <v/>
      </c>
      <c r="T87" s="42">
        <f>ROUND(S87*T$6/12,2)</f>
        <v/>
      </c>
      <c r="U87" s="42">
        <f>MIN(U$6,S87+T87)</f>
        <v/>
      </c>
      <c r="V87" s="42">
        <f>MAX(0,MIN(S87+T87-U87,R87))</f>
        <v/>
      </c>
      <c r="W87" s="42">
        <f>ROUND(S87+T87-U87-V87,2)</f>
        <v/>
      </c>
      <c r="X87">
        <f>R87-V87</f>
        <v/>
      </c>
      <c r="Y87" s="42">
        <f>AC86</f>
        <v/>
      </c>
      <c r="Z87" s="42">
        <f>ROUND(Y87*Z$6/12,2)</f>
        <v/>
      </c>
      <c r="AA87" s="42">
        <f>MIN(AA$6,Y87+Z87)</f>
        <v/>
      </c>
      <c r="AB87" s="42">
        <f>MAX(0,MIN(Y87+Z87-AA87,X87))</f>
        <v/>
      </c>
      <c r="AC87" s="42">
        <f>ROUND(Y87+Z87-AA87-AB87,2)</f>
        <v/>
      </c>
      <c r="AD87">
        <f>X87-AB87</f>
        <v/>
      </c>
      <c r="AE87" s="42">
        <f>AI86</f>
        <v/>
      </c>
      <c r="AF87" s="42">
        <f>ROUND(AE87*AF$6/12,2)</f>
        <v/>
      </c>
      <c r="AG87" s="42">
        <f>MIN(AG$6,AE87+AF87)</f>
        <v/>
      </c>
      <c r="AH87" s="42">
        <f>MAX(0,MIN(AE87+AF87-AG87,AD87))</f>
        <v/>
      </c>
      <c r="AI87" s="42">
        <f>ROUND(AE87+AF87-AG87-AH87,2)</f>
        <v/>
      </c>
      <c r="AJ87">
        <f>AD87-AH87</f>
        <v/>
      </c>
      <c r="AK87" s="42">
        <f>AO86</f>
        <v/>
      </c>
      <c r="AL87" s="42">
        <f>ROUND(AK87*AL$6/12,2)</f>
        <v/>
      </c>
      <c r="AM87" s="42">
        <f>MIN(AM$6,AK87+AL87)</f>
        <v/>
      </c>
      <c r="AN87" s="42">
        <f>MAX(0,MIN(AK87+AL87-AM87,AJ87))</f>
        <v/>
      </c>
      <c r="AO87" s="42">
        <f>ROUND(AK87+AL87-AM87-AN87,2)</f>
        <v/>
      </c>
      <c r="AP87">
        <f>AJ87-AN87</f>
        <v/>
      </c>
      <c r="AQ87" s="42">
        <f>AU86</f>
        <v/>
      </c>
      <c r="AR87" s="42">
        <f>ROUND(AQ87*AR$6/12,2)</f>
        <v/>
      </c>
      <c r="AS87" s="42">
        <f>MIN(AS$6,AQ87+AR87)</f>
        <v/>
      </c>
      <c r="AT87" s="42">
        <f>MAX(0,MIN(AQ87+AR87-AS87,AP87))</f>
        <v/>
      </c>
      <c r="AU87" s="42">
        <f>ROUND(AQ87+AR87-AS87-AT87,2)</f>
        <v/>
      </c>
      <c r="AV87">
        <f>AP87-AT87</f>
        <v/>
      </c>
      <c r="AW87" s="42">
        <f>BA86</f>
        <v/>
      </c>
      <c r="AX87" s="42">
        <f>ROUND(AW87*AX$6/12,2)</f>
        <v/>
      </c>
      <c r="AY87" s="42">
        <f>MIN(AY$6,AW87+AX87)</f>
        <v/>
      </c>
      <c r="AZ87" s="42">
        <f>MAX(0,MIN(AW87+AX87-AY87,AV87))</f>
        <v/>
      </c>
      <c r="BA87" s="42">
        <f>ROUND(AW87+AX87-AY87-AZ87,2)</f>
        <v/>
      </c>
      <c r="BB87">
        <f>AV87-AZ87</f>
        <v/>
      </c>
      <c r="BC87" s="42">
        <f>BG86</f>
        <v/>
      </c>
      <c r="BD87" s="42">
        <f>ROUND(BC87*BD$6/12,2)</f>
        <v/>
      </c>
      <c r="BE87" s="42">
        <f>MIN(BE$6,BC87+BD87)</f>
        <v/>
      </c>
      <c r="BF87" s="42">
        <f>MAX(0,MIN(BC87+BD87-BE87,BB87))</f>
        <v/>
      </c>
      <c r="BG87" s="42">
        <f>ROUND(BC87+BD87-BE87-BF87,2)</f>
        <v/>
      </c>
      <c r="BH87">
        <f>BB87-BF87</f>
        <v/>
      </c>
      <c r="BI87" s="42">
        <f>BM86</f>
        <v/>
      </c>
      <c r="BJ87" s="42">
        <f>ROUND(BI87*BJ$6/12,2)</f>
        <v/>
      </c>
      <c r="BK87" s="42">
        <f>MIN(BK$6,BI87+BJ87)</f>
        <v/>
      </c>
      <c r="BL87" s="42">
        <f>MAX(0,MIN(BI87+BJ87-BK87,BH87))</f>
        <v/>
      </c>
      <c r="BM87" s="42">
        <f>ROUND(BI87+BJ87-BK87-BL87,2)</f>
        <v/>
      </c>
      <c r="BN87">
        <f>BH87-BL87</f>
        <v/>
      </c>
    </row>
    <row r="88">
      <c r="A88" s="39" t="n">
        <v>81</v>
      </c>
      <c r="B88" s="40">
        <f>EDATE('My Debts'!$C$6,A88-1)</f>
        <v/>
      </c>
      <c r="C88" s="41">
        <f>K88+Q88+W88+AC88+AI88+AO88+AU88+BA88+BG88+BM88</f>
        <v/>
      </c>
      <c r="D88" s="42">
        <f>I88+O88+U88+AA88+AG88+AM88+AS88+AY88+BE88+BK88+J88+P88+V88+AB88+AH88+AN88+AT88+AZ88+BF88+BL88</f>
        <v/>
      </c>
      <c r="E88" s="42">
        <f>H88+N88+T88+Z88+AF88+AL88+AR88+AX88+BD88+BJ88</f>
        <v/>
      </c>
      <c r="F88">
        <f>MAX(0,'My Debts'!$E$21-(I88+O88+U88+AA88+AG88+AM88+AS88+AY88+BE88+BK88))</f>
        <v/>
      </c>
      <c r="G88" s="42">
        <f>K87</f>
        <v/>
      </c>
      <c r="H88" s="42">
        <f>ROUND(G88*H$6/12,2)</f>
        <v/>
      </c>
      <c r="I88" s="42">
        <f>MIN(I$6,G88+H88)</f>
        <v/>
      </c>
      <c r="J88" s="42">
        <f>MAX(0,MIN(G88+H88-I88,$F88))</f>
        <v/>
      </c>
      <c r="K88" s="42">
        <f>ROUND(G88+H88-I88-J88,2)</f>
        <v/>
      </c>
      <c r="L88">
        <f>$F88-J88</f>
        <v/>
      </c>
      <c r="M88" s="42">
        <f>Q87</f>
        <v/>
      </c>
      <c r="N88" s="42">
        <f>ROUND(M88*N$6/12,2)</f>
        <v/>
      </c>
      <c r="O88" s="42">
        <f>MIN(O$6,M88+N88)</f>
        <v/>
      </c>
      <c r="P88" s="42">
        <f>MAX(0,MIN(M88+N88-O88,L88))</f>
        <v/>
      </c>
      <c r="Q88" s="42">
        <f>ROUND(M88+N88-O88-P88,2)</f>
        <v/>
      </c>
      <c r="R88">
        <f>L88-P88</f>
        <v/>
      </c>
      <c r="S88" s="42">
        <f>W87</f>
        <v/>
      </c>
      <c r="T88" s="42">
        <f>ROUND(S88*T$6/12,2)</f>
        <v/>
      </c>
      <c r="U88" s="42">
        <f>MIN(U$6,S88+T88)</f>
        <v/>
      </c>
      <c r="V88" s="42">
        <f>MAX(0,MIN(S88+T88-U88,R88))</f>
        <v/>
      </c>
      <c r="W88" s="42">
        <f>ROUND(S88+T88-U88-V88,2)</f>
        <v/>
      </c>
      <c r="X88">
        <f>R88-V88</f>
        <v/>
      </c>
      <c r="Y88" s="42">
        <f>AC87</f>
        <v/>
      </c>
      <c r="Z88" s="42">
        <f>ROUND(Y88*Z$6/12,2)</f>
        <v/>
      </c>
      <c r="AA88" s="42">
        <f>MIN(AA$6,Y88+Z88)</f>
        <v/>
      </c>
      <c r="AB88" s="42">
        <f>MAX(0,MIN(Y88+Z88-AA88,X88))</f>
        <v/>
      </c>
      <c r="AC88" s="42">
        <f>ROUND(Y88+Z88-AA88-AB88,2)</f>
        <v/>
      </c>
      <c r="AD88">
        <f>X88-AB88</f>
        <v/>
      </c>
      <c r="AE88" s="42">
        <f>AI87</f>
        <v/>
      </c>
      <c r="AF88" s="42">
        <f>ROUND(AE88*AF$6/12,2)</f>
        <v/>
      </c>
      <c r="AG88" s="42">
        <f>MIN(AG$6,AE88+AF88)</f>
        <v/>
      </c>
      <c r="AH88" s="42">
        <f>MAX(0,MIN(AE88+AF88-AG88,AD88))</f>
        <v/>
      </c>
      <c r="AI88" s="42">
        <f>ROUND(AE88+AF88-AG88-AH88,2)</f>
        <v/>
      </c>
      <c r="AJ88">
        <f>AD88-AH88</f>
        <v/>
      </c>
      <c r="AK88" s="42">
        <f>AO87</f>
        <v/>
      </c>
      <c r="AL88" s="42">
        <f>ROUND(AK88*AL$6/12,2)</f>
        <v/>
      </c>
      <c r="AM88" s="42">
        <f>MIN(AM$6,AK88+AL88)</f>
        <v/>
      </c>
      <c r="AN88" s="42">
        <f>MAX(0,MIN(AK88+AL88-AM88,AJ88))</f>
        <v/>
      </c>
      <c r="AO88" s="42">
        <f>ROUND(AK88+AL88-AM88-AN88,2)</f>
        <v/>
      </c>
      <c r="AP88">
        <f>AJ88-AN88</f>
        <v/>
      </c>
      <c r="AQ88" s="42">
        <f>AU87</f>
        <v/>
      </c>
      <c r="AR88" s="42">
        <f>ROUND(AQ88*AR$6/12,2)</f>
        <v/>
      </c>
      <c r="AS88" s="42">
        <f>MIN(AS$6,AQ88+AR88)</f>
        <v/>
      </c>
      <c r="AT88" s="42">
        <f>MAX(0,MIN(AQ88+AR88-AS88,AP88))</f>
        <v/>
      </c>
      <c r="AU88" s="42">
        <f>ROUND(AQ88+AR88-AS88-AT88,2)</f>
        <v/>
      </c>
      <c r="AV88">
        <f>AP88-AT88</f>
        <v/>
      </c>
      <c r="AW88" s="42">
        <f>BA87</f>
        <v/>
      </c>
      <c r="AX88" s="42">
        <f>ROUND(AW88*AX$6/12,2)</f>
        <v/>
      </c>
      <c r="AY88" s="42">
        <f>MIN(AY$6,AW88+AX88)</f>
        <v/>
      </c>
      <c r="AZ88" s="42">
        <f>MAX(0,MIN(AW88+AX88-AY88,AV88))</f>
        <v/>
      </c>
      <c r="BA88" s="42">
        <f>ROUND(AW88+AX88-AY88-AZ88,2)</f>
        <v/>
      </c>
      <c r="BB88">
        <f>AV88-AZ88</f>
        <v/>
      </c>
      <c r="BC88" s="42">
        <f>BG87</f>
        <v/>
      </c>
      <c r="BD88" s="42">
        <f>ROUND(BC88*BD$6/12,2)</f>
        <v/>
      </c>
      <c r="BE88" s="42">
        <f>MIN(BE$6,BC88+BD88)</f>
        <v/>
      </c>
      <c r="BF88" s="42">
        <f>MAX(0,MIN(BC88+BD88-BE88,BB88))</f>
        <v/>
      </c>
      <c r="BG88" s="42">
        <f>ROUND(BC88+BD88-BE88-BF88,2)</f>
        <v/>
      </c>
      <c r="BH88">
        <f>BB88-BF88</f>
        <v/>
      </c>
      <c r="BI88" s="42">
        <f>BM87</f>
        <v/>
      </c>
      <c r="BJ88" s="42">
        <f>ROUND(BI88*BJ$6/12,2)</f>
        <v/>
      </c>
      <c r="BK88" s="42">
        <f>MIN(BK$6,BI88+BJ88)</f>
        <v/>
      </c>
      <c r="BL88" s="42">
        <f>MAX(0,MIN(BI88+BJ88-BK88,BH88))</f>
        <v/>
      </c>
      <c r="BM88" s="42">
        <f>ROUND(BI88+BJ88-BK88-BL88,2)</f>
        <v/>
      </c>
      <c r="BN88">
        <f>BH88-BL88</f>
        <v/>
      </c>
    </row>
    <row r="89">
      <c r="A89" s="43" t="n">
        <v>82</v>
      </c>
      <c r="B89" s="44">
        <f>EDATE('My Debts'!$C$6,A89-1)</f>
        <v/>
      </c>
      <c r="C89" s="45">
        <f>K89+Q89+W89+AC89+AI89+AO89+AU89+BA89+BG89+BM89</f>
        <v/>
      </c>
      <c r="D89" s="46">
        <f>I89+O89+U89+AA89+AG89+AM89+AS89+AY89+BE89+BK89+J89+P89+V89+AB89+AH89+AN89+AT89+AZ89+BF89+BL89</f>
        <v/>
      </c>
      <c r="E89" s="46">
        <f>H89+N89+T89+Z89+AF89+AL89+AR89+AX89+BD89+BJ89</f>
        <v/>
      </c>
      <c r="F89">
        <f>MAX(0,'My Debts'!$E$21-(I89+O89+U89+AA89+AG89+AM89+AS89+AY89+BE89+BK89))</f>
        <v/>
      </c>
      <c r="G89" s="42">
        <f>K88</f>
        <v/>
      </c>
      <c r="H89" s="42">
        <f>ROUND(G89*H$6/12,2)</f>
        <v/>
      </c>
      <c r="I89" s="42">
        <f>MIN(I$6,G89+H89)</f>
        <v/>
      </c>
      <c r="J89" s="42">
        <f>MAX(0,MIN(G89+H89-I89,$F89))</f>
        <v/>
      </c>
      <c r="K89" s="42">
        <f>ROUND(G89+H89-I89-J89,2)</f>
        <v/>
      </c>
      <c r="L89">
        <f>$F89-J89</f>
        <v/>
      </c>
      <c r="M89" s="42">
        <f>Q88</f>
        <v/>
      </c>
      <c r="N89" s="42">
        <f>ROUND(M89*N$6/12,2)</f>
        <v/>
      </c>
      <c r="O89" s="42">
        <f>MIN(O$6,M89+N89)</f>
        <v/>
      </c>
      <c r="P89" s="42">
        <f>MAX(0,MIN(M89+N89-O89,L89))</f>
        <v/>
      </c>
      <c r="Q89" s="42">
        <f>ROUND(M89+N89-O89-P89,2)</f>
        <v/>
      </c>
      <c r="R89">
        <f>L89-P89</f>
        <v/>
      </c>
      <c r="S89" s="42">
        <f>W88</f>
        <v/>
      </c>
      <c r="T89" s="42">
        <f>ROUND(S89*T$6/12,2)</f>
        <v/>
      </c>
      <c r="U89" s="42">
        <f>MIN(U$6,S89+T89)</f>
        <v/>
      </c>
      <c r="V89" s="42">
        <f>MAX(0,MIN(S89+T89-U89,R89))</f>
        <v/>
      </c>
      <c r="W89" s="42">
        <f>ROUND(S89+T89-U89-V89,2)</f>
        <v/>
      </c>
      <c r="X89">
        <f>R89-V89</f>
        <v/>
      </c>
      <c r="Y89" s="42">
        <f>AC88</f>
        <v/>
      </c>
      <c r="Z89" s="42">
        <f>ROUND(Y89*Z$6/12,2)</f>
        <v/>
      </c>
      <c r="AA89" s="42">
        <f>MIN(AA$6,Y89+Z89)</f>
        <v/>
      </c>
      <c r="AB89" s="42">
        <f>MAX(0,MIN(Y89+Z89-AA89,X89))</f>
        <v/>
      </c>
      <c r="AC89" s="42">
        <f>ROUND(Y89+Z89-AA89-AB89,2)</f>
        <v/>
      </c>
      <c r="AD89">
        <f>X89-AB89</f>
        <v/>
      </c>
      <c r="AE89" s="42">
        <f>AI88</f>
        <v/>
      </c>
      <c r="AF89" s="42">
        <f>ROUND(AE89*AF$6/12,2)</f>
        <v/>
      </c>
      <c r="AG89" s="42">
        <f>MIN(AG$6,AE89+AF89)</f>
        <v/>
      </c>
      <c r="AH89" s="42">
        <f>MAX(0,MIN(AE89+AF89-AG89,AD89))</f>
        <v/>
      </c>
      <c r="AI89" s="42">
        <f>ROUND(AE89+AF89-AG89-AH89,2)</f>
        <v/>
      </c>
      <c r="AJ89">
        <f>AD89-AH89</f>
        <v/>
      </c>
      <c r="AK89" s="42">
        <f>AO88</f>
        <v/>
      </c>
      <c r="AL89" s="42">
        <f>ROUND(AK89*AL$6/12,2)</f>
        <v/>
      </c>
      <c r="AM89" s="42">
        <f>MIN(AM$6,AK89+AL89)</f>
        <v/>
      </c>
      <c r="AN89" s="42">
        <f>MAX(0,MIN(AK89+AL89-AM89,AJ89))</f>
        <v/>
      </c>
      <c r="AO89" s="42">
        <f>ROUND(AK89+AL89-AM89-AN89,2)</f>
        <v/>
      </c>
      <c r="AP89">
        <f>AJ89-AN89</f>
        <v/>
      </c>
      <c r="AQ89" s="42">
        <f>AU88</f>
        <v/>
      </c>
      <c r="AR89" s="42">
        <f>ROUND(AQ89*AR$6/12,2)</f>
        <v/>
      </c>
      <c r="AS89" s="42">
        <f>MIN(AS$6,AQ89+AR89)</f>
        <v/>
      </c>
      <c r="AT89" s="42">
        <f>MAX(0,MIN(AQ89+AR89-AS89,AP89))</f>
        <v/>
      </c>
      <c r="AU89" s="42">
        <f>ROUND(AQ89+AR89-AS89-AT89,2)</f>
        <v/>
      </c>
      <c r="AV89">
        <f>AP89-AT89</f>
        <v/>
      </c>
      <c r="AW89" s="42">
        <f>BA88</f>
        <v/>
      </c>
      <c r="AX89" s="42">
        <f>ROUND(AW89*AX$6/12,2)</f>
        <v/>
      </c>
      <c r="AY89" s="42">
        <f>MIN(AY$6,AW89+AX89)</f>
        <v/>
      </c>
      <c r="AZ89" s="42">
        <f>MAX(0,MIN(AW89+AX89-AY89,AV89))</f>
        <v/>
      </c>
      <c r="BA89" s="42">
        <f>ROUND(AW89+AX89-AY89-AZ89,2)</f>
        <v/>
      </c>
      <c r="BB89">
        <f>AV89-AZ89</f>
        <v/>
      </c>
      <c r="BC89" s="42">
        <f>BG88</f>
        <v/>
      </c>
      <c r="BD89" s="42">
        <f>ROUND(BC89*BD$6/12,2)</f>
        <v/>
      </c>
      <c r="BE89" s="42">
        <f>MIN(BE$6,BC89+BD89)</f>
        <v/>
      </c>
      <c r="BF89" s="42">
        <f>MAX(0,MIN(BC89+BD89-BE89,BB89))</f>
        <v/>
      </c>
      <c r="BG89" s="42">
        <f>ROUND(BC89+BD89-BE89-BF89,2)</f>
        <v/>
      </c>
      <c r="BH89">
        <f>BB89-BF89</f>
        <v/>
      </c>
      <c r="BI89" s="42">
        <f>BM88</f>
        <v/>
      </c>
      <c r="BJ89" s="42">
        <f>ROUND(BI89*BJ$6/12,2)</f>
        <v/>
      </c>
      <c r="BK89" s="42">
        <f>MIN(BK$6,BI89+BJ89)</f>
        <v/>
      </c>
      <c r="BL89" s="42">
        <f>MAX(0,MIN(BI89+BJ89-BK89,BH89))</f>
        <v/>
      </c>
      <c r="BM89" s="42">
        <f>ROUND(BI89+BJ89-BK89-BL89,2)</f>
        <v/>
      </c>
      <c r="BN89">
        <f>BH89-BL89</f>
        <v/>
      </c>
    </row>
    <row r="90">
      <c r="A90" s="39" t="n">
        <v>83</v>
      </c>
      <c r="B90" s="40">
        <f>EDATE('My Debts'!$C$6,A90-1)</f>
        <v/>
      </c>
      <c r="C90" s="41">
        <f>K90+Q90+W90+AC90+AI90+AO90+AU90+BA90+BG90+BM90</f>
        <v/>
      </c>
      <c r="D90" s="42">
        <f>I90+O90+U90+AA90+AG90+AM90+AS90+AY90+BE90+BK90+J90+P90+V90+AB90+AH90+AN90+AT90+AZ90+BF90+BL90</f>
        <v/>
      </c>
      <c r="E90" s="42">
        <f>H90+N90+T90+Z90+AF90+AL90+AR90+AX90+BD90+BJ90</f>
        <v/>
      </c>
      <c r="F90">
        <f>MAX(0,'My Debts'!$E$21-(I90+O90+U90+AA90+AG90+AM90+AS90+AY90+BE90+BK90))</f>
        <v/>
      </c>
      <c r="G90" s="42">
        <f>K89</f>
        <v/>
      </c>
      <c r="H90" s="42">
        <f>ROUND(G90*H$6/12,2)</f>
        <v/>
      </c>
      <c r="I90" s="42">
        <f>MIN(I$6,G90+H90)</f>
        <v/>
      </c>
      <c r="J90" s="42">
        <f>MAX(0,MIN(G90+H90-I90,$F90))</f>
        <v/>
      </c>
      <c r="K90" s="42">
        <f>ROUND(G90+H90-I90-J90,2)</f>
        <v/>
      </c>
      <c r="L90">
        <f>$F90-J90</f>
        <v/>
      </c>
      <c r="M90" s="42">
        <f>Q89</f>
        <v/>
      </c>
      <c r="N90" s="42">
        <f>ROUND(M90*N$6/12,2)</f>
        <v/>
      </c>
      <c r="O90" s="42">
        <f>MIN(O$6,M90+N90)</f>
        <v/>
      </c>
      <c r="P90" s="42">
        <f>MAX(0,MIN(M90+N90-O90,L90))</f>
        <v/>
      </c>
      <c r="Q90" s="42">
        <f>ROUND(M90+N90-O90-P90,2)</f>
        <v/>
      </c>
      <c r="R90">
        <f>L90-P90</f>
        <v/>
      </c>
      <c r="S90" s="42">
        <f>W89</f>
        <v/>
      </c>
      <c r="T90" s="42">
        <f>ROUND(S90*T$6/12,2)</f>
        <v/>
      </c>
      <c r="U90" s="42">
        <f>MIN(U$6,S90+T90)</f>
        <v/>
      </c>
      <c r="V90" s="42">
        <f>MAX(0,MIN(S90+T90-U90,R90))</f>
        <v/>
      </c>
      <c r="W90" s="42">
        <f>ROUND(S90+T90-U90-V90,2)</f>
        <v/>
      </c>
      <c r="X90">
        <f>R90-V90</f>
        <v/>
      </c>
      <c r="Y90" s="42">
        <f>AC89</f>
        <v/>
      </c>
      <c r="Z90" s="42">
        <f>ROUND(Y90*Z$6/12,2)</f>
        <v/>
      </c>
      <c r="AA90" s="42">
        <f>MIN(AA$6,Y90+Z90)</f>
        <v/>
      </c>
      <c r="AB90" s="42">
        <f>MAX(0,MIN(Y90+Z90-AA90,X90))</f>
        <v/>
      </c>
      <c r="AC90" s="42">
        <f>ROUND(Y90+Z90-AA90-AB90,2)</f>
        <v/>
      </c>
      <c r="AD90">
        <f>X90-AB90</f>
        <v/>
      </c>
      <c r="AE90" s="42">
        <f>AI89</f>
        <v/>
      </c>
      <c r="AF90" s="42">
        <f>ROUND(AE90*AF$6/12,2)</f>
        <v/>
      </c>
      <c r="AG90" s="42">
        <f>MIN(AG$6,AE90+AF90)</f>
        <v/>
      </c>
      <c r="AH90" s="42">
        <f>MAX(0,MIN(AE90+AF90-AG90,AD90))</f>
        <v/>
      </c>
      <c r="AI90" s="42">
        <f>ROUND(AE90+AF90-AG90-AH90,2)</f>
        <v/>
      </c>
      <c r="AJ90">
        <f>AD90-AH90</f>
        <v/>
      </c>
      <c r="AK90" s="42">
        <f>AO89</f>
        <v/>
      </c>
      <c r="AL90" s="42">
        <f>ROUND(AK90*AL$6/12,2)</f>
        <v/>
      </c>
      <c r="AM90" s="42">
        <f>MIN(AM$6,AK90+AL90)</f>
        <v/>
      </c>
      <c r="AN90" s="42">
        <f>MAX(0,MIN(AK90+AL90-AM90,AJ90))</f>
        <v/>
      </c>
      <c r="AO90" s="42">
        <f>ROUND(AK90+AL90-AM90-AN90,2)</f>
        <v/>
      </c>
      <c r="AP90">
        <f>AJ90-AN90</f>
        <v/>
      </c>
      <c r="AQ90" s="42">
        <f>AU89</f>
        <v/>
      </c>
      <c r="AR90" s="42">
        <f>ROUND(AQ90*AR$6/12,2)</f>
        <v/>
      </c>
      <c r="AS90" s="42">
        <f>MIN(AS$6,AQ90+AR90)</f>
        <v/>
      </c>
      <c r="AT90" s="42">
        <f>MAX(0,MIN(AQ90+AR90-AS90,AP90))</f>
        <v/>
      </c>
      <c r="AU90" s="42">
        <f>ROUND(AQ90+AR90-AS90-AT90,2)</f>
        <v/>
      </c>
      <c r="AV90">
        <f>AP90-AT90</f>
        <v/>
      </c>
      <c r="AW90" s="42">
        <f>BA89</f>
        <v/>
      </c>
      <c r="AX90" s="42">
        <f>ROUND(AW90*AX$6/12,2)</f>
        <v/>
      </c>
      <c r="AY90" s="42">
        <f>MIN(AY$6,AW90+AX90)</f>
        <v/>
      </c>
      <c r="AZ90" s="42">
        <f>MAX(0,MIN(AW90+AX90-AY90,AV90))</f>
        <v/>
      </c>
      <c r="BA90" s="42">
        <f>ROUND(AW90+AX90-AY90-AZ90,2)</f>
        <v/>
      </c>
      <c r="BB90">
        <f>AV90-AZ90</f>
        <v/>
      </c>
      <c r="BC90" s="42">
        <f>BG89</f>
        <v/>
      </c>
      <c r="BD90" s="42">
        <f>ROUND(BC90*BD$6/12,2)</f>
        <v/>
      </c>
      <c r="BE90" s="42">
        <f>MIN(BE$6,BC90+BD90)</f>
        <v/>
      </c>
      <c r="BF90" s="42">
        <f>MAX(0,MIN(BC90+BD90-BE90,BB90))</f>
        <v/>
      </c>
      <c r="BG90" s="42">
        <f>ROUND(BC90+BD90-BE90-BF90,2)</f>
        <v/>
      </c>
      <c r="BH90">
        <f>BB90-BF90</f>
        <v/>
      </c>
      <c r="BI90" s="42">
        <f>BM89</f>
        <v/>
      </c>
      <c r="BJ90" s="42">
        <f>ROUND(BI90*BJ$6/12,2)</f>
        <v/>
      </c>
      <c r="BK90" s="42">
        <f>MIN(BK$6,BI90+BJ90)</f>
        <v/>
      </c>
      <c r="BL90" s="42">
        <f>MAX(0,MIN(BI90+BJ90-BK90,BH90))</f>
        <v/>
      </c>
      <c r="BM90" s="42">
        <f>ROUND(BI90+BJ90-BK90-BL90,2)</f>
        <v/>
      </c>
      <c r="BN90">
        <f>BH90-BL90</f>
        <v/>
      </c>
    </row>
    <row r="91">
      <c r="A91" s="43" t="n">
        <v>84</v>
      </c>
      <c r="B91" s="44">
        <f>EDATE('My Debts'!$C$6,A91-1)</f>
        <v/>
      </c>
      <c r="C91" s="45">
        <f>K91+Q91+W91+AC91+AI91+AO91+AU91+BA91+BG91+BM91</f>
        <v/>
      </c>
      <c r="D91" s="46">
        <f>I91+O91+U91+AA91+AG91+AM91+AS91+AY91+BE91+BK91+J91+P91+V91+AB91+AH91+AN91+AT91+AZ91+BF91+BL91</f>
        <v/>
      </c>
      <c r="E91" s="46">
        <f>H91+N91+T91+Z91+AF91+AL91+AR91+AX91+BD91+BJ91</f>
        <v/>
      </c>
      <c r="F91">
        <f>MAX(0,'My Debts'!$E$21-(I91+O91+U91+AA91+AG91+AM91+AS91+AY91+BE91+BK91))</f>
        <v/>
      </c>
      <c r="G91" s="42">
        <f>K90</f>
        <v/>
      </c>
      <c r="H91" s="42">
        <f>ROUND(G91*H$6/12,2)</f>
        <v/>
      </c>
      <c r="I91" s="42">
        <f>MIN(I$6,G91+H91)</f>
        <v/>
      </c>
      <c r="J91" s="42">
        <f>MAX(0,MIN(G91+H91-I91,$F91))</f>
        <v/>
      </c>
      <c r="K91" s="42">
        <f>ROUND(G91+H91-I91-J91,2)</f>
        <v/>
      </c>
      <c r="L91">
        <f>$F91-J91</f>
        <v/>
      </c>
      <c r="M91" s="42">
        <f>Q90</f>
        <v/>
      </c>
      <c r="N91" s="42">
        <f>ROUND(M91*N$6/12,2)</f>
        <v/>
      </c>
      <c r="O91" s="42">
        <f>MIN(O$6,M91+N91)</f>
        <v/>
      </c>
      <c r="P91" s="42">
        <f>MAX(0,MIN(M91+N91-O91,L91))</f>
        <v/>
      </c>
      <c r="Q91" s="42">
        <f>ROUND(M91+N91-O91-P91,2)</f>
        <v/>
      </c>
      <c r="R91">
        <f>L91-P91</f>
        <v/>
      </c>
      <c r="S91" s="42">
        <f>W90</f>
        <v/>
      </c>
      <c r="T91" s="42">
        <f>ROUND(S91*T$6/12,2)</f>
        <v/>
      </c>
      <c r="U91" s="42">
        <f>MIN(U$6,S91+T91)</f>
        <v/>
      </c>
      <c r="V91" s="42">
        <f>MAX(0,MIN(S91+T91-U91,R91))</f>
        <v/>
      </c>
      <c r="W91" s="42">
        <f>ROUND(S91+T91-U91-V91,2)</f>
        <v/>
      </c>
      <c r="X91">
        <f>R91-V91</f>
        <v/>
      </c>
      <c r="Y91" s="42">
        <f>AC90</f>
        <v/>
      </c>
      <c r="Z91" s="42">
        <f>ROUND(Y91*Z$6/12,2)</f>
        <v/>
      </c>
      <c r="AA91" s="42">
        <f>MIN(AA$6,Y91+Z91)</f>
        <v/>
      </c>
      <c r="AB91" s="42">
        <f>MAX(0,MIN(Y91+Z91-AA91,X91))</f>
        <v/>
      </c>
      <c r="AC91" s="42">
        <f>ROUND(Y91+Z91-AA91-AB91,2)</f>
        <v/>
      </c>
      <c r="AD91">
        <f>X91-AB91</f>
        <v/>
      </c>
      <c r="AE91" s="42">
        <f>AI90</f>
        <v/>
      </c>
      <c r="AF91" s="42">
        <f>ROUND(AE91*AF$6/12,2)</f>
        <v/>
      </c>
      <c r="AG91" s="42">
        <f>MIN(AG$6,AE91+AF91)</f>
        <v/>
      </c>
      <c r="AH91" s="42">
        <f>MAX(0,MIN(AE91+AF91-AG91,AD91))</f>
        <v/>
      </c>
      <c r="AI91" s="42">
        <f>ROUND(AE91+AF91-AG91-AH91,2)</f>
        <v/>
      </c>
      <c r="AJ91">
        <f>AD91-AH91</f>
        <v/>
      </c>
      <c r="AK91" s="42">
        <f>AO90</f>
        <v/>
      </c>
      <c r="AL91" s="42">
        <f>ROUND(AK91*AL$6/12,2)</f>
        <v/>
      </c>
      <c r="AM91" s="42">
        <f>MIN(AM$6,AK91+AL91)</f>
        <v/>
      </c>
      <c r="AN91" s="42">
        <f>MAX(0,MIN(AK91+AL91-AM91,AJ91))</f>
        <v/>
      </c>
      <c r="AO91" s="42">
        <f>ROUND(AK91+AL91-AM91-AN91,2)</f>
        <v/>
      </c>
      <c r="AP91">
        <f>AJ91-AN91</f>
        <v/>
      </c>
      <c r="AQ91" s="42">
        <f>AU90</f>
        <v/>
      </c>
      <c r="AR91" s="42">
        <f>ROUND(AQ91*AR$6/12,2)</f>
        <v/>
      </c>
      <c r="AS91" s="42">
        <f>MIN(AS$6,AQ91+AR91)</f>
        <v/>
      </c>
      <c r="AT91" s="42">
        <f>MAX(0,MIN(AQ91+AR91-AS91,AP91))</f>
        <v/>
      </c>
      <c r="AU91" s="42">
        <f>ROUND(AQ91+AR91-AS91-AT91,2)</f>
        <v/>
      </c>
      <c r="AV91">
        <f>AP91-AT91</f>
        <v/>
      </c>
      <c r="AW91" s="42">
        <f>BA90</f>
        <v/>
      </c>
      <c r="AX91" s="42">
        <f>ROUND(AW91*AX$6/12,2)</f>
        <v/>
      </c>
      <c r="AY91" s="42">
        <f>MIN(AY$6,AW91+AX91)</f>
        <v/>
      </c>
      <c r="AZ91" s="42">
        <f>MAX(0,MIN(AW91+AX91-AY91,AV91))</f>
        <v/>
      </c>
      <c r="BA91" s="42">
        <f>ROUND(AW91+AX91-AY91-AZ91,2)</f>
        <v/>
      </c>
      <c r="BB91">
        <f>AV91-AZ91</f>
        <v/>
      </c>
      <c r="BC91" s="42">
        <f>BG90</f>
        <v/>
      </c>
      <c r="BD91" s="42">
        <f>ROUND(BC91*BD$6/12,2)</f>
        <v/>
      </c>
      <c r="BE91" s="42">
        <f>MIN(BE$6,BC91+BD91)</f>
        <v/>
      </c>
      <c r="BF91" s="42">
        <f>MAX(0,MIN(BC91+BD91-BE91,BB91))</f>
        <v/>
      </c>
      <c r="BG91" s="42">
        <f>ROUND(BC91+BD91-BE91-BF91,2)</f>
        <v/>
      </c>
      <c r="BH91">
        <f>BB91-BF91</f>
        <v/>
      </c>
      <c r="BI91" s="42">
        <f>BM90</f>
        <v/>
      </c>
      <c r="BJ91" s="42">
        <f>ROUND(BI91*BJ$6/12,2)</f>
        <v/>
      </c>
      <c r="BK91" s="42">
        <f>MIN(BK$6,BI91+BJ91)</f>
        <v/>
      </c>
      <c r="BL91" s="42">
        <f>MAX(0,MIN(BI91+BJ91-BK91,BH91))</f>
        <v/>
      </c>
      <c r="BM91" s="42">
        <f>ROUND(BI91+BJ91-BK91-BL91,2)</f>
        <v/>
      </c>
      <c r="BN91">
        <f>BH91-BL91</f>
        <v/>
      </c>
    </row>
    <row r="92">
      <c r="A92" s="39" t="n">
        <v>85</v>
      </c>
      <c r="B92" s="40">
        <f>EDATE('My Debts'!$C$6,A92-1)</f>
        <v/>
      </c>
      <c r="C92" s="41">
        <f>K92+Q92+W92+AC92+AI92+AO92+AU92+BA92+BG92+BM92</f>
        <v/>
      </c>
      <c r="D92" s="42">
        <f>I92+O92+U92+AA92+AG92+AM92+AS92+AY92+BE92+BK92+J92+P92+V92+AB92+AH92+AN92+AT92+AZ92+BF92+BL92</f>
        <v/>
      </c>
      <c r="E92" s="42">
        <f>H92+N92+T92+Z92+AF92+AL92+AR92+AX92+BD92+BJ92</f>
        <v/>
      </c>
      <c r="F92">
        <f>MAX(0,'My Debts'!$E$21-(I92+O92+U92+AA92+AG92+AM92+AS92+AY92+BE92+BK92))</f>
        <v/>
      </c>
      <c r="G92" s="42">
        <f>K91</f>
        <v/>
      </c>
      <c r="H92" s="42">
        <f>ROUND(G92*H$6/12,2)</f>
        <v/>
      </c>
      <c r="I92" s="42">
        <f>MIN(I$6,G92+H92)</f>
        <v/>
      </c>
      <c r="J92" s="42">
        <f>MAX(0,MIN(G92+H92-I92,$F92))</f>
        <v/>
      </c>
      <c r="K92" s="42">
        <f>ROUND(G92+H92-I92-J92,2)</f>
        <v/>
      </c>
      <c r="L92">
        <f>$F92-J92</f>
        <v/>
      </c>
      <c r="M92" s="42">
        <f>Q91</f>
        <v/>
      </c>
      <c r="N92" s="42">
        <f>ROUND(M92*N$6/12,2)</f>
        <v/>
      </c>
      <c r="O92" s="42">
        <f>MIN(O$6,M92+N92)</f>
        <v/>
      </c>
      <c r="P92" s="42">
        <f>MAX(0,MIN(M92+N92-O92,L92))</f>
        <v/>
      </c>
      <c r="Q92" s="42">
        <f>ROUND(M92+N92-O92-P92,2)</f>
        <v/>
      </c>
      <c r="R92">
        <f>L92-P92</f>
        <v/>
      </c>
      <c r="S92" s="42">
        <f>W91</f>
        <v/>
      </c>
      <c r="T92" s="42">
        <f>ROUND(S92*T$6/12,2)</f>
        <v/>
      </c>
      <c r="U92" s="42">
        <f>MIN(U$6,S92+T92)</f>
        <v/>
      </c>
      <c r="V92" s="42">
        <f>MAX(0,MIN(S92+T92-U92,R92))</f>
        <v/>
      </c>
      <c r="W92" s="42">
        <f>ROUND(S92+T92-U92-V92,2)</f>
        <v/>
      </c>
      <c r="X92">
        <f>R92-V92</f>
        <v/>
      </c>
      <c r="Y92" s="42">
        <f>AC91</f>
        <v/>
      </c>
      <c r="Z92" s="42">
        <f>ROUND(Y92*Z$6/12,2)</f>
        <v/>
      </c>
      <c r="AA92" s="42">
        <f>MIN(AA$6,Y92+Z92)</f>
        <v/>
      </c>
      <c r="AB92" s="42">
        <f>MAX(0,MIN(Y92+Z92-AA92,X92))</f>
        <v/>
      </c>
      <c r="AC92" s="42">
        <f>ROUND(Y92+Z92-AA92-AB92,2)</f>
        <v/>
      </c>
      <c r="AD92">
        <f>X92-AB92</f>
        <v/>
      </c>
      <c r="AE92" s="42">
        <f>AI91</f>
        <v/>
      </c>
      <c r="AF92" s="42">
        <f>ROUND(AE92*AF$6/12,2)</f>
        <v/>
      </c>
      <c r="AG92" s="42">
        <f>MIN(AG$6,AE92+AF92)</f>
        <v/>
      </c>
      <c r="AH92" s="42">
        <f>MAX(0,MIN(AE92+AF92-AG92,AD92))</f>
        <v/>
      </c>
      <c r="AI92" s="42">
        <f>ROUND(AE92+AF92-AG92-AH92,2)</f>
        <v/>
      </c>
      <c r="AJ92">
        <f>AD92-AH92</f>
        <v/>
      </c>
      <c r="AK92" s="42">
        <f>AO91</f>
        <v/>
      </c>
      <c r="AL92" s="42">
        <f>ROUND(AK92*AL$6/12,2)</f>
        <v/>
      </c>
      <c r="AM92" s="42">
        <f>MIN(AM$6,AK92+AL92)</f>
        <v/>
      </c>
      <c r="AN92" s="42">
        <f>MAX(0,MIN(AK92+AL92-AM92,AJ92))</f>
        <v/>
      </c>
      <c r="AO92" s="42">
        <f>ROUND(AK92+AL92-AM92-AN92,2)</f>
        <v/>
      </c>
      <c r="AP92">
        <f>AJ92-AN92</f>
        <v/>
      </c>
      <c r="AQ92" s="42">
        <f>AU91</f>
        <v/>
      </c>
      <c r="AR92" s="42">
        <f>ROUND(AQ92*AR$6/12,2)</f>
        <v/>
      </c>
      <c r="AS92" s="42">
        <f>MIN(AS$6,AQ92+AR92)</f>
        <v/>
      </c>
      <c r="AT92" s="42">
        <f>MAX(0,MIN(AQ92+AR92-AS92,AP92))</f>
        <v/>
      </c>
      <c r="AU92" s="42">
        <f>ROUND(AQ92+AR92-AS92-AT92,2)</f>
        <v/>
      </c>
      <c r="AV92">
        <f>AP92-AT92</f>
        <v/>
      </c>
      <c r="AW92" s="42">
        <f>BA91</f>
        <v/>
      </c>
      <c r="AX92" s="42">
        <f>ROUND(AW92*AX$6/12,2)</f>
        <v/>
      </c>
      <c r="AY92" s="42">
        <f>MIN(AY$6,AW92+AX92)</f>
        <v/>
      </c>
      <c r="AZ92" s="42">
        <f>MAX(0,MIN(AW92+AX92-AY92,AV92))</f>
        <v/>
      </c>
      <c r="BA92" s="42">
        <f>ROUND(AW92+AX92-AY92-AZ92,2)</f>
        <v/>
      </c>
      <c r="BB92">
        <f>AV92-AZ92</f>
        <v/>
      </c>
      <c r="BC92" s="42">
        <f>BG91</f>
        <v/>
      </c>
      <c r="BD92" s="42">
        <f>ROUND(BC92*BD$6/12,2)</f>
        <v/>
      </c>
      <c r="BE92" s="42">
        <f>MIN(BE$6,BC92+BD92)</f>
        <v/>
      </c>
      <c r="BF92" s="42">
        <f>MAX(0,MIN(BC92+BD92-BE92,BB92))</f>
        <v/>
      </c>
      <c r="BG92" s="42">
        <f>ROUND(BC92+BD92-BE92-BF92,2)</f>
        <v/>
      </c>
      <c r="BH92">
        <f>BB92-BF92</f>
        <v/>
      </c>
      <c r="BI92" s="42">
        <f>BM91</f>
        <v/>
      </c>
      <c r="BJ92" s="42">
        <f>ROUND(BI92*BJ$6/12,2)</f>
        <v/>
      </c>
      <c r="BK92" s="42">
        <f>MIN(BK$6,BI92+BJ92)</f>
        <v/>
      </c>
      <c r="BL92" s="42">
        <f>MAX(0,MIN(BI92+BJ92-BK92,BH92))</f>
        <v/>
      </c>
      <c r="BM92" s="42">
        <f>ROUND(BI92+BJ92-BK92-BL92,2)</f>
        <v/>
      </c>
      <c r="BN92">
        <f>BH92-BL92</f>
        <v/>
      </c>
    </row>
    <row r="93">
      <c r="A93" s="43" t="n">
        <v>86</v>
      </c>
      <c r="B93" s="44">
        <f>EDATE('My Debts'!$C$6,A93-1)</f>
        <v/>
      </c>
      <c r="C93" s="45">
        <f>K93+Q93+W93+AC93+AI93+AO93+AU93+BA93+BG93+BM93</f>
        <v/>
      </c>
      <c r="D93" s="46">
        <f>I93+O93+U93+AA93+AG93+AM93+AS93+AY93+BE93+BK93+J93+P93+V93+AB93+AH93+AN93+AT93+AZ93+BF93+BL93</f>
        <v/>
      </c>
      <c r="E93" s="46">
        <f>H93+N93+T93+Z93+AF93+AL93+AR93+AX93+BD93+BJ93</f>
        <v/>
      </c>
      <c r="F93">
        <f>MAX(0,'My Debts'!$E$21-(I93+O93+U93+AA93+AG93+AM93+AS93+AY93+BE93+BK93))</f>
        <v/>
      </c>
      <c r="G93" s="42">
        <f>K92</f>
        <v/>
      </c>
      <c r="H93" s="42">
        <f>ROUND(G93*H$6/12,2)</f>
        <v/>
      </c>
      <c r="I93" s="42">
        <f>MIN(I$6,G93+H93)</f>
        <v/>
      </c>
      <c r="J93" s="42">
        <f>MAX(0,MIN(G93+H93-I93,$F93))</f>
        <v/>
      </c>
      <c r="K93" s="42">
        <f>ROUND(G93+H93-I93-J93,2)</f>
        <v/>
      </c>
      <c r="L93">
        <f>$F93-J93</f>
        <v/>
      </c>
      <c r="M93" s="42">
        <f>Q92</f>
        <v/>
      </c>
      <c r="N93" s="42">
        <f>ROUND(M93*N$6/12,2)</f>
        <v/>
      </c>
      <c r="O93" s="42">
        <f>MIN(O$6,M93+N93)</f>
        <v/>
      </c>
      <c r="P93" s="42">
        <f>MAX(0,MIN(M93+N93-O93,L93))</f>
        <v/>
      </c>
      <c r="Q93" s="42">
        <f>ROUND(M93+N93-O93-P93,2)</f>
        <v/>
      </c>
      <c r="R93">
        <f>L93-P93</f>
        <v/>
      </c>
      <c r="S93" s="42">
        <f>W92</f>
        <v/>
      </c>
      <c r="T93" s="42">
        <f>ROUND(S93*T$6/12,2)</f>
        <v/>
      </c>
      <c r="U93" s="42">
        <f>MIN(U$6,S93+T93)</f>
        <v/>
      </c>
      <c r="V93" s="42">
        <f>MAX(0,MIN(S93+T93-U93,R93))</f>
        <v/>
      </c>
      <c r="W93" s="42">
        <f>ROUND(S93+T93-U93-V93,2)</f>
        <v/>
      </c>
      <c r="X93">
        <f>R93-V93</f>
        <v/>
      </c>
      <c r="Y93" s="42">
        <f>AC92</f>
        <v/>
      </c>
      <c r="Z93" s="42">
        <f>ROUND(Y93*Z$6/12,2)</f>
        <v/>
      </c>
      <c r="AA93" s="42">
        <f>MIN(AA$6,Y93+Z93)</f>
        <v/>
      </c>
      <c r="AB93" s="42">
        <f>MAX(0,MIN(Y93+Z93-AA93,X93))</f>
        <v/>
      </c>
      <c r="AC93" s="42">
        <f>ROUND(Y93+Z93-AA93-AB93,2)</f>
        <v/>
      </c>
      <c r="AD93">
        <f>X93-AB93</f>
        <v/>
      </c>
      <c r="AE93" s="42">
        <f>AI92</f>
        <v/>
      </c>
      <c r="AF93" s="42">
        <f>ROUND(AE93*AF$6/12,2)</f>
        <v/>
      </c>
      <c r="AG93" s="42">
        <f>MIN(AG$6,AE93+AF93)</f>
        <v/>
      </c>
      <c r="AH93" s="42">
        <f>MAX(0,MIN(AE93+AF93-AG93,AD93))</f>
        <v/>
      </c>
      <c r="AI93" s="42">
        <f>ROUND(AE93+AF93-AG93-AH93,2)</f>
        <v/>
      </c>
      <c r="AJ93">
        <f>AD93-AH93</f>
        <v/>
      </c>
      <c r="AK93" s="42">
        <f>AO92</f>
        <v/>
      </c>
      <c r="AL93" s="42">
        <f>ROUND(AK93*AL$6/12,2)</f>
        <v/>
      </c>
      <c r="AM93" s="42">
        <f>MIN(AM$6,AK93+AL93)</f>
        <v/>
      </c>
      <c r="AN93" s="42">
        <f>MAX(0,MIN(AK93+AL93-AM93,AJ93))</f>
        <v/>
      </c>
      <c r="AO93" s="42">
        <f>ROUND(AK93+AL93-AM93-AN93,2)</f>
        <v/>
      </c>
      <c r="AP93">
        <f>AJ93-AN93</f>
        <v/>
      </c>
      <c r="AQ93" s="42">
        <f>AU92</f>
        <v/>
      </c>
      <c r="AR93" s="42">
        <f>ROUND(AQ93*AR$6/12,2)</f>
        <v/>
      </c>
      <c r="AS93" s="42">
        <f>MIN(AS$6,AQ93+AR93)</f>
        <v/>
      </c>
      <c r="AT93" s="42">
        <f>MAX(0,MIN(AQ93+AR93-AS93,AP93))</f>
        <v/>
      </c>
      <c r="AU93" s="42">
        <f>ROUND(AQ93+AR93-AS93-AT93,2)</f>
        <v/>
      </c>
      <c r="AV93">
        <f>AP93-AT93</f>
        <v/>
      </c>
      <c r="AW93" s="42">
        <f>BA92</f>
        <v/>
      </c>
      <c r="AX93" s="42">
        <f>ROUND(AW93*AX$6/12,2)</f>
        <v/>
      </c>
      <c r="AY93" s="42">
        <f>MIN(AY$6,AW93+AX93)</f>
        <v/>
      </c>
      <c r="AZ93" s="42">
        <f>MAX(0,MIN(AW93+AX93-AY93,AV93))</f>
        <v/>
      </c>
      <c r="BA93" s="42">
        <f>ROUND(AW93+AX93-AY93-AZ93,2)</f>
        <v/>
      </c>
      <c r="BB93">
        <f>AV93-AZ93</f>
        <v/>
      </c>
      <c r="BC93" s="42">
        <f>BG92</f>
        <v/>
      </c>
      <c r="BD93" s="42">
        <f>ROUND(BC93*BD$6/12,2)</f>
        <v/>
      </c>
      <c r="BE93" s="42">
        <f>MIN(BE$6,BC93+BD93)</f>
        <v/>
      </c>
      <c r="BF93" s="42">
        <f>MAX(0,MIN(BC93+BD93-BE93,BB93))</f>
        <v/>
      </c>
      <c r="BG93" s="42">
        <f>ROUND(BC93+BD93-BE93-BF93,2)</f>
        <v/>
      </c>
      <c r="BH93">
        <f>BB93-BF93</f>
        <v/>
      </c>
      <c r="BI93" s="42">
        <f>BM92</f>
        <v/>
      </c>
      <c r="BJ93" s="42">
        <f>ROUND(BI93*BJ$6/12,2)</f>
        <v/>
      </c>
      <c r="BK93" s="42">
        <f>MIN(BK$6,BI93+BJ93)</f>
        <v/>
      </c>
      <c r="BL93" s="42">
        <f>MAX(0,MIN(BI93+BJ93-BK93,BH93))</f>
        <v/>
      </c>
      <c r="BM93" s="42">
        <f>ROUND(BI93+BJ93-BK93-BL93,2)</f>
        <v/>
      </c>
      <c r="BN93">
        <f>BH93-BL93</f>
        <v/>
      </c>
    </row>
    <row r="94">
      <c r="A94" s="39" t="n">
        <v>87</v>
      </c>
      <c r="B94" s="40">
        <f>EDATE('My Debts'!$C$6,A94-1)</f>
        <v/>
      </c>
      <c r="C94" s="41">
        <f>K94+Q94+W94+AC94+AI94+AO94+AU94+BA94+BG94+BM94</f>
        <v/>
      </c>
      <c r="D94" s="42">
        <f>I94+O94+U94+AA94+AG94+AM94+AS94+AY94+BE94+BK94+J94+P94+V94+AB94+AH94+AN94+AT94+AZ94+BF94+BL94</f>
        <v/>
      </c>
      <c r="E94" s="42">
        <f>H94+N94+T94+Z94+AF94+AL94+AR94+AX94+BD94+BJ94</f>
        <v/>
      </c>
      <c r="F94">
        <f>MAX(0,'My Debts'!$E$21-(I94+O94+U94+AA94+AG94+AM94+AS94+AY94+BE94+BK94))</f>
        <v/>
      </c>
      <c r="G94" s="42">
        <f>K93</f>
        <v/>
      </c>
      <c r="H94" s="42">
        <f>ROUND(G94*H$6/12,2)</f>
        <v/>
      </c>
      <c r="I94" s="42">
        <f>MIN(I$6,G94+H94)</f>
        <v/>
      </c>
      <c r="J94" s="42">
        <f>MAX(0,MIN(G94+H94-I94,$F94))</f>
        <v/>
      </c>
      <c r="K94" s="42">
        <f>ROUND(G94+H94-I94-J94,2)</f>
        <v/>
      </c>
      <c r="L94">
        <f>$F94-J94</f>
        <v/>
      </c>
      <c r="M94" s="42">
        <f>Q93</f>
        <v/>
      </c>
      <c r="N94" s="42">
        <f>ROUND(M94*N$6/12,2)</f>
        <v/>
      </c>
      <c r="O94" s="42">
        <f>MIN(O$6,M94+N94)</f>
        <v/>
      </c>
      <c r="P94" s="42">
        <f>MAX(0,MIN(M94+N94-O94,L94))</f>
        <v/>
      </c>
      <c r="Q94" s="42">
        <f>ROUND(M94+N94-O94-P94,2)</f>
        <v/>
      </c>
      <c r="R94">
        <f>L94-P94</f>
        <v/>
      </c>
      <c r="S94" s="42">
        <f>W93</f>
        <v/>
      </c>
      <c r="T94" s="42">
        <f>ROUND(S94*T$6/12,2)</f>
        <v/>
      </c>
      <c r="U94" s="42">
        <f>MIN(U$6,S94+T94)</f>
        <v/>
      </c>
      <c r="V94" s="42">
        <f>MAX(0,MIN(S94+T94-U94,R94))</f>
        <v/>
      </c>
      <c r="W94" s="42">
        <f>ROUND(S94+T94-U94-V94,2)</f>
        <v/>
      </c>
      <c r="X94">
        <f>R94-V94</f>
        <v/>
      </c>
      <c r="Y94" s="42">
        <f>AC93</f>
        <v/>
      </c>
      <c r="Z94" s="42">
        <f>ROUND(Y94*Z$6/12,2)</f>
        <v/>
      </c>
      <c r="AA94" s="42">
        <f>MIN(AA$6,Y94+Z94)</f>
        <v/>
      </c>
      <c r="AB94" s="42">
        <f>MAX(0,MIN(Y94+Z94-AA94,X94))</f>
        <v/>
      </c>
      <c r="AC94" s="42">
        <f>ROUND(Y94+Z94-AA94-AB94,2)</f>
        <v/>
      </c>
      <c r="AD94">
        <f>X94-AB94</f>
        <v/>
      </c>
      <c r="AE94" s="42">
        <f>AI93</f>
        <v/>
      </c>
      <c r="AF94" s="42">
        <f>ROUND(AE94*AF$6/12,2)</f>
        <v/>
      </c>
      <c r="AG94" s="42">
        <f>MIN(AG$6,AE94+AF94)</f>
        <v/>
      </c>
      <c r="AH94" s="42">
        <f>MAX(0,MIN(AE94+AF94-AG94,AD94))</f>
        <v/>
      </c>
      <c r="AI94" s="42">
        <f>ROUND(AE94+AF94-AG94-AH94,2)</f>
        <v/>
      </c>
      <c r="AJ94">
        <f>AD94-AH94</f>
        <v/>
      </c>
      <c r="AK94" s="42">
        <f>AO93</f>
        <v/>
      </c>
      <c r="AL94" s="42">
        <f>ROUND(AK94*AL$6/12,2)</f>
        <v/>
      </c>
      <c r="AM94" s="42">
        <f>MIN(AM$6,AK94+AL94)</f>
        <v/>
      </c>
      <c r="AN94" s="42">
        <f>MAX(0,MIN(AK94+AL94-AM94,AJ94))</f>
        <v/>
      </c>
      <c r="AO94" s="42">
        <f>ROUND(AK94+AL94-AM94-AN94,2)</f>
        <v/>
      </c>
      <c r="AP94">
        <f>AJ94-AN94</f>
        <v/>
      </c>
      <c r="AQ94" s="42">
        <f>AU93</f>
        <v/>
      </c>
      <c r="AR94" s="42">
        <f>ROUND(AQ94*AR$6/12,2)</f>
        <v/>
      </c>
      <c r="AS94" s="42">
        <f>MIN(AS$6,AQ94+AR94)</f>
        <v/>
      </c>
      <c r="AT94" s="42">
        <f>MAX(0,MIN(AQ94+AR94-AS94,AP94))</f>
        <v/>
      </c>
      <c r="AU94" s="42">
        <f>ROUND(AQ94+AR94-AS94-AT94,2)</f>
        <v/>
      </c>
      <c r="AV94">
        <f>AP94-AT94</f>
        <v/>
      </c>
      <c r="AW94" s="42">
        <f>BA93</f>
        <v/>
      </c>
      <c r="AX94" s="42">
        <f>ROUND(AW94*AX$6/12,2)</f>
        <v/>
      </c>
      <c r="AY94" s="42">
        <f>MIN(AY$6,AW94+AX94)</f>
        <v/>
      </c>
      <c r="AZ94" s="42">
        <f>MAX(0,MIN(AW94+AX94-AY94,AV94))</f>
        <v/>
      </c>
      <c r="BA94" s="42">
        <f>ROUND(AW94+AX94-AY94-AZ94,2)</f>
        <v/>
      </c>
      <c r="BB94">
        <f>AV94-AZ94</f>
        <v/>
      </c>
      <c r="BC94" s="42">
        <f>BG93</f>
        <v/>
      </c>
      <c r="BD94" s="42">
        <f>ROUND(BC94*BD$6/12,2)</f>
        <v/>
      </c>
      <c r="BE94" s="42">
        <f>MIN(BE$6,BC94+BD94)</f>
        <v/>
      </c>
      <c r="BF94" s="42">
        <f>MAX(0,MIN(BC94+BD94-BE94,BB94))</f>
        <v/>
      </c>
      <c r="BG94" s="42">
        <f>ROUND(BC94+BD94-BE94-BF94,2)</f>
        <v/>
      </c>
      <c r="BH94">
        <f>BB94-BF94</f>
        <v/>
      </c>
      <c r="BI94" s="42">
        <f>BM93</f>
        <v/>
      </c>
      <c r="BJ94" s="42">
        <f>ROUND(BI94*BJ$6/12,2)</f>
        <v/>
      </c>
      <c r="BK94" s="42">
        <f>MIN(BK$6,BI94+BJ94)</f>
        <v/>
      </c>
      <c r="BL94" s="42">
        <f>MAX(0,MIN(BI94+BJ94-BK94,BH94))</f>
        <v/>
      </c>
      <c r="BM94" s="42">
        <f>ROUND(BI94+BJ94-BK94-BL94,2)</f>
        <v/>
      </c>
      <c r="BN94">
        <f>BH94-BL94</f>
        <v/>
      </c>
    </row>
    <row r="95">
      <c r="A95" s="43" t="n">
        <v>88</v>
      </c>
      <c r="B95" s="44">
        <f>EDATE('My Debts'!$C$6,A95-1)</f>
        <v/>
      </c>
      <c r="C95" s="45">
        <f>K95+Q95+W95+AC95+AI95+AO95+AU95+BA95+BG95+BM95</f>
        <v/>
      </c>
      <c r="D95" s="46">
        <f>I95+O95+U95+AA95+AG95+AM95+AS95+AY95+BE95+BK95+J95+P95+V95+AB95+AH95+AN95+AT95+AZ95+BF95+BL95</f>
        <v/>
      </c>
      <c r="E95" s="46">
        <f>H95+N95+T95+Z95+AF95+AL95+AR95+AX95+BD95+BJ95</f>
        <v/>
      </c>
      <c r="F95">
        <f>MAX(0,'My Debts'!$E$21-(I95+O95+U95+AA95+AG95+AM95+AS95+AY95+BE95+BK95))</f>
        <v/>
      </c>
      <c r="G95" s="42">
        <f>K94</f>
        <v/>
      </c>
      <c r="H95" s="42">
        <f>ROUND(G95*H$6/12,2)</f>
        <v/>
      </c>
      <c r="I95" s="42">
        <f>MIN(I$6,G95+H95)</f>
        <v/>
      </c>
      <c r="J95" s="42">
        <f>MAX(0,MIN(G95+H95-I95,$F95))</f>
        <v/>
      </c>
      <c r="K95" s="42">
        <f>ROUND(G95+H95-I95-J95,2)</f>
        <v/>
      </c>
      <c r="L95">
        <f>$F95-J95</f>
        <v/>
      </c>
      <c r="M95" s="42">
        <f>Q94</f>
        <v/>
      </c>
      <c r="N95" s="42">
        <f>ROUND(M95*N$6/12,2)</f>
        <v/>
      </c>
      <c r="O95" s="42">
        <f>MIN(O$6,M95+N95)</f>
        <v/>
      </c>
      <c r="P95" s="42">
        <f>MAX(0,MIN(M95+N95-O95,L95))</f>
        <v/>
      </c>
      <c r="Q95" s="42">
        <f>ROUND(M95+N95-O95-P95,2)</f>
        <v/>
      </c>
      <c r="R95">
        <f>L95-P95</f>
        <v/>
      </c>
      <c r="S95" s="42">
        <f>W94</f>
        <v/>
      </c>
      <c r="T95" s="42">
        <f>ROUND(S95*T$6/12,2)</f>
        <v/>
      </c>
      <c r="U95" s="42">
        <f>MIN(U$6,S95+T95)</f>
        <v/>
      </c>
      <c r="V95" s="42">
        <f>MAX(0,MIN(S95+T95-U95,R95))</f>
        <v/>
      </c>
      <c r="W95" s="42">
        <f>ROUND(S95+T95-U95-V95,2)</f>
        <v/>
      </c>
      <c r="X95">
        <f>R95-V95</f>
        <v/>
      </c>
      <c r="Y95" s="42">
        <f>AC94</f>
        <v/>
      </c>
      <c r="Z95" s="42">
        <f>ROUND(Y95*Z$6/12,2)</f>
        <v/>
      </c>
      <c r="AA95" s="42">
        <f>MIN(AA$6,Y95+Z95)</f>
        <v/>
      </c>
      <c r="AB95" s="42">
        <f>MAX(0,MIN(Y95+Z95-AA95,X95))</f>
        <v/>
      </c>
      <c r="AC95" s="42">
        <f>ROUND(Y95+Z95-AA95-AB95,2)</f>
        <v/>
      </c>
      <c r="AD95">
        <f>X95-AB95</f>
        <v/>
      </c>
      <c r="AE95" s="42">
        <f>AI94</f>
        <v/>
      </c>
      <c r="AF95" s="42">
        <f>ROUND(AE95*AF$6/12,2)</f>
        <v/>
      </c>
      <c r="AG95" s="42">
        <f>MIN(AG$6,AE95+AF95)</f>
        <v/>
      </c>
      <c r="AH95" s="42">
        <f>MAX(0,MIN(AE95+AF95-AG95,AD95))</f>
        <v/>
      </c>
      <c r="AI95" s="42">
        <f>ROUND(AE95+AF95-AG95-AH95,2)</f>
        <v/>
      </c>
      <c r="AJ95">
        <f>AD95-AH95</f>
        <v/>
      </c>
      <c r="AK95" s="42">
        <f>AO94</f>
        <v/>
      </c>
      <c r="AL95" s="42">
        <f>ROUND(AK95*AL$6/12,2)</f>
        <v/>
      </c>
      <c r="AM95" s="42">
        <f>MIN(AM$6,AK95+AL95)</f>
        <v/>
      </c>
      <c r="AN95" s="42">
        <f>MAX(0,MIN(AK95+AL95-AM95,AJ95))</f>
        <v/>
      </c>
      <c r="AO95" s="42">
        <f>ROUND(AK95+AL95-AM95-AN95,2)</f>
        <v/>
      </c>
      <c r="AP95">
        <f>AJ95-AN95</f>
        <v/>
      </c>
      <c r="AQ95" s="42">
        <f>AU94</f>
        <v/>
      </c>
      <c r="AR95" s="42">
        <f>ROUND(AQ95*AR$6/12,2)</f>
        <v/>
      </c>
      <c r="AS95" s="42">
        <f>MIN(AS$6,AQ95+AR95)</f>
        <v/>
      </c>
      <c r="AT95" s="42">
        <f>MAX(0,MIN(AQ95+AR95-AS95,AP95))</f>
        <v/>
      </c>
      <c r="AU95" s="42">
        <f>ROUND(AQ95+AR95-AS95-AT95,2)</f>
        <v/>
      </c>
      <c r="AV95">
        <f>AP95-AT95</f>
        <v/>
      </c>
      <c r="AW95" s="42">
        <f>BA94</f>
        <v/>
      </c>
      <c r="AX95" s="42">
        <f>ROUND(AW95*AX$6/12,2)</f>
        <v/>
      </c>
      <c r="AY95" s="42">
        <f>MIN(AY$6,AW95+AX95)</f>
        <v/>
      </c>
      <c r="AZ95" s="42">
        <f>MAX(0,MIN(AW95+AX95-AY95,AV95))</f>
        <v/>
      </c>
      <c r="BA95" s="42">
        <f>ROUND(AW95+AX95-AY95-AZ95,2)</f>
        <v/>
      </c>
      <c r="BB95">
        <f>AV95-AZ95</f>
        <v/>
      </c>
      <c r="BC95" s="42">
        <f>BG94</f>
        <v/>
      </c>
      <c r="BD95" s="42">
        <f>ROUND(BC95*BD$6/12,2)</f>
        <v/>
      </c>
      <c r="BE95" s="42">
        <f>MIN(BE$6,BC95+BD95)</f>
        <v/>
      </c>
      <c r="BF95" s="42">
        <f>MAX(0,MIN(BC95+BD95-BE95,BB95))</f>
        <v/>
      </c>
      <c r="BG95" s="42">
        <f>ROUND(BC95+BD95-BE95-BF95,2)</f>
        <v/>
      </c>
      <c r="BH95">
        <f>BB95-BF95</f>
        <v/>
      </c>
      <c r="BI95" s="42">
        <f>BM94</f>
        <v/>
      </c>
      <c r="BJ95" s="42">
        <f>ROUND(BI95*BJ$6/12,2)</f>
        <v/>
      </c>
      <c r="BK95" s="42">
        <f>MIN(BK$6,BI95+BJ95)</f>
        <v/>
      </c>
      <c r="BL95" s="42">
        <f>MAX(0,MIN(BI95+BJ95-BK95,BH95))</f>
        <v/>
      </c>
      <c r="BM95" s="42">
        <f>ROUND(BI95+BJ95-BK95-BL95,2)</f>
        <v/>
      </c>
      <c r="BN95">
        <f>BH95-BL95</f>
        <v/>
      </c>
    </row>
    <row r="96">
      <c r="A96" s="39" t="n">
        <v>89</v>
      </c>
      <c r="B96" s="40">
        <f>EDATE('My Debts'!$C$6,A96-1)</f>
        <v/>
      </c>
      <c r="C96" s="41">
        <f>K96+Q96+W96+AC96+AI96+AO96+AU96+BA96+BG96+BM96</f>
        <v/>
      </c>
      <c r="D96" s="42">
        <f>I96+O96+U96+AA96+AG96+AM96+AS96+AY96+BE96+BK96+J96+P96+V96+AB96+AH96+AN96+AT96+AZ96+BF96+BL96</f>
        <v/>
      </c>
      <c r="E96" s="42">
        <f>H96+N96+T96+Z96+AF96+AL96+AR96+AX96+BD96+BJ96</f>
        <v/>
      </c>
      <c r="F96">
        <f>MAX(0,'My Debts'!$E$21-(I96+O96+U96+AA96+AG96+AM96+AS96+AY96+BE96+BK96))</f>
        <v/>
      </c>
      <c r="G96" s="42">
        <f>K95</f>
        <v/>
      </c>
      <c r="H96" s="42">
        <f>ROUND(G96*H$6/12,2)</f>
        <v/>
      </c>
      <c r="I96" s="42">
        <f>MIN(I$6,G96+H96)</f>
        <v/>
      </c>
      <c r="J96" s="42">
        <f>MAX(0,MIN(G96+H96-I96,$F96))</f>
        <v/>
      </c>
      <c r="K96" s="42">
        <f>ROUND(G96+H96-I96-J96,2)</f>
        <v/>
      </c>
      <c r="L96">
        <f>$F96-J96</f>
        <v/>
      </c>
      <c r="M96" s="42">
        <f>Q95</f>
        <v/>
      </c>
      <c r="N96" s="42">
        <f>ROUND(M96*N$6/12,2)</f>
        <v/>
      </c>
      <c r="O96" s="42">
        <f>MIN(O$6,M96+N96)</f>
        <v/>
      </c>
      <c r="P96" s="42">
        <f>MAX(0,MIN(M96+N96-O96,L96))</f>
        <v/>
      </c>
      <c r="Q96" s="42">
        <f>ROUND(M96+N96-O96-P96,2)</f>
        <v/>
      </c>
      <c r="R96">
        <f>L96-P96</f>
        <v/>
      </c>
      <c r="S96" s="42">
        <f>W95</f>
        <v/>
      </c>
      <c r="T96" s="42">
        <f>ROUND(S96*T$6/12,2)</f>
        <v/>
      </c>
      <c r="U96" s="42">
        <f>MIN(U$6,S96+T96)</f>
        <v/>
      </c>
      <c r="V96" s="42">
        <f>MAX(0,MIN(S96+T96-U96,R96))</f>
        <v/>
      </c>
      <c r="W96" s="42">
        <f>ROUND(S96+T96-U96-V96,2)</f>
        <v/>
      </c>
      <c r="X96">
        <f>R96-V96</f>
        <v/>
      </c>
      <c r="Y96" s="42">
        <f>AC95</f>
        <v/>
      </c>
      <c r="Z96" s="42">
        <f>ROUND(Y96*Z$6/12,2)</f>
        <v/>
      </c>
      <c r="AA96" s="42">
        <f>MIN(AA$6,Y96+Z96)</f>
        <v/>
      </c>
      <c r="AB96" s="42">
        <f>MAX(0,MIN(Y96+Z96-AA96,X96))</f>
        <v/>
      </c>
      <c r="AC96" s="42">
        <f>ROUND(Y96+Z96-AA96-AB96,2)</f>
        <v/>
      </c>
      <c r="AD96">
        <f>X96-AB96</f>
        <v/>
      </c>
      <c r="AE96" s="42">
        <f>AI95</f>
        <v/>
      </c>
      <c r="AF96" s="42">
        <f>ROUND(AE96*AF$6/12,2)</f>
        <v/>
      </c>
      <c r="AG96" s="42">
        <f>MIN(AG$6,AE96+AF96)</f>
        <v/>
      </c>
      <c r="AH96" s="42">
        <f>MAX(0,MIN(AE96+AF96-AG96,AD96))</f>
        <v/>
      </c>
      <c r="AI96" s="42">
        <f>ROUND(AE96+AF96-AG96-AH96,2)</f>
        <v/>
      </c>
      <c r="AJ96">
        <f>AD96-AH96</f>
        <v/>
      </c>
      <c r="AK96" s="42">
        <f>AO95</f>
        <v/>
      </c>
      <c r="AL96" s="42">
        <f>ROUND(AK96*AL$6/12,2)</f>
        <v/>
      </c>
      <c r="AM96" s="42">
        <f>MIN(AM$6,AK96+AL96)</f>
        <v/>
      </c>
      <c r="AN96" s="42">
        <f>MAX(0,MIN(AK96+AL96-AM96,AJ96))</f>
        <v/>
      </c>
      <c r="AO96" s="42">
        <f>ROUND(AK96+AL96-AM96-AN96,2)</f>
        <v/>
      </c>
      <c r="AP96">
        <f>AJ96-AN96</f>
        <v/>
      </c>
      <c r="AQ96" s="42">
        <f>AU95</f>
        <v/>
      </c>
      <c r="AR96" s="42">
        <f>ROUND(AQ96*AR$6/12,2)</f>
        <v/>
      </c>
      <c r="AS96" s="42">
        <f>MIN(AS$6,AQ96+AR96)</f>
        <v/>
      </c>
      <c r="AT96" s="42">
        <f>MAX(0,MIN(AQ96+AR96-AS96,AP96))</f>
        <v/>
      </c>
      <c r="AU96" s="42">
        <f>ROUND(AQ96+AR96-AS96-AT96,2)</f>
        <v/>
      </c>
      <c r="AV96">
        <f>AP96-AT96</f>
        <v/>
      </c>
      <c r="AW96" s="42">
        <f>BA95</f>
        <v/>
      </c>
      <c r="AX96" s="42">
        <f>ROUND(AW96*AX$6/12,2)</f>
        <v/>
      </c>
      <c r="AY96" s="42">
        <f>MIN(AY$6,AW96+AX96)</f>
        <v/>
      </c>
      <c r="AZ96" s="42">
        <f>MAX(0,MIN(AW96+AX96-AY96,AV96))</f>
        <v/>
      </c>
      <c r="BA96" s="42">
        <f>ROUND(AW96+AX96-AY96-AZ96,2)</f>
        <v/>
      </c>
      <c r="BB96">
        <f>AV96-AZ96</f>
        <v/>
      </c>
      <c r="BC96" s="42">
        <f>BG95</f>
        <v/>
      </c>
      <c r="BD96" s="42">
        <f>ROUND(BC96*BD$6/12,2)</f>
        <v/>
      </c>
      <c r="BE96" s="42">
        <f>MIN(BE$6,BC96+BD96)</f>
        <v/>
      </c>
      <c r="BF96" s="42">
        <f>MAX(0,MIN(BC96+BD96-BE96,BB96))</f>
        <v/>
      </c>
      <c r="BG96" s="42">
        <f>ROUND(BC96+BD96-BE96-BF96,2)</f>
        <v/>
      </c>
      <c r="BH96">
        <f>BB96-BF96</f>
        <v/>
      </c>
      <c r="BI96" s="42">
        <f>BM95</f>
        <v/>
      </c>
      <c r="BJ96" s="42">
        <f>ROUND(BI96*BJ$6/12,2)</f>
        <v/>
      </c>
      <c r="BK96" s="42">
        <f>MIN(BK$6,BI96+BJ96)</f>
        <v/>
      </c>
      <c r="BL96" s="42">
        <f>MAX(0,MIN(BI96+BJ96-BK96,BH96))</f>
        <v/>
      </c>
      <c r="BM96" s="42">
        <f>ROUND(BI96+BJ96-BK96-BL96,2)</f>
        <v/>
      </c>
      <c r="BN96">
        <f>BH96-BL96</f>
        <v/>
      </c>
    </row>
    <row r="97">
      <c r="A97" s="43" t="n">
        <v>90</v>
      </c>
      <c r="B97" s="44">
        <f>EDATE('My Debts'!$C$6,A97-1)</f>
        <v/>
      </c>
      <c r="C97" s="45">
        <f>K97+Q97+W97+AC97+AI97+AO97+AU97+BA97+BG97+BM97</f>
        <v/>
      </c>
      <c r="D97" s="46">
        <f>I97+O97+U97+AA97+AG97+AM97+AS97+AY97+BE97+BK97+J97+P97+V97+AB97+AH97+AN97+AT97+AZ97+BF97+BL97</f>
        <v/>
      </c>
      <c r="E97" s="46">
        <f>H97+N97+T97+Z97+AF97+AL97+AR97+AX97+BD97+BJ97</f>
        <v/>
      </c>
      <c r="F97">
        <f>MAX(0,'My Debts'!$E$21-(I97+O97+U97+AA97+AG97+AM97+AS97+AY97+BE97+BK97))</f>
        <v/>
      </c>
      <c r="G97" s="42">
        <f>K96</f>
        <v/>
      </c>
      <c r="H97" s="42">
        <f>ROUND(G97*H$6/12,2)</f>
        <v/>
      </c>
      <c r="I97" s="42">
        <f>MIN(I$6,G97+H97)</f>
        <v/>
      </c>
      <c r="J97" s="42">
        <f>MAX(0,MIN(G97+H97-I97,$F97))</f>
        <v/>
      </c>
      <c r="K97" s="42">
        <f>ROUND(G97+H97-I97-J97,2)</f>
        <v/>
      </c>
      <c r="L97">
        <f>$F97-J97</f>
        <v/>
      </c>
      <c r="M97" s="42">
        <f>Q96</f>
        <v/>
      </c>
      <c r="N97" s="42">
        <f>ROUND(M97*N$6/12,2)</f>
        <v/>
      </c>
      <c r="O97" s="42">
        <f>MIN(O$6,M97+N97)</f>
        <v/>
      </c>
      <c r="P97" s="42">
        <f>MAX(0,MIN(M97+N97-O97,L97))</f>
        <v/>
      </c>
      <c r="Q97" s="42">
        <f>ROUND(M97+N97-O97-P97,2)</f>
        <v/>
      </c>
      <c r="R97">
        <f>L97-P97</f>
        <v/>
      </c>
      <c r="S97" s="42">
        <f>W96</f>
        <v/>
      </c>
      <c r="T97" s="42">
        <f>ROUND(S97*T$6/12,2)</f>
        <v/>
      </c>
      <c r="U97" s="42">
        <f>MIN(U$6,S97+T97)</f>
        <v/>
      </c>
      <c r="V97" s="42">
        <f>MAX(0,MIN(S97+T97-U97,R97))</f>
        <v/>
      </c>
      <c r="W97" s="42">
        <f>ROUND(S97+T97-U97-V97,2)</f>
        <v/>
      </c>
      <c r="X97">
        <f>R97-V97</f>
        <v/>
      </c>
      <c r="Y97" s="42">
        <f>AC96</f>
        <v/>
      </c>
      <c r="Z97" s="42">
        <f>ROUND(Y97*Z$6/12,2)</f>
        <v/>
      </c>
      <c r="AA97" s="42">
        <f>MIN(AA$6,Y97+Z97)</f>
        <v/>
      </c>
      <c r="AB97" s="42">
        <f>MAX(0,MIN(Y97+Z97-AA97,X97))</f>
        <v/>
      </c>
      <c r="AC97" s="42">
        <f>ROUND(Y97+Z97-AA97-AB97,2)</f>
        <v/>
      </c>
      <c r="AD97">
        <f>X97-AB97</f>
        <v/>
      </c>
      <c r="AE97" s="42">
        <f>AI96</f>
        <v/>
      </c>
      <c r="AF97" s="42">
        <f>ROUND(AE97*AF$6/12,2)</f>
        <v/>
      </c>
      <c r="AG97" s="42">
        <f>MIN(AG$6,AE97+AF97)</f>
        <v/>
      </c>
      <c r="AH97" s="42">
        <f>MAX(0,MIN(AE97+AF97-AG97,AD97))</f>
        <v/>
      </c>
      <c r="AI97" s="42">
        <f>ROUND(AE97+AF97-AG97-AH97,2)</f>
        <v/>
      </c>
      <c r="AJ97">
        <f>AD97-AH97</f>
        <v/>
      </c>
      <c r="AK97" s="42">
        <f>AO96</f>
        <v/>
      </c>
      <c r="AL97" s="42">
        <f>ROUND(AK97*AL$6/12,2)</f>
        <v/>
      </c>
      <c r="AM97" s="42">
        <f>MIN(AM$6,AK97+AL97)</f>
        <v/>
      </c>
      <c r="AN97" s="42">
        <f>MAX(0,MIN(AK97+AL97-AM97,AJ97))</f>
        <v/>
      </c>
      <c r="AO97" s="42">
        <f>ROUND(AK97+AL97-AM97-AN97,2)</f>
        <v/>
      </c>
      <c r="AP97">
        <f>AJ97-AN97</f>
        <v/>
      </c>
      <c r="AQ97" s="42">
        <f>AU96</f>
        <v/>
      </c>
      <c r="AR97" s="42">
        <f>ROUND(AQ97*AR$6/12,2)</f>
        <v/>
      </c>
      <c r="AS97" s="42">
        <f>MIN(AS$6,AQ97+AR97)</f>
        <v/>
      </c>
      <c r="AT97" s="42">
        <f>MAX(0,MIN(AQ97+AR97-AS97,AP97))</f>
        <v/>
      </c>
      <c r="AU97" s="42">
        <f>ROUND(AQ97+AR97-AS97-AT97,2)</f>
        <v/>
      </c>
      <c r="AV97">
        <f>AP97-AT97</f>
        <v/>
      </c>
      <c r="AW97" s="42">
        <f>BA96</f>
        <v/>
      </c>
      <c r="AX97" s="42">
        <f>ROUND(AW97*AX$6/12,2)</f>
        <v/>
      </c>
      <c r="AY97" s="42">
        <f>MIN(AY$6,AW97+AX97)</f>
        <v/>
      </c>
      <c r="AZ97" s="42">
        <f>MAX(0,MIN(AW97+AX97-AY97,AV97))</f>
        <v/>
      </c>
      <c r="BA97" s="42">
        <f>ROUND(AW97+AX97-AY97-AZ97,2)</f>
        <v/>
      </c>
      <c r="BB97">
        <f>AV97-AZ97</f>
        <v/>
      </c>
      <c r="BC97" s="42">
        <f>BG96</f>
        <v/>
      </c>
      <c r="BD97" s="42">
        <f>ROUND(BC97*BD$6/12,2)</f>
        <v/>
      </c>
      <c r="BE97" s="42">
        <f>MIN(BE$6,BC97+BD97)</f>
        <v/>
      </c>
      <c r="BF97" s="42">
        <f>MAX(0,MIN(BC97+BD97-BE97,BB97))</f>
        <v/>
      </c>
      <c r="BG97" s="42">
        <f>ROUND(BC97+BD97-BE97-BF97,2)</f>
        <v/>
      </c>
      <c r="BH97">
        <f>BB97-BF97</f>
        <v/>
      </c>
      <c r="BI97" s="42">
        <f>BM96</f>
        <v/>
      </c>
      <c r="BJ97" s="42">
        <f>ROUND(BI97*BJ$6/12,2)</f>
        <v/>
      </c>
      <c r="BK97" s="42">
        <f>MIN(BK$6,BI97+BJ97)</f>
        <v/>
      </c>
      <c r="BL97" s="42">
        <f>MAX(0,MIN(BI97+BJ97-BK97,BH97))</f>
        <v/>
      </c>
      <c r="BM97" s="42">
        <f>ROUND(BI97+BJ97-BK97-BL97,2)</f>
        <v/>
      </c>
      <c r="BN97">
        <f>BH97-BL97</f>
        <v/>
      </c>
    </row>
    <row r="98">
      <c r="A98" s="39" t="n">
        <v>91</v>
      </c>
      <c r="B98" s="40">
        <f>EDATE('My Debts'!$C$6,A98-1)</f>
        <v/>
      </c>
      <c r="C98" s="41">
        <f>K98+Q98+W98+AC98+AI98+AO98+AU98+BA98+BG98+BM98</f>
        <v/>
      </c>
      <c r="D98" s="42">
        <f>I98+O98+U98+AA98+AG98+AM98+AS98+AY98+BE98+BK98+J98+P98+V98+AB98+AH98+AN98+AT98+AZ98+BF98+BL98</f>
        <v/>
      </c>
      <c r="E98" s="42">
        <f>H98+N98+T98+Z98+AF98+AL98+AR98+AX98+BD98+BJ98</f>
        <v/>
      </c>
      <c r="F98">
        <f>MAX(0,'My Debts'!$E$21-(I98+O98+U98+AA98+AG98+AM98+AS98+AY98+BE98+BK98))</f>
        <v/>
      </c>
      <c r="G98" s="42">
        <f>K97</f>
        <v/>
      </c>
      <c r="H98" s="42">
        <f>ROUND(G98*H$6/12,2)</f>
        <v/>
      </c>
      <c r="I98" s="42">
        <f>MIN(I$6,G98+H98)</f>
        <v/>
      </c>
      <c r="J98" s="42">
        <f>MAX(0,MIN(G98+H98-I98,$F98))</f>
        <v/>
      </c>
      <c r="K98" s="42">
        <f>ROUND(G98+H98-I98-J98,2)</f>
        <v/>
      </c>
      <c r="L98">
        <f>$F98-J98</f>
        <v/>
      </c>
      <c r="M98" s="42">
        <f>Q97</f>
        <v/>
      </c>
      <c r="N98" s="42">
        <f>ROUND(M98*N$6/12,2)</f>
        <v/>
      </c>
      <c r="O98" s="42">
        <f>MIN(O$6,M98+N98)</f>
        <v/>
      </c>
      <c r="P98" s="42">
        <f>MAX(0,MIN(M98+N98-O98,L98))</f>
        <v/>
      </c>
      <c r="Q98" s="42">
        <f>ROUND(M98+N98-O98-P98,2)</f>
        <v/>
      </c>
      <c r="R98">
        <f>L98-P98</f>
        <v/>
      </c>
      <c r="S98" s="42">
        <f>W97</f>
        <v/>
      </c>
      <c r="T98" s="42">
        <f>ROUND(S98*T$6/12,2)</f>
        <v/>
      </c>
      <c r="U98" s="42">
        <f>MIN(U$6,S98+T98)</f>
        <v/>
      </c>
      <c r="V98" s="42">
        <f>MAX(0,MIN(S98+T98-U98,R98))</f>
        <v/>
      </c>
      <c r="W98" s="42">
        <f>ROUND(S98+T98-U98-V98,2)</f>
        <v/>
      </c>
      <c r="X98">
        <f>R98-V98</f>
        <v/>
      </c>
      <c r="Y98" s="42">
        <f>AC97</f>
        <v/>
      </c>
      <c r="Z98" s="42">
        <f>ROUND(Y98*Z$6/12,2)</f>
        <v/>
      </c>
      <c r="AA98" s="42">
        <f>MIN(AA$6,Y98+Z98)</f>
        <v/>
      </c>
      <c r="AB98" s="42">
        <f>MAX(0,MIN(Y98+Z98-AA98,X98))</f>
        <v/>
      </c>
      <c r="AC98" s="42">
        <f>ROUND(Y98+Z98-AA98-AB98,2)</f>
        <v/>
      </c>
      <c r="AD98">
        <f>X98-AB98</f>
        <v/>
      </c>
      <c r="AE98" s="42">
        <f>AI97</f>
        <v/>
      </c>
      <c r="AF98" s="42">
        <f>ROUND(AE98*AF$6/12,2)</f>
        <v/>
      </c>
      <c r="AG98" s="42">
        <f>MIN(AG$6,AE98+AF98)</f>
        <v/>
      </c>
      <c r="AH98" s="42">
        <f>MAX(0,MIN(AE98+AF98-AG98,AD98))</f>
        <v/>
      </c>
      <c r="AI98" s="42">
        <f>ROUND(AE98+AF98-AG98-AH98,2)</f>
        <v/>
      </c>
      <c r="AJ98">
        <f>AD98-AH98</f>
        <v/>
      </c>
      <c r="AK98" s="42">
        <f>AO97</f>
        <v/>
      </c>
      <c r="AL98" s="42">
        <f>ROUND(AK98*AL$6/12,2)</f>
        <v/>
      </c>
      <c r="AM98" s="42">
        <f>MIN(AM$6,AK98+AL98)</f>
        <v/>
      </c>
      <c r="AN98" s="42">
        <f>MAX(0,MIN(AK98+AL98-AM98,AJ98))</f>
        <v/>
      </c>
      <c r="AO98" s="42">
        <f>ROUND(AK98+AL98-AM98-AN98,2)</f>
        <v/>
      </c>
      <c r="AP98">
        <f>AJ98-AN98</f>
        <v/>
      </c>
      <c r="AQ98" s="42">
        <f>AU97</f>
        <v/>
      </c>
      <c r="AR98" s="42">
        <f>ROUND(AQ98*AR$6/12,2)</f>
        <v/>
      </c>
      <c r="AS98" s="42">
        <f>MIN(AS$6,AQ98+AR98)</f>
        <v/>
      </c>
      <c r="AT98" s="42">
        <f>MAX(0,MIN(AQ98+AR98-AS98,AP98))</f>
        <v/>
      </c>
      <c r="AU98" s="42">
        <f>ROUND(AQ98+AR98-AS98-AT98,2)</f>
        <v/>
      </c>
      <c r="AV98">
        <f>AP98-AT98</f>
        <v/>
      </c>
      <c r="AW98" s="42">
        <f>BA97</f>
        <v/>
      </c>
      <c r="AX98" s="42">
        <f>ROUND(AW98*AX$6/12,2)</f>
        <v/>
      </c>
      <c r="AY98" s="42">
        <f>MIN(AY$6,AW98+AX98)</f>
        <v/>
      </c>
      <c r="AZ98" s="42">
        <f>MAX(0,MIN(AW98+AX98-AY98,AV98))</f>
        <v/>
      </c>
      <c r="BA98" s="42">
        <f>ROUND(AW98+AX98-AY98-AZ98,2)</f>
        <v/>
      </c>
      <c r="BB98">
        <f>AV98-AZ98</f>
        <v/>
      </c>
      <c r="BC98" s="42">
        <f>BG97</f>
        <v/>
      </c>
      <c r="BD98" s="42">
        <f>ROUND(BC98*BD$6/12,2)</f>
        <v/>
      </c>
      <c r="BE98" s="42">
        <f>MIN(BE$6,BC98+BD98)</f>
        <v/>
      </c>
      <c r="BF98" s="42">
        <f>MAX(0,MIN(BC98+BD98-BE98,BB98))</f>
        <v/>
      </c>
      <c r="BG98" s="42">
        <f>ROUND(BC98+BD98-BE98-BF98,2)</f>
        <v/>
      </c>
      <c r="BH98">
        <f>BB98-BF98</f>
        <v/>
      </c>
      <c r="BI98" s="42">
        <f>BM97</f>
        <v/>
      </c>
      <c r="BJ98" s="42">
        <f>ROUND(BI98*BJ$6/12,2)</f>
        <v/>
      </c>
      <c r="BK98" s="42">
        <f>MIN(BK$6,BI98+BJ98)</f>
        <v/>
      </c>
      <c r="BL98" s="42">
        <f>MAX(0,MIN(BI98+BJ98-BK98,BH98))</f>
        <v/>
      </c>
      <c r="BM98" s="42">
        <f>ROUND(BI98+BJ98-BK98-BL98,2)</f>
        <v/>
      </c>
      <c r="BN98">
        <f>BH98-BL98</f>
        <v/>
      </c>
    </row>
    <row r="99">
      <c r="A99" s="43" t="n">
        <v>92</v>
      </c>
      <c r="B99" s="44">
        <f>EDATE('My Debts'!$C$6,A99-1)</f>
        <v/>
      </c>
      <c r="C99" s="45">
        <f>K99+Q99+W99+AC99+AI99+AO99+AU99+BA99+BG99+BM99</f>
        <v/>
      </c>
      <c r="D99" s="46">
        <f>I99+O99+U99+AA99+AG99+AM99+AS99+AY99+BE99+BK99+J99+P99+V99+AB99+AH99+AN99+AT99+AZ99+BF99+BL99</f>
        <v/>
      </c>
      <c r="E99" s="46">
        <f>H99+N99+T99+Z99+AF99+AL99+AR99+AX99+BD99+BJ99</f>
        <v/>
      </c>
      <c r="F99">
        <f>MAX(0,'My Debts'!$E$21-(I99+O99+U99+AA99+AG99+AM99+AS99+AY99+BE99+BK99))</f>
        <v/>
      </c>
      <c r="G99" s="42">
        <f>K98</f>
        <v/>
      </c>
      <c r="H99" s="42">
        <f>ROUND(G99*H$6/12,2)</f>
        <v/>
      </c>
      <c r="I99" s="42">
        <f>MIN(I$6,G99+H99)</f>
        <v/>
      </c>
      <c r="J99" s="42">
        <f>MAX(0,MIN(G99+H99-I99,$F99))</f>
        <v/>
      </c>
      <c r="K99" s="42">
        <f>ROUND(G99+H99-I99-J99,2)</f>
        <v/>
      </c>
      <c r="L99">
        <f>$F99-J99</f>
        <v/>
      </c>
      <c r="M99" s="42">
        <f>Q98</f>
        <v/>
      </c>
      <c r="N99" s="42">
        <f>ROUND(M99*N$6/12,2)</f>
        <v/>
      </c>
      <c r="O99" s="42">
        <f>MIN(O$6,M99+N99)</f>
        <v/>
      </c>
      <c r="P99" s="42">
        <f>MAX(0,MIN(M99+N99-O99,L99))</f>
        <v/>
      </c>
      <c r="Q99" s="42">
        <f>ROUND(M99+N99-O99-P99,2)</f>
        <v/>
      </c>
      <c r="R99">
        <f>L99-P99</f>
        <v/>
      </c>
      <c r="S99" s="42">
        <f>W98</f>
        <v/>
      </c>
      <c r="T99" s="42">
        <f>ROUND(S99*T$6/12,2)</f>
        <v/>
      </c>
      <c r="U99" s="42">
        <f>MIN(U$6,S99+T99)</f>
        <v/>
      </c>
      <c r="V99" s="42">
        <f>MAX(0,MIN(S99+T99-U99,R99))</f>
        <v/>
      </c>
      <c r="W99" s="42">
        <f>ROUND(S99+T99-U99-V99,2)</f>
        <v/>
      </c>
      <c r="X99">
        <f>R99-V99</f>
        <v/>
      </c>
      <c r="Y99" s="42">
        <f>AC98</f>
        <v/>
      </c>
      <c r="Z99" s="42">
        <f>ROUND(Y99*Z$6/12,2)</f>
        <v/>
      </c>
      <c r="AA99" s="42">
        <f>MIN(AA$6,Y99+Z99)</f>
        <v/>
      </c>
      <c r="AB99" s="42">
        <f>MAX(0,MIN(Y99+Z99-AA99,X99))</f>
        <v/>
      </c>
      <c r="AC99" s="42">
        <f>ROUND(Y99+Z99-AA99-AB99,2)</f>
        <v/>
      </c>
      <c r="AD99">
        <f>X99-AB99</f>
        <v/>
      </c>
      <c r="AE99" s="42">
        <f>AI98</f>
        <v/>
      </c>
      <c r="AF99" s="42">
        <f>ROUND(AE99*AF$6/12,2)</f>
        <v/>
      </c>
      <c r="AG99" s="42">
        <f>MIN(AG$6,AE99+AF99)</f>
        <v/>
      </c>
      <c r="AH99" s="42">
        <f>MAX(0,MIN(AE99+AF99-AG99,AD99))</f>
        <v/>
      </c>
      <c r="AI99" s="42">
        <f>ROUND(AE99+AF99-AG99-AH99,2)</f>
        <v/>
      </c>
      <c r="AJ99">
        <f>AD99-AH99</f>
        <v/>
      </c>
      <c r="AK99" s="42">
        <f>AO98</f>
        <v/>
      </c>
      <c r="AL99" s="42">
        <f>ROUND(AK99*AL$6/12,2)</f>
        <v/>
      </c>
      <c r="AM99" s="42">
        <f>MIN(AM$6,AK99+AL99)</f>
        <v/>
      </c>
      <c r="AN99" s="42">
        <f>MAX(0,MIN(AK99+AL99-AM99,AJ99))</f>
        <v/>
      </c>
      <c r="AO99" s="42">
        <f>ROUND(AK99+AL99-AM99-AN99,2)</f>
        <v/>
      </c>
      <c r="AP99">
        <f>AJ99-AN99</f>
        <v/>
      </c>
      <c r="AQ99" s="42">
        <f>AU98</f>
        <v/>
      </c>
      <c r="AR99" s="42">
        <f>ROUND(AQ99*AR$6/12,2)</f>
        <v/>
      </c>
      <c r="AS99" s="42">
        <f>MIN(AS$6,AQ99+AR99)</f>
        <v/>
      </c>
      <c r="AT99" s="42">
        <f>MAX(0,MIN(AQ99+AR99-AS99,AP99))</f>
        <v/>
      </c>
      <c r="AU99" s="42">
        <f>ROUND(AQ99+AR99-AS99-AT99,2)</f>
        <v/>
      </c>
      <c r="AV99">
        <f>AP99-AT99</f>
        <v/>
      </c>
      <c r="AW99" s="42">
        <f>BA98</f>
        <v/>
      </c>
      <c r="AX99" s="42">
        <f>ROUND(AW99*AX$6/12,2)</f>
        <v/>
      </c>
      <c r="AY99" s="42">
        <f>MIN(AY$6,AW99+AX99)</f>
        <v/>
      </c>
      <c r="AZ99" s="42">
        <f>MAX(0,MIN(AW99+AX99-AY99,AV99))</f>
        <v/>
      </c>
      <c r="BA99" s="42">
        <f>ROUND(AW99+AX99-AY99-AZ99,2)</f>
        <v/>
      </c>
      <c r="BB99">
        <f>AV99-AZ99</f>
        <v/>
      </c>
      <c r="BC99" s="42">
        <f>BG98</f>
        <v/>
      </c>
      <c r="BD99" s="42">
        <f>ROUND(BC99*BD$6/12,2)</f>
        <v/>
      </c>
      <c r="BE99" s="42">
        <f>MIN(BE$6,BC99+BD99)</f>
        <v/>
      </c>
      <c r="BF99" s="42">
        <f>MAX(0,MIN(BC99+BD99-BE99,BB99))</f>
        <v/>
      </c>
      <c r="BG99" s="42">
        <f>ROUND(BC99+BD99-BE99-BF99,2)</f>
        <v/>
      </c>
      <c r="BH99">
        <f>BB99-BF99</f>
        <v/>
      </c>
      <c r="BI99" s="42">
        <f>BM98</f>
        <v/>
      </c>
      <c r="BJ99" s="42">
        <f>ROUND(BI99*BJ$6/12,2)</f>
        <v/>
      </c>
      <c r="BK99" s="42">
        <f>MIN(BK$6,BI99+BJ99)</f>
        <v/>
      </c>
      <c r="BL99" s="42">
        <f>MAX(0,MIN(BI99+BJ99-BK99,BH99))</f>
        <v/>
      </c>
      <c r="BM99" s="42">
        <f>ROUND(BI99+BJ99-BK99-BL99,2)</f>
        <v/>
      </c>
      <c r="BN99">
        <f>BH99-BL99</f>
        <v/>
      </c>
    </row>
    <row r="100">
      <c r="A100" s="39" t="n">
        <v>93</v>
      </c>
      <c r="B100" s="40">
        <f>EDATE('My Debts'!$C$6,A100-1)</f>
        <v/>
      </c>
      <c r="C100" s="41">
        <f>K100+Q100+W100+AC100+AI100+AO100+AU100+BA100+BG100+BM100</f>
        <v/>
      </c>
      <c r="D100" s="42">
        <f>I100+O100+U100+AA100+AG100+AM100+AS100+AY100+BE100+BK100+J100+P100+V100+AB100+AH100+AN100+AT100+AZ100+BF100+BL100</f>
        <v/>
      </c>
      <c r="E100" s="42">
        <f>H100+N100+T100+Z100+AF100+AL100+AR100+AX100+BD100+BJ100</f>
        <v/>
      </c>
      <c r="F100">
        <f>MAX(0,'My Debts'!$E$21-(I100+O100+U100+AA100+AG100+AM100+AS100+AY100+BE100+BK100))</f>
        <v/>
      </c>
      <c r="G100" s="42">
        <f>K99</f>
        <v/>
      </c>
      <c r="H100" s="42">
        <f>ROUND(G100*H$6/12,2)</f>
        <v/>
      </c>
      <c r="I100" s="42">
        <f>MIN(I$6,G100+H100)</f>
        <v/>
      </c>
      <c r="J100" s="42">
        <f>MAX(0,MIN(G100+H100-I100,$F100))</f>
        <v/>
      </c>
      <c r="K100" s="42">
        <f>ROUND(G100+H100-I100-J100,2)</f>
        <v/>
      </c>
      <c r="L100">
        <f>$F100-J100</f>
        <v/>
      </c>
      <c r="M100" s="42">
        <f>Q99</f>
        <v/>
      </c>
      <c r="N100" s="42">
        <f>ROUND(M100*N$6/12,2)</f>
        <v/>
      </c>
      <c r="O100" s="42">
        <f>MIN(O$6,M100+N100)</f>
        <v/>
      </c>
      <c r="P100" s="42">
        <f>MAX(0,MIN(M100+N100-O100,L100))</f>
        <v/>
      </c>
      <c r="Q100" s="42">
        <f>ROUND(M100+N100-O100-P100,2)</f>
        <v/>
      </c>
      <c r="R100">
        <f>L100-P100</f>
        <v/>
      </c>
      <c r="S100" s="42">
        <f>W99</f>
        <v/>
      </c>
      <c r="T100" s="42">
        <f>ROUND(S100*T$6/12,2)</f>
        <v/>
      </c>
      <c r="U100" s="42">
        <f>MIN(U$6,S100+T100)</f>
        <v/>
      </c>
      <c r="V100" s="42">
        <f>MAX(0,MIN(S100+T100-U100,R100))</f>
        <v/>
      </c>
      <c r="W100" s="42">
        <f>ROUND(S100+T100-U100-V100,2)</f>
        <v/>
      </c>
      <c r="X100">
        <f>R100-V100</f>
        <v/>
      </c>
      <c r="Y100" s="42">
        <f>AC99</f>
        <v/>
      </c>
      <c r="Z100" s="42">
        <f>ROUND(Y100*Z$6/12,2)</f>
        <v/>
      </c>
      <c r="AA100" s="42">
        <f>MIN(AA$6,Y100+Z100)</f>
        <v/>
      </c>
      <c r="AB100" s="42">
        <f>MAX(0,MIN(Y100+Z100-AA100,X100))</f>
        <v/>
      </c>
      <c r="AC100" s="42">
        <f>ROUND(Y100+Z100-AA100-AB100,2)</f>
        <v/>
      </c>
      <c r="AD100">
        <f>X100-AB100</f>
        <v/>
      </c>
      <c r="AE100" s="42">
        <f>AI99</f>
        <v/>
      </c>
      <c r="AF100" s="42">
        <f>ROUND(AE100*AF$6/12,2)</f>
        <v/>
      </c>
      <c r="AG100" s="42">
        <f>MIN(AG$6,AE100+AF100)</f>
        <v/>
      </c>
      <c r="AH100" s="42">
        <f>MAX(0,MIN(AE100+AF100-AG100,AD100))</f>
        <v/>
      </c>
      <c r="AI100" s="42">
        <f>ROUND(AE100+AF100-AG100-AH100,2)</f>
        <v/>
      </c>
      <c r="AJ100">
        <f>AD100-AH100</f>
        <v/>
      </c>
      <c r="AK100" s="42">
        <f>AO99</f>
        <v/>
      </c>
      <c r="AL100" s="42">
        <f>ROUND(AK100*AL$6/12,2)</f>
        <v/>
      </c>
      <c r="AM100" s="42">
        <f>MIN(AM$6,AK100+AL100)</f>
        <v/>
      </c>
      <c r="AN100" s="42">
        <f>MAX(0,MIN(AK100+AL100-AM100,AJ100))</f>
        <v/>
      </c>
      <c r="AO100" s="42">
        <f>ROUND(AK100+AL100-AM100-AN100,2)</f>
        <v/>
      </c>
      <c r="AP100">
        <f>AJ100-AN100</f>
        <v/>
      </c>
      <c r="AQ100" s="42">
        <f>AU99</f>
        <v/>
      </c>
      <c r="AR100" s="42">
        <f>ROUND(AQ100*AR$6/12,2)</f>
        <v/>
      </c>
      <c r="AS100" s="42">
        <f>MIN(AS$6,AQ100+AR100)</f>
        <v/>
      </c>
      <c r="AT100" s="42">
        <f>MAX(0,MIN(AQ100+AR100-AS100,AP100))</f>
        <v/>
      </c>
      <c r="AU100" s="42">
        <f>ROUND(AQ100+AR100-AS100-AT100,2)</f>
        <v/>
      </c>
      <c r="AV100">
        <f>AP100-AT100</f>
        <v/>
      </c>
      <c r="AW100" s="42">
        <f>BA99</f>
        <v/>
      </c>
      <c r="AX100" s="42">
        <f>ROUND(AW100*AX$6/12,2)</f>
        <v/>
      </c>
      <c r="AY100" s="42">
        <f>MIN(AY$6,AW100+AX100)</f>
        <v/>
      </c>
      <c r="AZ100" s="42">
        <f>MAX(0,MIN(AW100+AX100-AY100,AV100))</f>
        <v/>
      </c>
      <c r="BA100" s="42">
        <f>ROUND(AW100+AX100-AY100-AZ100,2)</f>
        <v/>
      </c>
      <c r="BB100">
        <f>AV100-AZ100</f>
        <v/>
      </c>
      <c r="BC100" s="42">
        <f>BG99</f>
        <v/>
      </c>
      <c r="BD100" s="42">
        <f>ROUND(BC100*BD$6/12,2)</f>
        <v/>
      </c>
      <c r="BE100" s="42">
        <f>MIN(BE$6,BC100+BD100)</f>
        <v/>
      </c>
      <c r="BF100" s="42">
        <f>MAX(0,MIN(BC100+BD100-BE100,BB100))</f>
        <v/>
      </c>
      <c r="BG100" s="42">
        <f>ROUND(BC100+BD100-BE100-BF100,2)</f>
        <v/>
      </c>
      <c r="BH100">
        <f>BB100-BF100</f>
        <v/>
      </c>
      <c r="BI100" s="42">
        <f>BM99</f>
        <v/>
      </c>
      <c r="BJ100" s="42">
        <f>ROUND(BI100*BJ$6/12,2)</f>
        <v/>
      </c>
      <c r="BK100" s="42">
        <f>MIN(BK$6,BI100+BJ100)</f>
        <v/>
      </c>
      <c r="BL100" s="42">
        <f>MAX(0,MIN(BI100+BJ100-BK100,BH100))</f>
        <v/>
      </c>
      <c r="BM100" s="42">
        <f>ROUND(BI100+BJ100-BK100-BL100,2)</f>
        <v/>
      </c>
      <c r="BN100">
        <f>BH100-BL100</f>
        <v/>
      </c>
    </row>
    <row r="101">
      <c r="A101" s="43" t="n">
        <v>94</v>
      </c>
      <c r="B101" s="44">
        <f>EDATE('My Debts'!$C$6,A101-1)</f>
        <v/>
      </c>
      <c r="C101" s="45">
        <f>K101+Q101+W101+AC101+AI101+AO101+AU101+BA101+BG101+BM101</f>
        <v/>
      </c>
      <c r="D101" s="46">
        <f>I101+O101+U101+AA101+AG101+AM101+AS101+AY101+BE101+BK101+J101+P101+V101+AB101+AH101+AN101+AT101+AZ101+BF101+BL101</f>
        <v/>
      </c>
      <c r="E101" s="46">
        <f>H101+N101+T101+Z101+AF101+AL101+AR101+AX101+BD101+BJ101</f>
        <v/>
      </c>
      <c r="F101">
        <f>MAX(0,'My Debts'!$E$21-(I101+O101+U101+AA101+AG101+AM101+AS101+AY101+BE101+BK101))</f>
        <v/>
      </c>
      <c r="G101" s="42">
        <f>K100</f>
        <v/>
      </c>
      <c r="H101" s="42">
        <f>ROUND(G101*H$6/12,2)</f>
        <v/>
      </c>
      <c r="I101" s="42">
        <f>MIN(I$6,G101+H101)</f>
        <v/>
      </c>
      <c r="J101" s="42">
        <f>MAX(0,MIN(G101+H101-I101,$F101))</f>
        <v/>
      </c>
      <c r="K101" s="42">
        <f>ROUND(G101+H101-I101-J101,2)</f>
        <v/>
      </c>
      <c r="L101">
        <f>$F101-J101</f>
        <v/>
      </c>
      <c r="M101" s="42">
        <f>Q100</f>
        <v/>
      </c>
      <c r="N101" s="42">
        <f>ROUND(M101*N$6/12,2)</f>
        <v/>
      </c>
      <c r="O101" s="42">
        <f>MIN(O$6,M101+N101)</f>
        <v/>
      </c>
      <c r="P101" s="42">
        <f>MAX(0,MIN(M101+N101-O101,L101))</f>
        <v/>
      </c>
      <c r="Q101" s="42">
        <f>ROUND(M101+N101-O101-P101,2)</f>
        <v/>
      </c>
      <c r="R101">
        <f>L101-P101</f>
        <v/>
      </c>
      <c r="S101" s="42">
        <f>W100</f>
        <v/>
      </c>
      <c r="T101" s="42">
        <f>ROUND(S101*T$6/12,2)</f>
        <v/>
      </c>
      <c r="U101" s="42">
        <f>MIN(U$6,S101+T101)</f>
        <v/>
      </c>
      <c r="V101" s="42">
        <f>MAX(0,MIN(S101+T101-U101,R101))</f>
        <v/>
      </c>
      <c r="W101" s="42">
        <f>ROUND(S101+T101-U101-V101,2)</f>
        <v/>
      </c>
      <c r="X101">
        <f>R101-V101</f>
        <v/>
      </c>
      <c r="Y101" s="42">
        <f>AC100</f>
        <v/>
      </c>
      <c r="Z101" s="42">
        <f>ROUND(Y101*Z$6/12,2)</f>
        <v/>
      </c>
      <c r="AA101" s="42">
        <f>MIN(AA$6,Y101+Z101)</f>
        <v/>
      </c>
      <c r="AB101" s="42">
        <f>MAX(0,MIN(Y101+Z101-AA101,X101))</f>
        <v/>
      </c>
      <c r="AC101" s="42">
        <f>ROUND(Y101+Z101-AA101-AB101,2)</f>
        <v/>
      </c>
      <c r="AD101">
        <f>X101-AB101</f>
        <v/>
      </c>
      <c r="AE101" s="42">
        <f>AI100</f>
        <v/>
      </c>
      <c r="AF101" s="42">
        <f>ROUND(AE101*AF$6/12,2)</f>
        <v/>
      </c>
      <c r="AG101" s="42">
        <f>MIN(AG$6,AE101+AF101)</f>
        <v/>
      </c>
      <c r="AH101" s="42">
        <f>MAX(0,MIN(AE101+AF101-AG101,AD101))</f>
        <v/>
      </c>
      <c r="AI101" s="42">
        <f>ROUND(AE101+AF101-AG101-AH101,2)</f>
        <v/>
      </c>
      <c r="AJ101">
        <f>AD101-AH101</f>
        <v/>
      </c>
      <c r="AK101" s="42">
        <f>AO100</f>
        <v/>
      </c>
      <c r="AL101" s="42">
        <f>ROUND(AK101*AL$6/12,2)</f>
        <v/>
      </c>
      <c r="AM101" s="42">
        <f>MIN(AM$6,AK101+AL101)</f>
        <v/>
      </c>
      <c r="AN101" s="42">
        <f>MAX(0,MIN(AK101+AL101-AM101,AJ101))</f>
        <v/>
      </c>
      <c r="AO101" s="42">
        <f>ROUND(AK101+AL101-AM101-AN101,2)</f>
        <v/>
      </c>
      <c r="AP101">
        <f>AJ101-AN101</f>
        <v/>
      </c>
      <c r="AQ101" s="42">
        <f>AU100</f>
        <v/>
      </c>
      <c r="AR101" s="42">
        <f>ROUND(AQ101*AR$6/12,2)</f>
        <v/>
      </c>
      <c r="AS101" s="42">
        <f>MIN(AS$6,AQ101+AR101)</f>
        <v/>
      </c>
      <c r="AT101" s="42">
        <f>MAX(0,MIN(AQ101+AR101-AS101,AP101))</f>
        <v/>
      </c>
      <c r="AU101" s="42">
        <f>ROUND(AQ101+AR101-AS101-AT101,2)</f>
        <v/>
      </c>
      <c r="AV101">
        <f>AP101-AT101</f>
        <v/>
      </c>
      <c r="AW101" s="42">
        <f>BA100</f>
        <v/>
      </c>
      <c r="AX101" s="42">
        <f>ROUND(AW101*AX$6/12,2)</f>
        <v/>
      </c>
      <c r="AY101" s="42">
        <f>MIN(AY$6,AW101+AX101)</f>
        <v/>
      </c>
      <c r="AZ101" s="42">
        <f>MAX(0,MIN(AW101+AX101-AY101,AV101))</f>
        <v/>
      </c>
      <c r="BA101" s="42">
        <f>ROUND(AW101+AX101-AY101-AZ101,2)</f>
        <v/>
      </c>
      <c r="BB101">
        <f>AV101-AZ101</f>
        <v/>
      </c>
      <c r="BC101" s="42">
        <f>BG100</f>
        <v/>
      </c>
      <c r="BD101" s="42">
        <f>ROUND(BC101*BD$6/12,2)</f>
        <v/>
      </c>
      <c r="BE101" s="42">
        <f>MIN(BE$6,BC101+BD101)</f>
        <v/>
      </c>
      <c r="BF101" s="42">
        <f>MAX(0,MIN(BC101+BD101-BE101,BB101))</f>
        <v/>
      </c>
      <c r="BG101" s="42">
        <f>ROUND(BC101+BD101-BE101-BF101,2)</f>
        <v/>
      </c>
      <c r="BH101">
        <f>BB101-BF101</f>
        <v/>
      </c>
      <c r="BI101" s="42">
        <f>BM100</f>
        <v/>
      </c>
      <c r="BJ101" s="42">
        <f>ROUND(BI101*BJ$6/12,2)</f>
        <v/>
      </c>
      <c r="BK101" s="42">
        <f>MIN(BK$6,BI101+BJ101)</f>
        <v/>
      </c>
      <c r="BL101" s="42">
        <f>MAX(0,MIN(BI101+BJ101-BK101,BH101))</f>
        <v/>
      </c>
      <c r="BM101" s="42">
        <f>ROUND(BI101+BJ101-BK101-BL101,2)</f>
        <v/>
      </c>
      <c r="BN101">
        <f>BH101-BL101</f>
        <v/>
      </c>
    </row>
    <row r="102">
      <c r="A102" s="39" t="n">
        <v>95</v>
      </c>
      <c r="B102" s="40">
        <f>EDATE('My Debts'!$C$6,A102-1)</f>
        <v/>
      </c>
      <c r="C102" s="41">
        <f>K102+Q102+W102+AC102+AI102+AO102+AU102+BA102+BG102+BM102</f>
        <v/>
      </c>
      <c r="D102" s="42">
        <f>I102+O102+U102+AA102+AG102+AM102+AS102+AY102+BE102+BK102+J102+P102+V102+AB102+AH102+AN102+AT102+AZ102+BF102+BL102</f>
        <v/>
      </c>
      <c r="E102" s="42">
        <f>H102+N102+T102+Z102+AF102+AL102+AR102+AX102+BD102+BJ102</f>
        <v/>
      </c>
      <c r="F102">
        <f>MAX(0,'My Debts'!$E$21-(I102+O102+U102+AA102+AG102+AM102+AS102+AY102+BE102+BK102))</f>
        <v/>
      </c>
      <c r="G102" s="42">
        <f>K101</f>
        <v/>
      </c>
      <c r="H102" s="42">
        <f>ROUND(G102*H$6/12,2)</f>
        <v/>
      </c>
      <c r="I102" s="42">
        <f>MIN(I$6,G102+H102)</f>
        <v/>
      </c>
      <c r="J102" s="42">
        <f>MAX(0,MIN(G102+H102-I102,$F102))</f>
        <v/>
      </c>
      <c r="K102" s="42">
        <f>ROUND(G102+H102-I102-J102,2)</f>
        <v/>
      </c>
      <c r="L102">
        <f>$F102-J102</f>
        <v/>
      </c>
      <c r="M102" s="42">
        <f>Q101</f>
        <v/>
      </c>
      <c r="N102" s="42">
        <f>ROUND(M102*N$6/12,2)</f>
        <v/>
      </c>
      <c r="O102" s="42">
        <f>MIN(O$6,M102+N102)</f>
        <v/>
      </c>
      <c r="P102" s="42">
        <f>MAX(0,MIN(M102+N102-O102,L102))</f>
        <v/>
      </c>
      <c r="Q102" s="42">
        <f>ROUND(M102+N102-O102-P102,2)</f>
        <v/>
      </c>
      <c r="R102">
        <f>L102-P102</f>
        <v/>
      </c>
      <c r="S102" s="42">
        <f>W101</f>
        <v/>
      </c>
      <c r="T102" s="42">
        <f>ROUND(S102*T$6/12,2)</f>
        <v/>
      </c>
      <c r="U102" s="42">
        <f>MIN(U$6,S102+T102)</f>
        <v/>
      </c>
      <c r="V102" s="42">
        <f>MAX(0,MIN(S102+T102-U102,R102))</f>
        <v/>
      </c>
      <c r="W102" s="42">
        <f>ROUND(S102+T102-U102-V102,2)</f>
        <v/>
      </c>
      <c r="X102">
        <f>R102-V102</f>
        <v/>
      </c>
      <c r="Y102" s="42">
        <f>AC101</f>
        <v/>
      </c>
      <c r="Z102" s="42">
        <f>ROUND(Y102*Z$6/12,2)</f>
        <v/>
      </c>
      <c r="AA102" s="42">
        <f>MIN(AA$6,Y102+Z102)</f>
        <v/>
      </c>
      <c r="AB102" s="42">
        <f>MAX(0,MIN(Y102+Z102-AA102,X102))</f>
        <v/>
      </c>
      <c r="AC102" s="42">
        <f>ROUND(Y102+Z102-AA102-AB102,2)</f>
        <v/>
      </c>
      <c r="AD102">
        <f>X102-AB102</f>
        <v/>
      </c>
      <c r="AE102" s="42">
        <f>AI101</f>
        <v/>
      </c>
      <c r="AF102" s="42">
        <f>ROUND(AE102*AF$6/12,2)</f>
        <v/>
      </c>
      <c r="AG102" s="42">
        <f>MIN(AG$6,AE102+AF102)</f>
        <v/>
      </c>
      <c r="AH102" s="42">
        <f>MAX(0,MIN(AE102+AF102-AG102,AD102))</f>
        <v/>
      </c>
      <c r="AI102" s="42">
        <f>ROUND(AE102+AF102-AG102-AH102,2)</f>
        <v/>
      </c>
      <c r="AJ102">
        <f>AD102-AH102</f>
        <v/>
      </c>
      <c r="AK102" s="42">
        <f>AO101</f>
        <v/>
      </c>
      <c r="AL102" s="42">
        <f>ROUND(AK102*AL$6/12,2)</f>
        <v/>
      </c>
      <c r="AM102" s="42">
        <f>MIN(AM$6,AK102+AL102)</f>
        <v/>
      </c>
      <c r="AN102" s="42">
        <f>MAX(0,MIN(AK102+AL102-AM102,AJ102))</f>
        <v/>
      </c>
      <c r="AO102" s="42">
        <f>ROUND(AK102+AL102-AM102-AN102,2)</f>
        <v/>
      </c>
      <c r="AP102">
        <f>AJ102-AN102</f>
        <v/>
      </c>
      <c r="AQ102" s="42">
        <f>AU101</f>
        <v/>
      </c>
      <c r="AR102" s="42">
        <f>ROUND(AQ102*AR$6/12,2)</f>
        <v/>
      </c>
      <c r="AS102" s="42">
        <f>MIN(AS$6,AQ102+AR102)</f>
        <v/>
      </c>
      <c r="AT102" s="42">
        <f>MAX(0,MIN(AQ102+AR102-AS102,AP102))</f>
        <v/>
      </c>
      <c r="AU102" s="42">
        <f>ROUND(AQ102+AR102-AS102-AT102,2)</f>
        <v/>
      </c>
      <c r="AV102">
        <f>AP102-AT102</f>
        <v/>
      </c>
      <c r="AW102" s="42">
        <f>BA101</f>
        <v/>
      </c>
      <c r="AX102" s="42">
        <f>ROUND(AW102*AX$6/12,2)</f>
        <v/>
      </c>
      <c r="AY102" s="42">
        <f>MIN(AY$6,AW102+AX102)</f>
        <v/>
      </c>
      <c r="AZ102" s="42">
        <f>MAX(0,MIN(AW102+AX102-AY102,AV102))</f>
        <v/>
      </c>
      <c r="BA102" s="42">
        <f>ROUND(AW102+AX102-AY102-AZ102,2)</f>
        <v/>
      </c>
      <c r="BB102">
        <f>AV102-AZ102</f>
        <v/>
      </c>
      <c r="BC102" s="42">
        <f>BG101</f>
        <v/>
      </c>
      <c r="BD102" s="42">
        <f>ROUND(BC102*BD$6/12,2)</f>
        <v/>
      </c>
      <c r="BE102" s="42">
        <f>MIN(BE$6,BC102+BD102)</f>
        <v/>
      </c>
      <c r="BF102" s="42">
        <f>MAX(0,MIN(BC102+BD102-BE102,BB102))</f>
        <v/>
      </c>
      <c r="BG102" s="42">
        <f>ROUND(BC102+BD102-BE102-BF102,2)</f>
        <v/>
      </c>
      <c r="BH102">
        <f>BB102-BF102</f>
        <v/>
      </c>
      <c r="BI102" s="42">
        <f>BM101</f>
        <v/>
      </c>
      <c r="BJ102" s="42">
        <f>ROUND(BI102*BJ$6/12,2)</f>
        <v/>
      </c>
      <c r="BK102" s="42">
        <f>MIN(BK$6,BI102+BJ102)</f>
        <v/>
      </c>
      <c r="BL102" s="42">
        <f>MAX(0,MIN(BI102+BJ102-BK102,BH102))</f>
        <v/>
      </c>
      <c r="BM102" s="42">
        <f>ROUND(BI102+BJ102-BK102-BL102,2)</f>
        <v/>
      </c>
      <c r="BN102">
        <f>BH102-BL102</f>
        <v/>
      </c>
    </row>
    <row r="103">
      <c r="A103" s="43" t="n">
        <v>96</v>
      </c>
      <c r="B103" s="44">
        <f>EDATE('My Debts'!$C$6,A103-1)</f>
        <v/>
      </c>
      <c r="C103" s="45">
        <f>K103+Q103+W103+AC103+AI103+AO103+AU103+BA103+BG103+BM103</f>
        <v/>
      </c>
      <c r="D103" s="46">
        <f>I103+O103+U103+AA103+AG103+AM103+AS103+AY103+BE103+BK103+J103+P103+V103+AB103+AH103+AN103+AT103+AZ103+BF103+BL103</f>
        <v/>
      </c>
      <c r="E103" s="46">
        <f>H103+N103+T103+Z103+AF103+AL103+AR103+AX103+BD103+BJ103</f>
        <v/>
      </c>
      <c r="F103">
        <f>MAX(0,'My Debts'!$E$21-(I103+O103+U103+AA103+AG103+AM103+AS103+AY103+BE103+BK103))</f>
        <v/>
      </c>
      <c r="G103" s="42">
        <f>K102</f>
        <v/>
      </c>
      <c r="H103" s="42">
        <f>ROUND(G103*H$6/12,2)</f>
        <v/>
      </c>
      <c r="I103" s="42">
        <f>MIN(I$6,G103+H103)</f>
        <v/>
      </c>
      <c r="J103" s="42">
        <f>MAX(0,MIN(G103+H103-I103,$F103))</f>
        <v/>
      </c>
      <c r="K103" s="42">
        <f>ROUND(G103+H103-I103-J103,2)</f>
        <v/>
      </c>
      <c r="L103">
        <f>$F103-J103</f>
        <v/>
      </c>
      <c r="M103" s="42">
        <f>Q102</f>
        <v/>
      </c>
      <c r="N103" s="42">
        <f>ROUND(M103*N$6/12,2)</f>
        <v/>
      </c>
      <c r="O103" s="42">
        <f>MIN(O$6,M103+N103)</f>
        <v/>
      </c>
      <c r="P103" s="42">
        <f>MAX(0,MIN(M103+N103-O103,L103))</f>
        <v/>
      </c>
      <c r="Q103" s="42">
        <f>ROUND(M103+N103-O103-P103,2)</f>
        <v/>
      </c>
      <c r="R103">
        <f>L103-P103</f>
        <v/>
      </c>
      <c r="S103" s="42">
        <f>W102</f>
        <v/>
      </c>
      <c r="T103" s="42">
        <f>ROUND(S103*T$6/12,2)</f>
        <v/>
      </c>
      <c r="U103" s="42">
        <f>MIN(U$6,S103+T103)</f>
        <v/>
      </c>
      <c r="V103" s="42">
        <f>MAX(0,MIN(S103+T103-U103,R103))</f>
        <v/>
      </c>
      <c r="W103" s="42">
        <f>ROUND(S103+T103-U103-V103,2)</f>
        <v/>
      </c>
      <c r="X103">
        <f>R103-V103</f>
        <v/>
      </c>
      <c r="Y103" s="42">
        <f>AC102</f>
        <v/>
      </c>
      <c r="Z103" s="42">
        <f>ROUND(Y103*Z$6/12,2)</f>
        <v/>
      </c>
      <c r="AA103" s="42">
        <f>MIN(AA$6,Y103+Z103)</f>
        <v/>
      </c>
      <c r="AB103" s="42">
        <f>MAX(0,MIN(Y103+Z103-AA103,X103))</f>
        <v/>
      </c>
      <c r="AC103" s="42">
        <f>ROUND(Y103+Z103-AA103-AB103,2)</f>
        <v/>
      </c>
      <c r="AD103">
        <f>X103-AB103</f>
        <v/>
      </c>
      <c r="AE103" s="42">
        <f>AI102</f>
        <v/>
      </c>
      <c r="AF103" s="42">
        <f>ROUND(AE103*AF$6/12,2)</f>
        <v/>
      </c>
      <c r="AG103" s="42">
        <f>MIN(AG$6,AE103+AF103)</f>
        <v/>
      </c>
      <c r="AH103" s="42">
        <f>MAX(0,MIN(AE103+AF103-AG103,AD103))</f>
        <v/>
      </c>
      <c r="AI103" s="42">
        <f>ROUND(AE103+AF103-AG103-AH103,2)</f>
        <v/>
      </c>
      <c r="AJ103">
        <f>AD103-AH103</f>
        <v/>
      </c>
      <c r="AK103" s="42">
        <f>AO102</f>
        <v/>
      </c>
      <c r="AL103" s="42">
        <f>ROUND(AK103*AL$6/12,2)</f>
        <v/>
      </c>
      <c r="AM103" s="42">
        <f>MIN(AM$6,AK103+AL103)</f>
        <v/>
      </c>
      <c r="AN103" s="42">
        <f>MAX(0,MIN(AK103+AL103-AM103,AJ103))</f>
        <v/>
      </c>
      <c r="AO103" s="42">
        <f>ROUND(AK103+AL103-AM103-AN103,2)</f>
        <v/>
      </c>
      <c r="AP103">
        <f>AJ103-AN103</f>
        <v/>
      </c>
      <c r="AQ103" s="42">
        <f>AU102</f>
        <v/>
      </c>
      <c r="AR103" s="42">
        <f>ROUND(AQ103*AR$6/12,2)</f>
        <v/>
      </c>
      <c r="AS103" s="42">
        <f>MIN(AS$6,AQ103+AR103)</f>
        <v/>
      </c>
      <c r="AT103" s="42">
        <f>MAX(0,MIN(AQ103+AR103-AS103,AP103))</f>
        <v/>
      </c>
      <c r="AU103" s="42">
        <f>ROUND(AQ103+AR103-AS103-AT103,2)</f>
        <v/>
      </c>
      <c r="AV103">
        <f>AP103-AT103</f>
        <v/>
      </c>
      <c r="AW103" s="42">
        <f>BA102</f>
        <v/>
      </c>
      <c r="AX103" s="42">
        <f>ROUND(AW103*AX$6/12,2)</f>
        <v/>
      </c>
      <c r="AY103" s="42">
        <f>MIN(AY$6,AW103+AX103)</f>
        <v/>
      </c>
      <c r="AZ103" s="42">
        <f>MAX(0,MIN(AW103+AX103-AY103,AV103))</f>
        <v/>
      </c>
      <c r="BA103" s="42">
        <f>ROUND(AW103+AX103-AY103-AZ103,2)</f>
        <v/>
      </c>
      <c r="BB103">
        <f>AV103-AZ103</f>
        <v/>
      </c>
      <c r="BC103" s="42">
        <f>BG102</f>
        <v/>
      </c>
      <c r="BD103" s="42">
        <f>ROUND(BC103*BD$6/12,2)</f>
        <v/>
      </c>
      <c r="BE103" s="42">
        <f>MIN(BE$6,BC103+BD103)</f>
        <v/>
      </c>
      <c r="BF103" s="42">
        <f>MAX(0,MIN(BC103+BD103-BE103,BB103))</f>
        <v/>
      </c>
      <c r="BG103" s="42">
        <f>ROUND(BC103+BD103-BE103-BF103,2)</f>
        <v/>
      </c>
      <c r="BH103">
        <f>BB103-BF103</f>
        <v/>
      </c>
      <c r="BI103" s="42">
        <f>BM102</f>
        <v/>
      </c>
      <c r="BJ103" s="42">
        <f>ROUND(BI103*BJ$6/12,2)</f>
        <v/>
      </c>
      <c r="BK103" s="42">
        <f>MIN(BK$6,BI103+BJ103)</f>
        <v/>
      </c>
      <c r="BL103" s="42">
        <f>MAX(0,MIN(BI103+BJ103-BK103,BH103))</f>
        <v/>
      </c>
      <c r="BM103" s="42">
        <f>ROUND(BI103+BJ103-BK103-BL103,2)</f>
        <v/>
      </c>
      <c r="BN103">
        <f>BH103-BL103</f>
        <v/>
      </c>
    </row>
    <row r="104">
      <c r="A104" s="39" t="n">
        <v>97</v>
      </c>
      <c r="B104" s="40">
        <f>EDATE('My Debts'!$C$6,A104-1)</f>
        <v/>
      </c>
      <c r="C104" s="41">
        <f>K104+Q104+W104+AC104+AI104+AO104+AU104+BA104+BG104+BM104</f>
        <v/>
      </c>
      <c r="D104" s="42">
        <f>I104+O104+U104+AA104+AG104+AM104+AS104+AY104+BE104+BK104+J104+P104+V104+AB104+AH104+AN104+AT104+AZ104+BF104+BL104</f>
        <v/>
      </c>
      <c r="E104" s="42">
        <f>H104+N104+T104+Z104+AF104+AL104+AR104+AX104+BD104+BJ104</f>
        <v/>
      </c>
      <c r="F104">
        <f>MAX(0,'My Debts'!$E$21-(I104+O104+U104+AA104+AG104+AM104+AS104+AY104+BE104+BK104))</f>
        <v/>
      </c>
      <c r="G104" s="42">
        <f>K103</f>
        <v/>
      </c>
      <c r="H104" s="42">
        <f>ROUND(G104*H$6/12,2)</f>
        <v/>
      </c>
      <c r="I104" s="42">
        <f>MIN(I$6,G104+H104)</f>
        <v/>
      </c>
      <c r="J104" s="42">
        <f>MAX(0,MIN(G104+H104-I104,$F104))</f>
        <v/>
      </c>
      <c r="K104" s="42">
        <f>ROUND(G104+H104-I104-J104,2)</f>
        <v/>
      </c>
      <c r="L104">
        <f>$F104-J104</f>
        <v/>
      </c>
      <c r="M104" s="42">
        <f>Q103</f>
        <v/>
      </c>
      <c r="N104" s="42">
        <f>ROUND(M104*N$6/12,2)</f>
        <v/>
      </c>
      <c r="O104" s="42">
        <f>MIN(O$6,M104+N104)</f>
        <v/>
      </c>
      <c r="P104" s="42">
        <f>MAX(0,MIN(M104+N104-O104,L104))</f>
        <v/>
      </c>
      <c r="Q104" s="42">
        <f>ROUND(M104+N104-O104-P104,2)</f>
        <v/>
      </c>
      <c r="R104">
        <f>L104-P104</f>
        <v/>
      </c>
      <c r="S104" s="42">
        <f>W103</f>
        <v/>
      </c>
      <c r="T104" s="42">
        <f>ROUND(S104*T$6/12,2)</f>
        <v/>
      </c>
      <c r="U104" s="42">
        <f>MIN(U$6,S104+T104)</f>
        <v/>
      </c>
      <c r="V104" s="42">
        <f>MAX(0,MIN(S104+T104-U104,R104))</f>
        <v/>
      </c>
      <c r="W104" s="42">
        <f>ROUND(S104+T104-U104-V104,2)</f>
        <v/>
      </c>
      <c r="X104">
        <f>R104-V104</f>
        <v/>
      </c>
      <c r="Y104" s="42">
        <f>AC103</f>
        <v/>
      </c>
      <c r="Z104" s="42">
        <f>ROUND(Y104*Z$6/12,2)</f>
        <v/>
      </c>
      <c r="AA104" s="42">
        <f>MIN(AA$6,Y104+Z104)</f>
        <v/>
      </c>
      <c r="AB104" s="42">
        <f>MAX(0,MIN(Y104+Z104-AA104,X104))</f>
        <v/>
      </c>
      <c r="AC104" s="42">
        <f>ROUND(Y104+Z104-AA104-AB104,2)</f>
        <v/>
      </c>
      <c r="AD104">
        <f>X104-AB104</f>
        <v/>
      </c>
      <c r="AE104" s="42">
        <f>AI103</f>
        <v/>
      </c>
      <c r="AF104" s="42">
        <f>ROUND(AE104*AF$6/12,2)</f>
        <v/>
      </c>
      <c r="AG104" s="42">
        <f>MIN(AG$6,AE104+AF104)</f>
        <v/>
      </c>
      <c r="AH104" s="42">
        <f>MAX(0,MIN(AE104+AF104-AG104,AD104))</f>
        <v/>
      </c>
      <c r="AI104" s="42">
        <f>ROUND(AE104+AF104-AG104-AH104,2)</f>
        <v/>
      </c>
      <c r="AJ104">
        <f>AD104-AH104</f>
        <v/>
      </c>
      <c r="AK104" s="42">
        <f>AO103</f>
        <v/>
      </c>
      <c r="AL104" s="42">
        <f>ROUND(AK104*AL$6/12,2)</f>
        <v/>
      </c>
      <c r="AM104" s="42">
        <f>MIN(AM$6,AK104+AL104)</f>
        <v/>
      </c>
      <c r="AN104" s="42">
        <f>MAX(0,MIN(AK104+AL104-AM104,AJ104))</f>
        <v/>
      </c>
      <c r="AO104" s="42">
        <f>ROUND(AK104+AL104-AM104-AN104,2)</f>
        <v/>
      </c>
      <c r="AP104">
        <f>AJ104-AN104</f>
        <v/>
      </c>
      <c r="AQ104" s="42">
        <f>AU103</f>
        <v/>
      </c>
      <c r="AR104" s="42">
        <f>ROUND(AQ104*AR$6/12,2)</f>
        <v/>
      </c>
      <c r="AS104" s="42">
        <f>MIN(AS$6,AQ104+AR104)</f>
        <v/>
      </c>
      <c r="AT104" s="42">
        <f>MAX(0,MIN(AQ104+AR104-AS104,AP104))</f>
        <v/>
      </c>
      <c r="AU104" s="42">
        <f>ROUND(AQ104+AR104-AS104-AT104,2)</f>
        <v/>
      </c>
      <c r="AV104">
        <f>AP104-AT104</f>
        <v/>
      </c>
      <c r="AW104" s="42">
        <f>BA103</f>
        <v/>
      </c>
      <c r="AX104" s="42">
        <f>ROUND(AW104*AX$6/12,2)</f>
        <v/>
      </c>
      <c r="AY104" s="42">
        <f>MIN(AY$6,AW104+AX104)</f>
        <v/>
      </c>
      <c r="AZ104" s="42">
        <f>MAX(0,MIN(AW104+AX104-AY104,AV104))</f>
        <v/>
      </c>
      <c r="BA104" s="42">
        <f>ROUND(AW104+AX104-AY104-AZ104,2)</f>
        <v/>
      </c>
      <c r="BB104">
        <f>AV104-AZ104</f>
        <v/>
      </c>
      <c r="BC104" s="42">
        <f>BG103</f>
        <v/>
      </c>
      <c r="BD104" s="42">
        <f>ROUND(BC104*BD$6/12,2)</f>
        <v/>
      </c>
      <c r="BE104" s="42">
        <f>MIN(BE$6,BC104+BD104)</f>
        <v/>
      </c>
      <c r="BF104" s="42">
        <f>MAX(0,MIN(BC104+BD104-BE104,BB104))</f>
        <v/>
      </c>
      <c r="BG104" s="42">
        <f>ROUND(BC104+BD104-BE104-BF104,2)</f>
        <v/>
      </c>
      <c r="BH104">
        <f>BB104-BF104</f>
        <v/>
      </c>
      <c r="BI104" s="42">
        <f>BM103</f>
        <v/>
      </c>
      <c r="BJ104" s="42">
        <f>ROUND(BI104*BJ$6/12,2)</f>
        <v/>
      </c>
      <c r="BK104" s="42">
        <f>MIN(BK$6,BI104+BJ104)</f>
        <v/>
      </c>
      <c r="BL104" s="42">
        <f>MAX(0,MIN(BI104+BJ104-BK104,BH104))</f>
        <v/>
      </c>
      <c r="BM104" s="42">
        <f>ROUND(BI104+BJ104-BK104-BL104,2)</f>
        <v/>
      </c>
      <c r="BN104">
        <f>BH104-BL104</f>
        <v/>
      </c>
    </row>
    <row r="105">
      <c r="A105" s="43" t="n">
        <v>98</v>
      </c>
      <c r="B105" s="44">
        <f>EDATE('My Debts'!$C$6,A105-1)</f>
        <v/>
      </c>
      <c r="C105" s="45">
        <f>K105+Q105+W105+AC105+AI105+AO105+AU105+BA105+BG105+BM105</f>
        <v/>
      </c>
      <c r="D105" s="46">
        <f>I105+O105+U105+AA105+AG105+AM105+AS105+AY105+BE105+BK105+J105+P105+V105+AB105+AH105+AN105+AT105+AZ105+BF105+BL105</f>
        <v/>
      </c>
      <c r="E105" s="46">
        <f>H105+N105+T105+Z105+AF105+AL105+AR105+AX105+BD105+BJ105</f>
        <v/>
      </c>
      <c r="F105">
        <f>MAX(0,'My Debts'!$E$21-(I105+O105+U105+AA105+AG105+AM105+AS105+AY105+BE105+BK105))</f>
        <v/>
      </c>
      <c r="G105" s="42">
        <f>K104</f>
        <v/>
      </c>
      <c r="H105" s="42">
        <f>ROUND(G105*H$6/12,2)</f>
        <v/>
      </c>
      <c r="I105" s="42">
        <f>MIN(I$6,G105+H105)</f>
        <v/>
      </c>
      <c r="J105" s="42">
        <f>MAX(0,MIN(G105+H105-I105,$F105))</f>
        <v/>
      </c>
      <c r="K105" s="42">
        <f>ROUND(G105+H105-I105-J105,2)</f>
        <v/>
      </c>
      <c r="L105">
        <f>$F105-J105</f>
        <v/>
      </c>
      <c r="M105" s="42">
        <f>Q104</f>
        <v/>
      </c>
      <c r="N105" s="42">
        <f>ROUND(M105*N$6/12,2)</f>
        <v/>
      </c>
      <c r="O105" s="42">
        <f>MIN(O$6,M105+N105)</f>
        <v/>
      </c>
      <c r="P105" s="42">
        <f>MAX(0,MIN(M105+N105-O105,L105))</f>
        <v/>
      </c>
      <c r="Q105" s="42">
        <f>ROUND(M105+N105-O105-P105,2)</f>
        <v/>
      </c>
      <c r="R105">
        <f>L105-P105</f>
        <v/>
      </c>
      <c r="S105" s="42">
        <f>W104</f>
        <v/>
      </c>
      <c r="T105" s="42">
        <f>ROUND(S105*T$6/12,2)</f>
        <v/>
      </c>
      <c r="U105" s="42">
        <f>MIN(U$6,S105+T105)</f>
        <v/>
      </c>
      <c r="V105" s="42">
        <f>MAX(0,MIN(S105+T105-U105,R105))</f>
        <v/>
      </c>
      <c r="W105" s="42">
        <f>ROUND(S105+T105-U105-V105,2)</f>
        <v/>
      </c>
      <c r="X105">
        <f>R105-V105</f>
        <v/>
      </c>
      <c r="Y105" s="42">
        <f>AC104</f>
        <v/>
      </c>
      <c r="Z105" s="42">
        <f>ROUND(Y105*Z$6/12,2)</f>
        <v/>
      </c>
      <c r="AA105" s="42">
        <f>MIN(AA$6,Y105+Z105)</f>
        <v/>
      </c>
      <c r="AB105" s="42">
        <f>MAX(0,MIN(Y105+Z105-AA105,X105))</f>
        <v/>
      </c>
      <c r="AC105" s="42">
        <f>ROUND(Y105+Z105-AA105-AB105,2)</f>
        <v/>
      </c>
      <c r="AD105">
        <f>X105-AB105</f>
        <v/>
      </c>
      <c r="AE105" s="42">
        <f>AI104</f>
        <v/>
      </c>
      <c r="AF105" s="42">
        <f>ROUND(AE105*AF$6/12,2)</f>
        <v/>
      </c>
      <c r="AG105" s="42">
        <f>MIN(AG$6,AE105+AF105)</f>
        <v/>
      </c>
      <c r="AH105" s="42">
        <f>MAX(0,MIN(AE105+AF105-AG105,AD105))</f>
        <v/>
      </c>
      <c r="AI105" s="42">
        <f>ROUND(AE105+AF105-AG105-AH105,2)</f>
        <v/>
      </c>
      <c r="AJ105">
        <f>AD105-AH105</f>
        <v/>
      </c>
      <c r="AK105" s="42">
        <f>AO104</f>
        <v/>
      </c>
      <c r="AL105" s="42">
        <f>ROUND(AK105*AL$6/12,2)</f>
        <v/>
      </c>
      <c r="AM105" s="42">
        <f>MIN(AM$6,AK105+AL105)</f>
        <v/>
      </c>
      <c r="AN105" s="42">
        <f>MAX(0,MIN(AK105+AL105-AM105,AJ105))</f>
        <v/>
      </c>
      <c r="AO105" s="42">
        <f>ROUND(AK105+AL105-AM105-AN105,2)</f>
        <v/>
      </c>
      <c r="AP105">
        <f>AJ105-AN105</f>
        <v/>
      </c>
      <c r="AQ105" s="42">
        <f>AU104</f>
        <v/>
      </c>
      <c r="AR105" s="42">
        <f>ROUND(AQ105*AR$6/12,2)</f>
        <v/>
      </c>
      <c r="AS105" s="42">
        <f>MIN(AS$6,AQ105+AR105)</f>
        <v/>
      </c>
      <c r="AT105" s="42">
        <f>MAX(0,MIN(AQ105+AR105-AS105,AP105))</f>
        <v/>
      </c>
      <c r="AU105" s="42">
        <f>ROUND(AQ105+AR105-AS105-AT105,2)</f>
        <v/>
      </c>
      <c r="AV105">
        <f>AP105-AT105</f>
        <v/>
      </c>
      <c r="AW105" s="42">
        <f>BA104</f>
        <v/>
      </c>
      <c r="AX105" s="42">
        <f>ROUND(AW105*AX$6/12,2)</f>
        <v/>
      </c>
      <c r="AY105" s="42">
        <f>MIN(AY$6,AW105+AX105)</f>
        <v/>
      </c>
      <c r="AZ105" s="42">
        <f>MAX(0,MIN(AW105+AX105-AY105,AV105))</f>
        <v/>
      </c>
      <c r="BA105" s="42">
        <f>ROUND(AW105+AX105-AY105-AZ105,2)</f>
        <v/>
      </c>
      <c r="BB105">
        <f>AV105-AZ105</f>
        <v/>
      </c>
      <c r="BC105" s="42">
        <f>BG104</f>
        <v/>
      </c>
      <c r="BD105" s="42">
        <f>ROUND(BC105*BD$6/12,2)</f>
        <v/>
      </c>
      <c r="BE105" s="42">
        <f>MIN(BE$6,BC105+BD105)</f>
        <v/>
      </c>
      <c r="BF105" s="42">
        <f>MAX(0,MIN(BC105+BD105-BE105,BB105))</f>
        <v/>
      </c>
      <c r="BG105" s="42">
        <f>ROUND(BC105+BD105-BE105-BF105,2)</f>
        <v/>
      </c>
      <c r="BH105">
        <f>BB105-BF105</f>
        <v/>
      </c>
      <c r="BI105" s="42">
        <f>BM104</f>
        <v/>
      </c>
      <c r="BJ105" s="42">
        <f>ROUND(BI105*BJ$6/12,2)</f>
        <v/>
      </c>
      <c r="BK105" s="42">
        <f>MIN(BK$6,BI105+BJ105)</f>
        <v/>
      </c>
      <c r="BL105" s="42">
        <f>MAX(0,MIN(BI105+BJ105-BK105,BH105))</f>
        <v/>
      </c>
      <c r="BM105" s="42">
        <f>ROUND(BI105+BJ105-BK105-BL105,2)</f>
        <v/>
      </c>
      <c r="BN105">
        <f>BH105-BL105</f>
        <v/>
      </c>
    </row>
    <row r="106">
      <c r="A106" s="39" t="n">
        <v>99</v>
      </c>
      <c r="B106" s="40">
        <f>EDATE('My Debts'!$C$6,A106-1)</f>
        <v/>
      </c>
      <c r="C106" s="41">
        <f>K106+Q106+W106+AC106+AI106+AO106+AU106+BA106+BG106+BM106</f>
        <v/>
      </c>
      <c r="D106" s="42">
        <f>I106+O106+U106+AA106+AG106+AM106+AS106+AY106+BE106+BK106+J106+P106+V106+AB106+AH106+AN106+AT106+AZ106+BF106+BL106</f>
        <v/>
      </c>
      <c r="E106" s="42">
        <f>H106+N106+T106+Z106+AF106+AL106+AR106+AX106+BD106+BJ106</f>
        <v/>
      </c>
      <c r="F106">
        <f>MAX(0,'My Debts'!$E$21-(I106+O106+U106+AA106+AG106+AM106+AS106+AY106+BE106+BK106))</f>
        <v/>
      </c>
      <c r="G106" s="42">
        <f>K105</f>
        <v/>
      </c>
      <c r="H106" s="42">
        <f>ROUND(G106*H$6/12,2)</f>
        <v/>
      </c>
      <c r="I106" s="42">
        <f>MIN(I$6,G106+H106)</f>
        <v/>
      </c>
      <c r="J106" s="42">
        <f>MAX(0,MIN(G106+H106-I106,$F106))</f>
        <v/>
      </c>
      <c r="K106" s="42">
        <f>ROUND(G106+H106-I106-J106,2)</f>
        <v/>
      </c>
      <c r="L106">
        <f>$F106-J106</f>
        <v/>
      </c>
      <c r="M106" s="42">
        <f>Q105</f>
        <v/>
      </c>
      <c r="N106" s="42">
        <f>ROUND(M106*N$6/12,2)</f>
        <v/>
      </c>
      <c r="O106" s="42">
        <f>MIN(O$6,M106+N106)</f>
        <v/>
      </c>
      <c r="P106" s="42">
        <f>MAX(0,MIN(M106+N106-O106,L106))</f>
        <v/>
      </c>
      <c r="Q106" s="42">
        <f>ROUND(M106+N106-O106-P106,2)</f>
        <v/>
      </c>
      <c r="R106">
        <f>L106-P106</f>
        <v/>
      </c>
      <c r="S106" s="42">
        <f>W105</f>
        <v/>
      </c>
      <c r="T106" s="42">
        <f>ROUND(S106*T$6/12,2)</f>
        <v/>
      </c>
      <c r="U106" s="42">
        <f>MIN(U$6,S106+T106)</f>
        <v/>
      </c>
      <c r="V106" s="42">
        <f>MAX(0,MIN(S106+T106-U106,R106))</f>
        <v/>
      </c>
      <c r="W106" s="42">
        <f>ROUND(S106+T106-U106-V106,2)</f>
        <v/>
      </c>
      <c r="X106">
        <f>R106-V106</f>
        <v/>
      </c>
      <c r="Y106" s="42">
        <f>AC105</f>
        <v/>
      </c>
      <c r="Z106" s="42">
        <f>ROUND(Y106*Z$6/12,2)</f>
        <v/>
      </c>
      <c r="AA106" s="42">
        <f>MIN(AA$6,Y106+Z106)</f>
        <v/>
      </c>
      <c r="AB106" s="42">
        <f>MAX(0,MIN(Y106+Z106-AA106,X106))</f>
        <v/>
      </c>
      <c r="AC106" s="42">
        <f>ROUND(Y106+Z106-AA106-AB106,2)</f>
        <v/>
      </c>
      <c r="AD106">
        <f>X106-AB106</f>
        <v/>
      </c>
      <c r="AE106" s="42">
        <f>AI105</f>
        <v/>
      </c>
      <c r="AF106" s="42">
        <f>ROUND(AE106*AF$6/12,2)</f>
        <v/>
      </c>
      <c r="AG106" s="42">
        <f>MIN(AG$6,AE106+AF106)</f>
        <v/>
      </c>
      <c r="AH106" s="42">
        <f>MAX(0,MIN(AE106+AF106-AG106,AD106))</f>
        <v/>
      </c>
      <c r="AI106" s="42">
        <f>ROUND(AE106+AF106-AG106-AH106,2)</f>
        <v/>
      </c>
      <c r="AJ106">
        <f>AD106-AH106</f>
        <v/>
      </c>
      <c r="AK106" s="42">
        <f>AO105</f>
        <v/>
      </c>
      <c r="AL106" s="42">
        <f>ROUND(AK106*AL$6/12,2)</f>
        <v/>
      </c>
      <c r="AM106" s="42">
        <f>MIN(AM$6,AK106+AL106)</f>
        <v/>
      </c>
      <c r="AN106" s="42">
        <f>MAX(0,MIN(AK106+AL106-AM106,AJ106))</f>
        <v/>
      </c>
      <c r="AO106" s="42">
        <f>ROUND(AK106+AL106-AM106-AN106,2)</f>
        <v/>
      </c>
      <c r="AP106">
        <f>AJ106-AN106</f>
        <v/>
      </c>
      <c r="AQ106" s="42">
        <f>AU105</f>
        <v/>
      </c>
      <c r="AR106" s="42">
        <f>ROUND(AQ106*AR$6/12,2)</f>
        <v/>
      </c>
      <c r="AS106" s="42">
        <f>MIN(AS$6,AQ106+AR106)</f>
        <v/>
      </c>
      <c r="AT106" s="42">
        <f>MAX(0,MIN(AQ106+AR106-AS106,AP106))</f>
        <v/>
      </c>
      <c r="AU106" s="42">
        <f>ROUND(AQ106+AR106-AS106-AT106,2)</f>
        <v/>
      </c>
      <c r="AV106">
        <f>AP106-AT106</f>
        <v/>
      </c>
      <c r="AW106" s="42">
        <f>BA105</f>
        <v/>
      </c>
      <c r="AX106" s="42">
        <f>ROUND(AW106*AX$6/12,2)</f>
        <v/>
      </c>
      <c r="AY106" s="42">
        <f>MIN(AY$6,AW106+AX106)</f>
        <v/>
      </c>
      <c r="AZ106" s="42">
        <f>MAX(0,MIN(AW106+AX106-AY106,AV106))</f>
        <v/>
      </c>
      <c r="BA106" s="42">
        <f>ROUND(AW106+AX106-AY106-AZ106,2)</f>
        <v/>
      </c>
      <c r="BB106">
        <f>AV106-AZ106</f>
        <v/>
      </c>
      <c r="BC106" s="42">
        <f>BG105</f>
        <v/>
      </c>
      <c r="BD106" s="42">
        <f>ROUND(BC106*BD$6/12,2)</f>
        <v/>
      </c>
      <c r="BE106" s="42">
        <f>MIN(BE$6,BC106+BD106)</f>
        <v/>
      </c>
      <c r="BF106" s="42">
        <f>MAX(0,MIN(BC106+BD106-BE106,BB106))</f>
        <v/>
      </c>
      <c r="BG106" s="42">
        <f>ROUND(BC106+BD106-BE106-BF106,2)</f>
        <v/>
      </c>
      <c r="BH106">
        <f>BB106-BF106</f>
        <v/>
      </c>
      <c r="BI106" s="42">
        <f>BM105</f>
        <v/>
      </c>
      <c r="BJ106" s="42">
        <f>ROUND(BI106*BJ$6/12,2)</f>
        <v/>
      </c>
      <c r="BK106" s="42">
        <f>MIN(BK$6,BI106+BJ106)</f>
        <v/>
      </c>
      <c r="BL106" s="42">
        <f>MAX(0,MIN(BI106+BJ106-BK106,BH106))</f>
        <v/>
      </c>
      <c r="BM106" s="42">
        <f>ROUND(BI106+BJ106-BK106-BL106,2)</f>
        <v/>
      </c>
      <c r="BN106">
        <f>BH106-BL106</f>
        <v/>
      </c>
    </row>
    <row r="107">
      <c r="A107" s="43" t="n">
        <v>100</v>
      </c>
      <c r="B107" s="44">
        <f>EDATE('My Debts'!$C$6,A107-1)</f>
        <v/>
      </c>
      <c r="C107" s="45">
        <f>K107+Q107+W107+AC107+AI107+AO107+AU107+BA107+BG107+BM107</f>
        <v/>
      </c>
      <c r="D107" s="46">
        <f>I107+O107+U107+AA107+AG107+AM107+AS107+AY107+BE107+BK107+J107+P107+V107+AB107+AH107+AN107+AT107+AZ107+BF107+BL107</f>
        <v/>
      </c>
      <c r="E107" s="46">
        <f>H107+N107+T107+Z107+AF107+AL107+AR107+AX107+BD107+BJ107</f>
        <v/>
      </c>
      <c r="F107">
        <f>MAX(0,'My Debts'!$E$21-(I107+O107+U107+AA107+AG107+AM107+AS107+AY107+BE107+BK107))</f>
        <v/>
      </c>
      <c r="G107" s="42">
        <f>K106</f>
        <v/>
      </c>
      <c r="H107" s="42">
        <f>ROUND(G107*H$6/12,2)</f>
        <v/>
      </c>
      <c r="I107" s="42">
        <f>MIN(I$6,G107+H107)</f>
        <v/>
      </c>
      <c r="J107" s="42">
        <f>MAX(0,MIN(G107+H107-I107,$F107))</f>
        <v/>
      </c>
      <c r="K107" s="42">
        <f>ROUND(G107+H107-I107-J107,2)</f>
        <v/>
      </c>
      <c r="L107">
        <f>$F107-J107</f>
        <v/>
      </c>
      <c r="M107" s="42">
        <f>Q106</f>
        <v/>
      </c>
      <c r="N107" s="42">
        <f>ROUND(M107*N$6/12,2)</f>
        <v/>
      </c>
      <c r="O107" s="42">
        <f>MIN(O$6,M107+N107)</f>
        <v/>
      </c>
      <c r="P107" s="42">
        <f>MAX(0,MIN(M107+N107-O107,L107))</f>
        <v/>
      </c>
      <c r="Q107" s="42">
        <f>ROUND(M107+N107-O107-P107,2)</f>
        <v/>
      </c>
      <c r="R107">
        <f>L107-P107</f>
        <v/>
      </c>
      <c r="S107" s="42">
        <f>W106</f>
        <v/>
      </c>
      <c r="T107" s="42">
        <f>ROUND(S107*T$6/12,2)</f>
        <v/>
      </c>
      <c r="U107" s="42">
        <f>MIN(U$6,S107+T107)</f>
        <v/>
      </c>
      <c r="V107" s="42">
        <f>MAX(0,MIN(S107+T107-U107,R107))</f>
        <v/>
      </c>
      <c r="W107" s="42">
        <f>ROUND(S107+T107-U107-V107,2)</f>
        <v/>
      </c>
      <c r="X107">
        <f>R107-V107</f>
        <v/>
      </c>
      <c r="Y107" s="42">
        <f>AC106</f>
        <v/>
      </c>
      <c r="Z107" s="42">
        <f>ROUND(Y107*Z$6/12,2)</f>
        <v/>
      </c>
      <c r="AA107" s="42">
        <f>MIN(AA$6,Y107+Z107)</f>
        <v/>
      </c>
      <c r="AB107" s="42">
        <f>MAX(0,MIN(Y107+Z107-AA107,X107))</f>
        <v/>
      </c>
      <c r="AC107" s="42">
        <f>ROUND(Y107+Z107-AA107-AB107,2)</f>
        <v/>
      </c>
      <c r="AD107">
        <f>X107-AB107</f>
        <v/>
      </c>
      <c r="AE107" s="42">
        <f>AI106</f>
        <v/>
      </c>
      <c r="AF107" s="42">
        <f>ROUND(AE107*AF$6/12,2)</f>
        <v/>
      </c>
      <c r="AG107" s="42">
        <f>MIN(AG$6,AE107+AF107)</f>
        <v/>
      </c>
      <c r="AH107" s="42">
        <f>MAX(0,MIN(AE107+AF107-AG107,AD107))</f>
        <v/>
      </c>
      <c r="AI107" s="42">
        <f>ROUND(AE107+AF107-AG107-AH107,2)</f>
        <v/>
      </c>
      <c r="AJ107">
        <f>AD107-AH107</f>
        <v/>
      </c>
      <c r="AK107" s="42">
        <f>AO106</f>
        <v/>
      </c>
      <c r="AL107" s="42">
        <f>ROUND(AK107*AL$6/12,2)</f>
        <v/>
      </c>
      <c r="AM107" s="42">
        <f>MIN(AM$6,AK107+AL107)</f>
        <v/>
      </c>
      <c r="AN107" s="42">
        <f>MAX(0,MIN(AK107+AL107-AM107,AJ107))</f>
        <v/>
      </c>
      <c r="AO107" s="42">
        <f>ROUND(AK107+AL107-AM107-AN107,2)</f>
        <v/>
      </c>
      <c r="AP107">
        <f>AJ107-AN107</f>
        <v/>
      </c>
      <c r="AQ107" s="42">
        <f>AU106</f>
        <v/>
      </c>
      <c r="AR107" s="42">
        <f>ROUND(AQ107*AR$6/12,2)</f>
        <v/>
      </c>
      <c r="AS107" s="42">
        <f>MIN(AS$6,AQ107+AR107)</f>
        <v/>
      </c>
      <c r="AT107" s="42">
        <f>MAX(0,MIN(AQ107+AR107-AS107,AP107))</f>
        <v/>
      </c>
      <c r="AU107" s="42">
        <f>ROUND(AQ107+AR107-AS107-AT107,2)</f>
        <v/>
      </c>
      <c r="AV107">
        <f>AP107-AT107</f>
        <v/>
      </c>
      <c r="AW107" s="42">
        <f>BA106</f>
        <v/>
      </c>
      <c r="AX107" s="42">
        <f>ROUND(AW107*AX$6/12,2)</f>
        <v/>
      </c>
      <c r="AY107" s="42">
        <f>MIN(AY$6,AW107+AX107)</f>
        <v/>
      </c>
      <c r="AZ107" s="42">
        <f>MAX(0,MIN(AW107+AX107-AY107,AV107))</f>
        <v/>
      </c>
      <c r="BA107" s="42">
        <f>ROUND(AW107+AX107-AY107-AZ107,2)</f>
        <v/>
      </c>
      <c r="BB107">
        <f>AV107-AZ107</f>
        <v/>
      </c>
      <c r="BC107" s="42">
        <f>BG106</f>
        <v/>
      </c>
      <c r="BD107" s="42">
        <f>ROUND(BC107*BD$6/12,2)</f>
        <v/>
      </c>
      <c r="BE107" s="42">
        <f>MIN(BE$6,BC107+BD107)</f>
        <v/>
      </c>
      <c r="BF107" s="42">
        <f>MAX(0,MIN(BC107+BD107-BE107,BB107))</f>
        <v/>
      </c>
      <c r="BG107" s="42">
        <f>ROUND(BC107+BD107-BE107-BF107,2)</f>
        <v/>
      </c>
      <c r="BH107">
        <f>BB107-BF107</f>
        <v/>
      </c>
      <c r="BI107" s="42">
        <f>BM106</f>
        <v/>
      </c>
      <c r="BJ107" s="42">
        <f>ROUND(BI107*BJ$6/12,2)</f>
        <v/>
      </c>
      <c r="BK107" s="42">
        <f>MIN(BK$6,BI107+BJ107)</f>
        <v/>
      </c>
      <c r="BL107" s="42">
        <f>MAX(0,MIN(BI107+BJ107-BK107,BH107))</f>
        <v/>
      </c>
      <c r="BM107" s="42">
        <f>ROUND(BI107+BJ107-BK107-BL107,2)</f>
        <v/>
      </c>
      <c r="BN107">
        <f>BH107-BL107</f>
        <v/>
      </c>
    </row>
    <row r="108">
      <c r="A108" s="39" t="n">
        <v>101</v>
      </c>
      <c r="B108" s="40">
        <f>EDATE('My Debts'!$C$6,A108-1)</f>
        <v/>
      </c>
      <c r="C108" s="41">
        <f>K108+Q108+W108+AC108+AI108+AO108+AU108+BA108+BG108+BM108</f>
        <v/>
      </c>
      <c r="D108" s="42">
        <f>I108+O108+U108+AA108+AG108+AM108+AS108+AY108+BE108+BK108+J108+P108+V108+AB108+AH108+AN108+AT108+AZ108+BF108+BL108</f>
        <v/>
      </c>
      <c r="E108" s="42">
        <f>H108+N108+T108+Z108+AF108+AL108+AR108+AX108+BD108+BJ108</f>
        <v/>
      </c>
      <c r="F108">
        <f>MAX(0,'My Debts'!$E$21-(I108+O108+U108+AA108+AG108+AM108+AS108+AY108+BE108+BK108))</f>
        <v/>
      </c>
      <c r="G108" s="42">
        <f>K107</f>
        <v/>
      </c>
      <c r="H108" s="42">
        <f>ROUND(G108*H$6/12,2)</f>
        <v/>
      </c>
      <c r="I108" s="42">
        <f>MIN(I$6,G108+H108)</f>
        <v/>
      </c>
      <c r="J108" s="42">
        <f>MAX(0,MIN(G108+H108-I108,$F108))</f>
        <v/>
      </c>
      <c r="K108" s="42">
        <f>ROUND(G108+H108-I108-J108,2)</f>
        <v/>
      </c>
      <c r="L108">
        <f>$F108-J108</f>
        <v/>
      </c>
      <c r="M108" s="42">
        <f>Q107</f>
        <v/>
      </c>
      <c r="N108" s="42">
        <f>ROUND(M108*N$6/12,2)</f>
        <v/>
      </c>
      <c r="O108" s="42">
        <f>MIN(O$6,M108+N108)</f>
        <v/>
      </c>
      <c r="P108" s="42">
        <f>MAX(0,MIN(M108+N108-O108,L108))</f>
        <v/>
      </c>
      <c r="Q108" s="42">
        <f>ROUND(M108+N108-O108-P108,2)</f>
        <v/>
      </c>
      <c r="R108">
        <f>L108-P108</f>
        <v/>
      </c>
      <c r="S108" s="42">
        <f>W107</f>
        <v/>
      </c>
      <c r="T108" s="42">
        <f>ROUND(S108*T$6/12,2)</f>
        <v/>
      </c>
      <c r="U108" s="42">
        <f>MIN(U$6,S108+T108)</f>
        <v/>
      </c>
      <c r="V108" s="42">
        <f>MAX(0,MIN(S108+T108-U108,R108))</f>
        <v/>
      </c>
      <c r="W108" s="42">
        <f>ROUND(S108+T108-U108-V108,2)</f>
        <v/>
      </c>
      <c r="X108">
        <f>R108-V108</f>
        <v/>
      </c>
      <c r="Y108" s="42">
        <f>AC107</f>
        <v/>
      </c>
      <c r="Z108" s="42">
        <f>ROUND(Y108*Z$6/12,2)</f>
        <v/>
      </c>
      <c r="AA108" s="42">
        <f>MIN(AA$6,Y108+Z108)</f>
        <v/>
      </c>
      <c r="AB108" s="42">
        <f>MAX(0,MIN(Y108+Z108-AA108,X108))</f>
        <v/>
      </c>
      <c r="AC108" s="42">
        <f>ROUND(Y108+Z108-AA108-AB108,2)</f>
        <v/>
      </c>
      <c r="AD108">
        <f>X108-AB108</f>
        <v/>
      </c>
      <c r="AE108" s="42">
        <f>AI107</f>
        <v/>
      </c>
      <c r="AF108" s="42">
        <f>ROUND(AE108*AF$6/12,2)</f>
        <v/>
      </c>
      <c r="AG108" s="42">
        <f>MIN(AG$6,AE108+AF108)</f>
        <v/>
      </c>
      <c r="AH108" s="42">
        <f>MAX(0,MIN(AE108+AF108-AG108,AD108))</f>
        <v/>
      </c>
      <c r="AI108" s="42">
        <f>ROUND(AE108+AF108-AG108-AH108,2)</f>
        <v/>
      </c>
      <c r="AJ108">
        <f>AD108-AH108</f>
        <v/>
      </c>
      <c r="AK108" s="42">
        <f>AO107</f>
        <v/>
      </c>
      <c r="AL108" s="42">
        <f>ROUND(AK108*AL$6/12,2)</f>
        <v/>
      </c>
      <c r="AM108" s="42">
        <f>MIN(AM$6,AK108+AL108)</f>
        <v/>
      </c>
      <c r="AN108" s="42">
        <f>MAX(0,MIN(AK108+AL108-AM108,AJ108))</f>
        <v/>
      </c>
      <c r="AO108" s="42">
        <f>ROUND(AK108+AL108-AM108-AN108,2)</f>
        <v/>
      </c>
      <c r="AP108">
        <f>AJ108-AN108</f>
        <v/>
      </c>
      <c r="AQ108" s="42">
        <f>AU107</f>
        <v/>
      </c>
      <c r="AR108" s="42">
        <f>ROUND(AQ108*AR$6/12,2)</f>
        <v/>
      </c>
      <c r="AS108" s="42">
        <f>MIN(AS$6,AQ108+AR108)</f>
        <v/>
      </c>
      <c r="AT108" s="42">
        <f>MAX(0,MIN(AQ108+AR108-AS108,AP108))</f>
        <v/>
      </c>
      <c r="AU108" s="42">
        <f>ROUND(AQ108+AR108-AS108-AT108,2)</f>
        <v/>
      </c>
      <c r="AV108">
        <f>AP108-AT108</f>
        <v/>
      </c>
      <c r="AW108" s="42">
        <f>BA107</f>
        <v/>
      </c>
      <c r="AX108" s="42">
        <f>ROUND(AW108*AX$6/12,2)</f>
        <v/>
      </c>
      <c r="AY108" s="42">
        <f>MIN(AY$6,AW108+AX108)</f>
        <v/>
      </c>
      <c r="AZ108" s="42">
        <f>MAX(0,MIN(AW108+AX108-AY108,AV108))</f>
        <v/>
      </c>
      <c r="BA108" s="42">
        <f>ROUND(AW108+AX108-AY108-AZ108,2)</f>
        <v/>
      </c>
      <c r="BB108">
        <f>AV108-AZ108</f>
        <v/>
      </c>
      <c r="BC108" s="42">
        <f>BG107</f>
        <v/>
      </c>
      <c r="BD108" s="42">
        <f>ROUND(BC108*BD$6/12,2)</f>
        <v/>
      </c>
      <c r="BE108" s="42">
        <f>MIN(BE$6,BC108+BD108)</f>
        <v/>
      </c>
      <c r="BF108" s="42">
        <f>MAX(0,MIN(BC108+BD108-BE108,BB108))</f>
        <v/>
      </c>
      <c r="BG108" s="42">
        <f>ROUND(BC108+BD108-BE108-BF108,2)</f>
        <v/>
      </c>
      <c r="BH108">
        <f>BB108-BF108</f>
        <v/>
      </c>
      <c r="BI108" s="42">
        <f>BM107</f>
        <v/>
      </c>
      <c r="BJ108" s="42">
        <f>ROUND(BI108*BJ$6/12,2)</f>
        <v/>
      </c>
      <c r="BK108" s="42">
        <f>MIN(BK$6,BI108+BJ108)</f>
        <v/>
      </c>
      <c r="BL108" s="42">
        <f>MAX(0,MIN(BI108+BJ108-BK108,BH108))</f>
        <v/>
      </c>
      <c r="BM108" s="42">
        <f>ROUND(BI108+BJ108-BK108-BL108,2)</f>
        <v/>
      </c>
      <c r="BN108">
        <f>BH108-BL108</f>
        <v/>
      </c>
    </row>
    <row r="109">
      <c r="A109" s="43" t="n">
        <v>102</v>
      </c>
      <c r="B109" s="44">
        <f>EDATE('My Debts'!$C$6,A109-1)</f>
        <v/>
      </c>
      <c r="C109" s="45">
        <f>K109+Q109+W109+AC109+AI109+AO109+AU109+BA109+BG109+BM109</f>
        <v/>
      </c>
      <c r="D109" s="46">
        <f>I109+O109+U109+AA109+AG109+AM109+AS109+AY109+BE109+BK109+J109+P109+V109+AB109+AH109+AN109+AT109+AZ109+BF109+BL109</f>
        <v/>
      </c>
      <c r="E109" s="46">
        <f>H109+N109+T109+Z109+AF109+AL109+AR109+AX109+BD109+BJ109</f>
        <v/>
      </c>
      <c r="F109">
        <f>MAX(0,'My Debts'!$E$21-(I109+O109+U109+AA109+AG109+AM109+AS109+AY109+BE109+BK109))</f>
        <v/>
      </c>
      <c r="G109" s="42">
        <f>K108</f>
        <v/>
      </c>
      <c r="H109" s="42">
        <f>ROUND(G109*H$6/12,2)</f>
        <v/>
      </c>
      <c r="I109" s="42">
        <f>MIN(I$6,G109+H109)</f>
        <v/>
      </c>
      <c r="J109" s="42">
        <f>MAX(0,MIN(G109+H109-I109,$F109))</f>
        <v/>
      </c>
      <c r="K109" s="42">
        <f>ROUND(G109+H109-I109-J109,2)</f>
        <v/>
      </c>
      <c r="L109">
        <f>$F109-J109</f>
        <v/>
      </c>
      <c r="M109" s="42">
        <f>Q108</f>
        <v/>
      </c>
      <c r="N109" s="42">
        <f>ROUND(M109*N$6/12,2)</f>
        <v/>
      </c>
      <c r="O109" s="42">
        <f>MIN(O$6,M109+N109)</f>
        <v/>
      </c>
      <c r="P109" s="42">
        <f>MAX(0,MIN(M109+N109-O109,L109))</f>
        <v/>
      </c>
      <c r="Q109" s="42">
        <f>ROUND(M109+N109-O109-P109,2)</f>
        <v/>
      </c>
      <c r="R109">
        <f>L109-P109</f>
        <v/>
      </c>
      <c r="S109" s="42">
        <f>W108</f>
        <v/>
      </c>
      <c r="T109" s="42">
        <f>ROUND(S109*T$6/12,2)</f>
        <v/>
      </c>
      <c r="U109" s="42">
        <f>MIN(U$6,S109+T109)</f>
        <v/>
      </c>
      <c r="V109" s="42">
        <f>MAX(0,MIN(S109+T109-U109,R109))</f>
        <v/>
      </c>
      <c r="W109" s="42">
        <f>ROUND(S109+T109-U109-V109,2)</f>
        <v/>
      </c>
      <c r="X109">
        <f>R109-V109</f>
        <v/>
      </c>
      <c r="Y109" s="42">
        <f>AC108</f>
        <v/>
      </c>
      <c r="Z109" s="42">
        <f>ROUND(Y109*Z$6/12,2)</f>
        <v/>
      </c>
      <c r="AA109" s="42">
        <f>MIN(AA$6,Y109+Z109)</f>
        <v/>
      </c>
      <c r="AB109" s="42">
        <f>MAX(0,MIN(Y109+Z109-AA109,X109))</f>
        <v/>
      </c>
      <c r="AC109" s="42">
        <f>ROUND(Y109+Z109-AA109-AB109,2)</f>
        <v/>
      </c>
      <c r="AD109">
        <f>X109-AB109</f>
        <v/>
      </c>
      <c r="AE109" s="42">
        <f>AI108</f>
        <v/>
      </c>
      <c r="AF109" s="42">
        <f>ROUND(AE109*AF$6/12,2)</f>
        <v/>
      </c>
      <c r="AG109" s="42">
        <f>MIN(AG$6,AE109+AF109)</f>
        <v/>
      </c>
      <c r="AH109" s="42">
        <f>MAX(0,MIN(AE109+AF109-AG109,AD109))</f>
        <v/>
      </c>
      <c r="AI109" s="42">
        <f>ROUND(AE109+AF109-AG109-AH109,2)</f>
        <v/>
      </c>
      <c r="AJ109">
        <f>AD109-AH109</f>
        <v/>
      </c>
      <c r="AK109" s="42">
        <f>AO108</f>
        <v/>
      </c>
      <c r="AL109" s="42">
        <f>ROUND(AK109*AL$6/12,2)</f>
        <v/>
      </c>
      <c r="AM109" s="42">
        <f>MIN(AM$6,AK109+AL109)</f>
        <v/>
      </c>
      <c r="AN109" s="42">
        <f>MAX(0,MIN(AK109+AL109-AM109,AJ109))</f>
        <v/>
      </c>
      <c r="AO109" s="42">
        <f>ROUND(AK109+AL109-AM109-AN109,2)</f>
        <v/>
      </c>
      <c r="AP109">
        <f>AJ109-AN109</f>
        <v/>
      </c>
      <c r="AQ109" s="42">
        <f>AU108</f>
        <v/>
      </c>
      <c r="AR109" s="42">
        <f>ROUND(AQ109*AR$6/12,2)</f>
        <v/>
      </c>
      <c r="AS109" s="42">
        <f>MIN(AS$6,AQ109+AR109)</f>
        <v/>
      </c>
      <c r="AT109" s="42">
        <f>MAX(0,MIN(AQ109+AR109-AS109,AP109))</f>
        <v/>
      </c>
      <c r="AU109" s="42">
        <f>ROUND(AQ109+AR109-AS109-AT109,2)</f>
        <v/>
      </c>
      <c r="AV109">
        <f>AP109-AT109</f>
        <v/>
      </c>
      <c r="AW109" s="42">
        <f>BA108</f>
        <v/>
      </c>
      <c r="AX109" s="42">
        <f>ROUND(AW109*AX$6/12,2)</f>
        <v/>
      </c>
      <c r="AY109" s="42">
        <f>MIN(AY$6,AW109+AX109)</f>
        <v/>
      </c>
      <c r="AZ109" s="42">
        <f>MAX(0,MIN(AW109+AX109-AY109,AV109))</f>
        <v/>
      </c>
      <c r="BA109" s="42">
        <f>ROUND(AW109+AX109-AY109-AZ109,2)</f>
        <v/>
      </c>
      <c r="BB109">
        <f>AV109-AZ109</f>
        <v/>
      </c>
      <c r="BC109" s="42">
        <f>BG108</f>
        <v/>
      </c>
      <c r="BD109" s="42">
        <f>ROUND(BC109*BD$6/12,2)</f>
        <v/>
      </c>
      <c r="BE109" s="42">
        <f>MIN(BE$6,BC109+BD109)</f>
        <v/>
      </c>
      <c r="BF109" s="42">
        <f>MAX(0,MIN(BC109+BD109-BE109,BB109))</f>
        <v/>
      </c>
      <c r="BG109" s="42">
        <f>ROUND(BC109+BD109-BE109-BF109,2)</f>
        <v/>
      </c>
      <c r="BH109">
        <f>BB109-BF109</f>
        <v/>
      </c>
      <c r="BI109" s="42">
        <f>BM108</f>
        <v/>
      </c>
      <c r="BJ109" s="42">
        <f>ROUND(BI109*BJ$6/12,2)</f>
        <v/>
      </c>
      <c r="BK109" s="42">
        <f>MIN(BK$6,BI109+BJ109)</f>
        <v/>
      </c>
      <c r="BL109" s="42">
        <f>MAX(0,MIN(BI109+BJ109-BK109,BH109))</f>
        <v/>
      </c>
      <c r="BM109" s="42">
        <f>ROUND(BI109+BJ109-BK109-BL109,2)</f>
        <v/>
      </c>
      <c r="BN109">
        <f>BH109-BL109</f>
        <v/>
      </c>
    </row>
    <row r="110">
      <c r="A110" s="39" t="n">
        <v>103</v>
      </c>
      <c r="B110" s="40">
        <f>EDATE('My Debts'!$C$6,A110-1)</f>
        <v/>
      </c>
      <c r="C110" s="41">
        <f>K110+Q110+W110+AC110+AI110+AO110+AU110+BA110+BG110+BM110</f>
        <v/>
      </c>
      <c r="D110" s="42">
        <f>I110+O110+U110+AA110+AG110+AM110+AS110+AY110+BE110+BK110+J110+P110+V110+AB110+AH110+AN110+AT110+AZ110+BF110+BL110</f>
        <v/>
      </c>
      <c r="E110" s="42">
        <f>H110+N110+T110+Z110+AF110+AL110+AR110+AX110+BD110+BJ110</f>
        <v/>
      </c>
      <c r="F110">
        <f>MAX(0,'My Debts'!$E$21-(I110+O110+U110+AA110+AG110+AM110+AS110+AY110+BE110+BK110))</f>
        <v/>
      </c>
      <c r="G110" s="42">
        <f>K109</f>
        <v/>
      </c>
      <c r="H110" s="42">
        <f>ROUND(G110*H$6/12,2)</f>
        <v/>
      </c>
      <c r="I110" s="42">
        <f>MIN(I$6,G110+H110)</f>
        <v/>
      </c>
      <c r="J110" s="42">
        <f>MAX(0,MIN(G110+H110-I110,$F110))</f>
        <v/>
      </c>
      <c r="K110" s="42">
        <f>ROUND(G110+H110-I110-J110,2)</f>
        <v/>
      </c>
      <c r="L110">
        <f>$F110-J110</f>
        <v/>
      </c>
      <c r="M110" s="42">
        <f>Q109</f>
        <v/>
      </c>
      <c r="N110" s="42">
        <f>ROUND(M110*N$6/12,2)</f>
        <v/>
      </c>
      <c r="O110" s="42">
        <f>MIN(O$6,M110+N110)</f>
        <v/>
      </c>
      <c r="P110" s="42">
        <f>MAX(0,MIN(M110+N110-O110,L110))</f>
        <v/>
      </c>
      <c r="Q110" s="42">
        <f>ROUND(M110+N110-O110-P110,2)</f>
        <v/>
      </c>
      <c r="R110">
        <f>L110-P110</f>
        <v/>
      </c>
      <c r="S110" s="42">
        <f>W109</f>
        <v/>
      </c>
      <c r="T110" s="42">
        <f>ROUND(S110*T$6/12,2)</f>
        <v/>
      </c>
      <c r="U110" s="42">
        <f>MIN(U$6,S110+T110)</f>
        <v/>
      </c>
      <c r="V110" s="42">
        <f>MAX(0,MIN(S110+T110-U110,R110))</f>
        <v/>
      </c>
      <c r="W110" s="42">
        <f>ROUND(S110+T110-U110-V110,2)</f>
        <v/>
      </c>
      <c r="X110">
        <f>R110-V110</f>
        <v/>
      </c>
      <c r="Y110" s="42">
        <f>AC109</f>
        <v/>
      </c>
      <c r="Z110" s="42">
        <f>ROUND(Y110*Z$6/12,2)</f>
        <v/>
      </c>
      <c r="AA110" s="42">
        <f>MIN(AA$6,Y110+Z110)</f>
        <v/>
      </c>
      <c r="AB110" s="42">
        <f>MAX(0,MIN(Y110+Z110-AA110,X110))</f>
        <v/>
      </c>
      <c r="AC110" s="42">
        <f>ROUND(Y110+Z110-AA110-AB110,2)</f>
        <v/>
      </c>
      <c r="AD110">
        <f>X110-AB110</f>
        <v/>
      </c>
      <c r="AE110" s="42">
        <f>AI109</f>
        <v/>
      </c>
      <c r="AF110" s="42">
        <f>ROUND(AE110*AF$6/12,2)</f>
        <v/>
      </c>
      <c r="AG110" s="42">
        <f>MIN(AG$6,AE110+AF110)</f>
        <v/>
      </c>
      <c r="AH110" s="42">
        <f>MAX(0,MIN(AE110+AF110-AG110,AD110))</f>
        <v/>
      </c>
      <c r="AI110" s="42">
        <f>ROUND(AE110+AF110-AG110-AH110,2)</f>
        <v/>
      </c>
      <c r="AJ110">
        <f>AD110-AH110</f>
        <v/>
      </c>
      <c r="AK110" s="42">
        <f>AO109</f>
        <v/>
      </c>
      <c r="AL110" s="42">
        <f>ROUND(AK110*AL$6/12,2)</f>
        <v/>
      </c>
      <c r="AM110" s="42">
        <f>MIN(AM$6,AK110+AL110)</f>
        <v/>
      </c>
      <c r="AN110" s="42">
        <f>MAX(0,MIN(AK110+AL110-AM110,AJ110))</f>
        <v/>
      </c>
      <c r="AO110" s="42">
        <f>ROUND(AK110+AL110-AM110-AN110,2)</f>
        <v/>
      </c>
      <c r="AP110">
        <f>AJ110-AN110</f>
        <v/>
      </c>
      <c r="AQ110" s="42">
        <f>AU109</f>
        <v/>
      </c>
      <c r="AR110" s="42">
        <f>ROUND(AQ110*AR$6/12,2)</f>
        <v/>
      </c>
      <c r="AS110" s="42">
        <f>MIN(AS$6,AQ110+AR110)</f>
        <v/>
      </c>
      <c r="AT110" s="42">
        <f>MAX(0,MIN(AQ110+AR110-AS110,AP110))</f>
        <v/>
      </c>
      <c r="AU110" s="42">
        <f>ROUND(AQ110+AR110-AS110-AT110,2)</f>
        <v/>
      </c>
      <c r="AV110">
        <f>AP110-AT110</f>
        <v/>
      </c>
      <c r="AW110" s="42">
        <f>BA109</f>
        <v/>
      </c>
      <c r="AX110" s="42">
        <f>ROUND(AW110*AX$6/12,2)</f>
        <v/>
      </c>
      <c r="AY110" s="42">
        <f>MIN(AY$6,AW110+AX110)</f>
        <v/>
      </c>
      <c r="AZ110" s="42">
        <f>MAX(0,MIN(AW110+AX110-AY110,AV110))</f>
        <v/>
      </c>
      <c r="BA110" s="42">
        <f>ROUND(AW110+AX110-AY110-AZ110,2)</f>
        <v/>
      </c>
      <c r="BB110">
        <f>AV110-AZ110</f>
        <v/>
      </c>
      <c r="BC110" s="42">
        <f>BG109</f>
        <v/>
      </c>
      <c r="BD110" s="42">
        <f>ROUND(BC110*BD$6/12,2)</f>
        <v/>
      </c>
      <c r="BE110" s="42">
        <f>MIN(BE$6,BC110+BD110)</f>
        <v/>
      </c>
      <c r="BF110" s="42">
        <f>MAX(0,MIN(BC110+BD110-BE110,BB110))</f>
        <v/>
      </c>
      <c r="BG110" s="42">
        <f>ROUND(BC110+BD110-BE110-BF110,2)</f>
        <v/>
      </c>
      <c r="BH110">
        <f>BB110-BF110</f>
        <v/>
      </c>
      <c r="BI110" s="42">
        <f>BM109</f>
        <v/>
      </c>
      <c r="BJ110" s="42">
        <f>ROUND(BI110*BJ$6/12,2)</f>
        <v/>
      </c>
      <c r="BK110" s="42">
        <f>MIN(BK$6,BI110+BJ110)</f>
        <v/>
      </c>
      <c r="BL110" s="42">
        <f>MAX(0,MIN(BI110+BJ110-BK110,BH110))</f>
        <v/>
      </c>
      <c r="BM110" s="42">
        <f>ROUND(BI110+BJ110-BK110-BL110,2)</f>
        <v/>
      </c>
      <c r="BN110">
        <f>BH110-BL110</f>
        <v/>
      </c>
    </row>
    <row r="111">
      <c r="A111" s="43" t="n">
        <v>104</v>
      </c>
      <c r="B111" s="44">
        <f>EDATE('My Debts'!$C$6,A111-1)</f>
        <v/>
      </c>
      <c r="C111" s="45">
        <f>K111+Q111+W111+AC111+AI111+AO111+AU111+BA111+BG111+BM111</f>
        <v/>
      </c>
      <c r="D111" s="46">
        <f>I111+O111+U111+AA111+AG111+AM111+AS111+AY111+BE111+BK111+J111+P111+V111+AB111+AH111+AN111+AT111+AZ111+BF111+BL111</f>
        <v/>
      </c>
      <c r="E111" s="46">
        <f>H111+N111+T111+Z111+AF111+AL111+AR111+AX111+BD111+BJ111</f>
        <v/>
      </c>
      <c r="F111">
        <f>MAX(0,'My Debts'!$E$21-(I111+O111+U111+AA111+AG111+AM111+AS111+AY111+BE111+BK111))</f>
        <v/>
      </c>
      <c r="G111" s="42">
        <f>K110</f>
        <v/>
      </c>
      <c r="H111" s="42">
        <f>ROUND(G111*H$6/12,2)</f>
        <v/>
      </c>
      <c r="I111" s="42">
        <f>MIN(I$6,G111+H111)</f>
        <v/>
      </c>
      <c r="J111" s="42">
        <f>MAX(0,MIN(G111+H111-I111,$F111))</f>
        <v/>
      </c>
      <c r="K111" s="42">
        <f>ROUND(G111+H111-I111-J111,2)</f>
        <v/>
      </c>
      <c r="L111">
        <f>$F111-J111</f>
        <v/>
      </c>
      <c r="M111" s="42">
        <f>Q110</f>
        <v/>
      </c>
      <c r="N111" s="42">
        <f>ROUND(M111*N$6/12,2)</f>
        <v/>
      </c>
      <c r="O111" s="42">
        <f>MIN(O$6,M111+N111)</f>
        <v/>
      </c>
      <c r="P111" s="42">
        <f>MAX(0,MIN(M111+N111-O111,L111))</f>
        <v/>
      </c>
      <c r="Q111" s="42">
        <f>ROUND(M111+N111-O111-P111,2)</f>
        <v/>
      </c>
      <c r="R111">
        <f>L111-P111</f>
        <v/>
      </c>
      <c r="S111" s="42">
        <f>W110</f>
        <v/>
      </c>
      <c r="T111" s="42">
        <f>ROUND(S111*T$6/12,2)</f>
        <v/>
      </c>
      <c r="U111" s="42">
        <f>MIN(U$6,S111+T111)</f>
        <v/>
      </c>
      <c r="V111" s="42">
        <f>MAX(0,MIN(S111+T111-U111,R111))</f>
        <v/>
      </c>
      <c r="W111" s="42">
        <f>ROUND(S111+T111-U111-V111,2)</f>
        <v/>
      </c>
      <c r="X111">
        <f>R111-V111</f>
        <v/>
      </c>
      <c r="Y111" s="42">
        <f>AC110</f>
        <v/>
      </c>
      <c r="Z111" s="42">
        <f>ROUND(Y111*Z$6/12,2)</f>
        <v/>
      </c>
      <c r="AA111" s="42">
        <f>MIN(AA$6,Y111+Z111)</f>
        <v/>
      </c>
      <c r="AB111" s="42">
        <f>MAX(0,MIN(Y111+Z111-AA111,X111))</f>
        <v/>
      </c>
      <c r="AC111" s="42">
        <f>ROUND(Y111+Z111-AA111-AB111,2)</f>
        <v/>
      </c>
      <c r="AD111">
        <f>X111-AB111</f>
        <v/>
      </c>
      <c r="AE111" s="42">
        <f>AI110</f>
        <v/>
      </c>
      <c r="AF111" s="42">
        <f>ROUND(AE111*AF$6/12,2)</f>
        <v/>
      </c>
      <c r="AG111" s="42">
        <f>MIN(AG$6,AE111+AF111)</f>
        <v/>
      </c>
      <c r="AH111" s="42">
        <f>MAX(0,MIN(AE111+AF111-AG111,AD111))</f>
        <v/>
      </c>
      <c r="AI111" s="42">
        <f>ROUND(AE111+AF111-AG111-AH111,2)</f>
        <v/>
      </c>
      <c r="AJ111">
        <f>AD111-AH111</f>
        <v/>
      </c>
      <c r="AK111" s="42">
        <f>AO110</f>
        <v/>
      </c>
      <c r="AL111" s="42">
        <f>ROUND(AK111*AL$6/12,2)</f>
        <v/>
      </c>
      <c r="AM111" s="42">
        <f>MIN(AM$6,AK111+AL111)</f>
        <v/>
      </c>
      <c r="AN111" s="42">
        <f>MAX(0,MIN(AK111+AL111-AM111,AJ111))</f>
        <v/>
      </c>
      <c r="AO111" s="42">
        <f>ROUND(AK111+AL111-AM111-AN111,2)</f>
        <v/>
      </c>
      <c r="AP111">
        <f>AJ111-AN111</f>
        <v/>
      </c>
      <c r="AQ111" s="42">
        <f>AU110</f>
        <v/>
      </c>
      <c r="AR111" s="42">
        <f>ROUND(AQ111*AR$6/12,2)</f>
        <v/>
      </c>
      <c r="AS111" s="42">
        <f>MIN(AS$6,AQ111+AR111)</f>
        <v/>
      </c>
      <c r="AT111" s="42">
        <f>MAX(0,MIN(AQ111+AR111-AS111,AP111))</f>
        <v/>
      </c>
      <c r="AU111" s="42">
        <f>ROUND(AQ111+AR111-AS111-AT111,2)</f>
        <v/>
      </c>
      <c r="AV111">
        <f>AP111-AT111</f>
        <v/>
      </c>
      <c r="AW111" s="42">
        <f>BA110</f>
        <v/>
      </c>
      <c r="AX111" s="42">
        <f>ROUND(AW111*AX$6/12,2)</f>
        <v/>
      </c>
      <c r="AY111" s="42">
        <f>MIN(AY$6,AW111+AX111)</f>
        <v/>
      </c>
      <c r="AZ111" s="42">
        <f>MAX(0,MIN(AW111+AX111-AY111,AV111))</f>
        <v/>
      </c>
      <c r="BA111" s="42">
        <f>ROUND(AW111+AX111-AY111-AZ111,2)</f>
        <v/>
      </c>
      <c r="BB111">
        <f>AV111-AZ111</f>
        <v/>
      </c>
      <c r="BC111" s="42">
        <f>BG110</f>
        <v/>
      </c>
      <c r="BD111" s="42">
        <f>ROUND(BC111*BD$6/12,2)</f>
        <v/>
      </c>
      <c r="BE111" s="42">
        <f>MIN(BE$6,BC111+BD111)</f>
        <v/>
      </c>
      <c r="BF111" s="42">
        <f>MAX(0,MIN(BC111+BD111-BE111,BB111))</f>
        <v/>
      </c>
      <c r="BG111" s="42">
        <f>ROUND(BC111+BD111-BE111-BF111,2)</f>
        <v/>
      </c>
      <c r="BH111">
        <f>BB111-BF111</f>
        <v/>
      </c>
      <c r="BI111" s="42">
        <f>BM110</f>
        <v/>
      </c>
      <c r="BJ111" s="42">
        <f>ROUND(BI111*BJ$6/12,2)</f>
        <v/>
      </c>
      <c r="BK111" s="42">
        <f>MIN(BK$6,BI111+BJ111)</f>
        <v/>
      </c>
      <c r="BL111" s="42">
        <f>MAX(0,MIN(BI111+BJ111-BK111,BH111))</f>
        <v/>
      </c>
      <c r="BM111" s="42">
        <f>ROUND(BI111+BJ111-BK111-BL111,2)</f>
        <v/>
      </c>
      <c r="BN111">
        <f>BH111-BL111</f>
        <v/>
      </c>
    </row>
    <row r="112">
      <c r="A112" s="39" t="n">
        <v>105</v>
      </c>
      <c r="B112" s="40">
        <f>EDATE('My Debts'!$C$6,A112-1)</f>
        <v/>
      </c>
      <c r="C112" s="41">
        <f>K112+Q112+W112+AC112+AI112+AO112+AU112+BA112+BG112+BM112</f>
        <v/>
      </c>
      <c r="D112" s="42">
        <f>I112+O112+U112+AA112+AG112+AM112+AS112+AY112+BE112+BK112+J112+P112+V112+AB112+AH112+AN112+AT112+AZ112+BF112+BL112</f>
        <v/>
      </c>
      <c r="E112" s="42">
        <f>H112+N112+T112+Z112+AF112+AL112+AR112+AX112+BD112+BJ112</f>
        <v/>
      </c>
      <c r="F112">
        <f>MAX(0,'My Debts'!$E$21-(I112+O112+U112+AA112+AG112+AM112+AS112+AY112+BE112+BK112))</f>
        <v/>
      </c>
      <c r="G112" s="42">
        <f>K111</f>
        <v/>
      </c>
      <c r="H112" s="42">
        <f>ROUND(G112*H$6/12,2)</f>
        <v/>
      </c>
      <c r="I112" s="42">
        <f>MIN(I$6,G112+H112)</f>
        <v/>
      </c>
      <c r="J112" s="42">
        <f>MAX(0,MIN(G112+H112-I112,$F112))</f>
        <v/>
      </c>
      <c r="K112" s="42">
        <f>ROUND(G112+H112-I112-J112,2)</f>
        <v/>
      </c>
      <c r="L112">
        <f>$F112-J112</f>
        <v/>
      </c>
      <c r="M112" s="42">
        <f>Q111</f>
        <v/>
      </c>
      <c r="N112" s="42">
        <f>ROUND(M112*N$6/12,2)</f>
        <v/>
      </c>
      <c r="O112" s="42">
        <f>MIN(O$6,M112+N112)</f>
        <v/>
      </c>
      <c r="P112" s="42">
        <f>MAX(0,MIN(M112+N112-O112,L112))</f>
        <v/>
      </c>
      <c r="Q112" s="42">
        <f>ROUND(M112+N112-O112-P112,2)</f>
        <v/>
      </c>
      <c r="R112">
        <f>L112-P112</f>
        <v/>
      </c>
      <c r="S112" s="42">
        <f>W111</f>
        <v/>
      </c>
      <c r="T112" s="42">
        <f>ROUND(S112*T$6/12,2)</f>
        <v/>
      </c>
      <c r="U112" s="42">
        <f>MIN(U$6,S112+T112)</f>
        <v/>
      </c>
      <c r="V112" s="42">
        <f>MAX(0,MIN(S112+T112-U112,R112))</f>
        <v/>
      </c>
      <c r="W112" s="42">
        <f>ROUND(S112+T112-U112-V112,2)</f>
        <v/>
      </c>
      <c r="X112">
        <f>R112-V112</f>
        <v/>
      </c>
      <c r="Y112" s="42">
        <f>AC111</f>
        <v/>
      </c>
      <c r="Z112" s="42">
        <f>ROUND(Y112*Z$6/12,2)</f>
        <v/>
      </c>
      <c r="AA112" s="42">
        <f>MIN(AA$6,Y112+Z112)</f>
        <v/>
      </c>
      <c r="AB112" s="42">
        <f>MAX(0,MIN(Y112+Z112-AA112,X112))</f>
        <v/>
      </c>
      <c r="AC112" s="42">
        <f>ROUND(Y112+Z112-AA112-AB112,2)</f>
        <v/>
      </c>
      <c r="AD112">
        <f>X112-AB112</f>
        <v/>
      </c>
      <c r="AE112" s="42">
        <f>AI111</f>
        <v/>
      </c>
      <c r="AF112" s="42">
        <f>ROUND(AE112*AF$6/12,2)</f>
        <v/>
      </c>
      <c r="AG112" s="42">
        <f>MIN(AG$6,AE112+AF112)</f>
        <v/>
      </c>
      <c r="AH112" s="42">
        <f>MAX(0,MIN(AE112+AF112-AG112,AD112))</f>
        <v/>
      </c>
      <c r="AI112" s="42">
        <f>ROUND(AE112+AF112-AG112-AH112,2)</f>
        <v/>
      </c>
      <c r="AJ112">
        <f>AD112-AH112</f>
        <v/>
      </c>
      <c r="AK112" s="42">
        <f>AO111</f>
        <v/>
      </c>
      <c r="AL112" s="42">
        <f>ROUND(AK112*AL$6/12,2)</f>
        <v/>
      </c>
      <c r="AM112" s="42">
        <f>MIN(AM$6,AK112+AL112)</f>
        <v/>
      </c>
      <c r="AN112" s="42">
        <f>MAX(0,MIN(AK112+AL112-AM112,AJ112))</f>
        <v/>
      </c>
      <c r="AO112" s="42">
        <f>ROUND(AK112+AL112-AM112-AN112,2)</f>
        <v/>
      </c>
      <c r="AP112">
        <f>AJ112-AN112</f>
        <v/>
      </c>
      <c r="AQ112" s="42">
        <f>AU111</f>
        <v/>
      </c>
      <c r="AR112" s="42">
        <f>ROUND(AQ112*AR$6/12,2)</f>
        <v/>
      </c>
      <c r="AS112" s="42">
        <f>MIN(AS$6,AQ112+AR112)</f>
        <v/>
      </c>
      <c r="AT112" s="42">
        <f>MAX(0,MIN(AQ112+AR112-AS112,AP112))</f>
        <v/>
      </c>
      <c r="AU112" s="42">
        <f>ROUND(AQ112+AR112-AS112-AT112,2)</f>
        <v/>
      </c>
      <c r="AV112">
        <f>AP112-AT112</f>
        <v/>
      </c>
      <c r="AW112" s="42">
        <f>BA111</f>
        <v/>
      </c>
      <c r="AX112" s="42">
        <f>ROUND(AW112*AX$6/12,2)</f>
        <v/>
      </c>
      <c r="AY112" s="42">
        <f>MIN(AY$6,AW112+AX112)</f>
        <v/>
      </c>
      <c r="AZ112" s="42">
        <f>MAX(0,MIN(AW112+AX112-AY112,AV112))</f>
        <v/>
      </c>
      <c r="BA112" s="42">
        <f>ROUND(AW112+AX112-AY112-AZ112,2)</f>
        <v/>
      </c>
      <c r="BB112">
        <f>AV112-AZ112</f>
        <v/>
      </c>
      <c r="BC112" s="42">
        <f>BG111</f>
        <v/>
      </c>
      <c r="BD112" s="42">
        <f>ROUND(BC112*BD$6/12,2)</f>
        <v/>
      </c>
      <c r="BE112" s="42">
        <f>MIN(BE$6,BC112+BD112)</f>
        <v/>
      </c>
      <c r="BF112" s="42">
        <f>MAX(0,MIN(BC112+BD112-BE112,BB112))</f>
        <v/>
      </c>
      <c r="BG112" s="42">
        <f>ROUND(BC112+BD112-BE112-BF112,2)</f>
        <v/>
      </c>
      <c r="BH112">
        <f>BB112-BF112</f>
        <v/>
      </c>
      <c r="BI112" s="42">
        <f>BM111</f>
        <v/>
      </c>
      <c r="BJ112" s="42">
        <f>ROUND(BI112*BJ$6/12,2)</f>
        <v/>
      </c>
      <c r="BK112" s="42">
        <f>MIN(BK$6,BI112+BJ112)</f>
        <v/>
      </c>
      <c r="BL112" s="42">
        <f>MAX(0,MIN(BI112+BJ112-BK112,BH112))</f>
        <v/>
      </c>
      <c r="BM112" s="42">
        <f>ROUND(BI112+BJ112-BK112-BL112,2)</f>
        <v/>
      </c>
      <c r="BN112">
        <f>BH112-BL112</f>
        <v/>
      </c>
    </row>
    <row r="113">
      <c r="A113" s="43" t="n">
        <v>106</v>
      </c>
      <c r="B113" s="44">
        <f>EDATE('My Debts'!$C$6,A113-1)</f>
        <v/>
      </c>
      <c r="C113" s="45">
        <f>K113+Q113+W113+AC113+AI113+AO113+AU113+BA113+BG113+BM113</f>
        <v/>
      </c>
      <c r="D113" s="46">
        <f>I113+O113+U113+AA113+AG113+AM113+AS113+AY113+BE113+BK113+J113+P113+V113+AB113+AH113+AN113+AT113+AZ113+BF113+BL113</f>
        <v/>
      </c>
      <c r="E113" s="46">
        <f>H113+N113+T113+Z113+AF113+AL113+AR113+AX113+BD113+BJ113</f>
        <v/>
      </c>
      <c r="F113">
        <f>MAX(0,'My Debts'!$E$21-(I113+O113+U113+AA113+AG113+AM113+AS113+AY113+BE113+BK113))</f>
        <v/>
      </c>
      <c r="G113" s="42">
        <f>K112</f>
        <v/>
      </c>
      <c r="H113" s="42">
        <f>ROUND(G113*H$6/12,2)</f>
        <v/>
      </c>
      <c r="I113" s="42">
        <f>MIN(I$6,G113+H113)</f>
        <v/>
      </c>
      <c r="J113" s="42">
        <f>MAX(0,MIN(G113+H113-I113,$F113))</f>
        <v/>
      </c>
      <c r="K113" s="42">
        <f>ROUND(G113+H113-I113-J113,2)</f>
        <v/>
      </c>
      <c r="L113">
        <f>$F113-J113</f>
        <v/>
      </c>
      <c r="M113" s="42">
        <f>Q112</f>
        <v/>
      </c>
      <c r="N113" s="42">
        <f>ROUND(M113*N$6/12,2)</f>
        <v/>
      </c>
      <c r="O113" s="42">
        <f>MIN(O$6,M113+N113)</f>
        <v/>
      </c>
      <c r="P113" s="42">
        <f>MAX(0,MIN(M113+N113-O113,L113))</f>
        <v/>
      </c>
      <c r="Q113" s="42">
        <f>ROUND(M113+N113-O113-P113,2)</f>
        <v/>
      </c>
      <c r="R113">
        <f>L113-P113</f>
        <v/>
      </c>
      <c r="S113" s="42">
        <f>W112</f>
        <v/>
      </c>
      <c r="T113" s="42">
        <f>ROUND(S113*T$6/12,2)</f>
        <v/>
      </c>
      <c r="U113" s="42">
        <f>MIN(U$6,S113+T113)</f>
        <v/>
      </c>
      <c r="V113" s="42">
        <f>MAX(0,MIN(S113+T113-U113,R113))</f>
        <v/>
      </c>
      <c r="W113" s="42">
        <f>ROUND(S113+T113-U113-V113,2)</f>
        <v/>
      </c>
      <c r="X113">
        <f>R113-V113</f>
        <v/>
      </c>
      <c r="Y113" s="42">
        <f>AC112</f>
        <v/>
      </c>
      <c r="Z113" s="42">
        <f>ROUND(Y113*Z$6/12,2)</f>
        <v/>
      </c>
      <c r="AA113" s="42">
        <f>MIN(AA$6,Y113+Z113)</f>
        <v/>
      </c>
      <c r="AB113" s="42">
        <f>MAX(0,MIN(Y113+Z113-AA113,X113))</f>
        <v/>
      </c>
      <c r="AC113" s="42">
        <f>ROUND(Y113+Z113-AA113-AB113,2)</f>
        <v/>
      </c>
      <c r="AD113">
        <f>X113-AB113</f>
        <v/>
      </c>
      <c r="AE113" s="42">
        <f>AI112</f>
        <v/>
      </c>
      <c r="AF113" s="42">
        <f>ROUND(AE113*AF$6/12,2)</f>
        <v/>
      </c>
      <c r="AG113" s="42">
        <f>MIN(AG$6,AE113+AF113)</f>
        <v/>
      </c>
      <c r="AH113" s="42">
        <f>MAX(0,MIN(AE113+AF113-AG113,AD113))</f>
        <v/>
      </c>
      <c r="AI113" s="42">
        <f>ROUND(AE113+AF113-AG113-AH113,2)</f>
        <v/>
      </c>
      <c r="AJ113">
        <f>AD113-AH113</f>
        <v/>
      </c>
      <c r="AK113" s="42">
        <f>AO112</f>
        <v/>
      </c>
      <c r="AL113" s="42">
        <f>ROUND(AK113*AL$6/12,2)</f>
        <v/>
      </c>
      <c r="AM113" s="42">
        <f>MIN(AM$6,AK113+AL113)</f>
        <v/>
      </c>
      <c r="AN113" s="42">
        <f>MAX(0,MIN(AK113+AL113-AM113,AJ113))</f>
        <v/>
      </c>
      <c r="AO113" s="42">
        <f>ROUND(AK113+AL113-AM113-AN113,2)</f>
        <v/>
      </c>
      <c r="AP113">
        <f>AJ113-AN113</f>
        <v/>
      </c>
      <c r="AQ113" s="42">
        <f>AU112</f>
        <v/>
      </c>
      <c r="AR113" s="42">
        <f>ROUND(AQ113*AR$6/12,2)</f>
        <v/>
      </c>
      <c r="AS113" s="42">
        <f>MIN(AS$6,AQ113+AR113)</f>
        <v/>
      </c>
      <c r="AT113" s="42">
        <f>MAX(0,MIN(AQ113+AR113-AS113,AP113))</f>
        <v/>
      </c>
      <c r="AU113" s="42">
        <f>ROUND(AQ113+AR113-AS113-AT113,2)</f>
        <v/>
      </c>
      <c r="AV113">
        <f>AP113-AT113</f>
        <v/>
      </c>
      <c r="AW113" s="42">
        <f>BA112</f>
        <v/>
      </c>
      <c r="AX113" s="42">
        <f>ROUND(AW113*AX$6/12,2)</f>
        <v/>
      </c>
      <c r="AY113" s="42">
        <f>MIN(AY$6,AW113+AX113)</f>
        <v/>
      </c>
      <c r="AZ113" s="42">
        <f>MAX(0,MIN(AW113+AX113-AY113,AV113))</f>
        <v/>
      </c>
      <c r="BA113" s="42">
        <f>ROUND(AW113+AX113-AY113-AZ113,2)</f>
        <v/>
      </c>
      <c r="BB113">
        <f>AV113-AZ113</f>
        <v/>
      </c>
      <c r="BC113" s="42">
        <f>BG112</f>
        <v/>
      </c>
      <c r="BD113" s="42">
        <f>ROUND(BC113*BD$6/12,2)</f>
        <v/>
      </c>
      <c r="BE113" s="42">
        <f>MIN(BE$6,BC113+BD113)</f>
        <v/>
      </c>
      <c r="BF113" s="42">
        <f>MAX(0,MIN(BC113+BD113-BE113,BB113))</f>
        <v/>
      </c>
      <c r="BG113" s="42">
        <f>ROUND(BC113+BD113-BE113-BF113,2)</f>
        <v/>
      </c>
      <c r="BH113">
        <f>BB113-BF113</f>
        <v/>
      </c>
      <c r="BI113" s="42">
        <f>BM112</f>
        <v/>
      </c>
      <c r="BJ113" s="42">
        <f>ROUND(BI113*BJ$6/12,2)</f>
        <v/>
      </c>
      <c r="BK113" s="42">
        <f>MIN(BK$6,BI113+BJ113)</f>
        <v/>
      </c>
      <c r="BL113" s="42">
        <f>MAX(0,MIN(BI113+BJ113-BK113,BH113))</f>
        <v/>
      </c>
      <c r="BM113" s="42">
        <f>ROUND(BI113+BJ113-BK113-BL113,2)</f>
        <v/>
      </c>
      <c r="BN113">
        <f>BH113-BL113</f>
        <v/>
      </c>
    </row>
    <row r="114">
      <c r="A114" s="39" t="n">
        <v>107</v>
      </c>
      <c r="B114" s="40">
        <f>EDATE('My Debts'!$C$6,A114-1)</f>
        <v/>
      </c>
      <c r="C114" s="41">
        <f>K114+Q114+W114+AC114+AI114+AO114+AU114+BA114+BG114+BM114</f>
        <v/>
      </c>
      <c r="D114" s="42">
        <f>I114+O114+U114+AA114+AG114+AM114+AS114+AY114+BE114+BK114+J114+P114+V114+AB114+AH114+AN114+AT114+AZ114+BF114+BL114</f>
        <v/>
      </c>
      <c r="E114" s="42">
        <f>H114+N114+T114+Z114+AF114+AL114+AR114+AX114+BD114+BJ114</f>
        <v/>
      </c>
      <c r="F114">
        <f>MAX(0,'My Debts'!$E$21-(I114+O114+U114+AA114+AG114+AM114+AS114+AY114+BE114+BK114))</f>
        <v/>
      </c>
      <c r="G114" s="42">
        <f>K113</f>
        <v/>
      </c>
      <c r="H114" s="42">
        <f>ROUND(G114*H$6/12,2)</f>
        <v/>
      </c>
      <c r="I114" s="42">
        <f>MIN(I$6,G114+H114)</f>
        <v/>
      </c>
      <c r="J114" s="42">
        <f>MAX(0,MIN(G114+H114-I114,$F114))</f>
        <v/>
      </c>
      <c r="K114" s="42">
        <f>ROUND(G114+H114-I114-J114,2)</f>
        <v/>
      </c>
      <c r="L114">
        <f>$F114-J114</f>
        <v/>
      </c>
      <c r="M114" s="42">
        <f>Q113</f>
        <v/>
      </c>
      <c r="N114" s="42">
        <f>ROUND(M114*N$6/12,2)</f>
        <v/>
      </c>
      <c r="O114" s="42">
        <f>MIN(O$6,M114+N114)</f>
        <v/>
      </c>
      <c r="P114" s="42">
        <f>MAX(0,MIN(M114+N114-O114,L114))</f>
        <v/>
      </c>
      <c r="Q114" s="42">
        <f>ROUND(M114+N114-O114-P114,2)</f>
        <v/>
      </c>
      <c r="R114">
        <f>L114-P114</f>
        <v/>
      </c>
      <c r="S114" s="42">
        <f>W113</f>
        <v/>
      </c>
      <c r="T114" s="42">
        <f>ROUND(S114*T$6/12,2)</f>
        <v/>
      </c>
      <c r="U114" s="42">
        <f>MIN(U$6,S114+T114)</f>
        <v/>
      </c>
      <c r="V114" s="42">
        <f>MAX(0,MIN(S114+T114-U114,R114))</f>
        <v/>
      </c>
      <c r="W114" s="42">
        <f>ROUND(S114+T114-U114-V114,2)</f>
        <v/>
      </c>
      <c r="X114">
        <f>R114-V114</f>
        <v/>
      </c>
      <c r="Y114" s="42">
        <f>AC113</f>
        <v/>
      </c>
      <c r="Z114" s="42">
        <f>ROUND(Y114*Z$6/12,2)</f>
        <v/>
      </c>
      <c r="AA114" s="42">
        <f>MIN(AA$6,Y114+Z114)</f>
        <v/>
      </c>
      <c r="AB114" s="42">
        <f>MAX(0,MIN(Y114+Z114-AA114,X114))</f>
        <v/>
      </c>
      <c r="AC114" s="42">
        <f>ROUND(Y114+Z114-AA114-AB114,2)</f>
        <v/>
      </c>
      <c r="AD114">
        <f>X114-AB114</f>
        <v/>
      </c>
      <c r="AE114" s="42">
        <f>AI113</f>
        <v/>
      </c>
      <c r="AF114" s="42">
        <f>ROUND(AE114*AF$6/12,2)</f>
        <v/>
      </c>
      <c r="AG114" s="42">
        <f>MIN(AG$6,AE114+AF114)</f>
        <v/>
      </c>
      <c r="AH114" s="42">
        <f>MAX(0,MIN(AE114+AF114-AG114,AD114))</f>
        <v/>
      </c>
      <c r="AI114" s="42">
        <f>ROUND(AE114+AF114-AG114-AH114,2)</f>
        <v/>
      </c>
      <c r="AJ114">
        <f>AD114-AH114</f>
        <v/>
      </c>
      <c r="AK114" s="42">
        <f>AO113</f>
        <v/>
      </c>
      <c r="AL114" s="42">
        <f>ROUND(AK114*AL$6/12,2)</f>
        <v/>
      </c>
      <c r="AM114" s="42">
        <f>MIN(AM$6,AK114+AL114)</f>
        <v/>
      </c>
      <c r="AN114" s="42">
        <f>MAX(0,MIN(AK114+AL114-AM114,AJ114))</f>
        <v/>
      </c>
      <c r="AO114" s="42">
        <f>ROUND(AK114+AL114-AM114-AN114,2)</f>
        <v/>
      </c>
      <c r="AP114">
        <f>AJ114-AN114</f>
        <v/>
      </c>
      <c r="AQ114" s="42">
        <f>AU113</f>
        <v/>
      </c>
      <c r="AR114" s="42">
        <f>ROUND(AQ114*AR$6/12,2)</f>
        <v/>
      </c>
      <c r="AS114" s="42">
        <f>MIN(AS$6,AQ114+AR114)</f>
        <v/>
      </c>
      <c r="AT114" s="42">
        <f>MAX(0,MIN(AQ114+AR114-AS114,AP114))</f>
        <v/>
      </c>
      <c r="AU114" s="42">
        <f>ROUND(AQ114+AR114-AS114-AT114,2)</f>
        <v/>
      </c>
      <c r="AV114">
        <f>AP114-AT114</f>
        <v/>
      </c>
      <c r="AW114" s="42">
        <f>BA113</f>
        <v/>
      </c>
      <c r="AX114" s="42">
        <f>ROUND(AW114*AX$6/12,2)</f>
        <v/>
      </c>
      <c r="AY114" s="42">
        <f>MIN(AY$6,AW114+AX114)</f>
        <v/>
      </c>
      <c r="AZ114" s="42">
        <f>MAX(0,MIN(AW114+AX114-AY114,AV114))</f>
        <v/>
      </c>
      <c r="BA114" s="42">
        <f>ROUND(AW114+AX114-AY114-AZ114,2)</f>
        <v/>
      </c>
      <c r="BB114">
        <f>AV114-AZ114</f>
        <v/>
      </c>
      <c r="BC114" s="42">
        <f>BG113</f>
        <v/>
      </c>
      <c r="BD114" s="42">
        <f>ROUND(BC114*BD$6/12,2)</f>
        <v/>
      </c>
      <c r="BE114" s="42">
        <f>MIN(BE$6,BC114+BD114)</f>
        <v/>
      </c>
      <c r="BF114" s="42">
        <f>MAX(0,MIN(BC114+BD114-BE114,BB114))</f>
        <v/>
      </c>
      <c r="BG114" s="42">
        <f>ROUND(BC114+BD114-BE114-BF114,2)</f>
        <v/>
      </c>
      <c r="BH114">
        <f>BB114-BF114</f>
        <v/>
      </c>
      <c r="BI114" s="42">
        <f>BM113</f>
        <v/>
      </c>
      <c r="BJ114" s="42">
        <f>ROUND(BI114*BJ$6/12,2)</f>
        <v/>
      </c>
      <c r="BK114" s="42">
        <f>MIN(BK$6,BI114+BJ114)</f>
        <v/>
      </c>
      <c r="BL114" s="42">
        <f>MAX(0,MIN(BI114+BJ114-BK114,BH114))</f>
        <v/>
      </c>
      <c r="BM114" s="42">
        <f>ROUND(BI114+BJ114-BK114-BL114,2)</f>
        <v/>
      </c>
      <c r="BN114">
        <f>BH114-BL114</f>
        <v/>
      </c>
    </row>
    <row r="115">
      <c r="A115" s="43" t="n">
        <v>108</v>
      </c>
      <c r="B115" s="44">
        <f>EDATE('My Debts'!$C$6,A115-1)</f>
        <v/>
      </c>
      <c r="C115" s="45">
        <f>K115+Q115+W115+AC115+AI115+AO115+AU115+BA115+BG115+BM115</f>
        <v/>
      </c>
      <c r="D115" s="46">
        <f>I115+O115+U115+AA115+AG115+AM115+AS115+AY115+BE115+BK115+J115+P115+V115+AB115+AH115+AN115+AT115+AZ115+BF115+BL115</f>
        <v/>
      </c>
      <c r="E115" s="46">
        <f>H115+N115+T115+Z115+AF115+AL115+AR115+AX115+BD115+BJ115</f>
        <v/>
      </c>
      <c r="F115">
        <f>MAX(0,'My Debts'!$E$21-(I115+O115+U115+AA115+AG115+AM115+AS115+AY115+BE115+BK115))</f>
        <v/>
      </c>
      <c r="G115" s="42">
        <f>K114</f>
        <v/>
      </c>
      <c r="H115" s="42">
        <f>ROUND(G115*H$6/12,2)</f>
        <v/>
      </c>
      <c r="I115" s="42">
        <f>MIN(I$6,G115+H115)</f>
        <v/>
      </c>
      <c r="J115" s="42">
        <f>MAX(0,MIN(G115+H115-I115,$F115))</f>
        <v/>
      </c>
      <c r="K115" s="42">
        <f>ROUND(G115+H115-I115-J115,2)</f>
        <v/>
      </c>
      <c r="L115">
        <f>$F115-J115</f>
        <v/>
      </c>
      <c r="M115" s="42">
        <f>Q114</f>
        <v/>
      </c>
      <c r="N115" s="42">
        <f>ROUND(M115*N$6/12,2)</f>
        <v/>
      </c>
      <c r="O115" s="42">
        <f>MIN(O$6,M115+N115)</f>
        <v/>
      </c>
      <c r="P115" s="42">
        <f>MAX(0,MIN(M115+N115-O115,L115))</f>
        <v/>
      </c>
      <c r="Q115" s="42">
        <f>ROUND(M115+N115-O115-P115,2)</f>
        <v/>
      </c>
      <c r="R115">
        <f>L115-P115</f>
        <v/>
      </c>
      <c r="S115" s="42">
        <f>W114</f>
        <v/>
      </c>
      <c r="T115" s="42">
        <f>ROUND(S115*T$6/12,2)</f>
        <v/>
      </c>
      <c r="U115" s="42">
        <f>MIN(U$6,S115+T115)</f>
        <v/>
      </c>
      <c r="V115" s="42">
        <f>MAX(0,MIN(S115+T115-U115,R115))</f>
        <v/>
      </c>
      <c r="W115" s="42">
        <f>ROUND(S115+T115-U115-V115,2)</f>
        <v/>
      </c>
      <c r="X115">
        <f>R115-V115</f>
        <v/>
      </c>
      <c r="Y115" s="42">
        <f>AC114</f>
        <v/>
      </c>
      <c r="Z115" s="42">
        <f>ROUND(Y115*Z$6/12,2)</f>
        <v/>
      </c>
      <c r="AA115" s="42">
        <f>MIN(AA$6,Y115+Z115)</f>
        <v/>
      </c>
      <c r="AB115" s="42">
        <f>MAX(0,MIN(Y115+Z115-AA115,X115))</f>
        <v/>
      </c>
      <c r="AC115" s="42">
        <f>ROUND(Y115+Z115-AA115-AB115,2)</f>
        <v/>
      </c>
      <c r="AD115">
        <f>X115-AB115</f>
        <v/>
      </c>
      <c r="AE115" s="42">
        <f>AI114</f>
        <v/>
      </c>
      <c r="AF115" s="42">
        <f>ROUND(AE115*AF$6/12,2)</f>
        <v/>
      </c>
      <c r="AG115" s="42">
        <f>MIN(AG$6,AE115+AF115)</f>
        <v/>
      </c>
      <c r="AH115" s="42">
        <f>MAX(0,MIN(AE115+AF115-AG115,AD115))</f>
        <v/>
      </c>
      <c r="AI115" s="42">
        <f>ROUND(AE115+AF115-AG115-AH115,2)</f>
        <v/>
      </c>
      <c r="AJ115">
        <f>AD115-AH115</f>
        <v/>
      </c>
      <c r="AK115" s="42">
        <f>AO114</f>
        <v/>
      </c>
      <c r="AL115" s="42">
        <f>ROUND(AK115*AL$6/12,2)</f>
        <v/>
      </c>
      <c r="AM115" s="42">
        <f>MIN(AM$6,AK115+AL115)</f>
        <v/>
      </c>
      <c r="AN115" s="42">
        <f>MAX(0,MIN(AK115+AL115-AM115,AJ115))</f>
        <v/>
      </c>
      <c r="AO115" s="42">
        <f>ROUND(AK115+AL115-AM115-AN115,2)</f>
        <v/>
      </c>
      <c r="AP115">
        <f>AJ115-AN115</f>
        <v/>
      </c>
      <c r="AQ115" s="42">
        <f>AU114</f>
        <v/>
      </c>
      <c r="AR115" s="42">
        <f>ROUND(AQ115*AR$6/12,2)</f>
        <v/>
      </c>
      <c r="AS115" s="42">
        <f>MIN(AS$6,AQ115+AR115)</f>
        <v/>
      </c>
      <c r="AT115" s="42">
        <f>MAX(0,MIN(AQ115+AR115-AS115,AP115))</f>
        <v/>
      </c>
      <c r="AU115" s="42">
        <f>ROUND(AQ115+AR115-AS115-AT115,2)</f>
        <v/>
      </c>
      <c r="AV115">
        <f>AP115-AT115</f>
        <v/>
      </c>
      <c r="AW115" s="42">
        <f>BA114</f>
        <v/>
      </c>
      <c r="AX115" s="42">
        <f>ROUND(AW115*AX$6/12,2)</f>
        <v/>
      </c>
      <c r="AY115" s="42">
        <f>MIN(AY$6,AW115+AX115)</f>
        <v/>
      </c>
      <c r="AZ115" s="42">
        <f>MAX(0,MIN(AW115+AX115-AY115,AV115))</f>
        <v/>
      </c>
      <c r="BA115" s="42">
        <f>ROUND(AW115+AX115-AY115-AZ115,2)</f>
        <v/>
      </c>
      <c r="BB115">
        <f>AV115-AZ115</f>
        <v/>
      </c>
      <c r="BC115" s="42">
        <f>BG114</f>
        <v/>
      </c>
      <c r="BD115" s="42">
        <f>ROUND(BC115*BD$6/12,2)</f>
        <v/>
      </c>
      <c r="BE115" s="42">
        <f>MIN(BE$6,BC115+BD115)</f>
        <v/>
      </c>
      <c r="BF115" s="42">
        <f>MAX(0,MIN(BC115+BD115-BE115,BB115))</f>
        <v/>
      </c>
      <c r="BG115" s="42">
        <f>ROUND(BC115+BD115-BE115-BF115,2)</f>
        <v/>
      </c>
      <c r="BH115">
        <f>BB115-BF115</f>
        <v/>
      </c>
      <c r="BI115" s="42">
        <f>BM114</f>
        <v/>
      </c>
      <c r="BJ115" s="42">
        <f>ROUND(BI115*BJ$6/12,2)</f>
        <v/>
      </c>
      <c r="BK115" s="42">
        <f>MIN(BK$6,BI115+BJ115)</f>
        <v/>
      </c>
      <c r="BL115" s="42">
        <f>MAX(0,MIN(BI115+BJ115-BK115,BH115))</f>
        <v/>
      </c>
      <c r="BM115" s="42">
        <f>ROUND(BI115+BJ115-BK115-BL115,2)</f>
        <v/>
      </c>
      <c r="BN115">
        <f>BH115-BL115</f>
        <v/>
      </c>
    </row>
    <row r="116">
      <c r="A116" s="39" t="n">
        <v>109</v>
      </c>
      <c r="B116" s="40">
        <f>EDATE('My Debts'!$C$6,A116-1)</f>
        <v/>
      </c>
      <c r="C116" s="41">
        <f>K116+Q116+W116+AC116+AI116+AO116+AU116+BA116+BG116+BM116</f>
        <v/>
      </c>
      <c r="D116" s="42">
        <f>I116+O116+U116+AA116+AG116+AM116+AS116+AY116+BE116+BK116+J116+P116+V116+AB116+AH116+AN116+AT116+AZ116+BF116+BL116</f>
        <v/>
      </c>
      <c r="E116" s="42">
        <f>H116+N116+T116+Z116+AF116+AL116+AR116+AX116+BD116+BJ116</f>
        <v/>
      </c>
      <c r="F116">
        <f>MAX(0,'My Debts'!$E$21-(I116+O116+U116+AA116+AG116+AM116+AS116+AY116+BE116+BK116))</f>
        <v/>
      </c>
      <c r="G116" s="42">
        <f>K115</f>
        <v/>
      </c>
      <c r="H116" s="42">
        <f>ROUND(G116*H$6/12,2)</f>
        <v/>
      </c>
      <c r="I116" s="42">
        <f>MIN(I$6,G116+H116)</f>
        <v/>
      </c>
      <c r="J116" s="42">
        <f>MAX(0,MIN(G116+H116-I116,$F116))</f>
        <v/>
      </c>
      <c r="K116" s="42">
        <f>ROUND(G116+H116-I116-J116,2)</f>
        <v/>
      </c>
      <c r="L116">
        <f>$F116-J116</f>
        <v/>
      </c>
      <c r="M116" s="42">
        <f>Q115</f>
        <v/>
      </c>
      <c r="N116" s="42">
        <f>ROUND(M116*N$6/12,2)</f>
        <v/>
      </c>
      <c r="O116" s="42">
        <f>MIN(O$6,M116+N116)</f>
        <v/>
      </c>
      <c r="P116" s="42">
        <f>MAX(0,MIN(M116+N116-O116,L116))</f>
        <v/>
      </c>
      <c r="Q116" s="42">
        <f>ROUND(M116+N116-O116-P116,2)</f>
        <v/>
      </c>
      <c r="R116">
        <f>L116-P116</f>
        <v/>
      </c>
      <c r="S116" s="42">
        <f>W115</f>
        <v/>
      </c>
      <c r="T116" s="42">
        <f>ROUND(S116*T$6/12,2)</f>
        <v/>
      </c>
      <c r="U116" s="42">
        <f>MIN(U$6,S116+T116)</f>
        <v/>
      </c>
      <c r="V116" s="42">
        <f>MAX(0,MIN(S116+T116-U116,R116))</f>
        <v/>
      </c>
      <c r="W116" s="42">
        <f>ROUND(S116+T116-U116-V116,2)</f>
        <v/>
      </c>
      <c r="X116">
        <f>R116-V116</f>
        <v/>
      </c>
      <c r="Y116" s="42">
        <f>AC115</f>
        <v/>
      </c>
      <c r="Z116" s="42">
        <f>ROUND(Y116*Z$6/12,2)</f>
        <v/>
      </c>
      <c r="AA116" s="42">
        <f>MIN(AA$6,Y116+Z116)</f>
        <v/>
      </c>
      <c r="AB116" s="42">
        <f>MAX(0,MIN(Y116+Z116-AA116,X116))</f>
        <v/>
      </c>
      <c r="AC116" s="42">
        <f>ROUND(Y116+Z116-AA116-AB116,2)</f>
        <v/>
      </c>
      <c r="AD116">
        <f>X116-AB116</f>
        <v/>
      </c>
      <c r="AE116" s="42">
        <f>AI115</f>
        <v/>
      </c>
      <c r="AF116" s="42">
        <f>ROUND(AE116*AF$6/12,2)</f>
        <v/>
      </c>
      <c r="AG116" s="42">
        <f>MIN(AG$6,AE116+AF116)</f>
        <v/>
      </c>
      <c r="AH116" s="42">
        <f>MAX(0,MIN(AE116+AF116-AG116,AD116))</f>
        <v/>
      </c>
      <c r="AI116" s="42">
        <f>ROUND(AE116+AF116-AG116-AH116,2)</f>
        <v/>
      </c>
      <c r="AJ116">
        <f>AD116-AH116</f>
        <v/>
      </c>
      <c r="AK116" s="42">
        <f>AO115</f>
        <v/>
      </c>
      <c r="AL116" s="42">
        <f>ROUND(AK116*AL$6/12,2)</f>
        <v/>
      </c>
      <c r="AM116" s="42">
        <f>MIN(AM$6,AK116+AL116)</f>
        <v/>
      </c>
      <c r="AN116" s="42">
        <f>MAX(0,MIN(AK116+AL116-AM116,AJ116))</f>
        <v/>
      </c>
      <c r="AO116" s="42">
        <f>ROUND(AK116+AL116-AM116-AN116,2)</f>
        <v/>
      </c>
      <c r="AP116">
        <f>AJ116-AN116</f>
        <v/>
      </c>
      <c r="AQ116" s="42">
        <f>AU115</f>
        <v/>
      </c>
      <c r="AR116" s="42">
        <f>ROUND(AQ116*AR$6/12,2)</f>
        <v/>
      </c>
      <c r="AS116" s="42">
        <f>MIN(AS$6,AQ116+AR116)</f>
        <v/>
      </c>
      <c r="AT116" s="42">
        <f>MAX(0,MIN(AQ116+AR116-AS116,AP116))</f>
        <v/>
      </c>
      <c r="AU116" s="42">
        <f>ROUND(AQ116+AR116-AS116-AT116,2)</f>
        <v/>
      </c>
      <c r="AV116">
        <f>AP116-AT116</f>
        <v/>
      </c>
      <c r="AW116" s="42">
        <f>BA115</f>
        <v/>
      </c>
      <c r="AX116" s="42">
        <f>ROUND(AW116*AX$6/12,2)</f>
        <v/>
      </c>
      <c r="AY116" s="42">
        <f>MIN(AY$6,AW116+AX116)</f>
        <v/>
      </c>
      <c r="AZ116" s="42">
        <f>MAX(0,MIN(AW116+AX116-AY116,AV116))</f>
        <v/>
      </c>
      <c r="BA116" s="42">
        <f>ROUND(AW116+AX116-AY116-AZ116,2)</f>
        <v/>
      </c>
      <c r="BB116">
        <f>AV116-AZ116</f>
        <v/>
      </c>
      <c r="BC116" s="42">
        <f>BG115</f>
        <v/>
      </c>
      <c r="BD116" s="42">
        <f>ROUND(BC116*BD$6/12,2)</f>
        <v/>
      </c>
      <c r="BE116" s="42">
        <f>MIN(BE$6,BC116+BD116)</f>
        <v/>
      </c>
      <c r="BF116" s="42">
        <f>MAX(0,MIN(BC116+BD116-BE116,BB116))</f>
        <v/>
      </c>
      <c r="BG116" s="42">
        <f>ROUND(BC116+BD116-BE116-BF116,2)</f>
        <v/>
      </c>
      <c r="BH116">
        <f>BB116-BF116</f>
        <v/>
      </c>
      <c r="BI116" s="42">
        <f>BM115</f>
        <v/>
      </c>
      <c r="BJ116" s="42">
        <f>ROUND(BI116*BJ$6/12,2)</f>
        <v/>
      </c>
      <c r="BK116" s="42">
        <f>MIN(BK$6,BI116+BJ116)</f>
        <v/>
      </c>
      <c r="BL116" s="42">
        <f>MAX(0,MIN(BI116+BJ116-BK116,BH116))</f>
        <v/>
      </c>
      <c r="BM116" s="42">
        <f>ROUND(BI116+BJ116-BK116-BL116,2)</f>
        <v/>
      </c>
      <c r="BN116">
        <f>BH116-BL116</f>
        <v/>
      </c>
    </row>
    <row r="117">
      <c r="A117" s="43" t="n">
        <v>110</v>
      </c>
      <c r="B117" s="44">
        <f>EDATE('My Debts'!$C$6,A117-1)</f>
        <v/>
      </c>
      <c r="C117" s="45">
        <f>K117+Q117+W117+AC117+AI117+AO117+AU117+BA117+BG117+BM117</f>
        <v/>
      </c>
      <c r="D117" s="46">
        <f>I117+O117+U117+AA117+AG117+AM117+AS117+AY117+BE117+BK117+J117+P117+V117+AB117+AH117+AN117+AT117+AZ117+BF117+BL117</f>
        <v/>
      </c>
      <c r="E117" s="46">
        <f>H117+N117+T117+Z117+AF117+AL117+AR117+AX117+BD117+BJ117</f>
        <v/>
      </c>
      <c r="F117">
        <f>MAX(0,'My Debts'!$E$21-(I117+O117+U117+AA117+AG117+AM117+AS117+AY117+BE117+BK117))</f>
        <v/>
      </c>
      <c r="G117" s="42">
        <f>K116</f>
        <v/>
      </c>
      <c r="H117" s="42">
        <f>ROUND(G117*H$6/12,2)</f>
        <v/>
      </c>
      <c r="I117" s="42">
        <f>MIN(I$6,G117+H117)</f>
        <v/>
      </c>
      <c r="J117" s="42">
        <f>MAX(0,MIN(G117+H117-I117,$F117))</f>
        <v/>
      </c>
      <c r="K117" s="42">
        <f>ROUND(G117+H117-I117-J117,2)</f>
        <v/>
      </c>
      <c r="L117">
        <f>$F117-J117</f>
        <v/>
      </c>
      <c r="M117" s="42">
        <f>Q116</f>
        <v/>
      </c>
      <c r="N117" s="42">
        <f>ROUND(M117*N$6/12,2)</f>
        <v/>
      </c>
      <c r="O117" s="42">
        <f>MIN(O$6,M117+N117)</f>
        <v/>
      </c>
      <c r="P117" s="42">
        <f>MAX(0,MIN(M117+N117-O117,L117))</f>
        <v/>
      </c>
      <c r="Q117" s="42">
        <f>ROUND(M117+N117-O117-P117,2)</f>
        <v/>
      </c>
      <c r="R117">
        <f>L117-P117</f>
        <v/>
      </c>
      <c r="S117" s="42">
        <f>W116</f>
        <v/>
      </c>
      <c r="T117" s="42">
        <f>ROUND(S117*T$6/12,2)</f>
        <v/>
      </c>
      <c r="U117" s="42">
        <f>MIN(U$6,S117+T117)</f>
        <v/>
      </c>
      <c r="V117" s="42">
        <f>MAX(0,MIN(S117+T117-U117,R117))</f>
        <v/>
      </c>
      <c r="W117" s="42">
        <f>ROUND(S117+T117-U117-V117,2)</f>
        <v/>
      </c>
      <c r="X117">
        <f>R117-V117</f>
        <v/>
      </c>
      <c r="Y117" s="42">
        <f>AC116</f>
        <v/>
      </c>
      <c r="Z117" s="42">
        <f>ROUND(Y117*Z$6/12,2)</f>
        <v/>
      </c>
      <c r="AA117" s="42">
        <f>MIN(AA$6,Y117+Z117)</f>
        <v/>
      </c>
      <c r="AB117" s="42">
        <f>MAX(0,MIN(Y117+Z117-AA117,X117))</f>
        <v/>
      </c>
      <c r="AC117" s="42">
        <f>ROUND(Y117+Z117-AA117-AB117,2)</f>
        <v/>
      </c>
      <c r="AD117">
        <f>X117-AB117</f>
        <v/>
      </c>
      <c r="AE117" s="42">
        <f>AI116</f>
        <v/>
      </c>
      <c r="AF117" s="42">
        <f>ROUND(AE117*AF$6/12,2)</f>
        <v/>
      </c>
      <c r="AG117" s="42">
        <f>MIN(AG$6,AE117+AF117)</f>
        <v/>
      </c>
      <c r="AH117" s="42">
        <f>MAX(0,MIN(AE117+AF117-AG117,AD117))</f>
        <v/>
      </c>
      <c r="AI117" s="42">
        <f>ROUND(AE117+AF117-AG117-AH117,2)</f>
        <v/>
      </c>
      <c r="AJ117">
        <f>AD117-AH117</f>
        <v/>
      </c>
      <c r="AK117" s="42">
        <f>AO116</f>
        <v/>
      </c>
      <c r="AL117" s="42">
        <f>ROUND(AK117*AL$6/12,2)</f>
        <v/>
      </c>
      <c r="AM117" s="42">
        <f>MIN(AM$6,AK117+AL117)</f>
        <v/>
      </c>
      <c r="AN117" s="42">
        <f>MAX(0,MIN(AK117+AL117-AM117,AJ117))</f>
        <v/>
      </c>
      <c r="AO117" s="42">
        <f>ROUND(AK117+AL117-AM117-AN117,2)</f>
        <v/>
      </c>
      <c r="AP117">
        <f>AJ117-AN117</f>
        <v/>
      </c>
      <c r="AQ117" s="42">
        <f>AU116</f>
        <v/>
      </c>
      <c r="AR117" s="42">
        <f>ROUND(AQ117*AR$6/12,2)</f>
        <v/>
      </c>
      <c r="AS117" s="42">
        <f>MIN(AS$6,AQ117+AR117)</f>
        <v/>
      </c>
      <c r="AT117" s="42">
        <f>MAX(0,MIN(AQ117+AR117-AS117,AP117))</f>
        <v/>
      </c>
      <c r="AU117" s="42">
        <f>ROUND(AQ117+AR117-AS117-AT117,2)</f>
        <v/>
      </c>
      <c r="AV117">
        <f>AP117-AT117</f>
        <v/>
      </c>
      <c r="AW117" s="42">
        <f>BA116</f>
        <v/>
      </c>
      <c r="AX117" s="42">
        <f>ROUND(AW117*AX$6/12,2)</f>
        <v/>
      </c>
      <c r="AY117" s="42">
        <f>MIN(AY$6,AW117+AX117)</f>
        <v/>
      </c>
      <c r="AZ117" s="42">
        <f>MAX(0,MIN(AW117+AX117-AY117,AV117))</f>
        <v/>
      </c>
      <c r="BA117" s="42">
        <f>ROUND(AW117+AX117-AY117-AZ117,2)</f>
        <v/>
      </c>
      <c r="BB117">
        <f>AV117-AZ117</f>
        <v/>
      </c>
      <c r="BC117" s="42">
        <f>BG116</f>
        <v/>
      </c>
      <c r="BD117" s="42">
        <f>ROUND(BC117*BD$6/12,2)</f>
        <v/>
      </c>
      <c r="BE117" s="42">
        <f>MIN(BE$6,BC117+BD117)</f>
        <v/>
      </c>
      <c r="BF117" s="42">
        <f>MAX(0,MIN(BC117+BD117-BE117,BB117))</f>
        <v/>
      </c>
      <c r="BG117" s="42">
        <f>ROUND(BC117+BD117-BE117-BF117,2)</f>
        <v/>
      </c>
      <c r="BH117">
        <f>BB117-BF117</f>
        <v/>
      </c>
      <c r="BI117" s="42">
        <f>BM116</f>
        <v/>
      </c>
      <c r="BJ117" s="42">
        <f>ROUND(BI117*BJ$6/12,2)</f>
        <v/>
      </c>
      <c r="BK117" s="42">
        <f>MIN(BK$6,BI117+BJ117)</f>
        <v/>
      </c>
      <c r="BL117" s="42">
        <f>MAX(0,MIN(BI117+BJ117-BK117,BH117))</f>
        <v/>
      </c>
      <c r="BM117" s="42">
        <f>ROUND(BI117+BJ117-BK117-BL117,2)</f>
        <v/>
      </c>
      <c r="BN117">
        <f>BH117-BL117</f>
        <v/>
      </c>
    </row>
    <row r="118">
      <c r="A118" s="39" t="n">
        <v>111</v>
      </c>
      <c r="B118" s="40">
        <f>EDATE('My Debts'!$C$6,A118-1)</f>
        <v/>
      </c>
      <c r="C118" s="41">
        <f>K118+Q118+W118+AC118+AI118+AO118+AU118+BA118+BG118+BM118</f>
        <v/>
      </c>
      <c r="D118" s="42">
        <f>I118+O118+U118+AA118+AG118+AM118+AS118+AY118+BE118+BK118+J118+P118+V118+AB118+AH118+AN118+AT118+AZ118+BF118+BL118</f>
        <v/>
      </c>
      <c r="E118" s="42">
        <f>H118+N118+T118+Z118+AF118+AL118+AR118+AX118+BD118+BJ118</f>
        <v/>
      </c>
      <c r="F118">
        <f>MAX(0,'My Debts'!$E$21-(I118+O118+U118+AA118+AG118+AM118+AS118+AY118+BE118+BK118))</f>
        <v/>
      </c>
      <c r="G118" s="42">
        <f>K117</f>
        <v/>
      </c>
      <c r="H118" s="42">
        <f>ROUND(G118*H$6/12,2)</f>
        <v/>
      </c>
      <c r="I118" s="42">
        <f>MIN(I$6,G118+H118)</f>
        <v/>
      </c>
      <c r="J118" s="42">
        <f>MAX(0,MIN(G118+H118-I118,$F118))</f>
        <v/>
      </c>
      <c r="K118" s="42">
        <f>ROUND(G118+H118-I118-J118,2)</f>
        <v/>
      </c>
      <c r="L118">
        <f>$F118-J118</f>
        <v/>
      </c>
      <c r="M118" s="42">
        <f>Q117</f>
        <v/>
      </c>
      <c r="N118" s="42">
        <f>ROUND(M118*N$6/12,2)</f>
        <v/>
      </c>
      <c r="O118" s="42">
        <f>MIN(O$6,M118+N118)</f>
        <v/>
      </c>
      <c r="P118" s="42">
        <f>MAX(0,MIN(M118+N118-O118,L118))</f>
        <v/>
      </c>
      <c r="Q118" s="42">
        <f>ROUND(M118+N118-O118-P118,2)</f>
        <v/>
      </c>
      <c r="R118">
        <f>L118-P118</f>
        <v/>
      </c>
      <c r="S118" s="42">
        <f>W117</f>
        <v/>
      </c>
      <c r="T118" s="42">
        <f>ROUND(S118*T$6/12,2)</f>
        <v/>
      </c>
      <c r="U118" s="42">
        <f>MIN(U$6,S118+T118)</f>
        <v/>
      </c>
      <c r="V118" s="42">
        <f>MAX(0,MIN(S118+T118-U118,R118))</f>
        <v/>
      </c>
      <c r="W118" s="42">
        <f>ROUND(S118+T118-U118-V118,2)</f>
        <v/>
      </c>
      <c r="X118">
        <f>R118-V118</f>
        <v/>
      </c>
      <c r="Y118" s="42">
        <f>AC117</f>
        <v/>
      </c>
      <c r="Z118" s="42">
        <f>ROUND(Y118*Z$6/12,2)</f>
        <v/>
      </c>
      <c r="AA118" s="42">
        <f>MIN(AA$6,Y118+Z118)</f>
        <v/>
      </c>
      <c r="AB118" s="42">
        <f>MAX(0,MIN(Y118+Z118-AA118,X118))</f>
        <v/>
      </c>
      <c r="AC118" s="42">
        <f>ROUND(Y118+Z118-AA118-AB118,2)</f>
        <v/>
      </c>
      <c r="AD118">
        <f>X118-AB118</f>
        <v/>
      </c>
      <c r="AE118" s="42">
        <f>AI117</f>
        <v/>
      </c>
      <c r="AF118" s="42">
        <f>ROUND(AE118*AF$6/12,2)</f>
        <v/>
      </c>
      <c r="AG118" s="42">
        <f>MIN(AG$6,AE118+AF118)</f>
        <v/>
      </c>
      <c r="AH118" s="42">
        <f>MAX(0,MIN(AE118+AF118-AG118,AD118))</f>
        <v/>
      </c>
      <c r="AI118" s="42">
        <f>ROUND(AE118+AF118-AG118-AH118,2)</f>
        <v/>
      </c>
      <c r="AJ118">
        <f>AD118-AH118</f>
        <v/>
      </c>
      <c r="AK118" s="42">
        <f>AO117</f>
        <v/>
      </c>
      <c r="AL118" s="42">
        <f>ROUND(AK118*AL$6/12,2)</f>
        <v/>
      </c>
      <c r="AM118" s="42">
        <f>MIN(AM$6,AK118+AL118)</f>
        <v/>
      </c>
      <c r="AN118" s="42">
        <f>MAX(0,MIN(AK118+AL118-AM118,AJ118))</f>
        <v/>
      </c>
      <c r="AO118" s="42">
        <f>ROUND(AK118+AL118-AM118-AN118,2)</f>
        <v/>
      </c>
      <c r="AP118">
        <f>AJ118-AN118</f>
        <v/>
      </c>
      <c r="AQ118" s="42">
        <f>AU117</f>
        <v/>
      </c>
      <c r="AR118" s="42">
        <f>ROUND(AQ118*AR$6/12,2)</f>
        <v/>
      </c>
      <c r="AS118" s="42">
        <f>MIN(AS$6,AQ118+AR118)</f>
        <v/>
      </c>
      <c r="AT118" s="42">
        <f>MAX(0,MIN(AQ118+AR118-AS118,AP118))</f>
        <v/>
      </c>
      <c r="AU118" s="42">
        <f>ROUND(AQ118+AR118-AS118-AT118,2)</f>
        <v/>
      </c>
      <c r="AV118">
        <f>AP118-AT118</f>
        <v/>
      </c>
      <c r="AW118" s="42">
        <f>BA117</f>
        <v/>
      </c>
      <c r="AX118" s="42">
        <f>ROUND(AW118*AX$6/12,2)</f>
        <v/>
      </c>
      <c r="AY118" s="42">
        <f>MIN(AY$6,AW118+AX118)</f>
        <v/>
      </c>
      <c r="AZ118" s="42">
        <f>MAX(0,MIN(AW118+AX118-AY118,AV118))</f>
        <v/>
      </c>
      <c r="BA118" s="42">
        <f>ROUND(AW118+AX118-AY118-AZ118,2)</f>
        <v/>
      </c>
      <c r="BB118">
        <f>AV118-AZ118</f>
        <v/>
      </c>
      <c r="BC118" s="42">
        <f>BG117</f>
        <v/>
      </c>
      <c r="BD118" s="42">
        <f>ROUND(BC118*BD$6/12,2)</f>
        <v/>
      </c>
      <c r="BE118" s="42">
        <f>MIN(BE$6,BC118+BD118)</f>
        <v/>
      </c>
      <c r="BF118" s="42">
        <f>MAX(0,MIN(BC118+BD118-BE118,BB118))</f>
        <v/>
      </c>
      <c r="BG118" s="42">
        <f>ROUND(BC118+BD118-BE118-BF118,2)</f>
        <v/>
      </c>
      <c r="BH118">
        <f>BB118-BF118</f>
        <v/>
      </c>
      <c r="BI118" s="42">
        <f>BM117</f>
        <v/>
      </c>
      <c r="BJ118" s="42">
        <f>ROUND(BI118*BJ$6/12,2)</f>
        <v/>
      </c>
      <c r="BK118" s="42">
        <f>MIN(BK$6,BI118+BJ118)</f>
        <v/>
      </c>
      <c r="BL118" s="42">
        <f>MAX(0,MIN(BI118+BJ118-BK118,BH118))</f>
        <v/>
      </c>
      <c r="BM118" s="42">
        <f>ROUND(BI118+BJ118-BK118-BL118,2)</f>
        <v/>
      </c>
      <c r="BN118">
        <f>BH118-BL118</f>
        <v/>
      </c>
    </row>
    <row r="119">
      <c r="A119" s="43" t="n">
        <v>112</v>
      </c>
      <c r="B119" s="44">
        <f>EDATE('My Debts'!$C$6,A119-1)</f>
        <v/>
      </c>
      <c r="C119" s="45">
        <f>K119+Q119+W119+AC119+AI119+AO119+AU119+BA119+BG119+BM119</f>
        <v/>
      </c>
      <c r="D119" s="46">
        <f>I119+O119+U119+AA119+AG119+AM119+AS119+AY119+BE119+BK119+J119+P119+V119+AB119+AH119+AN119+AT119+AZ119+BF119+BL119</f>
        <v/>
      </c>
      <c r="E119" s="46">
        <f>H119+N119+T119+Z119+AF119+AL119+AR119+AX119+BD119+BJ119</f>
        <v/>
      </c>
      <c r="F119">
        <f>MAX(0,'My Debts'!$E$21-(I119+O119+U119+AA119+AG119+AM119+AS119+AY119+BE119+BK119))</f>
        <v/>
      </c>
      <c r="G119" s="42">
        <f>K118</f>
        <v/>
      </c>
      <c r="H119" s="42">
        <f>ROUND(G119*H$6/12,2)</f>
        <v/>
      </c>
      <c r="I119" s="42">
        <f>MIN(I$6,G119+H119)</f>
        <v/>
      </c>
      <c r="J119" s="42">
        <f>MAX(0,MIN(G119+H119-I119,$F119))</f>
        <v/>
      </c>
      <c r="K119" s="42">
        <f>ROUND(G119+H119-I119-J119,2)</f>
        <v/>
      </c>
      <c r="L119">
        <f>$F119-J119</f>
        <v/>
      </c>
      <c r="M119" s="42">
        <f>Q118</f>
        <v/>
      </c>
      <c r="N119" s="42">
        <f>ROUND(M119*N$6/12,2)</f>
        <v/>
      </c>
      <c r="O119" s="42">
        <f>MIN(O$6,M119+N119)</f>
        <v/>
      </c>
      <c r="P119" s="42">
        <f>MAX(0,MIN(M119+N119-O119,L119))</f>
        <v/>
      </c>
      <c r="Q119" s="42">
        <f>ROUND(M119+N119-O119-P119,2)</f>
        <v/>
      </c>
      <c r="R119">
        <f>L119-P119</f>
        <v/>
      </c>
      <c r="S119" s="42">
        <f>W118</f>
        <v/>
      </c>
      <c r="T119" s="42">
        <f>ROUND(S119*T$6/12,2)</f>
        <v/>
      </c>
      <c r="U119" s="42">
        <f>MIN(U$6,S119+T119)</f>
        <v/>
      </c>
      <c r="V119" s="42">
        <f>MAX(0,MIN(S119+T119-U119,R119))</f>
        <v/>
      </c>
      <c r="W119" s="42">
        <f>ROUND(S119+T119-U119-V119,2)</f>
        <v/>
      </c>
      <c r="X119">
        <f>R119-V119</f>
        <v/>
      </c>
      <c r="Y119" s="42">
        <f>AC118</f>
        <v/>
      </c>
      <c r="Z119" s="42">
        <f>ROUND(Y119*Z$6/12,2)</f>
        <v/>
      </c>
      <c r="AA119" s="42">
        <f>MIN(AA$6,Y119+Z119)</f>
        <v/>
      </c>
      <c r="AB119" s="42">
        <f>MAX(0,MIN(Y119+Z119-AA119,X119))</f>
        <v/>
      </c>
      <c r="AC119" s="42">
        <f>ROUND(Y119+Z119-AA119-AB119,2)</f>
        <v/>
      </c>
      <c r="AD119">
        <f>X119-AB119</f>
        <v/>
      </c>
      <c r="AE119" s="42">
        <f>AI118</f>
        <v/>
      </c>
      <c r="AF119" s="42">
        <f>ROUND(AE119*AF$6/12,2)</f>
        <v/>
      </c>
      <c r="AG119" s="42">
        <f>MIN(AG$6,AE119+AF119)</f>
        <v/>
      </c>
      <c r="AH119" s="42">
        <f>MAX(0,MIN(AE119+AF119-AG119,AD119))</f>
        <v/>
      </c>
      <c r="AI119" s="42">
        <f>ROUND(AE119+AF119-AG119-AH119,2)</f>
        <v/>
      </c>
      <c r="AJ119">
        <f>AD119-AH119</f>
        <v/>
      </c>
      <c r="AK119" s="42">
        <f>AO118</f>
        <v/>
      </c>
      <c r="AL119" s="42">
        <f>ROUND(AK119*AL$6/12,2)</f>
        <v/>
      </c>
      <c r="AM119" s="42">
        <f>MIN(AM$6,AK119+AL119)</f>
        <v/>
      </c>
      <c r="AN119" s="42">
        <f>MAX(0,MIN(AK119+AL119-AM119,AJ119))</f>
        <v/>
      </c>
      <c r="AO119" s="42">
        <f>ROUND(AK119+AL119-AM119-AN119,2)</f>
        <v/>
      </c>
      <c r="AP119">
        <f>AJ119-AN119</f>
        <v/>
      </c>
      <c r="AQ119" s="42">
        <f>AU118</f>
        <v/>
      </c>
      <c r="AR119" s="42">
        <f>ROUND(AQ119*AR$6/12,2)</f>
        <v/>
      </c>
      <c r="AS119" s="42">
        <f>MIN(AS$6,AQ119+AR119)</f>
        <v/>
      </c>
      <c r="AT119" s="42">
        <f>MAX(0,MIN(AQ119+AR119-AS119,AP119))</f>
        <v/>
      </c>
      <c r="AU119" s="42">
        <f>ROUND(AQ119+AR119-AS119-AT119,2)</f>
        <v/>
      </c>
      <c r="AV119">
        <f>AP119-AT119</f>
        <v/>
      </c>
      <c r="AW119" s="42">
        <f>BA118</f>
        <v/>
      </c>
      <c r="AX119" s="42">
        <f>ROUND(AW119*AX$6/12,2)</f>
        <v/>
      </c>
      <c r="AY119" s="42">
        <f>MIN(AY$6,AW119+AX119)</f>
        <v/>
      </c>
      <c r="AZ119" s="42">
        <f>MAX(0,MIN(AW119+AX119-AY119,AV119))</f>
        <v/>
      </c>
      <c r="BA119" s="42">
        <f>ROUND(AW119+AX119-AY119-AZ119,2)</f>
        <v/>
      </c>
      <c r="BB119">
        <f>AV119-AZ119</f>
        <v/>
      </c>
      <c r="BC119" s="42">
        <f>BG118</f>
        <v/>
      </c>
      <c r="BD119" s="42">
        <f>ROUND(BC119*BD$6/12,2)</f>
        <v/>
      </c>
      <c r="BE119" s="42">
        <f>MIN(BE$6,BC119+BD119)</f>
        <v/>
      </c>
      <c r="BF119" s="42">
        <f>MAX(0,MIN(BC119+BD119-BE119,BB119))</f>
        <v/>
      </c>
      <c r="BG119" s="42">
        <f>ROUND(BC119+BD119-BE119-BF119,2)</f>
        <v/>
      </c>
      <c r="BH119">
        <f>BB119-BF119</f>
        <v/>
      </c>
      <c r="BI119" s="42">
        <f>BM118</f>
        <v/>
      </c>
      <c r="BJ119" s="42">
        <f>ROUND(BI119*BJ$6/12,2)</f>
        <v/>
      </c>
      <c r="BK119" s="42">
        <f>MIN(BK$6,BI119+BJ119)</f>
        <v/>
      </c>
      <c r="BL119" s="42">
        <f>MAX(0,MIN(BI119+BJ119-BK119,BH119))</f>
        <v/>
      </c>
      <c r="BM119" s="42">
        <f>ROUND(BI119+BJ119-BK119-BL119,2)</f>
        <v/>
      </c>
      <c r="BN119">
        <f>BH119-BL119</f>
        <v/>
      </c>
    </row>
    <row r="120">
      <c r="A120" s="39" t="n">
        <v>113</v>
      </c>
      <c r="B120" s="40">
        <f>EDATE('My Debts'!$C$6,A120-1)</f>
        <v/>
      </c>
      <c r="C120" s="41">
        <f>K120+Q120+W120+AC120+AI120+AO120+AU120+BA120+BG120+BM120</f>
        <v/>
      </c>
      <c r="D120" s="42">
        <f>I120+O120+U120+AA120+AG120+AM120+AS120+AY120+BE120+BK120+J120+P120+V120+AB120+AH120+AN120+AT120+AZ120+BF120+BL120</f>
        <v/>
      </c>
      <c r="E120" s="42">
        <f>H120+N120+T120+Z120+AF120+AL120+AR120+AX120+BD120+BJ120</f>
        <v/>
      </c>
      <c r="F120">
        <f>MAX(0,'My Debts'!$E$21-(I120+O120+U120+AA120+AG120+AM120+AS120+AY120+BE120+BK120))</f>
        <v/>
      </c>
      <c r="G120" s="42">
        <f>K119</f>
        <v/>
      </c>
      <c r="H120" s="42">
        <f>ROUND(G120*H$6/12,2)</f>
        <v/>
      </c>
      <c r="I120" s="42">
        <f>MIN(I$6,G120+H120)</f>
        <v/>
      </c>
      <c r="J120" s="42">
        <f>MAX(0,MIN(G120+H120-I120,$F120))</f>
        <v/>
      </c>
      <c r="K120" s="42">
        <f>ROUND(G120+H120-I120-J120,2)</f>
        <v/>
      </c>
      <c r="L120">
        <f>$F120-J120</f>
        <v/>
      </c>
      <c r="M120" s="42">
        <f>Q119</f>
        <v/>
      </c>
      <c r="N120" s="42">
        <f>ROUND(M120*N$6/12,2)</f>
        <v/>
      </c>
      <c r="O120" s="42">
        <f>MIN(O$6,M120+N120)</f>
        <v/>
      </c>
      <c r="P120" s="42">
        <f>MAX(0,MIN(M120+N120-O120,L120))</f>
        <v/>
      </c>
      <c r="Q120" s="42">
        <f>ROUND(M120+N120-O120-P120,2)</f>
        <v/>
      </c>
      <c r="R120">
        <f>L120-P120</f>
        <v/>
      </c>
      <c r="S120" s="42">
        <f>W119</f>
        <v/>
      </c>
      <c r="T120" s="42">
        <f>ROUND(S120*T$6/12,2)</f>
        <v/>
      </c>
      <c r="U120" s="42">
        <f>MIN(U$6,S120+T120)</f>
        <v/>
      </c>
      <c r="V120" s="42">
        <f>MAX(0,MIN(S120+T120-U120,R120))</f>
        <v/>
      </c>
      <c r="W120" s="42">
        <f>ROUND(S120+T120-U120-V120,2)</f>
        <v/>
      </c>
      <c r="X120">
        <f>R120-V120</f>
        <v/>
      </c>
      <c r="Y120" s="42">
        <f>AC119</f>
        <v/>
      </c>
      <c r="Z120" s="42">
        <f>ROUND(Y120*Z$6/12,2)</f>
        <v/>
      </c>
      <c r="AA120" s="42">
        <f>MIN(AA$6,Y120+Z120)</f>
        <v/>
      </c>
      <c r="AB120" s="42">
        <f>MAX(0,MIN(Y120+Z120-AA120,X120))</f>
        <v/>
      </c>
      <c r="AC120" s="42">
        <f>ROUND(Y120+Z120-AA120-AB120,2)</f>
        <v/>
      </c>
      <c r="AD120">
        <f>X120-AB120</f>
        <v/>
      </c>
      <c r="AE120" s="42">
        <f>AI119</f>
        <v/>
      </c>
      <c r="AF120" s="42">
        <f>ROUND(AE120*AF$6/12,2)</f>
        <v/>
      </c>
      <c r="AG120" s="42">
        <f>MIN(AG$6,AE120+AF120)</f>
        <v/>
      </c>
      <c r="AH120" s="42">
        <f>MAX(0,MIN(AE120+AF120-AG120,AD120))</f>
        <v/>
      </c>
      <c r="AI120" s="42">
        <f>ROUND(AE120+AF120-AG120-AH120,2)</f>
        <v/>
      </c>
      <c r="AJ120">
        <f>AD120-AH120</f>
        <v/>
      </c>
      <c r="AK120" s="42">
        <f>AO119</f>
        <v/>
      </c>
      <c r="AL120" s="42">
        <f>ROUND(AK120*AL$6/12,2)</f>
        <v/>
      </c>
      <c r="AM120" s="42">
        <f>MIN(AM$6,AK120+AL120)</f>
        <v/>
      </c>
      <c r="AN120" s="42">
        <f>MAX(0,MIN(AK120+AL120-AM120,AJ120))</f>
        <v/>
      </c>
      <c r="AO120" s="42">
        <f>ROUND(AK120+AL120-AM120-AN120,2)</f>
        <v/>
      </c>
      <c r="AP120">
        <f>AJ120-AN120</f>
        <v/>
      </c>
      <c r="AQ120" s="42">
        <f>AU119</f>
        <v/>
      </c>
      <c r="AR120" s="42">
        <f>ROUND(AQ120*AR$6/12,2)</f>
        <v/>
      </c>
      <c r="AS120" s="42">
        <f>MIN(AS$6,AQ120+AR120)</f>
        <v/>
      </c>
      <c r="AT120" s="42">
        <f>MAX(0,MIN(AQ120+AR120-AS120,AP120))</f>
        <v/>
      </c>
      <c r="AU120" s="42">
        <f>ROUND(AQ120+AR120-AS120-AT120,2)</f>
        <v/>
      </c>
      <c r="AV120">
        <f>AP120-AT120</f>
        <v/>
      </c>
      <c r="AW120" s="42">
        <f>BA119</f>
        <v/>
      </c>
      <c r="AX120" s="42">
        <f>ROUND(AW120*AX$6/12,2)</f>
        <v/>
      </c>
      <c r="AY120" s="42">
        <f>MIN(AY$6,AW120+AX120)</f>
        <v/>
      </c>
      <c r="AZ120" s="42">
        <f>MAX(0,MIN(AW120+AX120-AY120,AV120))</f>
        <v/>
      </c>
      <c r="BA120" s="42">
        <f>ROUND(AW120+AX120-AY120-AZ120,2)</f>
        <v/>
      </c>
      <c r="BB120">
        <f>AV120-AZ120</f>
        <v/>
      </c>
      <c r="BC120" s="42">
        <f>BG119</f>
        <v/>
      </c>
      <c r="BD120" s="42">
        <f>ROUND(BC120*BD$6/12,2)</f>
        <v/>
      </c>
      <c r="BE120" s="42">
        <f>MIN(BE$6,BC120+BD120)</f>
        <v/>
      </c>
      <c r="BF120" s="42">
        <f>MAX(0,MIN(BC120+BD120-BE120,BB120))</f>
        <v/>
      </c>
      <c r="BG120" s="42">
        <f>ROUND(BC120+BD120-BE120-BF120,2)</f>
        <v/>
      </c>
      <c r="BH120">
        <f>BB120-BF120</f>
        <v/>
      </c>
      <c r="BI120" s="42">
        <f>BM119</f>
        <v/>
      </c>
      <c r="BJ120" s="42">
        <f>ROUND(BI120*BJ$6/12,2)</f>
        <v/>
      </c>
      <c r="BK120" s="42">
        <f>MIN(BK$6,BI120+BJ120)</f>
        <v/>
      </c>
      <c r="BL120" s="42">
        <f>MAX(0,MIN(BI120+BJ120-BK120,BH120))</f>
        <v/>
      </c>
      <c r="BM120" s="42">
        <f>ROUND(BI120+BJ120-BK120-BL120,2)</f>
        <v/>
      </c>
      <c r="BN120">
        <f>BH120-BL120</f>
        <v/>
      </c>
    </row>
    <row r="121">
      <c r="A121" s="43" t="n">
        <v>114</v>
      </c>
      <c r="B121" s="44">
        <f>EDATE('My Debts'!$C$6,A121-1)</f>
        <v/>
      </c>
      <c r="C121" s="45">
        <f>K121+Q121+W121+AC121+AI121+AO121+AU121+BA121+BG121+BM121</f>
        <v/>
      </c>
      <c r="D121" s="46">
        <f>I121+O121+U121+AA121+AG121+AM121+AS121+AY121+BE121+BK121+J121+P121+V121+AB121+AH121+AN121+AT121+AZ121+BF121+BL121</f>
        <v/>
      </c>
      <c r="E121" s="46">
        <f>H121+N121+T121+Z121+AF121+AL121+AR121+AX121+BD121+BJ121</f>
        <v/>
      </c>
      <c r="F121">
        <f>MAX(0,'My Debts'!$E$21-(I121+O121+U121+AA121+AG121+AM121+AS121+AY121+BE121+BK121))</f>
        <v/>
      </c>
      <c r="G121" s="42">
        <f>K120</f>
        <v/>
      </c>
      <c r="H121" s="42">
        <f>ROUND(G121*H$6/12,2)</f>
        <v/>
      </c>
      <c r="I121" s="42">
        <f>MIN(I$6,G121+H121)</f>
        <v/>
      </c>
      <c r="J121" s="42">
        <f>MAX(0,MIN(G121+H121-I121,$F121))</f>
        <v/>
      </c>
      <c r="K121" s="42">
        <f>ROUND(G121+H121-I121-J121,2)</f>
        <v/>
      </c>
      <c r="L121">
        <f>$F121-J121</f>
        <v/>
      </c>
      <c r="M121" s="42">
        <f>Q120</f>
        <v/>
      </c>
      <c r="N121" s="42">
        <f>ROUND(M121*N$6/12,2)</f>
        <v/>
      </c>
      <c r="O121" s="42">
        <f>MIN(O$6,M121+N121)</f>
        <v/>
      </c>
      <c r="P121" s="42">
        <f>MAX(0,MIN(M121+N121-O121,L121))</f>
        <v/>
      </c>
      <c r="Q121" s="42">
        <f>ROUND(M121+N121-O121-P121,2)</f>
        <v/>
      </c>
      <c r="R121">
        <f>L121-P121</f>
        <v/>
      </c>
      <c r="S121" s="42">
        <f>W120</f>
        <v/>
      </c>
      <c r="T121" s="42">
        <f>ROUND(S121*T$6/12,2)</f>
        <v/>
      </c>
      <c r="U121" s="42">
        <f>MIN(U$6,S121+T121)</f>
        <v/>
      </c>
      <c r="V121" s="42">
        <f>MAX(0,MIN(S121+T121-U121,R121))</f>
        <v/>
      </c>
      <c r="W121" s="42">
        <f>ROUND(S121+T121-U121-V121,2)</f>
        <v/>
      </c>
      <c r="X121">
        <f>R121-V121</f>
        <v/>
      </c>
      <c r="Y121" s="42">
        <f>AC120</f>
        <v/>
      </c>
      <c r="Z121" s="42">
        <f>ROUND(Y121*Z$6/12,2)</f>
        <v/>
      </c>
      <c r="AA121" s="42">
        <f>MIN(AA$6,Y121+Z121)</f>
        <v/>
      </c>
      <c r="AB121" s="42">
        <f>MAX(0,MIN(Y121+Z121-AA121,X121))</f>
        <v/>
      </c>
      <c r="AC121" s="42">
        <f>ROUND(Y121+Z121-AA121-AB121,2)</f>
        <v/>
      </c>
      <c r="AD121">
        <f>X121-AB121</f>
        <v/>
      </c>
      <c r="AE121" s="42">
        <f>AI120</f>
        <v/>
      </c>
      <c r="AF121" s="42">
        <f>ROUND(AE121*AF$6/12,2)</f>
        <v/>
      </c>
      <c r="AG121" s="42">
        <f>MIN(AG$6,AE121+AF121)</f>
        <v/>
      </c>
      <c r="AH121" s="42">
        <f>MAX(0,MIN(AE121+AF121-AG121,AD121))</f>
        <v/>
      </c>
      <c r="AI121" s="42">
        <f>ROUND(AE121+AF121-AG121-AH121,2)</f>
        <v/>
      </c>
      <c r="AJ121">
        <f>AD121-AH121</f>
        <v/>
      </c>
      <c r="AK121" s="42">
        <f>AO120</f>
        <v/>
      </c>
      <c r="AL121" s="42">
        <f>ROUND(AK121*AL$6/12,2)</f>
        <v/>
      </c>
      <c r="AM121" s="42">
        <f>MIN(AM$6,AK121+AL121)</f>
        <v/>
      </c>
      <c r="AN121" s="42">
        <f>MAX(0,MIN(AK121+AL121-AM121,AJ121))</f>
        <v/>
      </c>
      <c r="AO121" s="42">
        <f>ROUND(AK121+AL121-AM121-AN121,2)</f>
        <v/>
      </c>
      <c r="AP121">
        <f>AJ121-AN121</f>
        <v/>
      </c>
      <c r="AQ121" s="42">
        <f>AU120</f>
        <v/>
      </c>
      <c r="AR121" s="42">
        <f>ROUND(AQ121*AR$6/12,2)</f>
        <v/>
      </c>
      <c r="AS121" s="42">
        <f>MIN(AS$6,AQ121+AR121)</f>
        <v/>
      </c>
      <c r="AT121" s="42">
        <f>MAX(0,MIN(AQ121+AR121-AS121,AP121))</f>
        <v/>
      </c>
      <c r="AU121" s="42">
        <f>ROUND(AQ121+AR121-AS121-AT121,2)</f>
        <v/>
      </c>
      <c r="AV121">
        <f>AP121-AT121</f>
        <v/>
      </c>
      <c r="AW121" s="42">
        <f>BA120</f>
        <v/>
      </c>
      <c r="AX121" s="42">
        <f>ROUND(AW121*AX$6/12,2)</f>
        <v/>
      </c>
      <c r="AY121" s="42">
        <f>MIN(AY$6,AW121+AX121)</f>
        <v/>
      </c>
      <c r="AZ121" s="42">
        <f>MAX(0,MIN(AW121+AX121-AY121,AV121))</f>
        <v/>
      </c>
      <c r="BA121" s="42">
        <f>ROUND(AW121+AX121-AY121-AZ121,2)</f>
        <v/>
      </c>
      <c r="BB121">
        <f>AV121-AZ121</f>
        <v/>
      </c>
      <c r="BC121" s="42">
        <f>BG120</f>
        <v/>
      </c>
      <c r="BD121" s="42">
        <f>ROUND(BC121*BD$6/12,2)</f>
        <v/>
      </c>
      <c r="BE121" s="42">
        <f>MIN(BE$6,BC121+BD121)</f>
        <v/>
      </c>
      <c r="BF121" s="42">
        <f>MAX(0,MIN(BC121+BD121-BE121,BB121))</f>
        <v/>
      </c>
      <c r="BG121" s="42">
        <f>ROUND(BC121+BD121-BE121-BF121,2)</f>
        <v/>
      </c>
      <c r="BH121">
        <f>BB121-BF121</f>
        <v/>
      </c>
      <c r="BI121" s="42">
        <f>BM120</f>
        <v/>
      </c>
      <c r="BJ121" s="42">
        <f>ROUND(BI121*BJ$6/12,2)</f>
        <v/>
      </c>
      <c r="BK121" s="42">
        <f>MIN(BK$6,BI121+BJ121)</f>
        <v/>
      </c>
      <c r="BL121" s="42">
        <f>MAX(0,MIN(BI121+BJ121-BK121,BH121))</f>
        <v/>
      </c>
      <c r="BM121" s="42">
        <f>ROUND(BI121+BJ121-BK121-BL121,2)</f>
        <v/>
      </c>
      <c r="BN121">
        <f>BH121-BL121</f>
        <v/>
      </c>
    </row>
    <row r="122">
      <c r="A122" s="39" t="n">
        <v>115</v>
      </c>
      <c r="B122" s="40">
        <f>EDATE('My Debts'!$C$6,A122-1)</f>
        <v/>
      </c>
      <c r="C122" s="41">
        <f>K122+Q122+W122+AC122+AI122+AO122+AU122+BA122+BG122+BM122</f>
        <v/>
      </c>
      <c r="D122" s="42">
        <f>I122+O122+U122+AA122+AG122+AM122+AS122+AY122+BE122+BK122+J122+P122+V122+AB122+AH122+AN122+AT122+AZ122+BF122+BL122</f>
        <v/>
      </c>
      <c r="E122" s="42">
        <f>H122+N122+T122+Z122+AF122+AL122+AR122+AX122+BD122+BJ122</f>
        <v/>
      </c>
      <c r="F122">
        <f>MAX(0,'My Debts'!$E$21-(I122+O122+U122+AA122+AG122+AM122+AS122+AY122+BE122+BK122))</f>
        <v/>
      </c>
      <c r="G122" s="42">
        <f>K121</f>
        <v/>
      </c>
      <c r="H122" s="42">
        <f>ROUND(G122*H$6/12,2)</f>
        <v/>
      </c>
      <c r="I122" s="42">
        <f>MIN(I$6,G122+H122)</f>
        <v/>
      </c>
      <c r="J122" s="42">
        <f>MAX(0,MIN(G122+H122-I122,$F122))</f>
        <v/>
      </c>
      <c r="K122" s="42">
        <f>ROUND(G122+H122-I122-J122,2)</f>
        <v/>
      </c>
      <c r="L122">
        <f>$F122-J122</f>
        <v/>
      </c>
      <c r="M122" s="42">
        <f>Q121</f>
        <v/>
      </c>
      <c r="N122" s="42">
        <f>ROUND(M122*N$6/12,2)</f>
        <v/>
      </c>
      <c r="O122" s="42">
        <f>MIN(O$6,M122+N122)</f>
        <v/>
      </c>
      <c r="P122" s="42">
        <f>MAX(0,MIN(M122+N122-O122,L122))</f>
        <v/>
      </c>
      <c r="Q122" s="42">
        <f>ROUND(M122+N122-O122-P122,2)</f>
        <v/>
      </c>
      <c r="R122">
        <f>L122-P122</f>
        <v/>
      </c>
      <c r="S122" s="42">
        <f>W121</f>
        <v/>
      </c>
      <c r="T122" s="42">
        <f>ROUND(S122*T$6/12,2)</f>
        <v/>
      </c>
      <c r="U122" s="42">
        <f>MIN(U$6,S122+T122)</f>
        <v/>
      </c>
      <c r="V122" s="42">
        <f>MAX(0,MIN(S122+T122-U122,R122))</f>
        <v/>
      </c>
      <c r="W122" s="42">
        <f>ROUND(S122+T122-U122-V122,2)</f>
        <v/>
      </c>
      <c r="X122">
        <f>R122-V122</f>
        <v/>
      </c>
      <c r="Y122" s="42">
        <f>AC121</f>
        <v/>
      </c>
      <c r="Z122" s="42">
        <f>ROUND(Y122*Z$6/12,2)</f>
        <v/>
      </c>
      <c r="AA122" s="42">
        <f>MIN(AA$6,Y122+Z122)</f>
        <v/>
      </c>
      <c r="AB122" s="42">
        <f>MAX(0,MIN(Y122+Z122-AA122,X122))</f>
        <v/>
      </c>
      <c r="AC122" s="42">
        <f>ROUND(Y122+Z122-AA122-AB122,2)</f>
        <v/>
      </c>
      <c r="AD122">
        <f>X122-AB122</f>
        <v/>
      </c>
      <c r="AE122" s="42">
        <f>AI121</f>
        <v/>
      </c>
      <c r="AF122" s="42">
        <f>ROUND(AE122*AF$6/12,2)</f>
        <v/>
      </c>
      <c r="AG122" s="42">
        <f>MIN(AG$6,AE122+AF122)</f>
        <v/>
      </c>
      <c r="AH122" s="42">
        <f>MAX(0,MIN(AE122+AF122-AG122,AD122))</f>
        <v/>
      </c>
      <c r="AI122" s="42">
        <f>ROUND(AE122+AF122-AG122-AH122,2)</f>
        <v/>
      </c>
      <c r="AJ122">
        <f>AD122-AH122</f>
        <v/>
      </c>
      <c r="AK122" s="42">
        <f>AO121</f>
        <v/>
      </c>
      <c r="AL122" s="42">
        <f>ROUND(AK122*AL$6/12,2)</f>
        <v/>
      </c>
      <c r="AM122" s="42">
        <f>MIN(AM$6,AK122+AL122)</f>
        <v/>
      </c>
      <c r="AN122" s="42">
        <f>MAX(0,MIN(AK122+AL122-AM122,AJ122))</f>
        <v/>
      </c>
      <c r="AO122" s="42">
        <f>ROUND(AK122+AL122-AM122-AN122,2)</f>
        <v/>
      </c>
      <c r="AP122">
        <f>AJ122-AN122</f>
        <v/>
      </c>
      <c r="AQ122" s="42">
        <f>AU121</f>
        <v/>
      </c>
      <c r="AR122" s="42">
        <f>ROUND(AQ122*AR$6/12,2)</f>
        <v/>
      </c>
      <c r="AS122" s="42">
        <f>MIN(AS$6,AQ122+AR122)</f>
        <v/>
      </c>
      <c r="AT122" s="42">
        <f>MAX(0,MIN(AQ122+AR122-AS122,AP122))</f>
        <v/>
      </c>
      <c r="AU122" s="42">
        <f>ROUND(AQ122+AR122-AS122-AT122,2)</f>
        <v/>
      </c>
      <c r="AV122">
        <f>AP122-AT122</f>
        <v/>
      </c>
      <c r="AW122" s="42">
        <f>BA121</f>
        <v/>
      </c>
      <c r="AX122" s="42">
        <f>ROUND(AW122*AX$6/12,2)</f>
        <v/>
      </c>
      <c r="AY122" s="42">
        <f>MIN(AY$6,AW122+AX122)</f>
        <v/>
      </c>
      <c r="AZ122" s="42">
        <f>MAX(0,MIN(AW122+AX122-AY122,AV122))</f>
        <v/>
      </c>
      <c r="BA122" s="42">
        <f>ROUND(AW122+AX122-AY122-AZ122,2)</f>
        <v/>
      </c>
      <c r="BB122">
        <f>AV122-AZ122</f>
        <v/>
      </c>
      <c r="BC122" s="42">
        <f>BG121</f>
        <v/>
      </c>
      <c r="BD122" s="42">
        <f>ROUND(BC122*BD$6/12,2)</f>
        <v/>
      </c>
      <c r="BE122" s="42">
        <f>MIN(BE$6,BC122+BD122)</f>
        <v/>
      </c>
      <c r="BF122" s="42">
        <f>MAX(0,MIN(BC122+BD122-BE122,BB122))</f>
        <v/>
      </c>
      <c r="BG122" s="42">
        <f>ROUND(BC122+BD122-BE122-BF122,2)</f>
        <v/>
      </c>
      <c r="BH122">
        <f>BB122-BF122</f>
        <v/>
      </c>
      <c r="BI122" s="42">
        <f>BM121</f>
        <v/>
      </c>
      <c r="BJ122" s="42">
        <f>ROUND(BI122*BJ$6/12,2)</f>
        <v/>
      </c>
      <c r="BK122" s="42">
        <f>MIN(BK$6,BI122+BJ122)</f>
        <v/>
      </c>
      <c r="BL122" s="42">
        <f>MAX(0,MIN(BI122+BJ122-BK122,BH122))</f>
        <v/>
      </c>
      <c r="BM122" s="42">
        <f>ROUND(BI122+BJ122-BK122-BL122,2)</f>
        <v/>
      </c>
      <c r="BN122">
        <f>BH122-BL122</f>
        <v/>
      </c>
    </row>
    <row r="123">
      <c r="A123" s="43" t="n">
        <v>116</v>
      </c>
      <c r="B123" s="44">
        <f>EDATE('My Debts'!$C$6,A123-1)</f>
        <v/>
      </c>
      <c r="C123" s="45">
        <f>K123+Q123+W123+AC123+AI123+AO123+AU123+BA123+BG123+BM123</f>
        <v/>
      </c>
      <c r="D123" s="46">
        <f>I123+O123+U123+AA123+AG123+AM123+AS123+AY123+BE123+BK123+J123+P123+V123+AB123+AH123+AN123+AT123+AZ123+BF123+BL123</f>
        <v/>
      </c>
      <c r="E123" s="46">
        <f>H123+N123+T123+Z123+AF123+AL123+AR123+AX123+BD123+BJ123</f>
        <v/>
      </c>
      <c r="F123">
        <f>MAX(0,'My Debts'!$E$21-(I123+O123+U123+AA123+AG123+AM123+AS123+AY123+BE123+BK123))</f>
        <v/>
      </c>
      <c r="G123" s="42">
        <f>K122</f>
        <v/>
      </c>
      <c r="H123" s="42">
        <f>ROUND(G123*H$6/12,2)</f>
        <v/>
      </c>
      <c r="I123" s="42">
        <f>MIN(I$6,G123+H123)</f>
        <v/>
      </c>
      <c r="J123" s="42">
        <f>MAX(0,MIN(G123+H123-I123,$F123))</f>
        <v/>
      </c>
      <c r="K123" s="42">
        <f>ROUND(G123+H123-I123-J123,2)</f>
        <v/>
      </c>
      <c r="L123">
        <f>$F123-J123</f>
        <v/>
      </c>
      <c r="M123" s="42">
        <f>Q122</f>
        <v/>
      </c>
      <c r="N123" s="42">
        <f>ROUND(M123*N$6/12,2)</f>
        <v/>
      </c>
      <c r="O123" s="42">
        <f>MIN(O$6,M123+N123)</f>
        <v/>
      </c>
      <c r="P123" s="42">
        <f>MAX(0,MIN(M123+N123-O123,L123))</f>
        <v/>
      </c>
      <c r="Q123" s="42">
        <f>ROUND(M123+N123-O123-P123,2)</f>
        <v/>
      </c>
      <c r="R123">
        <f>L123-P123</f>
        <v/>
      </c>
      <c r="S123" s="42">
        <f>W122</f>
        <v/>
      </c>
      <c r="T123" s="42">
        <f>ROUND(S123*T$6/12,2)</f>
        <v/>
      </c>
      <c r="U123" s="42">
        <f>MIN(U$6,S123+T123)</f>
        <v/>
      </c>
      <c r="V123" s="42">
        <f>MAX(0,MIN(S123+T123-U123,R123))</f>
        <v/>
      </c>
      <c r="W123" s="42">
        <f>ROUND(S123+T123-U123-V123,2)</f>
        <v/>
      </c>
      <c r="X123">
        <f>R123-V123</f>
        <v/>
      </c>
      <c r="Y123" s="42">
        <f>AC122</f>
        <v/>
      </c>
      <c r="Z123" s="42">
        <f>ROUND(Y123*Z$6/12,2)</f>
        <v/>
      </c>
      <c r="AA123" s="42">
        <f>MIN(AA$6,Y123+Z123)</f>
        <v/>
      </c>
      <c r="AB123" s="42">
        <f>MAX(0,MIN(Y123+Z123-AA123,X123))</f>
        <v/>
      </c>
      <c r="AC123" s="42">
        <f>ROUND(Y123+Z123-AA123-AB123,2)</f>
        <v/>
      </c>
      <c r="AD123">
        <f>X123-AB123</f>
        <v/>
      </c>
      <c r="AE123" s="42">
        <f>AI122</f>
        <v/>
      </c>
      <c r="AF123" s="42">
        <f>ROUND(AE123*AF$6/12,2)</f>
        <v/>
      </c>
      <c r="AG123" s="42">
        <f>MIN(AG$6,AE123+AF123)</f>
        <v/>
      </c>
      <c r="AH123" s="42">
        <f>MAX(0,MIN(AE123+AF123-AG123,AD123))</f>
        <v/>
      </c>
      <c r="AI123" s="42">
        <f>ROUND(AE123+AF123-AG123-AH123,2)</f>
        <v/>
      </c>
      <c r="AJ123">
        <f>AD123-AH123</f>
        <v/>
      </c>
      <c r="AK123" s="42">
        <f>AO122</f>
        <v/>
      </c>
      <c r="AL123" s="42">
        <f>ROUND(AK123*AL$6/12,2)</f>
        <v/>
      </c>
      <c r="AM123" s="42">
        <f>MIN(AM$6,AK123+AL123)</f>
        <v/>
      </c>
      <c r="AN123" s="42">
        <f>MAX(0,MIN(AK123+AL123-AM123,AJ123))</f>
        <v/>
      </c>
      <c r="AO123" s="42">
        <f>ROUND(AK123+AL123-AM123-AN123,2)</f>
        <v/>
      </c>
      <c r="AP123">
        <f>AJ123-AN123</f>
        <v/>
      </c>
      <c r="AQ123" s="42">
        <f>AU122</f>
        <v/>
      </c>
      <c r="AR123" s="42">
        <f>ROUND(AQ123*AR$6/12,2)</f>
        <v/>
      </c>
      <c r="AS123" s="42">
        <f>MIN(AS$6,AQ123+AR123)</f>
        <v/>
      </c>
      <c r="AT123" s="42">
        <f>MAX(0,MIN(AQ123+AR123-AS123,AP123))</f>
        <v/>
      </c>
      <c r="AU123" s="42">
        <f>ROUND(AQ123+AR123-AS123-AT123,2)</f>
        <v/>
      </c>
      <c r="AV123">
        <f>AP123-AT123</f>
        <v/>
      </c>
      <c r="AW123" s="42">
        <f>BA122</f>
        <v/>
      </c>
      <c r="AX123" s="42">
        <f>ROUND(AW123*AX$6/12,2)</f>
        <v/>
      </c>
      <c r="AY123" s="42">
        <f>MIN(AY$6,AW123+AX123)</f>
        <v/>
      </c>
      <c r="AZ123" s="42">
        <f>MAX(0,MIN(AW123+AX123-AY123,AV123))</f>
        <v/>
      </c>
      <c r="BA123" s="42">
        <f>ROUND(AW123+AX123-AY123-AZ123,2)</f>
        <v/>
      </c>
      <c r="BB123">
        <f>AV123-AZ123</f>
        <v/>
      </c>
      <c r="BC123" s="42">
        <f>BG122</f>
        <v/>
      </c>
      <c r="BD123" s="42">
        <f>ROUND(BC123*BD$6/12,2)</f>
        <v/>
      </c>
      <c r="BE123" s="42">
        <f>MIN(BE$6,BC123+BD123)</f>
        <v/>
      </c>
      <c r="BF123" s="42">
        <f>MAX(0,MIN(BC123+BD123-BE123,BB123))</f>
        <v/>
      </c>
      <c r="BG123" s="42">
        <f>ROUND(BC123+BD123-BE123-BF123,2)</f>
        <v/>
      </c>
      <c r="BH123">
        <f>BB123-BF123</f>
        <v/>
      </c>
      <c r="BI123" s="42">
        <f>BM122</f>
        <v/>
      </c>
      <c r="BJ123" s="42">
        <f>ROUND(BI123*BJ$6/12,2)</f>
        <v/>
      </c>
      <c r="BK123" s="42">
        <f>MIN(BK$6,BI123+BJ123)</f>
        <v/>
      </c>
      <c r="BL123" s="42">
        <f>MAX(0,MIN(BI123+BJ123-BK123,BH123))</f>
        <v/>
      </c>
      <c r="BM123" s="42">
        <f>ROUND(BI123+BJ123-BK123-BL123,2)</f>
        <v/>
      </c>
      <c r="BN123">
        <f>BH123-BL123</f>
        <v/>
      </c>
    </row>
    <row r="124">
      <c r="A124" s="39" t="n">
        <v>117</v>
      </c>
      <c r="B124" s="40">
        <f>EDATE('My Debts'!$C$6,A124-1)</f>
        <v/>
      </c>
      <c r="C124" s="41">
        <f>K124+Q124+W124+AC124+AI124+AO124+AU124+BA124+BG124+BM124</f>
        <v/>
      </c>
      <c r="D124" s="42">
        <f>I124+O124+U124+AA124+AG124+AM124+AS124+AY124+BE124+BK124+J124+P124+V124+AB124+AH124+AN124+AT124+AZ124+BF124+BL124</f>
        <v/>
      </c>
      <c r="E124" s="42">
        <f>H124+N124+T124+Z124+AF124+AL124+AR124+AX124+BD124+BJ124</f>
        <v/>
      </c>
      <c r="F124">
        <f>MAX(0,'My Debts'!$E$21-(I124+O124+U124+AA124+AG124+AM124+AS124+AY124+BE124+BK124))</f>
        <v/>
      </c>
      <c r="G124" s="42">
        <f>K123</f>
        <v/>
      </c>
      <c r="H124" s="42">
        <f>ROUND(G124*H$6/12,2)</f>
        <v/>
      </c>
      <c r="I124" s="42">
        <f>MIN(I$6,G124+H124)</f>
        <v/>
      </c>
      <c r="J124" s="42">
        <f>MAX(0,MIN(G124+H124-I124,$F124))</f>
        <v/>
      </c>
      <c r="K124" s="42">
        <f>ROUND(G124+H124-I124-J124,2)</f>
        <v/>
      </c>
      <c r="L124">
        <f>$F124-J124</f>
        <v/>
      </c>
      <c r="M124" s="42">
        <f>Q123</f>
        <v/>
      </c>
      <c r="N124" s="42">
        <f>ROUND(M124*N$6/12,2)</f>
        <v/>
      </c>
      <c r="O124" s="42">
        <f>MIN(O$6,M124+N124)</f>
        <v/>
      </c>
      <c r="P124" s="42">
        <f>MAX(0,MIN(M124+N124-O124,L124))</f>
        <v/>
      </c>
      <c r="Q124" s="42">
        <f>ROUND(M124+N124-O124-P124,2)</f>
        <v/>
      </c>
      <c r="R124">
        <f>L124-P124</f>
        <v/>
      </c>
      <c r="S124" s="42">
        <f>W123</f>
        <v/>
      </c>
      <c r="T124" s="42">
        <f>ROUND(S124*T$6/12,2)</f>
        <v/>
      </c>
      <c r="U124" s="42">
        <f>MIN(U$6,S124+T124)</f>
        <v/>
      </c>
      <c r="V124" s="42">
        <f>MAX(0,MIN(S124+T124-U124,R124))</f>
        <v/>
      </c>
      <c r="W124" s="42">
        <f>ROUND(S124+T124-U124-V124,2)</f>
        <v/>
      </c>
      <c r="X124">
        <f>R124-V124</f>
        <v/>
      </c>
      <c r="Y124" s="42">
        <f>AC123</f>
        <v/>
      </c>
      <c r="Z124" s="42">
        <f>ROUND(Y124*Z$6/12,2)</f>
        <v/>
      </c>
      <c r="AA124" s="42">
        <f>MIN(AA$6,Y124+Z124)</f>
        <v/>
      </c>
      <c r="AB124" s="42">
        <f>MAX(0,MIN(Y124+Z124-AA124,X124))</f>
        <v/>
      </c>
      <c r="AC124" s="42">
        <f>ROUND(Y124+Z124-AA124-AB124,2)</f>
        <v/>
      </c>
      <c r="AD124">
        <f>X124-AB124</f>
        <v/>
      </c>
      <c r="AE124" s="42">
        <f>AI123</f>
        <v/>
      </c>
      <c r="AF124" s="42">
        <f>ROUND(AE124*AF$6/12,2)</f>
        <v/>
      </c>
      <c r="AG124" s="42">
        <f>MIN(AG$6,AE124+AF124)</f>
        <v/>
      </c>
      <c r="AH124" s="42">
        <f>MAX(0,MIN(AE124+AF124-AG124,AD124))</f>
        <v/>
      </c>
      <c r="AI124" s="42">
        <f>ROUND(AE124+AF124-AG124-AH124,2)</f>
        <v/>
      </c>
      <c r="AJ124">
        <f>AD124-AH124</f>
        <v/>
      </c>
      <c r="AK124" s="42">
        <f>AO123</f>
        <v/>
      </c>
      <c r="AL124" s="42">
        <f>ROUND(AK124*AL$6/12,2)</f>
        <v/>
      </c>
      <c r="AM124" s="42">
        <f>MIN(AM$6,AK124+AL124)</f>
        <v/>
      </c>
      <c r="AN124" s="42">
        <f>MAX(0,MIN(AK124+AL124-AM124,AJ124))</f>
        <v/>
      </c>
      <c r="AO124" s="42">
        <f>ROUND(AK124+AL124-AM124-AN124,2)</f>
        <v/>
      </c>
      <c r="AP124">
        <f>AJ124-AN124</f>
        <v/>
      </c>
      <c r="AQ124" s="42">
        <f>AU123</f>
        <v/>
      </c>
      <c r="AR124" s="42">
        <f>ROUND(AQ124*AR$6/12,2)</f>
        <v/>
      </c>
      <c r="AS124" s="42">
        <f>MIN(AS$6,AQ124+AR124)</f>
        <v/>
      </c>
      <c r="AT124" s="42">
        <f>MAX(0,MIN(AQ124+AR124-AS124,AP124))</f>
        <v/>
      </c>
      <c r="AU124" s="42">
        <f>ROUND(AQ124+AR124-AS124-AT124,2)</f>
        <v/>
      </c>
      <c r="AV124">
        <f>AP124-AT124</f>
        <v/>
      </c>
      <c r="AW124" s="42">
        <f>BA123</f>
        <v/>
      </c>
      <c r="AX124" s="42">
        <f>ROUND(AW124*AX$6/12,2)</f>
        <v/>
      </c>
      <c r="AY124" s="42">
        <f>MIN(AY$6,AW124+AX124)</f>
        <v/>
      </c>
      <c r="AZ124" s="42">
        <f>MAX(0,MIN(AW124+AX124-AY124,AV124))</f>
        <v/>
      </c>
      <c r="BA124" s="42">
        <f>ROUND(AW124+AX124-AY124-AZ124,2)</f>
        <v/>
      </c>
      <c r="BB124">
        <f>AV124-AZ124</f>
        <v/>
      </c>
      <c r="BC124" s="42">
        <f>BG123</f>
        <v/>
      </c>
      <c r="BD124" s="42">
        <f>ROUND(BC124*BD$6/12,2)</f>
        <v/>
      </c>
      <c r="BE124" s="42">
        <f>MIN(BE$6,BC124+BD124)</f>
        <v/>
      </c>
      <c r="BF124" s="42">
        <f>MAX(0,MIN(BC124+BD124-BE124,BB124))</f>
        <v/>
      </c>
      <c r="BG124" s="42">
        <f>ROUND(BC124+BD124-BE124-BF124,2)</f>
        <v/>
      </c>
      <c r="BH124">
        <f>BB124-BF124</f>
        <v/>
      </c>
      <c r="BI124" s="42">
        <f>BM123</f>
        <v/>
      </c>
      <c r="BJ124" s="42">
        <f>ROUND(BI124*BJ$6/12,2)</f>
        <v/>
      </c>
      <c r="BK124" s="42">
        <f>MIN(BK$6,BI124+BJ124)</f>
        <v/>
      </c>
      <c r="BL124" s="42">
        <f>MAX(0,MIN(BI124+BJ124-BK124,BH124))</f>
        <v/>
      </c>
      <c r="BM124" s="42">
        <f>ROUND(BI124+BJ124-BK124-BL124,2)</f>
        <v/>
      </c>
      <c r="BN124">
        <f>BH124-BL124</f>
        <v/>
      </c>
    </row>
    <row r="125">
      <c r="A125" s="43" t="n">
        <v>118</v>
      </c>
      <c r="B125" s="44">
        <f>EDATE('My Debts'!$C$6,A125-1)</f>
        <v/>
      </c>
      <c r="C125" s="45">
        <f>K125+Q125+W125+AC125+AI125+AO125+AU125+BA125+BG125+BM125</f>
        <v/>
      </c>
      <c r="D125" s="46">
        <f>I125+O125+U125+AA125+AG125+AM125+AS125+AY125+BE125+BK125+J125+P125+V125+AB125+AH125+AN125+AT125+AZ125+BF125+BL125</f>
        <v/>
      </c>
      <c r="E125" s="46">
        <f>H125+N125+T125+Z125+AF125+AL125+AR125+AX125+BD125+BJ125</f>
        <v/>
      </c>
      <c r="F125">
        <f>MAX(0,'My Debts'!$E$21-(I125+O125+U125+AA125+AG125+AM125+AS125+AY125+BE125+BK125))</f>
        <v/>
      </c>
      <c r="G125" s="42">
        <f>K124</f>
        <v/>
      </c>
      <c r="H125" s="42">
        <f>ROUND(G125*H$6/12,2)</f>
        <v/>
      </c>
      <c r="I125" s="42">
        <f>MIN(I$6,G125+H125)</f>
        <v/>
      </c>
      <c r="J125" s="42">
        <f>MAX(0,MIN(G125+H125-I125,$F125))</f>
        <v/>
      </c>
      <c r="K125" s="42">
        <f>ROUND(G125+H125-I125-J125,2)</f>
        <v/>
      </c>
      <c r="L125">
        <f>$F125-J125</f>
        <v/>
      </c>
      <c r="M125" s="42">
        <f>Q124</f>
        <v/>
      </c>
      <c r="N125" s="42">
        <f>ROUND(M125*N$6/12,2)</f>
        <v/>
      </c>
      <c r="O125" s="42">
        <f>MIN(O$6,M125+N125)</f>
        <v/>
      </c>
      <c r="P125" s="42">
        <f>MAX(0,MIN(M125+N125-O125,L125))</f>
        <v/>
      </c>
      <c r="Q125" s="42">
        <f>ROUND(M125+N125-O125-P125,2)</f>
        <v/>
      </c>
      <c r="R125">
        <f>L125-P125</f>
        <v/>
      </c>
      <c r="S125" s="42">
        <f>W124</f>
        <v/>
      </c>
      <c r="T125" s="42">
        <f>ROUND(S125*T$6/12,2)</f>
        <v/>
      </c>
      <c r="U125" s="42">
        <f>MIN(U$6,S125+T125)</f>
        <v/>
      </c>
      <c r="V125" s="42">
        <f>MAX(0,MIN(S125+T125-U125,R125))</f>
        <v/>
      </c>
      <c r="W125" s="42">
        <f>ROUND(S125+T125-U125-V125,2)</f>
        <v/>
      </c>
      <c r="X125">
        <f>R125-V125</f>
        <v/>
      </c>
      <c r="Y125" s="42">
        <f>AC124</f>
        <v/>
      </c>
      <c r="Z125" s="42">
        <f>ROUND(Y125*Z$6/12,2)</f>
        <v/>
      </c>
      <c r="AA125" s="42">
        <f>MIN(AA$6,Y125+Z125)</f>
        <v/>
      </c>
      <c r="AB125" s="42">
        <f>MAX(0,MIN(Y125+Z125-AA125,X125))</f>
        <v/>
      </c>
      <c r="AC125" s="42">
        <f>ROUND(Y125+Z125-AA125-AB125,2)</f>
        <v/>
      </c>
      <c r="AD125">
        <f>X125-AB125</f>
        <v/>
      </c>
      <c r="AE125" s="42">
        <f>AI124</f>
        <v/>
      </c>
      <c r="AF125" s="42">
        <f>ROUND(AE125*AF$6/12,2)</f>
        <v/>
      </c>
      <c r="AG125" s="42">
        <f>MIN(AG$6,AE125+AF125)</f>
        <v/>
      </c>
      <c r="AH125" s="42">
        <f>MAX(0,MIN(AE125+AF125-AG125,AD125))</f>
        <v/>
      </c>
      <c r="AI125" s="42">
        <f>ROUND(AE125+AF125-AG125-AH125,2)</f>
        <v/>
      </c>
      <c r="AJ125">
        <f>AD125-AH125</f>
        <v/>
      </c>
      <c r="AK125" s="42">
        <f>AO124</f>
        <v/>
      </c>
      <c r="AL125" s="42">
        <f>ROUND(AK125*AL$6/12,2)</f>
        <v/>
      </c>
      <c r="AM125" s="42">
        <f>MIN(AM$6,AK125+AL125)</f>
        <v/>
      </c>
      <c r="AN125" s="42">
        <f>MAX(0,MIN(AK125+AL125-AM125,AJ125))</f>
        <v/>
      </c>
      <c r="AO125" s="42">
        <f>ROUND(AK125+AL125-AM125-AN125,2)</f>
        <v/>
      </c>
      <c r="AP125">
        <f>AJ125-AN125</f>
        <v/>
      </c>
      <c r="AQ125" s="42">
        <f>AU124</f>
        <v/>
      </c>
      <c r="AR125" s="42">
        <f>ROUND(AQ125*AR$6/12,2)</f>
        <v/>
      </c>
      <c r="AS125" s="42">
        <f>MIN(AS$6,AQ125+AR125)</f>
        <v/>
      </c>
      <c r="AT125" s="42">
        <f>MAX(0,MIN(AQ125+AR125-AS125,AP125))</f>
        <v/>
      </c>
      <c r="AU125" s="42">
        <f>ROUND(AQ125+AR125-AS125-AT125,2)</f>
        <v/>
      </c>
      <c r="AV125">
        <f>AP125-AT125</f>
        <v/>
      </c>
      <c r="AW125" s="42">
        <f>BA124</f>
        <v/>
      </c>
      <c r="AX125" s="42">
        <f>ROUND(AW125*AX$6/12,2)</f>
        <v/>
      </c>
      <c r="AY125" s="42">
        <f>MIN(AY$6,AW125+AX125)</f>
        <v/>
      </c>
      <c r="AZ125" s="42">
        <f>MAX(0,MIN(AW125+AX125-AY125,AV125))</f>
        <v/>
      </c>
      <c r="BA125" s="42">
        <f>ROUND(AW125+AX125-AY125-AZ125,2)</f>
        <v/>
      </c>
      <c r="BB125">
        <f>AV125-AZ125</f>
        <v/>
      </c>
      <c r="BC125" s="42">
        <f>BG124</f>
        <v/>
      </c>
      <c r="BD125" s="42">
        <f>ROUND(BC125*BD$6/12,2)</f>
        <v/>
      </c>
      <c r="BE125" s="42">
        <f>MIN(BE$6,BC125+BD125)</f>
        <v/>
      </c>
      <c r="BF125" s="42">
        <f>MAX(0,MIN(BC125+BD125-BE125,BB125))</f>
        <v/>
      </c>
      <c r="BG125" s="42">
        <f>ROUND(BC125+BD125-BE125-BF125,2)</f>
        <v/>
      </c>
      <c r="BH125">
        <f>BB125-BF125</f>
        <v/>
      </c>
      <c r="BI125" s="42">
        <f>BM124</f>
        <v/>
      </c>
      <c r="BJ125" s="42">
        <f>ROUND(BI125*BJ$6/12,2)</f>
        <v/>
      </c>
      <c r="BK125" s="42">
        <f>MIN(BK$6,BI125+BJ125)</f>
        <v/>
      </c>
      <c r="BL125" s="42">
        <f>MAX(0,MIN(BI125+BJ125-BK125,BH125))</f>
        <v/>
      </c>
      <c r="BM125" s="42">
        <f>ROUND(BI125+BJ125-BK125-BL125,2)</f>
        <v/>
      </c>
      <c r="BN125">
        <f>BH125-BL125</f>
        <v/>
      </c>
    </row>
    <row r="126">
      <c r="A126" s="39" t="n">
        <v>119</v>
      </c>
      <c r="B126" s="40">
        <f>EDATE('My Debts'!$C$6,A126-1)</f>
        <v/>
      </c>
      <c r="C126" s="41">
        <f>K126+Q126+W126+AC126+AI126+AO126+AU126+BA126+BG126+BM126</f>
        <v/>
      </c>
      <c r="D126" s="42">
        <f>I126+O126+U126+AA126+AG126+AM126+AS126+AY126+BE126+BK126+J126+P126+V126+AB126+AH126+AN126+AT126+AZ126+BF126+BL126</f>
        <v/>
      </c>
      <c r="E126" s="42">
        <f>H126+N126+T126+Z126+AF126+AL126+AR126+AX126+BD126+BJ126</f>
        <v/>
      </c>
      <c r="F126">
        <f>MAX(0,'My Debts'!$E$21-(I126+O126+U126+AA126+AG126+AM126+AS126+AY126+BE126+BK126))</f>
        <v/>
      </c>
      <c r="G126" s="42">
        <f>K125</f>
        <v/>
      </c>
      <c r="H126" s="42">
        <f>ROUND(G126*H$6/12,2)</f>
        <v/>
      </c>
      <c r="I126" s="42">
        <f>MIN(I$6,G126+H126)</f>
        <v/>
      </c>
      <c r="J126" s="42">
        <f>MAX(0,MIN(G126+H126-I126,$F126))</f>
        <v/>
      </c>
      <c r="K126" s="42">
        <f>ROUND(G126+H126-I126-J126,2)</f>
        <v/>
      </c>
      <c r="L126">
        <f>$F126-J126</f>
        <v/>
      </c>
      <c r="M126" s="42">
        <f>Q125</f>
        <v/>
      </c>
      <c r="N126" s="42">
        <f>ROUND(M126*N$6/12,2)</f>
        <v/>
      </c>
      <c r="O126" s="42">
        <f>MIN(O$6,M126+N126)</f>
        <v/>
      </c>
      <c r="P126" s="42">
        <f>MAX(0,MIN(M126+N126-O126,L126))</f>
        <v/>
      </c>
      <c r="Q126" s="42">
        <f>ROUND(M126+N126-O126-P126,2)</f>
        <v/>
      </c>
      <c r="R126">
        <f>L126-P126</f>
        <v/>
      </c>
      <c r="S126" s="42">
        <f>W125</f>
        <v/>
      </c>
      <c r="T126" s="42">
        <f>ROUND(S126*T$6/12,2)</f>
        <v/>
      </c>
      <c r="U126" s="42">
        <f>MIN(U$6,S126+T126)</f>
        <v/>
      </c>
      <c r="V126" s="42">
        <f>MAX(0,MIN(S126+T126-U126,R126))</f>
        <v/>
      </c>
      <c r="W126" s="42">
        <f>ROUND(S126+T126-U126-V126,2)</f>
        <v/>
      </c>
      <c r="X126">
        <f>R126-V126</f>
        <v/>
      </c>
      <c r="Y126" s="42">
        <f>AC125</f>
        <v/>
      </c>
      <c r="Z126" s="42">
        <f>ROUND(Y126*Z$6/12,2)</f>
        <v/>
      </c>
      <c r="AA126" s="42">
        <f>MIN(AA$6,Y126+Z126)</f>
        <v/>
      </c>
      <c r="AB126" s="42">
        <f>MAX(0,MIN(Y126+Z126-AA126,X126))</f>
        <v/>
      </c>
      <c r="AC126" s="42">
        <f>ROUND(Y126+Z126-AA126-AB126,2)</f>
        <v/>
      </c>
      <c r="AD126">
        <f>X126-AB126</f>
        <v/>
      </c>
      <c r="AE126" s="42">
        <f>AI125</f>
        <v/>
      </c>
      <c r="AF126" s="42">
        <f>ROUND(AE126*AF$6/12,2)</f>
        <v/>
      </c>
      <c r="AG126" s="42">
        <f>MIN(AG$6,AE126+AF126)</f>
        <v/>
      </c>
      <c r="AH126" s="42">
        <f>MAX(0,MIN(AE126+AF126-AG126,AD126))</f>
        <v/>
      </c>
      <c r="AI126" s="42">
        <f>ROUND(AE126+AF126-AG126-AH126,2)</f>
        <v/>
      </c>
      <c r="AJ126">
        <f>AD126-AH126</f>
        <v/>
      </c>
      <c r="AK126" s="42">
        <f>AO125</f>
        <v/>
      </c>
      <c r="AL126" s="42">
        <f>ROUND(AK126*AL$6/12,2)</f>
        <v/>
      </c>
      <c r="AM126" s="42">
        <f>MIN(AM$6,AK126+AL126)</f>
        <v/>
      </c>
      <c r="AN126" s="42">
        <f>MAX(0,MIN(AK126+AL126-AM126,AJ126))</f>
        <v/>
      </c>
      <c r="AO126" s="42">
        <f>ROUND(AK126+AL126-AM126-AN126,2)</f>
        <v/>
      </c>
      <c r="AP126">
        <f>AJ126-AN126</f>
        <v/>
      </c>
      <c r="AQ126" s="42">
        <f>AU125</f>
        <v/>
      </c>
      <c r="AR126" s="42">
        <f>ROUND(AQ126*AR$6/12,2)</f>
        <v/>
      </c>
      <c r="AS126" s="42">
        <f>MIN(AS$6,AQ126+AR126)</f>
        <v/>
      </c>
      <c r="AT126" s="42">
        <f>MAX(0,MIN(AQ126+AR126-AS126,AP126))</f>
        <v/>
      </c>
      <c r="AU126" s="42">
        <f>ROUND(AQ126+AR126-AS126-AT126,2)</f>
        <v/>
      </c>
      <c r="AV126">
        <f>AP126-AT126</f>
        <v/>
      </c>
      <c r="AW126" s="42">
        <f>BA125</f>
        <v/>
      </c>
      <c r="AX126" s="42">
        <f>ROUND(AW126*AX$6/12,2)</f>
        <v/>
      </c>
      <c r="AY126" s="42">
        <f>MIN(AY$6,AW126+AX126)</f>
        <v/>
      </c>
      <c r="AZ126" s="42">
        <f>MAX(0,MIN(AW126+AX126-AY126,AV126))</f>
        <v/>
      </c>
      <c r="BA126" s="42">
        <f>ROUND(AW126+AX126-AY126-AZ126,2)</f>
        <v/>
      </c>
      <c r="BB126">
        <f>AV126-AZ126</f>
        <v/>
      </c>
      <c r="BC126" s="42">
        <f>BG125</f>
        <v/>
      </c>
      <c r="BD126" s="42">
        <f>ROUND(BC126*BD$6/12,2)</f>
        <v/>
      </c>
      <c r="BE126" s="42">
        <f>MIN(BE$6,BC126+BD126)</f>
        <v/>
      </c>
      <c r="BF126" s="42">
        <f>MAX(0,MIN(BC126+BD126-BE126,BB126))</f>
        <v/>
      </c>
      <c r="BG126" s="42">
        <f>ROUND(BC126+BD126-BE126-BF126,2)</f>
        <v/>
      </c>
      <c r="BH126">
        <f>BB126-BF126</f>
        <v/>
      </c>
      <c r="BI126" s="42">
        <f>BM125</f>
        <v/>
      </c>
      <c r="BJ126" s="42">
        <f>ROUND(BI126*BJ$6/12,2)</f>
        <v/>
      </c>
      <c r="BK126" s="42">
        <f>MIN(BK$6,BI126+BJ126)</f>
        <v/>
      </c>
      <c r="BL126" s="42">
        <f>MAX(0,MIN(BI126+BJ126-BK126,BH126))</f>
        <v/>
      </c>
      <c r="BM126" s="42">
        <f>ROUND(BI126+BJ126-BK126-BL126,2)</f>
        <v/>
      </c>
      <c r="BN126">
        <f>BH126-BL126</f>
        <v/>
      </c>
    </row>
    <row r="127">
      <c r="A127" s="43" t="n">
        <v>120</v>
      </c>
      <c r="B127" s="44">
        <f>EDATE('My Debts'!$C$6,A127-1)</f>
        <v/>
      </c>
      <c r="C127" s="45">
        <f>K127+Q127+W127+AC127+AI127+AO127+AU127+BA127+BG127+BM127</f>
        <v/>
      </c>
      <c r="D127" s="46">
        <f>I127+O127+U127+AA127+AG127+AM127+AS127+AY127+BE127+BK127+J127+P127+V127+AB127+AH127+AN127+AT127+AZ127+BF127+BL127</f>
        <v/>
      </c>
      <c r="E127" s="46">
        <f>H127+N127+T127+Z127+AF127+AL127+AR127+AX127+BD127+BJ127</f>
        <v/>
      </c>
      <c r="F127">
        <f>MAX(0,'My Debts'!$E$21-(I127+O127+U127+AA127+AG127+AM127+AS127+AY127+BE127+BK127))</f>
        <v/>
      </c>
      <c r="G127" s="42">
        <f>K126</f>
        <v/>
      </c>
      <c r="H127" s="42">
        <f>ROUND(G127*H$6/12,2)</f>
        <v/>
      </c>
      <c r="I127" s="42">
        <f>MIN(I$6,G127+H127)</f>
        <v/>
      </c>
      <c r="J127" s="42">
        <f>MAX(0,MIN(G127+H127-I127,$F127))</f>
        <v/>
      </c>
      <c r="K127" s="42">
        <f>ROUND(G127+H127-I127-J127,2)</f>
        <v/>
      </c>
      <c r="L127">
        <f>$F127-J127</f>
        <v/>
      </c>
      <c r="M127" s="42">
        <f>Q126</f>
        <v/>
      </c>
      <c r="N127" s="42">
        <f>ROUND(M127*N$6/12,2)</f>
        <v/>
      </c>
      <c r="O127" s="42">
        <f>MIN(O$6,M127+N127)</f>
        <v/>
      </c>
      <c r="P127" s="42">
        <f>MAX(0,MIN(M127+N127-O127,L127))</f>
        <v/>
      </c>
      <c r="Q127" s="42">
        <f>ROUND(M127+N127-O127-P127,2)</f>
        <v/>
      </c>
      <c r="R127">
        <f>L127-P127</f>
        <v/>
      </c>
      <c r="S127" s="42">
        <f>W126</f>
        <v/>
      </c>
      <c r="T127" s="42">
        <f>ROUND(S127*T$6/12,2)</f>
        <v/>
      </c>
      <c r="U127" s="42">
        <f>MIN(U$6,S127+T127)</f>
        <v/>
      </c>
      <c r="V127" s="42">
        <f>MAX(0,MIN(S127+T127-U127,R127))</f>
        <v/>
      </c>
      <c r="W127" s="42">
        <f>ROUND(S127+T127-U127-V127,2)</f>
        <v/>
      </c>
      <c r="X127">
        <f>R127-V127</f>
        <v/>
      </c>
      <c r="Y127" s="42">
        <f>AC126</f>
        <v/>
      </c>
      <c r="Z127" s="42">
        <f>ROUND(Y127*Z$6/12,2)</f>
        <v/>
      </c>
      <c r="AA127" s="42">
        <f>MIN(AA$6,Y127+Z127)</f>
        <v/>
      </c>
      <c r="AB127" s="42">
        <f>MAX(0,MIN(Y127+Z127-AA127,X127))</f>
        <v/>
      </c>
      <c r="AC127" s="42">
        <f>ROUND(Y127+Z127-AA127-AB127,2)</f>
        <v/>
      </c>
      <c r="AD127">
        <f>X127-AB127</f>
        <v/>
      </c>
      <c r="AE127" s="42">
        <f>AI126</f>
        <v/>
      </c>
      <c r="AF127" s="42">
        <f>ROUND(AE127*AF$6/12,2)</f>
        <v/>
      </c>
      <c r="AG127" s="42">
        <f>MIN(AG$6,AE127+AF127)</f>
        <v/>
      </c>
      <c r="AH127" s="42">
        <f>MAX(0,MIN(AE127+AF127-AG127,AD127))</f>
        <v/>
      </c>
      <c r="AI127" s="42">
        <f>ROUND(AE127+AF127-AG127-AH127,2)</f>
        <v/>
      </c>
      <c r="AJ127">
        <f>AD127-AH127</f>
        <v/>
      </c>
      <c r="AK127" s="42">
        <f>AO126</f>
        <v/>
      </c>
      <c r="AL127" s="42">
        <f>ROUND(AK127*AL$6/12,2)</f>
        <v/>
      </c>
      <c r="AM127" s="42">
        <f>MIN(AM$6,AK127+AL127)</f>
        <v/>
      </c>
      <c r="AN127" s="42">
        <f>MAX(0,MIN(AK127+AL127-AM127,AJ127))</f>
        <v/>
      </c>
      <c r="AO127" s="42">
        <f>ROUND(AK127+AL127-AM127-AN127,2)</f>
        <v/>
      </c>
      <c r="AP127">
        <f>AJ127-AN127</f>
        <v/>
      </c>
      <c r="AQ127" s="42">
        <f>AU126</f>
        <v/>
      </c>
      <c r="AR127" s="42">
        <f>ROUND(AQ127*AR$6/12,2)</f>
        <v/>
      </c>
      <c r="AS127" s="42">
        <f>MIN(AS$6,AQ127+AR127)</f>
        <v/>
      </c>
      <c r="AT127" s="42">
        <f>MAX(0,MIN(AQ127+AR127-AS127,AP127))</f>
        <v/>
      </c>
      <c r="AU127" s="42">
        <f>ROUND(AQ127+AR127-AS127-AT127,2)</f>
        <v/>
      </c>
      <c r="AV127">
        <f>AP127-AT127</f>
        <v/>
      </c>
      <c r="AW127" s="42">
        <f>BA126</f>
        <v/>
      </c>
      <c r="AX127" s="42">
        <f>ROUND(AW127*AX$6/12,2)</f>
        <v/>
      </c>
      <c r="AY127" s="42">
        <f>MIN(AY$6,AW127+AX127)</f>
        <v/>
      </c>
      <c r="AZ127" s="42">
        <f>MAX(0,MIN(AW127+AX127-AY127,AV127))</f>
        <v/>
      </c>
      <c r="BA127" s="42">
        <f>ROUND(AW127+AX127-AY127-AZ127,2)</f>
        <v/>
      </c>
      <c r="BB127">
        <f>AV127-AZ127</f>
        <v/>
      </c>
      <c r="BC127" s="42">
        <f>BG126</f>
        <v/>
      </c>
      <c r="BD127" s="42">
        <f>ROUND(BC127*BD$6/12,2)</f>
        <v/>
      </c>
      <c r="BE127" s="42">
        <f>MIN(BE$6,BC127+BD127)</f>
        <v/>
      </c>
      <c r="BF127" s="42">
        <f>MAX(0,MIN(BC127+BD127-BE127,BB127))</f>
        <v/>
      </c>
      <c r="BG127" s="42">
        <f>ROUND(BC127+BD127-BE127-BF127,2)</f>
        <v/>
      </c>
      <c r="BH127">
        <f>BB127-BF127</f>
        <v/>
      </c>
      <c r="BI127" s="42">
        <f>BM126</f>
        <v/>
      </c>
      <c r="BJ127" s="42">
        <f>ROUND(BI127*BJ$6/12,2)</f>
        <v/>
      </c>
      <c r="BK127" s="42">
        <f>MIN(BK$6,BI127+BJ127)</f>
        <v/>
      </c>
      <c r="BL127" s="42">
        <f>MAX(0,MIN(BI127+BJ127-BK127,BH127))</f>
        <v/>
      </c>
      <c r="BM127" s="42">
        <f>ROUND(BI127+BJ127-BK127-BL127,2)</f>
        <v/>
      </c>
      <c r="BN127">
        <f>BH127-BL127</f>
        <v/>
      </c>
    </row>
    <row r="128">
      <c r="A128" s="39" t="n">
        <v>121</v>
      </c>
      <c r="B128" s="40">
        <f>EDATE('My Debts'!$C$6,A128-1)</f>
        <v/>
      </c>
      <c r="C128" s="41">
        <f>K128+Q128+W128+AC128+AI128+AO128+AU128+BA128+BG128+BM128</f>
        <v/>
      </c>
      <c r="D128" s="42">
        <f>I128+O128+U128+AA128+AG128+AM128+AS128+AY128+BE128+BK128+J128+P128+V128+AB128+AH128+AN128+AT128+AZ128+BF128+BL128</f>
        <v/>
      </c>
      <c r="E128" s="42">
        <f>H128+N128+T128+Z128+AF128+AL128+AR128+AX128+BD128+BJ128</f>
        <v/>
      </c>
      <c r="F128">
        <f>MAX(0,'My Debts'!$E$21-(I128+O128+U128+AA128+AG128+AM128+AS128+AY128+BE128+BK128))</f>
        <v/>
      </c>
      <c r="G128" s="42">
        <f>K127</f>
        <v/>
      </c>
      <c r="H128" s="42">
        <f>ROUND(G128*H$6/12,2)</f>
        <v/>
      </c>
      <c r="I128" s="42">
        <f>MIN(I$6,G128+H128)</f>
        <v/>
      </c>
      <c r="J128" s="42">
        <f>MAX(0,MIN(G128+H128-I128,$F128))</f>
        <v/>
      </c>
      <c r="K128" s="42">
        <f>ROUND(G128+H128-I128-J128,2)</f>
        <v/>
      </c>
      <c r="L128">
        <f>$F128-J128</f>
        <v/>
      </c>
      <c r="M128" s="42">
        <f>Q127</f>
        <v/>
      </c>
      <c r="N128" s="42">
        <f>ROUND(M128*N$6/12,2)</f>
        <v/>
      </c>
      <c r="O128" s="42">
        <f>MIN(O$6,M128+N128)</f>
        <v/>
      </c>
      <c r="P128" s="42">
        <f>MAX(0,MIN(M128+N128-O128,L128))</f>
        <v/>
      </c>
      <c r="Q128" s="42">
        <f>ROUND(M128+N128-O128-P128,2)</f>
        <v/>
      </c>
      <c r="R128">
        <f>L128-P128</f>
        <v/>
      </c>
      <c r="S128" s="42">
        <f>W127</f>
        <v/>
      </c>
      <c r="T128" s="42">
        <f>ROUND(S128*T$6/12,2)</f>
        <v/>
      </c>
      <c r="U128" s="42">
        <f>MIN(U$6,S128+T128)</f>
        <v/>
      </c>
      <c r="V128" s="42">
        <f>MAX(0,MIN(S128+T128-U128,R128))</f>
        <v/>
      </c>
      <c r="W128" s="42">
        <f>ROUND(S128+T128-U128-V128,2)</f>
        <v/>
      </c>
      <c r="X128">
        <f>R128-V128</f>
        <v/>
      </c>
      <c r="Y128" s="42">
        <f>AC127</f>
        <v/>
      </c>
      <c r="Z128" s="42">
        <f>ROUND(Y128*Z$6/12,2)</f>
        <v/>
      </c>
      <c r="AA128" s="42">
        <f>MIN(AA$6,Y128+Z128)</f>
        <v/>
      </c>
      <c r="AB128" s="42">
        <f>MAX(0,MIN(Y128+Z128-AA128,X128))</f>
        <v/>
      </c>
      <c r="AC128" s="42">
        <f>ROUND(Y128+Z128-AA128-AB128,2)</f>
        <v/>
      </c>
      <c r="AD128">
        <f>X128-AB128</f>
        <v/>
      </c>
      <c r="AE128" s="42">
        <f>AI127</f>
        <v/>
      </c>
      <c r="AF128" s="42">
        <f>ROUND(AE128*AF$6/12,2)</f>
        <v/>
      </c>
      <c r="AG128" s="42">
        <f>MIN(AG$6,AE128+AF128)</f>
        <v/>
      </c>
      <c r="AH128" s="42">
        <f>MAX(0,MIN(AE128+AF128-AG128,AD128))</f>
        <v/>
      </c>
      <c r="AI128" s="42">
        <f>ROUND(AE128+AF128-AG128-AH128,2)</f>
        <v/>
      </c>
      <c r="AJ128">
        <f>AD128-AH128</f>
        <v/>
      </c>
      <c r="AK128" s="42">
        <f>AO127</f>
        <v/>
      </c>
      <c r="AL128" s="42">
        <f>ROUND(AK128*AL$6/12,2)</f>
        <v/>
      </c>
      <c r="AM128" s="42">
        <f>MIN(AM$6,AK128+AL128)</f>
        <v/>
      </c>
      <c r="AN128" s="42">
        <f>MAX(0,MIN(AK128+AL128-AM128,AJ128))</f>
        <v/>
      </c>
      <c r="AO128" s="42">
        <f>ROUND(AK128+AL128-AM128-AN128,2)</f>
        <v/>
      </c>
      <c r="AP128">
        <f>AJ128-AN128</f>
        <v/>
      </c>
      <c r="AQ128" s="42">
        <f>AU127</f>
        <v/>
      </c>
      <c r="AR128" s="42">
        <f>ROUND(AQ128*AR$6/12,2)</f>
        <v/>
      </c>
      <c r="AS128" s="42">
        <f>MIN(AS$6,AQ128+AR128)</f>
        <v/>
      </c>
      <c r="AT128" s="42">
        <f>MAX(0,MIN(AQ128+AR128-AS128,AP128))</f>
        <v/>
      </c>
      <c r="AU128" s="42">
        <f>ROUND(AQ128+AR128-AS128-AT128,2)</f>
        <v/>
      </c>
      <c r="AV128">
        <f>AP128-AT128</f>
        <v/>
      </c>
      <c r="AW128" s="42">
        <f>BA127</f>
        <v/>
      </c>
      <c r="AX128" s="42">
        <f>ROUND(AW128*AX$6/12,2)</f>
        <v/>
      </c>
      <c r="AY128" s="42">
        <f>MIN(AY$6,AW128+AX128)</f>
        <v/>
      </c>
      <c r="AZ128" s="42">
        <f>MAX(0,MIN(AW128+AX128-AY128,AV128))</f>
        <v/>
      </c>
      <c r="BA128" s="42">
        <f>ROUND(AW128+AX128-AY128-AZ128,2)</f>
        <v/>
      </c>
      <c r="BB128">
        <f>AV128-AZ128</f>
        <v/>
      </c>
      <c r="BC128" s="42">
        <f>BG127</f>
        <v/>
      </c>
      <c r="BD128" s="42">
        <f>ROUND(BC128*BD$6/12,2)</f>
        <v/>
      </c>
      <c r="BE128" s="42">
        <f>MIN(BE$6,BC128+BD128)</f>
        <v/>
      </c>
      <c r="BF128" s="42">
        <f>MAX(0,MIN(BC128+BD128-BE128,BB128))</f>
        <v/>
      </c>
      <c r="BG128" s="42">
        <f>ROUND(BC128+BD128-BE128-BF128,2)</f>
        <v/>
      </c>
      <c r="BH128">
        <f>BB128-BF128</f>
        <v/>
      </c>
      <c r="BI128" s="42">
        <f>BM127</f>
        <v/>
      </c>
      <c r="BJ128" s="42">
        <f>ROUND(BI128*BJ$6/12,2)</f>
        <v/>
      </c>
      <c r="BK128" s="42">
        <f>MIN(BK$6,BI128+BJ128)</f>
        <v/>
      </c>
      <c r="BL128" s="42">
        <f>MAX(0,MIN(BI128+BJ128-BK128,BH128))</f>
        <v/>
      </c>
      <c r="BM128" s="42">
        <f>ROUND(BI128+BJ128-BK128-BL128,2)</f>
        <v/>
      </c>
      <c r="BN128">
        <f>BH128-BL128</f>
        <v/>
      </c>
    </row>
    <row r="129">
      <c r="A129" s="43" t="n">
        <v>122</v>
      </c>
      <c r="B129" s="44">
        <f>EDATE('My Debts'!$C$6,A129-1)</f>
        <v/>
      </c>
      <c r="C129" s="45">
        <f>K129+Q129+W129+AC129+AI129+AO129+AU129+BA129+BG129+BM129</f>
        <v/>
      </c>
      <c r="D129" s="46">
        <f>I129+O129+U129+AA129+AG129+AM129+AS129+AY129+BE129+BK129+J129+P129+V129+AB129+AH129+AN129+AT129+AZ129+BF129+BL129</f>
        <v/>
      </c>
      <c r="E129" s="46">
        <f>H129+N129+T129+Z129+AF129+AL129+AR129+AX129+BD129+BJ129</f>
        <v/>
      </c>
      <c r="F129">
        <f>MAX(0,'My Debts'!$E$21-(I129+O129+U129+AA129+AG129+AM129+AS129+AY129+BE129+BK129))</f>
        <v/>
      </c>
      <c r="G129" s="42">
        <f>K128</f>
        <v/>
      </c>
      <c r="H129" s="42">
        <f>ROUND(G129*H$6/12,2)</f>
        <v/>
      </c>
      <c r="I129" s="42">
        <f>MIN(I$6,G129+H129)</f>
        <v/>
      </c>
      <c r="J129" s="42">
        <f>MAX(0,MIN(G129+H129-I129,$F129))</f>
        <v/>
      </c>
      <c r="K129" s="42">
        <f>ROUND(G129+H129-I129-J129,2)</f>
        <v/>
      </c>
      <c r="L129">
        <f>$F129-J129</f>
        <v/>
      </c>
      <c r="M129" s="42">
        <f>Q128</f>
        <v/>
      </c>
      <c r="N129" s="42">
        <f>ROUND(M129*N$6/12,2)</f>
        <v/>
      </c>
      <c r="O129" s="42">
        <f>MIN(O$6,M129+N129)</f>
        <v/>
      </c>
      <c r="P129" s="42">
        <f>MAX(0,MIN(M129+N129-O129,L129))</f>
        <v/>
      </c>
      <c r="Q129" s="42">
        <f>ROUND(M129+N129-O129-P129,2)</f>
        <v/>
      </c>
      <c r="R129">
        <f>L129-P129</f>
        <v/>
      </c>
      <c r="S129" s="42">
        <f>W128</f>
        <v/>
      </c>
      <c r="T129" s="42">
        <f>ROUND(S129*T$6/12,2)</f>
        <v/>
      </c>
      <c r="U129" s="42">
        <f>MIN(U$6,S129+T129)</f>
        <v/>
      </c>
      <c r="V129" s="42">
        <f>MAX(0,MIN(S129+T129-U129,R129))</f>
        <v/>
      </c>
      <c r="W129" s="42">
        <f>ROUND(S129+T129-U129-V129,2)</f>
        <v/>
      </c>
      <c r="X129">
        <f>R129-V129</f>
        <v/>
      </c>
      <c r="Y129" s="42">
        <f>AC128</f>
        <v/>
      </c>
      <c r="Z129" s="42">
        <f>ROUND(Y129*Z$6/12,2)</f>
        <v/>
      </c>
      <c r="AA129" s="42">
        <f>MIN(AA$6,Y129+Z129)</f>
        <v/>
      </c>
      <c r="AB129" s="42">
        <f>MAX(0,MIN(Y129+Z129-AA129,X129))</f>
        <v/>
      </c>
      <c r="AC129" s="42">
        <f>ROUND(Y129+Z129-AA129-AB129,2)</f>
        <v/>
      </c>
      <c r="AD129">
        <f>X129-AB129</f>
        <v/>
      </c>
      <c r="AE129" s="42">
        <f>AI128</f>
        <v/>
      </c>
      <c r="AF129" s="42">
        <f>ROUND(AE129*AF$6/12,2)</f>
        <v/>
      </c>
      <c r="AG129" s="42">
        <f>MIN(AG$6,AE129+AF129)</f>
        <v/>
      </c>
      <c r="AH129" s="42">
        <f>MAX(0,MIN(AE129+AF129-AG129,AD129))</f>
        <v/>
      </c>
      <c r="AI129" s="42">
        <f>ROUND(AE129+AF129-AG129-AH129,2)</f>
        <v/>
      </c>
      <c r="AJ129">
        <f>AD129-AH129</f>
        <v/>
      </c>
      <c r="AK129" s="42">
        <f>AO128</f>
        <v/>
      </c>
      <c r="AL129" s="42">
        <f>ROUND(AK129*AL$6/12,2)</f>
        <v/>
      </c>
      <c r="AM129" s="42">
        <f>MIN(AM$6,AK129+AL129)</f>
        <v/>
      </c>
      <c r="AN129" s="42">
        <f>MAX(0,MIN(AK129+AL129-AM129,AJ129))</f>
        <v/>
      </c>
      <c r="AO129" s="42">
        <f>ROUND(AK129+AL129-AM129-AN129,2)</f>
        <v/>
      </c>
      <c r="AP129">
        <f>AJ129-AN129</f>
        <v/>
      </c>
      <c r="AQ129" s="42">
        <f>AU128</f>
        <v/>
      </c>
      <c r="AR129" s="42">
        <f>ROUND(AQ129*AR$6/12,2)</f>
        <v/>
      </c>
      <c r="AS129" s="42">
        <f>MIN(AS$6,AQ129+AR129)</f>
        <v/>
      </c>
      <c r="AT129" s="42">
        <f>MAX(0,MIN(AQ129+AR129-AS129,AP129))</f>
        <v/>
      </c>
      <c r="AU129" s="42">
        <f>ROUND(AQ129+AR129-AS129-AT129,2)</f>
        <v/>
      </c>
      <c r="AV129">
        <f>AP129-AT129</f>
        <v/>
      </c>
      <c r="AW129" s="42">
        <f>BA128</f>
        <v/>
      </c>
      <c r="AX129" s="42">
        <f>ROUND(AW129*AX$6/12,2)</f>
        <v/>
      </c>
      <c r="AY129" s="42">
        <f>MIN(AY$6,AW129+AX129)</f>
        <v/>
      </c>
      <c r="AZ129" s="42">
        <f>MAX(0,MIN(AW129+AX129-AY129,AV129))</f>
        <v/>
      </c>
      <c r="BA129" s="42">
        <f>ROUND(AW129+AX129-AY129-AZ129,2)</f>
        <v/>
      </c>
      <c r="BB129">
        <f>AV129-AZ129</f>
        <v/>
      </c>
      <c r="BC129" s="42">
        <f>BG128</f>
        <v/>
      </c>
      <c r="BD129" s="42">
        <f>ROUND(BC129*BD$6/12,2)</f>
        <v/>
      </c>
      <c r="BE129" s="42">
        <f>MIN(BE$6,BC129+BD129)</f>
        <v/>
      </c>
      <c r="BF129" s="42">
        <f>MAX(0,MIN(BC129+BD129-BE129,BB129))</f>
        <v/>
      </c>
      <c r="BG129" s="42">
        <f>ROUND(BC129+BD129-BE129-BF129,2)</f>
        <v/>
      </c>
      <c r="BH129">
        <f>BB129-BF129</f>
        <v/>
      </c>
      <c r="BI129" s="42">
        <f>BM128</f>
        <v/>
      </c>
      <c r="BJ129" s="42">
        <f>ROUND(BI129*BJ$6/12,2)</f>
        <v/>
      </c>
      <c r="BK129" s="42">
        <f>MIN(BK$6,BI129+BJ129)</f>
        <v/>
      </c>
      <c r="BL129" s="42">
        <f>MAX(0,MIN(BI129+BJ129-BK129,BH129))</f>
        <v/>
      </c>
      <c r="BM129" s="42">
        <f>ROUND(BI129+BJ129-BK129-BL129,2)</f>
        <v/>
      </c>
      <c r="BN129">
        <f>BH129-BL129</f>
        <v/>
      </c>
    </row>
    <row r="130">
      <c r="A130" s="39" t="n">
        <v>123</v>
      </c>
      <c r="B130" s="40">
        <f>EDATE('My Debts'!$C$6,A130-1)</f>
        <v/>
      </c>
      <c r="C130" s="41">
        <f>K130+Q130+W130+AC130+AI130+AO130+AU130+BA130+BG130+BM130</f>
        <v/>
      </c>
      <c r="D130" s="42">
        <f>I130+O130+U130+AA130+AG130+AM130+AS130+AY130+BE130+BK130+J130+P130+V130+AB130+AH130+AN130+AT130+AZ130+BF130+BL130</f>
        <v/>
      </c>
      <c r="E130" s="42">
        <f>H130+N130+T130+Z130+AF130+AL130+AR130+AX130+BD130+BJ130</f>
        <v/>
      </c>
      <c r="F130">
        <f>MAX(0,'My Debts'!$E$21-(I130+O130+U130+AA130+AG130+AM130+AS130+AY130+BE130+BK130))</f>
        <v/>
      </c>
      <c r="G130" s="42">
        <f>K129</f>
        <v/>
      </c>
      <c r="H130" s="42">
        <f>ROUND(G130*H$6/12,2)</f>
        <v/>
      </c>
      <c r="I130" s="42">
        <f>MIN(I$6,G130+H130)</f>
        <v/>
      </c>
      <c r="J130" s="42">
        <f>MAX(0,MIN(G130+H130-I130,$F130))</f>
        <v/>
      </c>
      <c r="K130" s="42">
        <f>ROUND(G130+H130-I130-J130,2)</f>
        <v/>
      </c>
      <c r="L130">
        <f>$F130-J130</f>
        <v/>
      </c>
      <c r="M130" s="42">
        <f>Q129</f>
        <v/>
      </c>
      <c r="N130" s="42">
        <f>ROUND(M130*N$6/12,2)</f>
        <v/>
      </c>
      <c r="O130" s="42">
        <f>MIN(O$6,M130+N130)</f>
        <v/>
      </c>
      <c r="P130" s="42">
        <f>MAX(0,MIN(M130+N130-O130,L130))</f>
        <v/>
      </c>
      <c r="Q130" s="42">
        <f>ROUND(M130+N130-O130-P130,2)</f>
        <v/>
      </c>
      <c r="R130">
        <f>L130-P130</f>
        <v/>
      </c>
      <c r="S130" s="42">
        <f>W129</f>
        <v/>
      </c>
      <c r="T130" s="42">
        <f>ROUND(S130*T$6/12,2)</f>
        <v/>
      </c>
      <c r="U130" s="42">
        <f>MIN(U$6,S130+T130)</f>
        <v/>
      </c>
      <c r="V130" s="42">
        <f>MAX(0,MIN(S130+T130-U130,R130))</f>
        <v/>
      </c>
      <c r="W130" s="42">
        <f>ROUND(S130+T130-U130-V130,2)</f>
        <v/>
      </c>
      <c r="X130">
        <f>R130-V130</f>
        <v/>
      </c>
      <c r="Y130" s="42">
        <f>AC129</f>
        <v/>
      </c>
      <c r="Z130" s="42">
        <f>ROUND(Y130*Z$6/12,2)</f>
        <v/>
      </c>
      <c r="AA130" s="42">
        <f>MIN(AA$6,Y130+Z130)</f>
        <v/>
      </c>
      <c r="AB130" s="42">
        <f>MAX(0,MIN(Y130+Z130-AA130,X130))</f>
        <v/>
      </c>
      <c r="AC130" s="42">
        <f>ROUND(Y130+Z130-AA130-AB130,2)</f>
        <v/>
      </c>
      <c r="AD130">
        <f>X130-AB130</f>
        <v/>
      </c>
      <c r="AE130" s="42">
        <f>AI129</f>
        <v/>
      </c>
      <c r="AF130" s="42">
        <f>ROUND(AE130*AF$6/12,2)</f>
        <v/>
      </c>
      <c r="AG130" s="42">
        <f>MIN(AG$6,AE130+AF130)</f>
        <v/>
      </c>
      <c r="AH130" s="42">
        <f>MAX(0,MIN(AE130+AF130-AG130,AD130))</f>
        <v/>
      </c>
      <c r="AI130" s="42">
        <f>ROUND(AE130+AF130-AG130-AH130,2)</f>
        <v/>
      </c>
      <c r="AJ130">
        <f>AD130-AH130</f>
        <v/>
      </c>
      <c r="AK130" s="42">
        <f>AO129</f>
        <v/>
      </c>
      <c r="AL130" s="42">
        <f>ROUND(AK130*AL$6/12,2)</f>
        <v/>
      </c>
      <c r="AM130" s="42">
        <f>MIN(AM$6,AK130+AL130)</f>
        <v/>
      </c>
      <c r="AN130" s="42">
        <f>MAX(0,MIN(AK130+AL130-AM130,AJ130))</f>
        <v/>
      </c>
      <c r="AO130" s="42">
        <f>ROUND(AK130+AL130-AM130-AN130,2)</f>
        <v/>
      </c>
      <c r="AP130">
        <f>AJ130-AN130</f>
        <v/>
      </c>
      <c r="AQ130" s="42">
        <f>AU129</f>
        <v/>
      </c>
      <c r="AR130" s="42">
        <f>ROUND(AQ130*AR$6/12,2)</f>
        <v/>
      </c>
      <c r="AS130" s="42">
        <f>MIN(AS$6,AQ130+AR130)</f>
        <v/>
      </c>
      <c r="AT130" s="42">
        <f>MAX(0,MIN(AQ130+AR130-AS130,AP130))</f>
        <v/>
      </c>
      <c r="AU130" s="42">
        <f>ROUND(AQ130+AR130-AS130-AT130,2)</f>
        <v/>
      </c>
      <c r="AV130">
        <f>AP130-AT130</f>
        <v/>
      </c>
      <c r="AW130" s="42">
        <f>BA129</f>
        <v/>
      </c>
      <c r="AX130" s="42">
        <f>ROUND(AW130*AX$6/12,2)</f>
        <v/>
      </c>
      <c r="AY130" s="42">
        <f>MIN(AY$6,AW130+AX130)</f>
        <v/>
      </c>
      <c r="AZ130" s="42">
        <f>MAX(0,MIN(AW130+AX130-AY130,AV130))</f>
        <v/>
      </c>
      <c r="BA130" s="42">
        <f>ROUND(AW130+AX130-AY130-AZ130,2)</f>
        <v/>
      </c>
      <c r="BB130">
        <f>AV130-AZ130</f>
        <v/>
      </c>
      <c r="BC130" s="42">
        <f>BG129</f>
        <v/>
      </c>
      <c r="BD130" s="42">
        <f>ROUND(BC130*BD$6/12,2)</f>
        <v/>
      </c>
      <c r="BE130" s="42">
        <f>MIN(BE$6,BC130+BD130)</f>
        <v/>
      </c>
      <c r="BF130" s="42">
        <f>MAX(0,MIN(BC130+BD130-BE130,BB130))</f>
        <v/>
      </c>
      <c r="BG130" s="42">
        <f>ROUND(BC130+BD130-BE130-BF130,2)</f>
        <v/>
      </c>
      <c r="BH130">
        <f>BB130-BF130</f>
        <v/>
      </c>
      <c r="BI130" s="42">
        <f>BM129</f>
        <v/>
      </c>
      <c r="BJ130" s="42">
        <f>ROUND(BI130*BJ$6/12,2)</f>
        <v/>
      </c>
      <c r="BK130" s="42">
        <f>MIN(BK$6,BI130+BJ130)</f>
        <v/>
      </c>
      <c r="BL130" s="42">
        <f>MAX(0,MIN(BI130+BJ130-BK130,BH130))</f>
        <v/>
      </c>
      <c r="BM130" s="42">
        <f>ROUND(BI130+BJ130-BK130-BL130,2)</f>
        <v/>
      </c>
      <c r="BN130">
        <f>BH130-BL130</f>
        <v/>
      </c>
    </row>
    <row r="131">
      <c r="A131" s="43" t="n">
        <v>124</v>
      </c>
      <c r="B131" s="44">
        <f>EDATE('My Debts'!$C$6,A131-1)</f>
        <v/>
      </c>
      <c r="C131" s="45">
        <f>K131+Q131+W131+AC131+AI131+AO131+AU131+BA131+BG131+BM131</f>
        <v/>
      </c>
      <c r="D131" s="46">
        <f>I131+O131+U131+AA131+AG131+AM131+AS131+AY131+BE131+BK131+J131+P131+V131+AB131+AH131+AN131+AT131+AZ131+BF131+BL131</f>
        <v/>
      </c>
      <c r="E131" s="46">
        <f>H131+N131+T131+Z131+AF131+AL131+AR131+AX131+BD131+BJ131</f>
        <v/>
      </c>
      <c r="F131">
        <f>MAX(0,'My Debts'!$E$21-(I131+O131+U131+AA131+AG131+AM131+AS131+AY131+BE131+BK131))</f>
        <v/>
      </c>
      <c r="G131" s="42">
        <f>K130</f>
        <v/>
      </c>
      <c r="H131" s="42">
        <f>ROUND(G131*H$6/12,2)</f>
        <v/>
      </c>
      <c r="I131" s="42">
        <f>MIN(I$6,G131+H131)</f>
        <v/>
      </c>
      <c r="J131" s="42">
        <f>MAX(0,MIN(G131+H131-I131,$F131))</f>
        <v/>
      </c>
      <c r="K131" s="42">
        <f>ROUND(G131+H131-I131-J131,2)</f>
        <v/>
      </c>
      <c r="L131">
        <f>$F131-J131</f>
        <v/>
      </c>
      <c r="M131" s="42">
        <f>Q130</f>
        <v/>
      </c>
      <c r="N131" s="42">
        <f>ROUND(M131*N$6/12,2)</f>
        <v/>
      </c>
      <c r="O131" s="42">
        <f>MIN(O$6,M131+N131)</f>
        <v/>
      </c>
      <c r="P131" s="42">
        <f>MAX(0,MIN(M131+N131-O131,L131))</f>
        <v/>
      </c>
      <c r="Q131" s="42">
        <f>ROUND(M131+N131-O131-P131,2)</f>
        <v/>
      </c>
      <c r="R131">
        <f>L131-P131</f>
        <v/>
      </c>
      <c r="S131" s="42">
        <f>W130</f>
        <v/>
      </c>
      <c r="T131" s="42">
        <f>ROUND(S131*T$6/12,2)</f>
        <v/>
      </c>
      <c r="U131" s="42">
        <f>MIN(U$6,S131+T131)</f>
        <v/>
      </c>
      <c r="V131" s="42">
        <f>MAX(0,MIN(S131+T131-U131,R131))</f>
        <v/>
      </c>
      <c r="W131" s="42">
        <f>ROUND(S131+T131-U131-V131,2)</f>
        <v/>
      </c>
      <c r="X131">
        <f>R131-V131</f>
        <v/>
      </c>
      <c r="Y131" s="42">
        <f>AC130</f>
        <v/>
      </c>
      <c r="Z131" s="42">
        <f>ROUND(Y131*Z$6/12,2)</f>
        <v/>
      </c>
      <c r="AA131" s="42">
        <f>MIN(AA$6,Y131+Z131)</f>
        <v/>
      </c>
      <c r="AB131" s="42">
        <f>MAX(0,MIN(Y131+Z131-AA131,X131))</f>
        <v/>
      </c>
      <c r="AC131" s="42">
        <f>ROUND(Y131+Z131-AA131-AB131,2)</f>
        <v/>
      </c>
      <c r="AD131">
        <f>X131-AB131</f>
        <v/>
      </c>
      <c r="AE131" s="42">
        <f>AI130</f>
        <v/>
      </c>
      <c r="AF131" s="42">
        <f>ROUND(AE131*AF$6/12,2)</f>
        <v/>
      </c>
      <c r="AG131" s="42">
        <f>MIN(AG$6,AE131+AF131)</f>
        <v/>
      </c>
      <c r="AH131" s="42">
        <f>MAX(0,MIN(AE131+AF131-AG131,AD131))</f>
        <v/>
      </c>
      <c r="AI131" s="42">
        <f>ROUND(AE131+AF131-AG131-AH131,2)</f>
        <v/>
      </c>
      <c r="AJ131">
        <f>AD131-AH131</f>
        <v/>
      </c>
      <c r="AK131" s="42">
        <f>AO130</f>
        <v/>
      </c>
      <c r="AL131" s="42">
        <f>ROUND(AK131*AL$6/12,2)</f>
        <v/>
      </c>
      <c r="AM131" s="42">
        <f>MIN(AM$6,AK131+AL131)</f>
        <v/>
      </c>
      <c r="AN131" s="42">
        <f>MAX(0,MIN(AK131+AL131-AM131,AJ131))</f>
        <v/>
      </c>
      <c r="AO131" s="42">
        <f>ROUND(AK131+AL131-AM131-AN131,2)</f>
        <v/>
      </c>
      <c r="AP131">
        <f>AJ131-AN131</f>
        <v/>
      </c>
      <c r="AQ131" s="42">
        <f>AU130</f>
        <v/>
      </c>
      <c r="AR131" s="42">
        <f>ROUND(AQ131*AR$6/12,2)</f>
        <v/>
      </c>
      <c r="AS131" s="42">
        <f>MIN(AS$6,AQ131+AR131)</f>
        <v/>
      </c>
      <c r="AT131" s="42">
        <f>MAX(0,MIN(AQ131+AR131-AS131,AP131))</f>
        <v/>
      </c>
      <c r="AU131" s="42">
        <f>ROUND(AQ131+AR131-AS131-AT131,2)</f>
        <v/>
      </c>
      <c r="AV131">
        <f>AP131-AT131</f>
        <v/>
      </c>
      <c r="AW131" s="42">
        <f>BA130</f>
        <v/>
      </c>
      <c r="AX131" s="42">
        <f>ROUND(AW131*AX$6/12,2)</f>
        <v/>
      </c>
      <c r="AY131" s="42">
        <f>MIN(AY$6,AW131+AX131)</f>
        <v/>
      </c>
      <c r="AZ131" s="42">
        <f>MAX(0,MIN(AW131+AX131-AY131,AV131))</f>
        <v/>
      </c>
      <c r="BA131" s="42">
        <f>ROUND(AW131+AX131-AY131-AZ131,2)</f>
        <v/>
      </c>
      <c r="BB131">
        <f>AV131-AZ131</f>
        <v/>
      </c>
      <c r="BC131" s="42">
        <f>BG130</f>
        <v/>
      </c>
      <c r="BD131" s="42">
        <f>ROUND(BC131*BD$6/12,2)</f>
        <v/>
      </c>
      <c r="BE131" s="42">
        <f>MIN(BE$6,BC131+BD131)</f>
        <v/>
      </c>
      <c r="BF131" s="42">
        <f>MAX(0,MIN(BC131+BD131-BE131,BB131))</f>
        <v/>
      </c>
      <c r="BG131" s="42">
        <f>ROUND(BC131+BD131-BE131-BF131,2)</f>
        <v/>
      </c>
      <c r="BH131">
        <f>BB131-BF131</f>
        <v/>
      </c>
      <c r="BI131" s="42">
        <f>BM130</f>
        <v/>
      </c>
      <c r="BJ131" s="42">
        <f>ROUND(BI131*BJ$6/12,2)</f>
        <v/>
      </c>
      <c r="BK131" s="42">
        <f>MIN(BK$6,BI131+BJ131)</f>
        <v/>
      </c>
      <c r="BL131" s="42">
        <f>MAX(0,MIN(BI131+BJ131-BK131,BH131))</f>
        <v/>
      </c>
      <c r="BM131" s="42">
        <f>ROUND(BI131+BJ131-BK131-BL131,2)</f>
        <v/>
      </c>
      <c r="BN131">
        <f>BH131-BL131</f>
        <v/>
      </c>
    </row>
    <row r="132">
      <c r="A132" s="39" t="n">
        <v>125</v>
      </c>
      <c r="B132" s="40">
        <f>EDATE('My Debts'!$C$6,A132-1)</f>
        <v/>
      </c>
      <c r="C132" s="41">
        <f>K132+Q132+W132+AC132+AI132+AO132+AU132+BA132+BG132+BM132</f>
        <v/>
      </c>
      <c r="D132" s="42">
        <f>I132+O132+U132+AA132+AG132+AM132+AS132+AY132+BE132+BK132+J132+P132+V132+AB132+AH132+AN132+AT132+AZ132+BF132+BL132</f>
        <v/>
      </c>
      <c r="E132" s="42">
        <f>H132+N132+T132+Z132+AF132+AL132+AR132+AX132+BD132+BJ132</f>
        <v/>
      </c>
      <c r="F132">
        <f>MAX(0,'My Debts'!$E$21-(I132+O132+U132+AA132+AG132+AM132+AS132+AY132+BE132+BK132))</f>
        <v/>
      </c>
      <c r="G132" s="42">
        <f>K131</f>
        <v/>
      </c>
      <c r="H132" s="42">
        <f>ROUND(G132*H$6/12,2)</f>
        <v/>
      </c>
      <c r="I132" s="42">
        <f>MIN(I$6,G132+H132)</f>
        <v/>
      </c>
      <c r="J132" s="42">
        <f>MAX(0,MIN(G132+H132-I132,$F132))</f>
        <v/>
      </c>
      <c r="K132" s="42">
        <f>ROUND(G132+H132-I132-J132,2)</f>
        <v/>
      </c>
      <c r="L132">
        <f>$F132-J132</f>
        <v/>
      </c>
      <c r="M132" s="42">
        <f>Q131</f>
        <v/>
      </c>
      <c r="N132" s="42">
        <f>ROUND(M132*N$6/12,2)</f>
        <v/>
      </c>
      <c r="O132" s="42">
        <f>MIN(O$6,M132+N132)</f>
        <v/>
      </c>
      <c r="P132" s="42">
        <f>MAX(0,MIN(M132+N132-O132,L132))</f>
        <v/>
      </c>
      <c r="Q132" s="42">
        <f>ROUND(M132+N132-O132-P132,2)</f>
        <v/>
      </c>
      <c r="R132">
        <f>L132-P132</f>
        <v/>
      </c>
      <c r="S132" s="42">
        <f>W131</f>
        <v/>
      </c>
      <c r="T132" s="42">
        <f>ROUND(S132*T$6/12,2)</f>
        <v/>
      </c>
      <c r="U132" s="42">
        <f>MIN(U$6,S132+T132)</f>
        <v/>
      </c>
      <c r="V132" s="42">
        <f>MAX(0,MIN(S132+T132-U132,R132))</f>
        <v/>
      </c>
      <c r="W132" s="42">
        <f>ROUND(S132+T132-U132-V132,2)</f>
        <v/>
      </c>
      <c r="X132">
        <f>R132-V132</f>
        <v/>
      </c>
      <c r="Y132" s="42">
        <f>AC131</f>
        <v/>
      </c>
      <c r="Z132" s="42">
        <f>ROUND(Y132*Z$6/12,2)</f>
        <v/>
      </c>
      <c r="AA132" s="42">
        <f>MIN(AA$6,Y132+Z132)</f>
        <v/>
      </c>
      <c r="AB132" s="42">
        <f>MAX(0,MIN(Y132+Z132-AA132,X132))</f>
        <v/>
      </c>
      <c r="AC132" s="42">
        <f>ROUND(Y132+Z132-AA132-AB132,2)</f>
        <v/>
      </c>
      <c r="AD132">
        <f>X132-AB132</f>
        <v/>
      </c>
      <c r="AE132" s="42">
        <f>AI131</f>
        <v/>
      </c>
      <c r="AF132" s="42">
        <f>ROUND(AE132*AF$6/12,2)</f>
        <v/>
      </c>
      <c r="AG132" s="42">
        <f>MIN(AG$6,AE132+AF132)</f>
        <v/>
      </c>
      <c r="AH132" s="42">
        <f>MAX(0,MIN(AE132+AF132-AG132,AD132))</f>
        <v/>
      </c>
      <c r="AI132" s="42">
        <f>ROUND(AE132+AF132-AG132-AH132,2)</f>
        <v/>
      </c>
      <c r="AJ132">
        <f>AD132-AH132</f>
        <v/>
      </c>
      <c r="AK132" s="42">
        <f>AO131</f>
        <v/>
      </c>
      <c r="AL132" s="42">
        <f>ROUND(AK132*AL$6/12,2)</f>
        <v/>
      </c>
      <c r="AM132" s="42">
        <f>MIN(AM$6,AK132+AL132)</f>
        <v/>
      </c>
      <c r="AN132" s="42">
        <f>MAX(0,MIN(AK132+AL132-AM132,AJ132))</f>
        <v/>
      </c>
      <c r="AO132" s="42">
        <f>ROUND(AK132+AL132-AM132-AN132,2)</f>
        <v/>
      </c>
      <c r="AP132">
        <f>AJ132-AN132</f>
        <v/>
      </c>
      <c r="AQ132" s="42">
        <f>AU131</f>
        <v/>
      </c>
      <c r="AR132" s="42">
        <f>ROUND(AQ132*AR$6/12,2)</f>
        <v/>
      </c>
      <c r="AS132" s="42">
        <f>MIN(AS$6,AQ132+AR132)</f>
        <v/>
      </c>
      <c r="AT132" s="42">
        <f>MAX(0,MIN(AQ132+AR132-AS132,AP132))</f>
        <v/>
      </c>
      <c r="AU132" s="42">
        <f>ROUND(AQ132+AR132-AS132-AT132,2)</f>
        <v/>
      </c>
      <c r="AV132">
        <f>AP132-AT132</f>
        <v/>
      </c>
      <c r="AW132" s="42">
        <f>BA131</f>
        <v/>
      </c>
      <c r="AX132" s="42">
        <f>ROUND(AW132*AX$6/12,2)</f>
        <v/>
      </c>
      <c r="AY132" s="42">
        <f>MIN(AY$6,AW132+AX132)</f>
        <v/>
      </c>
      <c r="AZ132" s="42">
        <f>MAX(0,MIN(AW132+AX132-AY132,AV132))</f>
        <v/>
      </c>
      <c r="BA132" s="42">
        <f>ROUND(AW132+AX132-AY132-AZ132,2)</f>
        <v/>
      </c>
      <c r="BB132">
        <f>AV132-AZ132</f>
        <v/>
      </c>
      <c r="BC132" s="42">
        <f>BG131</f>
        <v/>
      </c>
      <c r="BD132" s="42">
        <f>ROUND(BC132*BD$6/12,2)</f>
        <v/>
      </c>
      <c r="BE132" s="42">
        <f>MIN(BE$6,BC132+BD132)</f>
        <v/>
      </c>
      <c r="BF132" s="42">
        <f>MAX(0,MIN(BC132+BD132-BE132,BB132))</f>
        <v/>
      </c>
      <c r="BG132" s="42">
        <f>ROUND(BC132+BD132-BE132-BF132,2)</f>
        <v/>
      </c>
      <c r="BH132">
        <f>BB132-BF132</f>
        <v/>
      </c>
      <c r="BI132" s="42">
        <f>BM131</f>
        <v/>
      </c>
      <c r="BJ132" s="42">
        <f>ROUND(BI132*BJ$6/12,2)</f>
        <v/>
      </c>
      <c r="BK132" s="42">
        <f>MIN(BK$6,BI132+BJ132)</f>
        <v/>
      </c>
      <c r="BL132" s="42">
        <f>MAX(0,MIN(BI132+BJ132-BK132,BH132))</f>
        <v/>
      </c>
      <c r="BM132" s="42">
        <f>ROUND(BI132+BJ132-BK132-BL132,2)</f>
        <v/>
      </c>
      <c r="BN132">
        <f>BH132-BL132</f>
        <v/>
      </c>
    </row>
    <row r="133">
      <c r="A133" s="43" t="n">
        <v>126</v>
      </c>
      <c r="B133" s="44">
        <f>EDATE('My Debts'!$C$6,A133-1)</f>
        <v/>
      </c>
      <c r="C133" s="45">
        <f>K133+Q133+W133+AC133+AI133+AO133+AU133+BA133+BG133+BM133</f>
        <v/>
      </c>
      <c r="D133" s="46">
        <f>I133+O133+U133+AA133+AG133+AM133+AS133+AY133+BE133+BK133+J133+P133+V133+AB133+AH133+AN133+AT133+AZ133+BF133+BL133</f>
        <v/>
      </c>
      <c r="E133" s="46">
        <f>H133+N133+T133+Z133+AF133+AL133+AR133+AX133+BD133+BJ133</f>
        <v/>
      </c>
      <c r="F133">
        <f>MAX(0,'My Debts'!$E$21-(I133+O133+U133+AA133+AG133+AM133+AS133+AY133+BE133+BK133))</f>
        <v/>
      </c>
      <c r="G133" s="42">
        <f>K132</f>
        <v/>
      </c>
      <c r="H133" s="42">
        <f>ROUND(G133*H$6/12,2)</f>
        <v/>
      </c>
      <c r="I133" s="42">
        <f>MIN(I$6,G133+H133)</f>
        <v/>
      </c>
      <c r="J133" s="42">
        <f>MAX(0,MIN(G133+H133-I133,$F133))</f>
        <v/>
      </c>
      <c r="K133" s="42">
        <f>ROUND(G133+H133-I133-J133,2)</f>
        <v/>
      </c>
      <c r="L133">
        <f>$F133-J133</f>
        <v/>
      </c>
      <c r="M133" s="42">
        <f>Q132</f>
        <v/>
      </c>
      <c r="N133" s="42">
        <f>ROUND(M133*N$6/12,2)</f>
        <v/>
      </c>
      <c r="O133" s="42">
        <f>MIN(O$6,M133+N133)</f>
        <v/>
      </c>
      <c r="P133" s="42">
        <f>MAX(0,MIN(M133+N133-O133,L133))</f>
        <v/>
      </c>
      <c r="Q133" s="42">
        <f>ROUND(M133+N133-O133-P133,2)</f>
        <v/>
      </c>
      <c r="R133">
        <f>L133-P133</f>
        <v/>
      </c>
      <c r="S133" s="42">
        <f>W132</f>
        <v/>
      </c>
      <c r="T133" s="42">
        <f>ROUND(S133*T$6/12,2)</f>
        <v/>
      </c>
      <c r="U133" s="42">
        <f>MIN(U$6,S133+T133)</f>
        <v/>
      </c>
      <c r="V133" s="42">
        <f>MAX(0,MIN(S133+T133-U133,R133))</f>
        <v/>
      </c>
      <c r="W133" s="42">
        <f>ROUND(S133+T133-U133-V133,2)</f>
        <v/>
      </c>
      <c r="X133">
        <f>R133-V133</f>
        <v/>
      </c>
      <c r="Y133" s="42">
        <f>AC132</f>
        <v/>
      </c>
      <c r="Z133" s="42">
        <f>ROUND(Y133*Z$6/12,2)</f>
        <v/>
      </c>
      <c r="AA133" s="42">
        <f>MIN(AA$6,Y133+Z133)</f>
        <v/>
      </c>
      <c r="AB133" s="42">
        <f>MAX(0,MIN(Y133+Z133-AA133,X133))</f>
        <v/>
      </c>
      <c r="AC133" s="42">
        <f>ROUND(Y133+Z133-AA133-AB133,2)</f>
        <v/>
      </c>
      <c r="AD133">
        <f>X133-AB133</f>
        <v/>
      </c>
      <c r="AE133" s="42">
        <f>AI132</f>
        <v/>
      </c>
      <c r="AF133" s="42">
        <f>ROUND(AE133*AF$6/12,2)</f>
        <v/>
      </c>
      <c r="AG133" s="42">
        <f>MIN(AG$6,AE133+AF133)</f>
        <v/>
      </c>
      <c r="AH133" s="42">
        <f>MAX(0,MIN(AE133+AF133-AG133,AD133))</f>
        <v/>
      </c>
      <c r="AI133" s="42">
        <f>ROUND(AE133+AF133-AG133-AH133,2)</f>
        <v/>
      </c>
      <c r="AJ133">
        <f>AD133-AH133</f>
        <v/>
      </c>
      <c r="AK133" s="42">
        <f>AO132</f>
        <v/>
      </c>
      <c r="AL133" s="42">
        <f>ROUND(AK133*AL$6/12,2)</f>
        <v/>
      </c>
      <c r="AM133" s="42">
        <f>MIN(AM$6,AK133+AL133)</f>
        <v/>
      </c>
      <c r="AN133" s="42">
        <f>MAX(0,MIN(AK133+AL133-AM133,AJ133))</f>
        <v/>
      </c>
      <c r="AO133" s="42">
        <f>ROUND(AK133+AL133-AM133-AN133,2)</f>
        <v/>
      </c>
      <c r="AP133">
        <f>AJ133-AN133</f>
        <v/>
      </c>
      <c r="AQ133" s="42">
        <f>AU132</f>
        <v/>
      </c>
      <c r="AR133" s="42">
        <f>ROUND(AQ133*AR$6/12,2)</f>
        <v/>
      </c>
      <c r="AS133" s="42">
        <f>MIN(AS$6,AQ133+AR133)</f>
        <v/>
      </c>
      <c r="AT133" s="42">
        <f>MAX(0,MIN(AQ133+AR133-AS133,AP133))</f>
        <v/>
      </c>
      <c r="AU133" s="42">
        <f>ROUND(AQ133+AR133-AS133-AT133,2)</f>
        <v/>
      </c>
      <c r="AV133">
        <f>AP133-AT133</f>
        <v/>
      </c>
      <c r="AW133" s="42">
        <f>BA132</f>
        <v/>
      </c>
      <c r="AX133" s="42">
        <f>ROUND(AW133*AX$6/12,2)</f>
        <v/>
      </c>
      <c r="AY133" s="42">
        <f>MIN(AY$6,AW133+AX133)</f>
        <v/>
      </c>
      <c r="AZ133" s="42">
        <f>MAX(0,MIN(AW133+AX133-AY133,AV133))</f>
        <v/>
      </c>
      <c r="BA133" s="42">
        <f>ROUND(AW133+AX133-AY133-AZ133,2)</f>
        <v/>
      </c>
      <c r="BB133">
        <f>AV133-AZ133</f>
        <v/>
      </c>
      <c r="BC133" s="42">
        <f>BG132</f>
        <v/>
      </c>
      <c r="BD133" s="42">
        <f>ROUND(BC133*BD$6/12,2)</f>
        <v/>
      </c>
      <c r="BE133" s="42">
        <f>MIN(BE$6,BC133+BD133)</f>
        <v/>
      </c>
      <c r="BF133" s="42">
        <f>MAX(0,MIN(BC133+BD133-BE133,BB133))</f>
        <v/>
      </c>
      <c r="BG133" s="42">
        <f>ROUND(BC133+BD133-BE133-BF133,2)</f>
        <v/>
      </c>
      <c r="BH133">
        <f>BB133-BF133</f>
        <v/>
      </c>
      <c r="BI133" s="42">
        <f>BM132</f>
        <v/>
      </c>
      <c r="BJ133" s="42">
        <f>ROUND(BI133*BJ$6/12,2)</f>
        <v/>
      </c>
      <c r="BK133" s="42">
        <f>MIN(BK$6,BI133+BJ133)</f>
        <v/>
      </c>
      <c r="BL133" s="42">
        <f>MAX(0,MIN(BI133+BJ133-BK133,BH133))</f>
        <v/>
      </c>
      <c r="BM133" s="42">
        <f>ROUND(BI133+BJ133-BK133-BL133,2)</f>
        <v/>
      </c>
      <c r="BN133">
        <f>BH133-BL133</f>
        <v/>
      </c>
    </row>
    <row r="134">
      <c r="A134" s="39" t="n">
        <v>127</v>
      </c>
      <c r="B134" s="40">
        <f>EDATE('My Debts'!$C$6,A134-1)</f>
        <v/>
      </c>
      <c r="C134" s="41">
        <f>K134+Q134+W134+AC134+AI134+AO134+AU134+BA134+BG134+BM134</f>
        <v/>
      </c>
      <c r="D134" s="42">
        <f>I134+O134+U134+AA134+AG134+AM134+AS134+AY134+BE134+BK134+J134+P134+V134+AB134+AH134+AN134+AT134+AZ134+BF134+BL134</f>
        <v/>
      </c>
      <c r="E134" s="42">
        <f>H134+N134+T134+Z134+AF134+AL134+AR134+AX134+BD134+BJ134</f>
        <v/>
      </c>
      <c r="F134">
        <f>MAX(0,'My Debts'!$E$21-(I134+O134+U134+AA134+AG134+AM134+AS134+AY134+BE134+BK134))</f>
        <v/>
      </c>
      <c r="G134" s="42">
        <f>K133</f>
        <v/>
      </c>
      <c r="H134" s="42">
        <f>ROUND(G134*H$6/12,2)</f>
        <v/>
      </c>
      <c r="I134" s="42">
        <f>MIN(I$6,G134+H134)</f>
        <v/>
      </c>
      <c r="J134" s="42">
        <f>MAX(0,MIN(G134+H134-I134,$F134))</f>
        <v/>
      </c>
      <c r="K134" s="42">
        <f>ROUND(G134+H134-I134-J134,2)</f>
        <v/>
      </c>
      <c r="L134">
        <f>$F134-J134</f>
        <v/>
      </c>
      <c r="M134" s="42">
        <f>Q133</f>
        <v/>
      </c>
      <c r="N134" s="42">
        <f>ROUND(M134*N$6/12,2)</f>
        <v/>
      </c>
      <c r="O134" s="42">
        <f>MIN(O$6,M134+N134)</f>
        <v/>
      </c>
      <c r="P134" s="42">
        <f>MAX(0,MIN(M134+N134-O134,L134))</f>
        <v/>
      </c>
      <c r="Q134" s="42">
        <f>ROUND(M134+N134-O134-P134,2)</f>
        <v/>
      </c>
      <c r="R134">
        <f>L134-P134</f>
        <v/>
      </c>
      <c r="S134" s="42">
        <f>W133</f>
        <v/>
      </c>
      <c r="T134" s="42">
        <f>ROUND(S134*T$6/12,2)</f>
        <v/>
      </c>
      <c r="U134" s="42">
        <f>MIN(U$6,S134+T134)</f>
        <v/>
      </c>
      <c r="V134" s="42">
        <f>MAX(0,MIN(S134+T134-U134,R134))</f>
        <v/>
      </c>
      <c r="W134" s="42">
        <f>ROUND(S134+T134-U134-V134,2)</f>
        <v/>
      </c>
      <c r="X134">
        <f>R134-V134</f>
        <v/>
      </c>
      <c r="Y134" s="42">
        <f>AC133</f>
        <v/>
      </c>
      <c r="Z134" s="42">
        <f>ROUND(Y134*Z$6/12,2)</f>
        <v/>
      </c>
      <c r="AA134" s="42">
        <f>MIN(AA$6,Y134+Z134)</f>
        <v/>
      </c>
      <c r="AB134" s="42">
        <f>MAX(0,MIN(Y134+Z134-AA134,X134))</f>
        <v/>
      </c>
      <c r="AC134" s="42">
        <f>ROUND(Y134+Z134-AA134-AB134,2)</f>
        <v/>
      </c>
      <c r="AD134">
        <f>X134-AB134</f>
        <v/>
      </c>
      <c r="AE134" s="42">
        <f>AI133</f>
        <v/>
      </c>
      <c r="AF134" s="42">
        <f>ROUND(AE134*AF$6/12,2)</f>
        <v/>
      </c>
      <c r="AG134" s="42">
        <f>MIN(AG$6,AE134+AF134)</f>
        <v/>
      </c>
      <c r="AH134" s="42">
        <f>MAX(0,MIN(AE134+AF134-AG134,AD134))</f>
        <v/>
      </c>
      <c r="AI134" s="42">
        <f>ROUND(AE134+AF134-AG134-AH134,2)</f>
        <v/>
      </c>
      <c r="AJ134">
        <f>AD134-AH134</f>
        <v/>
      </c>
      <c r="AK134" s="42">
        <f>AO133</f>
        <v/>
      </c>
      <c r="AL134" s="42">
        <f>ROUND(AK134*AL$6/12,2)</f>
        <v/>
      </c>
      <c r="AM134" s="42">
        <f>MIN(AM$6,AK134+AL134)</f>
        <v/>
      </c>
      <c r="AN134" s="42">
        <f>MAX(0,MIN(AK134+AL134-AM134,AJ134))</f>
        <v/>
      </c>
      <c r="AO134" s="42">
        <f>ROUND(AK134+AL134-AM134-AN134,2)</f>
        <v/>
      </c>
      <c r="AP134">
        <f>AJ134-AN134</f>
        <v/>
      </c>
      <c r="AQ134" s="42">
        <f>AU133</f>
        <v/>
      </c>
      <c r="AR134" s="42">
        <f>ROUND(AQ134*AR$6/12,2)</f>
        <v/>
      </c>
      <c r="AS134" s="42">
        <f>MIN(AS$6,AQ134+AR134)</f>
        <v/>
      </c>
      <c r="AT134" s="42">
        <f>MAX(0,MIN(AQ134+AR134-AS134,AP134))</f>
        <v/>
      </c>
      <c r="AU134" s="42">
        <f>ROUND(AQ134+AR134-AS134-AT134,2)</f>
        <v/>
      </c>
      <c r="AV134">
        <f>AP134-AT134</f>
        <v/>
      </c>
      <c r="AW134" s="42">
        <f>BA133</f>
        <v/>
      </c>
      <c r="AX134" s="42">
        <f>ROUND(AW134*AX$6/12,2)</f>
        <v/>
      </c>
      <c r="AY134" s="42">
        <f>MIN(AY$6,AW134+AX134)</f>
        <v/>
      </c>
      <c r="AZ134" s="42">
        <f>MAX(0,MIN(AW134+AX134-AY134,AV134))</f>
        <v/>
      </c>
      <c r="BA134" s="42">
        <f>ROUND(AW134+AX134-AY134-AZ134,2)</f>
        <v/>
      </c>
      <c r="BB134">
        <f>AV134-AZ134</f>
        <v/>
      </c>
      <c r="BC134" s="42">
        <f>BG133</f>
        <v/>
      </c>
      <c r="BD134" s="42">
        <f>ROUND(BC134*BD$6/12,2)</f>
        <v/>
      </c>
      <c r="BE134" s="42">
        <f>MIN(BE$6,BC134+BD134)</f>
        <v/>
      </c>
      <c r="BF134" s="42">
        <f>MAX(0,MIN(BC134+BD134-BE134,BB134))</f>
        <v/>
      </c>
      <c r="BG134" s="42">
        <f>ROUND(BC134+BD134-BE134-BF134,2)</f>
        <v/>
      </c>
      <c r="BH134">
        <f>BB134-BF134</f>
        <v/>
      </c>
      <c r="BI134" s="42">
        <f>BM133</f>
        <v/>
      </c>
      <c r="BJ134" s="42">
        <f>ROUND(BI134*BJ$6/12,2)</f>
        <v/>
      </c>
      <c r="BK134" s="42">
        <f>MIN(BK$6,BI134+BJ134)</f>
        <v/>
      </c>
      <c r="BL134" s="42">
        <f>MAX(0,MIN(BI134+BJ134-BK134,BH134))</f>
        <v/>
      </c>
      <c r="BM134" s="42">
        <f>ROUND(BI134+BJ134-BK134-BL134,2)</f>
        <v/>
      </c>
      <c r="BN134">
        <f>BH134-BL134</f>
        <v/>
      </c>
    </row>
    <row r="135">
      <c r="A135" s="43" t="n">
        <v>128</v>
      </c>
      <c r="B135" s="44">
        <f>EDATE('My Debts'!$C$6,A135-1)</f>
        <v/>
      </c>
      <c r="C135" s="45">
        <f>K135+Q135+W135+AC135+AI135+AO135+AU135+BA135+BG135+BM135</f>
        <v/>
      </c>
      <c r="D135" s="46">
        <f>I135+O135+U135+AA135+AG135+AM135+AS135+AY135+BE135+BK135+J135+P135+V135+AB135+AH135+AN135+AT135+AZ135+BF135+BL135</f>
        <v/>
      </c>
      <c r="E135" s="46">
        <f>H135+N135+T135+Z135+AF135+AL135+AR135+AX135+BD135+BJ135</f>
        <v/>
      </c>
      <c r="F135">
        <f>MAX(0,'My Debts'!$E$21-(I135+O135+U135+AA135+AG135+AM135+AS135+AY135+BE135+BK135))</f>
        <v/>
      </c>
      <c r="G135" s="42">
        <f>K134</f>
        <v/>
      </c>
      <c r="H135" s="42">
        <f>ROUND(G135*H$6/12,2)</f>
        <v/>
      </c>
      <c r="I135" s="42">
        <f>MIN(I$6,G135+H135)</f>
        <v/>
      </c>
      <c r="J135" s="42">
        <f>MAX(0,MIN(G135+H135-I135,$F135))</f>
        <v/>
      </c>
      <c r="K135" s="42">
        <f>ROUND(G135+H135-I135-J135,2)</f>
        <v/>
      </c>
      <c r="L135">
        <f>$F135-J135</f>
        <v/>
      </c>
      <c r="M135" s="42">
        <f>Q134</f>
        <v/>
      </c>
      <c r="N135" s="42">
        <f>ROUND(M135*N$6/12,2)</f>
        <v/>
      </c>
      <c r="O135" s="42">
        <f>MIN(O$6,M135+N135)</f>
        <v/>
      </c>
      <c r="P135" s="42">
        <f>MAX(0,MIN(M135+N135-O135,L135))</f>
        <v/>
      </c>
      <c r="Q135" s="42">
        <f>ROUND(M135+N135-O135-P135,2)</f>
        <v/>
      </c>
      <c r="R135">
        <f>L135-P135</f>
        <v/>
      </c>
      <c r="S135" s="42">
        <f>W134</f>
        <v/>
      </c>
      <c r="T135" s="42">
        <f>ROUND(S135*T$6/12,2)</f>
        <v/>
      </c>
      <c r="U135" s="42">
        <f>MIN(U$6,S135+T135)</f>
        <v/>
      </c>
      <c r="V135" s="42">
        <f>MAX(0,MIN(S135+T135-U135,R135))</f>
        <v/>
      </c>
      <c r="W135" s="42">
        <f>ROUND(S135+T135-U135-V135,2)</f>
        <v/>
      </c>
      <c r="X135">
        <f>R135-V135</f>
        <v/>
      </c>
      <c r="Y135" s="42">
        <f>AC134</f>
        <v/>
      </c>
      <c r="Z135" s="42">
        <f>ROUND(Y135*Z$6/12,2)</f>
        <v/>
      </c>
      <c r="AA135" s="42">
        <f>MIN(AA$6,Y135+Z135)</f>
        <v/>
      </c>
      <c r="AB135" s="42">
        <f>MAX(0,MIN(Y135+Z135-AA135,X135))</f>
        <v/>
      </c>
      <c r="AC135" s="42">
        <f>ROUND(Y135+Z135-AA135-AB135,2)</f>
        <v/>
      </c>
      <c r="AD135">
        <f>X135-AB135</f>
        <v/>
      </c>
      <c r="AE135" s="42">
        <f>AI134</f>
        <v/>
      </c>
      <c r="AF135" s="42">
        <f>ROUND(AE135*AF$6/12,2)</f>
        <v/>
      </c>
      <c r="AG135" s="42">
        <f>MIN(AG$6,AE135+AF135)</f>
        <v/>
      </c>
      <c r="AH135" s="42">
        <f>MAX(0,MIN(AE135+AF135-AG135,AD135))</f>
        <v/>
      </c>
      <c r="AI135" s="42">
        <f>ROUND(AE135+AF135-AG135-AH135,2)</f>
        <v/>
      </c>
      <c r="AJ135">
        <f>AD135-AH135</f>
        <v/>
      </c>
      <c r="AK135" s="42">
        <f>AO134</f>
        <v/>
      </c>
      <c r="AL135" s="42">
        <f>ROUND(AK135*AL$6/12,2)</f>
        <v/>
      </c>
      <c r="AM135" s="42">
        <f>MIN(AM$6,AK135+AL135)</f>
        <v/>
      </c>
      <c r="AN135" s="42">
        <f>MAX(0,MIN(AK135+AL135-AM135,AJ135))</f>
        <v/>
      </c>
      <c r="AO135" s="42">
        <f>ROUND(AK135+AL135-AM135-AN135,2)</f>
        <v/>
      </c>
      <c r="AP135">
        <f>AJ135-AN135</f>
        <v/>
      </c>
      <c r="AQ135" s="42">
        <f>AU134</f>
        <v/>
      </c>
      <c r="AR135" s="42">
        <f>ROUND(AQ135*AR$6/12,2)</f>
        <v/>
      </c>
      <c r="AS135" s="42">
        <f>MIN(AS$6,AQ135+AR135)</f>
        <v/>
      </c>
      <c r="AT135" s="42">
        <f>MAX(0,MIN(AQ135+AR135-AS135,AP135))</f>
        <v/>
      </c>
      <c r="AU135" s="42">
        <f>ROUND(AQ135+AR135-AS135-AT135,2)</f>
        <v/>
      </c>
      <c r="AV135">
        <f>AP135-AT135</f>
        <v/>
      </c>
      <c r="AW135" s="42">
        <f>BA134</f>
        <v/>
      </c>
      <c r="AX135" s="42">
        <f>ROUND(AW135*AX$6/12,2)</f>
        <v/>
      </c>
      <c r="AY135" s="42">
        <f>MIN(AY$6,AW135+AX135)</f>
        <v/>
      </c>
      <c r="AZ135" s="42">
        <f>MAX(0,MIN(AW135+AX135-AY135,AV135))</f>
        <v/>
      </c>
      <c r="BA135" s="42">
        <f>ROUND(AW135+AX135-AY135-AZ135,2)</f>
        <v/>
      </c>
      <c r="BB135">
        <f>AV135-AZ135</f>
        <v/>
      </c>
      <c r="BC135" s="42">
        <f>BG134</f>
        <v/>
      </c>
      <c r="BD135" s="42">
        <f>ROUND(BC135*BD$6/12,2)</f>
        <v/>
      </c>
      <c r="BE135" s="42">
        <f>MIN(BE$6,BC135+BD135)</f>
        <v/>
      </c>
      <c r="BF135" s="42">
        <f>MAX(0,MIN(BC135+BD135-BE135,BB135))</f>
        <v/>
      </c>
      <c r="BG135" s="42">
        <f>ROUND(BC135+BD135-BE135-BF135,2)</f>
        <v/>
      </c>
      <c r="BH135">
        <f>BB135-BF135</f>
        <v/>
      </c>
      <c r="BI135" s="42">
        <f>BM134</f>
        <v/>
      </c>
      <c r="BJ135" s="42">
        <f>ROUND(BI135*BJ$6/12,2)</f>
        <v/>
      </c>
      <c r="BK135" s="42">
        <f>MIN(BK$6,BI135+BJ135)</f>
        <v/>
      </c>
      <c r="BL135" s="42">
        <f>MAX(0,MIN(BI135+BJ135-BK135,BH135))</f>
        <v/>
      </c>
      <c r="BM135" s="42">
        <f>ROUND(BI135+BJ135-BK135-BL135,2)</f>
        <v/>
      </c>
      <c r="BN135">
        <f>BH135-BL135</f>
        <v/>
      </c>
    </row>
    <row r="136">
      <c r="A136" s="39" t="n">
        <v>129</v>
      </c>
      <c r="B136" s="40">
        <f>EDATE('My Debts'!$C$6,A136-1)</f>
        <v/>
      </c>
      <c r="C136" s="41">
        <f>K136+Q136+W136+AC136+AI136+AO136+AU136+BA136+BG136+BM136</f>
        <v/>
      </c>
      <c r="D136" s="42">
        <f>I136+O136+U136+AA136+AG136+AM136+AS136+AY136+BE136+BK136+J136+P136+V136+AB136+AH136+AN136+AT136+AZ136+BF136+BL136</f>
        <v/>
      </c>
      <c r="E136" s="42">
        <f>H136+N136+T136+Z136+AF136+AL136+AR136+AX136+BD136+BJ136</f>
        <v/>
      </c>
      <c r="F136">
        <f>MAX(0,'My Debts'!$E$21-(I136+O136+U136+AA136+AG136+AM136+AS136+AY136+BE136+BK136))</f>
        <v/>
      </c>
      <c r="G136" s="42">
        <f>K135</f>
        <v/>
      </c>
      <c r="H136" s="42">
        <f>ROUND(G136*H$6/12,2)</f>
        <v/>
      </c>
      <c r="I136" s="42">
        <f>MIN(I$6,G136+H136)</f>
        <v/>
      </c>
      <c r="J136" s="42">
        <f>MAX(0,MIN(G136+H136-I136,$F136))</f>
        <v/>
      </c>
      <c r="K136" s="42">
        <f>ROUND(G136+H136-I136-J136,2)</f>
        <v/>
      </c>
      <c r="L136">
        <f>$F136-J136</f>
        <v/>
      </c>
      <c r="M136" s="42">
        <f>Q135</f>
        <v/>
      </c>
      <c r="N136" s="42">
        <f>ROUND(M136*N$6/12,2)</f>
        <v/>
      </c>
      <c r="O136" s="42">
        <f>MIN(O$6,M136+N136)</f>
        <v/>
      </c>
      <c r="P136" s="42">
        <f>MAX(0,MIN(M136+N136-O136,L136))</f>
        <v/>
      </c>
      <c r="Q136" s="42">
        <f>ROUND(M136+N136-O136-P136,2)</f>
        <v/>
      </c>
      <c r="R136">
        <f>L136-P136</f>
        <v/>
      </c>
      <c r="S136" s="42">
        <f>W135</f>
        <v/>
      </c>
      <c r="T136" s="42">
        <f>ROUND(S136*T$6/12,2)</f>
        <v/>
      </c>
      <c r="U136" s="42">
        <f>MIN(U$6,S136+T136)</f>
        <v/>
      </c>
      <c r="V136" s="42">
        <f>MAX(0,MIN(S136+T136-U136,R136))</f>
        <v/>
      </c>
      <c r="W136" s="42">
        <f>ROUND(S136+T136-U136-V136,2)</f>
        <v/>
      </c>
      <c r="X136">
        <f>R136-V136</f>
        <v/>
      </c>
      <c r="Y136" s="42">
        <f>AC135</f>
        <v/>
      </c>
      <c r="Z136" s="42">
        <f>ROUND(Y136*Z$6/12,2)</f>
        <v/>
      </c>
      <c r="AA136" s="42">
        <f>MIN(AA$6,Y136+Z136)</f>
        <v/>
      </c>
      <c r="AB136" s="42">
        <f>MAX(0,MIN(Y136+Z136-AA136,X136))</f>
        <v/>
      </c>
      <c r="AC136" s="42">
        <f>ROUND(Y136+Z136-AA136-AB136,2)</f>
        <v/>
      </c>
      <c r="AD136">
        <f>X136-AB136</f>
        <v/>
      </c>
      <c r="AE136" s="42">
        <f>AI135</f>
        <v/>
      </c>
      <c r="AF136" s="42">
        <f>ROUND(AE136*AF$6/12,2)</f>
        <v/>
      </c>
      <c r="AG136" s="42">
        <f>MIN(AG$6,AE136+AF136)</f>
        <v/>
      </c>
      <c r="AH136" s="42">
        <f>MAX(0,MIN(AE136+AF136-AG136,AD136))</f>
        <v/>
      </c>
      <c r="AI136" s="42">
        <f>ROUND(AE136+AF136-AG136-AH136,2)</f>
        <v/>
      </c>
      <c r="AJ136">
        <f>AD136-AH136</f>
        <v/>
      </c>
      <c r="AK136" s="42">
        <f>AO135</f>
        <v/>
      </c>
      <c r="AL136" s="42">
        <f>ROUND(AK136*AL$6/12,2)</f>
        <v/>
      </c>
      <c r="AM136" s="42">
        <f>MIN(AM$6,AK136+AL136)</f>
        <v/>
      </c>
      <c r="AN136" s="42">
        <f>MAX(0,MIN(AK136+AL136-AM136,AJ136))</f>
        <v/>
      </c>
      <c r="AO136" s="42">
        <f>ROUND(AK136+AL136-AM136-AN136,2)</f>
        <v/>
      </c>
      <c r="AP136">
        <f>AJ136-AN136</f>
        <v/>
      </c>
      <c r="AQ136" s="42">
        <f>AU135</f>
        <v/>
      </c>
      <c r="AR136" s="42">
        <f>ROUND(AQ136*AR$6/12,2)</f>
        <v/>
      </c>
      <c r="AS136" s="42">
        <f>MIN(AS$6,AQ136+AR136)</f>
        <v/>
      </c>
      <c r="AT136" s="42">
        <f>MAX(0,MIN(AQ136+AR136-AS136,AP136))</f>
        <v/>
      </c>
      <c r="AU136" s="42">
        <f>ROUND(AQ136+AR136-AS136-AT136,2)</f>
        <v/>
      </c>
      <c r="AV136">
        <f>AP136-AT136</f>
        <v/>
      </c>
      <c r="AW136" s="42">
        <f>BA135</f>
        <v/>
      </c>
      <c r="AX136" s="42">
        <f>ROUND(AW136*AX$6/12,2)</f>
        <v/>
      </c>
      <c r="AY136" s="42">
        <f>MIN(AY$6,AW136+AX136)</f>
        <v/>
      </c>
      <c r="AZ136" s="42">
        <f>MAX(0,MIN(AW136+AX136-AY136,AV136))</f>
        <v/>
      </c>
      <c r="BA136" s="42">
        <f>ROUND(AW136+AX136-AY136-AZ136,2)</f>
        <v/>
      </c>
      <c r="BB136">
        <f>AV136-AZ136</f>
        <v/>
      </c>
      <c r="BC136" s="42">
        <f>BG135</f>
        <v/>
      </c>
      <c r="BD136" s="42">
        <f>ROUND(BC136*BD$6/12,2)</f>
        <v/>
      </c>
      <c r="BE136" s="42">
        <f>MIN(BE$6,BC136+BD136)</f>
        <v/>
      </c>
      <c r="BF136" s="42">
        <f>MAX(0,MIN(BC136+BD136-BE136,BB136))</f>
        <v/>
      </c>
      <c r="BG136" s="42">
        <f>ROUND(BC136+BD136-BE136-BF136,2)</f>
        <v/>
      </c>
      <c r="BH136">
        <f>BB136-BF136</f>
        <v/>
      </c>
      <c r="BI136" s="42">
        <f>BM135</f>
        <v/>
      </c>
      <c r="BJ136" s="42">
        <f>ROUND(BI136*BJ$6/12,2)</f>
        <v/>
      </c>
      <c r="BK136" s="42">
        <f>MIN(BK$6,BI136+BJ136)</f>
        <v/>
      </c>
      <c r="BL136" s="42">
        <f>MAX(0,MIN(BI136+BJ136-BK136,BH136))</f>
        <v/>
      </c>
      <c r="BM136" s="42">
        <f>ROUND(BI136+BJ136-BK136-BL136,2)</f>
        <v/>
      </c>
      <c r="BN136">
        <f>BH136-BL136</f>
        <v/>
      </c>
    </row>
    <row r="137">
      <c r="A137" s="43" t="n">
        <v>130</v>
      </c>
      <c r="B137" s="44">
        <f>EDATE('My Debts'!$C$6,A137-1)</f>
        <v/>
      </c>
      <c r="C137" s="45">
        <f>K137+Q137+W137+AC137+AI137+AO137+AU137+BA137+BG137+BM137</f>
        <v/>
      </c>
      <c r="D137" s="46">
        <f>I137+O137+U137+AA137+AG137+AM137+AS137+AY137+BE137+BK137+J137+P137+V137+AB137+AH137+AN137+AT137+AZ137+BF137+BL137</f>
        <v/>
      </c>
      <c r="E137" s="46">
        <f>H137+N137+T137+Z137+AF137+AL137+AR137+AX137+BD137+BJ137</f>
        <v/>
      </c>
      <c r="F137">
        <f>MAX(0,'My Debts'!$E$21-(I137+O137+U137+AA137+AG137+AM137+AS137+AY137+BE137+BK137))</f>
        <v/>
      </c>
      <c r="G137" s="42">
        <f>K136</f>
        <v/>
      </c>
      <c r="H137" s="42">
        <f>ROUND(G137*H$6/12,2)</f>
        <v/>
      </c>
      <c r="I137" s="42">
        <f>MIN(I$6,G137+H137)</f>
        <v/>
      </c>
      <c r="J137" s="42">
        <f>MAX(0,MIN(G137+H137-I137,$F137))</f>
        <v/>
      </c>
      <c r="K137" s="42">
        <f>ROUND(G137+H137-I137-J137,2)</f>
        <v/>
      </c>
      <c r="L137">
        <f>$F137-J137</f>
        <v/>
      </c>
      <c r="M137" s="42">
        <f>Q136</f>
        <v/>
      </c>
      <c r="N137" s="42">
        <f>ROUND(M137*N$6/12,2)</f>
        <v/>
      </c>
      <c r="O137" s="42">
        <f>MIN(O$6,M137+N137)</f>
        <v/>
      </c>
      <c r="P137" s="42">
        <f>MAX(0,MIN(M137+N137-O137,L137))</f>
        <v/>
      </c>
      <c r="Q137" s="42">
        <f>ROUND(M137+N137-O137-P137,2)</f>
        <v/>
      </c>
      <c r="R137">
        <f>L137-P137</f>
        <v/>
      </c>
      <c r="S137" s="42">
        <f>W136</f>
        <v/>
      </c>
      <c r="T137" s="42">
        <f>ROUND(S137*T$6/12,2)</f>
        <v/>
      </c>
      <c r="U137" s="42">
        <f>MIN(U$6,S137+T137)</f>
        <v/>
      </c>
      <c r="V137" s="42">
        <f>MAX(0,MIN(S137+T137-U137,R137))</f>
        <v/>
      </c>
      <c r="W137" s="42">
        <f>ROUND(S137+T137-U137-V137,2)</f>
        <v/>
      </c>
      <c r="X137">
        <f>R137-V137</f>
        <v/>
      </c>
      <c r="Y137" s="42">
        <f>AC136</f>
        <v/>
      </c>
      <c r="Z137" s="42">
        <f>ROUND(Y137*Z$6/12,2)</f>
        <v/>
      </c>
      <c r="AA137" s="42">
        <f>MIN(AA$6,Y137+Z137)</f>
        <v/>
      </c>
      <c r="AB137" s="42">
        <f>MAX(0,MIN(Y137+Z137-AA137,X137))</f>
        <v/>
      </c>
      <c r="AC137" s="42">
        <f>ROUND(Y137+Z137-AA137-AB137,2)</f>
        <v/>
      </c>
      <c r="AD137">
        <f>X137-AB137</f>
        <v/>
      </c>
      <c r="AE137" s="42">
        <f>AI136</f>
        <v/>
      </c>
      <c r="AF137" s="42">
        <f>ROUND(AE137*AF$6/12,2)</f>
        <v/>
      </c>
      <c r="AG137" s="42">
        <f>MIN(AG$6,AE137+AF137)</f>
        <v/>
      </c>
      <c r="AH137" s="42">
        <f>MAX(0,MIN(AE137+AF137-AG137,AD137))</f>
        <v/>
      </c>
      <c r="AI137" s="42">
        <f>ROUND(AE137+AF137-AG137-AH137,2)</f>
        <v/>
      </c>
      <c r="AJ137">
        <f>AD137-AH137</f>
        <v/>
      </c>
      <c r="AK137" s="42">
        <f>AO136</f>
        <v/>
      </c>
      <c r="AL137" s="42">
        <f>ROUND(AK137*AL$6/12,2)</f>
        <v/>
      </c>
      <c r="AM137" s="42">
        <f>MIN(AM$6,AK137+AL137)</f>
        <v/>
      </c>
      <c r="AN137" s="42">
        <f>MAX(0,MIN(AK137+AL137-AM137,AJ137))</f>
        <v/>
      </c>
      <c r="AO137" s="42">
        <f>ROUND(AK137+AL137-AM137-AN137,2)</f>
        <v/>
      </c>
      <c r="AP137">
        <f>AJ137-AN137</f>
        <v/>
      </c>
      <c r="AQ137" s="42">
        <f>AU136</f>
        <v/>
      </c>
      <c r="AR137" s="42">
        <f>ROUND(AQ137*AR$6/12,2)</f>
        <v/>
      </c>
      <c r="AS137" s="42">
        <f>MIN(AS$6,AQ137+AR137)</f>
        <v/>
      </c>
      <c r="AT137" s="42">
        <f>MAX(0,MIN(AQ137+AR137-AS137,AP137))</f>
        <v/>
      </c>
      <c r="AU137" s="42">
        <f>ROUND(AQ137+AR137-AS137-AT137,2)</f>
        <v/>
      </c>
      <c r="AV137">
        <f>AP137-AT137</f>
        <v/>
      </c>
      <c r="AW137" s="42">
        <f>BA136</f>
        <v/>
      </c>
      <c r="AX137" s="42">
        <f>ROUND(AW137*AX$6/12,2)</f>
        <v/>
      </c>
      <c r="AY137" s="42">
        <f>MIN(AY$6,AW137+AX137)</f>
        <v/>
      </c>
      <c r="AZ137" s="42">
        <f>MAX(0,MIN(AW137+AX137-AY137,AV137))</f>
        <v/>
      </c>
      <c r="BA137" s="42">
        <f>ROUND(AW137+AX137-AY137-AZ137,2)</f>
        <v/>
      </c>
      <c r="BB137">
        <f>AV137-AZ137</f>
        <v/>
      </c>
      <c r="BC137" s="42">
        <f>BG136</f>
        <v/>
      </c>
      <c r="BD137" s="42">
        <f>ROUND(BC137*BD$6/12,2)</f>
        <v/>
      </c>
      <c r="BE137" s="42">
        <f>MIN(BE$6,BC137+BD137)</f>
        <v/>
      </c>
      <c r="BF137" s="42">
        <f>MAX(0,MIN(BC137+BD137-BE137,BB137))</f>
        <v/>
      </c>
      <c r="BG137" s="42">
        <f>ROUND(BC137+BD137-BE137-BF137,2)</f>
        <v/>
      </c>
      <c r="BH137">
        <f>BB137-BF137</f>
        <v/>
      </c>
      <c r="BI137" s="42">
        <f>BM136</f>
        <v/>
      </c>
      <c r="BJ137" s="42">
        <f>ROUND(BI137*BJ$6/12,2)</f>
        <v/>
      </c>
      <c r="BK137" s="42">
        <f>MIN(BK$6,BI137+BJ137)</f>
        <v/>
      </c>
      <c r="BL137" s="42">
        <f>MAX(0,MIN(BI137+BJ137-BK137,BH137))</f>
        <v/>
      </c>
      <c r="BM137" s="42">
        <f>ROUND(BI137+BJ137-BK137-BL137,2)</f>
        <v/>
      </c>
      <c r="BN137">
        <f>BH137-BL137</f>
        <v/>
      </c>
    </row>
    <row r="138">
      <c r="A138" s="39" t="n">
        <v>131</v>
      </c>
      <c r="B138" s="40">
        <f>EDATE('My Debts'!$C$6,A138-1)</f>
        <v/>
      </c>
      <c r="C138" s="41">
        <f>K138+Q138+W138+AC138+AI138+AO138+AU138+BA138+BG138+BM138</f>
        <v/>
      </c>
      <c r="D138" s="42">
        <f>I138+O138+U138+AA138+AG138+AM138+AS138+AY138+BE138+BK138+J138+P138+V138+AB138+AH138+AN138+AT138+AZ138+BF138+BL138</f>
        <v/>
      </c>
      <c r="E138" s="42">
        <f>H138+N138+T138+Z138+AF138+AL138+AR138+AX138+BD138+BJ138</f>
        <v/>
      </c>
      <c r="F138">
        <f>MAX(0,'My Debts'!$E$21-(I138+O138+U138+AA138+AG138+AM138+AS138+AY138+BE138+BK138))</f>
        <v/>
      </c>
      <c r="G138" s="42">
        <f>K137</f>
        <v/>
      </c>
      <c r="H138" s="42">
        <f>ROUND(G138*H$6/12,2)</f>
        <v/>
      </c>
      <c r="I138" s="42">
        <f>MIN(I$6,G138+H138)</f>
        <v/>
      </c>
      <c r="J138" s="42">
        <f>MAX(0,MIN(G138+H138-I138,$F138))</f>
        <v/>
      </c>
      <c r="K138" s="42">
        <f>ROUND(G138+H138-I138-J138,2)</f>
        <v/>
      </c>
      <c r="L138">
        <f>$F138-J138</f>
        <v/>
      </c>
      <c r="M138" s="42">
        <f>Q137</f>
        <v/>
      </c>
      <c r="N138" s="42">
        <f>ROUND(M138*N$6/12,2)</f>
        <v/>
      </c>
      <c r="O138" s="42">
        <f>MIN(O$6,M138+N138)</f>
        <v/>
      </c>
      <c r="P138" s="42">
        <f>MAX(0,MIN(M138+N138-O138,L138))</f>
        <v/>
      </c>
      <c r="Q138" s="42">
        <f>ROUND(M138+N138-O138-P138,2)</f>
        <v/>
      </c>
      <c r="R138">
        <f>L138-P138</f>
        <v/>
      </c>
      <c r="S138" s="42">
        <f>W137</f>
        <v/>
      </c>
      <c r="T138" s="42">
        <f>ROUND(S138*T$6/12,2)</f>
        <v/>
      </c>
      <c r="U138" s="42">
        <f>MIN(U$6,S138+T138)</f>
        <v/>
      </c>
      <c r="V138" s="42">
        <f>MAX(0,MIN(S138+T138-U138,R138))</f>
        <v/>
      </c>
      <c r="W138" s="42">
        <f>ROUND(S138+T138-U138-V138,2)</f>
        <v/>
      </c>
      <c r="X138">
        <f>R138-V138</f>
        <v/>
      </c>
      <c r="Y138" s="42">
        <f>AC137</f>
        <v/>
      </c>
      <c r="Z138" s="42">
        <f>ROUND(Y138*Z$6/12,2)</f>
        <v/>
      </c>
      <c r="AA138" s="42">
        <f>MIN(AA$6,Y138+Z138)</f>
        <v/>
      </c>
      <c r="AB138" s="42">
        <f>MAX(0,MIN(Y138+Z138-AA138,X138))</f>
        <v/>
      </c>
      <c r="AC138" s="42">
        <f>ROUND(Y138+Z138-AA138-AB138,2)</f>
        <v/>
      </c>
      <c r="AD138">
        <f>X138-AB138</f>
        <v/>
      </c>
      <c r="AE138" s="42">
        <f>AI137</f>
        <v/>
      </c>
      <c r="AF138" s="42">
        <f>ROUND(AE138*AF$6/12,2)</f>
        <v/>
      </c>
      <c r="AG138" s="42">
        <f>MIN(AG$6,AE138+AF138)</f>
        <v/>
      </c>
      <c r="AH138" s="42">
        <f>MAX(0,MIN(AE138+AF138-AG138,AD138))</f>
        <v/>
      </c>
      <c r="AI138" s="42">
        <f>ROUND(AE138+AF138-AG138-AH138,2)</f>
        <v/>
      </c>
      <c r="AJ138">
        <f>AD138-AH138</f>
        <v/>
      </c>
      <c r="AK138" s="42">
        <f>AO137</f>
        <v/>
      </c>
      <c r="AL138" s="42">
        <f>ROUND(AK138*AL$6/12,2)</f>
        <v/>
      </c>
      <c r="AM138" s="42">
        <f>MIN(AM$6,AK138+AL138)</f>
        <v/>
      </c>
      <c r="AN138" s="42">
        <f>MAX(0,MIN(AK138+AL138-AM138,AJ138))</f>
        <v/>
      </c>
      <c r="AO138" s="42">
        <f>ROUND(AK138+AL138-AM138-AN138,2)</f>
        <v/>
      </c>
      <c r="AP138">
        <f>AJ138-AN138</f>
        <v/>
      </c>
      <c r="AQ138" s="42">
        <f>AU137</f>
        <v/>
      </c>
      <c r="AR138" s="42">
        <f>ROUND(AQ138*AR$6/12,2)</f>
        <v/>
      </c>
      <c r="AS138" s="42">
        <f>MIN(AS$6,AQ138+AR138)</f>
        <v/>
      </c>
      <c r="AT138" s="42">
        <f>MAX(0,MIN(AQ138+AR138-AS138,AP138))</f>
        <v/>
      </c>
      <c r="AU138" s="42">
        <f>ROUND(AQ138+AR138-AS138-AT138,2)</f>
        <v/>
      </c>
      <c r="AV138">
        <f>AP138-AT138</f>
        <v/>
      </c>
      <c r="AW138" s="42">
        <f>BA137</f>
        <v/>
      </c>
      <c r="AX138" s="42">
        <f>ROUND(AW138*AX$6/12,2)</f>
        <v/>
      </c>
      <c r="AY138" s="42">
        <f>MIN(AY$6,AW138+AX138)</f>
        <v/>
      </c>
      <c r="AZ138" s="42">
        <f>MAX(0,MIN(AW138+AX138-AY138,AV138))</f>
        <v/>
      </c>
      <c r="BA138" s="42">
        <f>ROUND(AW138+AX138-AY138-AZ138,2)</f>
        <v/>
      </c>
      <c r="BB138">
        <f>AV138-AZ138</f>
        <v/>
      </c>
      <c r="BC138" s="42">
        <f>BG137</f>
        <v/>
      </c>
      <c r="BD138" s="42">
        <f>ROUND(BC138*BD$6/12,2)</f>
        <v/>
      </c>
      <c r="BE138" s="42">
        <f>MIN(BE$6,BC138+BD138)</f>
        <v/>
      </c>
      <c r="BF138" s="42">
        <f>MAX(0,MIN(BC138+BD138-BE138,BB138))</f>
        <v/>
      </c>
      <c r="BG138" s="42">
        <f>ROUND(BC138+BD138-BE138-BF138,2)</f>
        <v/>
      </c>
      <c r="BH138">
        <f>BB138-BF138</f>
        <v/>
      </c>
      <c r="BI138" s="42">
        <f>BM137</f>
        <v/>
      </c>
      <c r="BJ138" s="42">
        <f>ROUND(BI138*BJ$6/12,2)</f>
        <v/>
      </c>
      <c r="BK138" s="42">
        <f>MIN(BK$6,BI138+BJ138)</f>
        <v/>
      </c>
      <c r="BL138" s="42">
        <f>MAX(0,MIN(BI138+BJ138-BK138,BH138))</f>
        <v/>
      </c>
      <c r="BM138" s="42">
        <f>ROUND(BI138+BJ138-BK138-BL138,2)</f>
        <v/>
      </c>
      <c r="BN138">
        <f>BH138-BL138</f>
        <v/>
      </c>
    </row>
    <row r="139">
      <c r="A139" s="43" t="n">
        <v>132</v>
      </c>
      <c r="B139" s="44">
        <f>EDATE('My Debts'!$C$6,A139-1)</f>
        <v/>
      </c>
      <c r="C139" s="45">
        <f>K139+Q139+W139+AC139+AI139+AO139+AU139+BA139+BG139+BM139</f>
        <v/>
      </c>
      <c r="D139" s="46">
        <f>I139+O139+U139+AA139+AG139+AM139+AS139+AY139+BE139+BK139+J139+P139+V139+AB139+AH139+AN139+AT139+AZ139+BF139+BL139</f>
        <v/>
      </c>
      <c r="E139" s="46">
        <f>H139+N139+T139+Z139+AF139+AL139+AR139+AX139+BD139+BJ139</f>
        <v/>
      </c>
      <c r="F139">
        <f>MAX(0,'My Debts'!$E$21-(I139+O139+U139+AA139+AG139+AM139+AS139+AY139+BE139+BK139))</f>
        <v/>
      </c>
      <c r="G139" s="42">
        <f>K138</f>
        <v/>
      </c>
      <c r="H139" s="42">
        <f>ROUND(G139*H$6/12,2)</f>
        <v/>
      </c>
      <c r="I139" s="42">
        <f>MIN(I$6,G139+H139)</f>
        <v/>
      </c>
      <c r="J139" s="42">
        <f>MAX(0,MIN(G139+H139-I139,$F139))</f>
        <v/>
      </c>
      <c r="K139" s="42">
        <f>ROUND(G139+H139-I139-J139,2)</f>
        <v/>
      </c>
      <c r="L139">
        <f>$F139-J139</f>
        <v/>
      </c>
      <c r="M139" s="42">
        <f>Q138</f>
        <v/>
      </c>
      <c r="N139" s="42">
        <f>ROUND(M139*N$6/12,2)</f>
        <v/>
      </c>
      <c r="O139" s="42">
        <f>MIN(O$6,M139+N139)</f>
        <v/>
      </c>
      <c r="P139" s="42">
        <f>MAX(0,MIN(M139+N139-O139,L139))</f>
        <v/>
      </c>
      <c r="Q139" s="42">
        <f>ROUND(M139+N139-O139-P139,2)</f>
        <v/>
      </c>
      <c r="R139">
        <f>L139-P139</f>
        <v/>
      </c>
      <c r="S139" s="42">
        <f>W138</f>
        <v/>
      </c>
      <c r="T139" s="42">
        <f>ROUND(S139*T$6/12,2)</f>
        <v/>
      </c>
      <c r="U139" s="42">
        <f>MIN(U$6,S139+T139)</f>
        <v/>
      </c>
      <c r="V139" s="42">
        <f>MAX(0,MIN(S139+T139-U139,R139))</f>
        <v/>
      </c>
      <c r="W139" s="42">
        <f>ROUND(S139+T139-U139-V139,2)</f>
        <v/>
      </c>
      <c r="X139">
        <f>R139-V139</f>
        <v/>
      </c>
      <c r="Y139" s="42">
        <f>AC138</f>
        <v/>
      </c>
      <c r="Z139" s="42">
        <f>ROUND(Y139*Z$6/12,2)</f>
        <v/>
      </c>
      <c r="AA139" s="42">
        <f>MIN(AA$6,Y139+Z139)</f>
        <v/>
      </c>
      <c r="AB139" s="42">
        <f>MAX(0,MIN(Y139+Z139-AA139,X139))</f>
        <v/>
      </c>
      <c r="AC139" s="42">
        <f>ROUND(Y139+Z139-AA139-AB139,2)</f>
        <v/>
      </c>
      <c r="AD139">
        <f>X139-AB139</f>
        <v/>
      </c>
      <c r="AE139" s="42">
        <f>AI138</f>
        <v/>
      </c>
      <c r="AF139" s="42">
        <f>ROUND(AE139*AF$6/12,2)</f>
        <v/>
      </c>
      <c r="AG139" s="42">
        <f>MIN(AG$6,AE139+AF139)</f>
        <v/>
      </c>
      <c r="AH139" s="42">
        <f>MAX(0,MIN(AE139+AF139-AG139,AD139))</f>
        <v/>
      </c>
      <c r="AI139" s="42">
        <f>ROUND(AE139+AF139-AG139-AH139,2)</f>
        <v/>
      </c>
      <c r="AJ139">
        <f>AD139-AH139</f>
        <v/>
      </c>
      <c r="AK139" s="42">
        <f>AO138</f>
        <v/>
      </c>
      <c r="AL139" s="42">
        <f>ROUND(AK139*AL$6/12,2)</f>
        <v/>
      </c>
      <c r="AM139" s="42">
        <f>MIN(AM$6,AK139+AL139)</f>
        <v/>
      </c>
      <c r="AN139" s="42">
        <f>MAX(0,MIN(AK139+AL139-AM139,AJ139))</f>
        <v/>
      </c>
      <c r="AO139" s="42">
        <f>ROUND(AK139+AL139-AM139-AN139,2)</f>
        <v/>
      </c>
      <c r="AP139">
        <f>AJ139-AN139</f>
        <v/>
      </c>
      <c r="AQ139" s="42">
        <f>AU138</f>
        <v/>
      </c>
      <c r="AR139" s="42">
        <f>ROUND(AQ139*AR$6/12,2)</f>
        <v/>
      </c>
      <c r="AS139" s="42">
        <f>MIN(AS$6,AQ139+AR139)</f>
        <v/>
      </c>
      <c r="AT139" s="42">
        <f>MAX(0,MIN(AQ139+AR139-AS139,AP139))</f>
        <v/>
      </c>
      <c r="AU139" s="42">
        <f>ROUND(AQ139+AR139-AS139-AT139,2)</f>
        <v/>
      </c>
      <c r="AV139">
        <f>AP139-AT139</f>
        <v/>
      </c>
      <c r="AW139" s="42">
        <f>BA138</f>
        <v/>
      </c>
      <c r="AX139" s="42">
        <f>ROUND(AW139*AX$6/12,2)</f>
        <v/>
      </c>
      <c r="AY139" s="42">
        <f>MIN(AY$6,AW139+AX139)</f>
        <v/>
      </c>
      <c r="AZ139" s="42">
        <f>MAX(0,MIN(AW139+AX139-AY139,AV139))</f>
        <v/>
      </c>
      <c r="BA139" s="42">
        <f>ROUND(AW139+AX139-AY139-AZ139,2)</f>
        <v/>
      </c>
      <c r="BB139">
        <f>AV139-AZ139</f>
        <v/>
      </c>
      <c r="BC139" s="42">
        <f>BG138</f>
        <v/>
      </c>
      <c r="BD139" s="42">
        <f>ROUND(BC139*BD$6/12,2)</f>
        <v/>
      </c>
      <c r="BE139" s="42">
        <f>MIN(BE$6,BC139+BD139)</f>
        <v/>
      </c>
      <c r="BF139" s="42">
        <f>MAX(0,MIN(BC139+BD139-BE139,BB139))</f>
        <v/>
      </c>
      <c r="BG139" s="42">
        <f>ROUND(BC139+BD139-BE139-BF139,2)</f>
        <v/>
      </c>
      <c r="BH139">
        <f>BB139-BF139</f>
        <v/>
      </c>
      <c r="BI139" s="42">
        <f>BM138</f>
        <v/>
      </c>
      <c r="BJ139" s="42">
        <f>ROUND(BI139*BJ$6/12,2)</f>
        <v/>
      </c>
      <c r="BK139" s="42">
        <f>MIN(BK$6,BI139+BJ139)</f>
        <v/>
      </c>
      <c r="BL139" s="42">
        <f>MAX(0,MIN(BI139+BJ139-BK139,BH139))</f>
        <v/>
      </c>
      <c r="BM139" s="42">
        <f>ROUND(BI139+BJ139-BK139-BL139,2)</f>
        <v/>
      </c>
      <c r="BN139">
        <f>BH139-BL139</f>
        <v/>
      </c>
    </row>
    <row r="140">
      <c r="A140" s="39" t="n">
        <v>133</v>
      </c>
      <c r="B140" s="40">
        <f>EDATE('My Debts'!$C$6,A140-1)</f>
        <v/>
      </c>
      <c r="C140" s="41">
        <f>K140+Q140+W140+AC140+AI140+AO140+AU140+BA140+BG140+BM140</f>
        <v/>
      </c>
      <c r="D140" s="42">
        <f>I140+O140+U140+AA140+AG140+AM140+AS140+AY140+BE140+BK140+J140+P140+V140+AB140+AH140+AN140+AT140+AZ140+BF140+BL140</f>
        <v/>
      </c>
      <c r="E140" s="42">
        <f>H140+N140+T140+Z140+AF140+AL140+AR140+AX140+BD140+BJ140</f>
        <v/>
      </c>
      <c r="F140">
        <f>MAX(0,'My Debts'!$E$21-(I140+O140+U140+AA140+AG140+AM140+AS140+AY140+BE140+BK140))</f>
        <v/>
      </c>
      <c r="G140" s="42">
        <f>K139</f>
        <v/>
      </c>
      <c r="H140" s="42">
        <f>ROUND(G140*H$6/12,2)</f>
        <v/>
      </c>
      <c r="I140" s="42">
        <f>MIN(I$6,G140+H140)</f>
        <v/>
      </c>
      <c r="J140" s="42">
        <f>MAX(0,MIN(G140+H140-I140,$F140))</f>
        <v/>
      </c>
      <c r="K140" s="42">
        <f>ROUND(G140+H140-I140-J140,2)</f>
        <v/>
      </c>
      <c r="L140">
        <f>$F140-J140</f>
        <v/>
      </c>
      <c r="M140" s="42">
        <f>Q139</f>
        <v/>
      </c>
      <c r="N140" s="42">
        <f>ROUND(M140*N$6/12,2)</f>
        <v/>
      </c>
      <c r="O140" s="42">
        <f>MIN(O$6,M140+N140)</f>
        <v/>
      </c>
      <c r="P140" s="42">
        <f>MAX(0,MIN(M140+N140-O140,L140))</f>
        <v/>
      </c>
      <c r="Q140" s="42">
        <f>ROUND(M140+N140-O140-P140,2)</f>
        <v/>
      </c>
      <c r="R140">
        <f>L140-P140</f>
        <v/>
      </c>
      <c r="S140" s="42">
        <f>W139</f>
        <v/>
      </c>
      <c r="T140" s="42">
        <f>ROUND(S140*T$6/12,2)</f>
        <v/>
      </c>
      <c r="U140" s="42">
        <f>MIN(U$6,S140+T140)</f>
        <v/>
      </c>
      <c r="V140" s="42">
        <f>MAX(0,MIN(S140+T140-U140,R140))</f>
        <v/>
      </c>
      <c r="W140" s="42">
        <f>ROUND(S140+T140-U140-V140,2)</f>
        <v/>
      </c>
      <c r="X140">
        <f>R140-V140</f>
        <v/>
      </c>
      <c r="Y140" s="42">
        <f>AC139</f>
        <v/>
      </c>
      <c r="Z140" s="42">
        <f>ROUND(Y140*Z$6/12,2)</f>
        <v/>
      </c>
      <c r="AA140" s="42">
        <f>MIN(AA$6,Y140+Z140)</f>
        <v/>
      </c>
      <c r="AB140" s="42">
        <f>MAX(0,MIN(Y140+Z140-AA140,X140))</f>
        <v/>
      </c>
      <c r="AC140" s="42">
        <f>ROUND(Y140+Z140-AA140-AB140,2)</f>
        <v/>
      </c>
      <c r="AD140">
        <f>X140-AB140</f>
        <v/>
      </c>
      <c r="AE140" s="42">
        <f>AI139</f>
        <v/>
      </c>
      <c r="AF140" s="42">
        <f>ROUND(AE140*AF$6/12,2)</f>
        <v/>
      </c>
      <c r="AG140" s="42">
        <f>MIN(AG$6,AE140+AF140)</f>
        <v/>
      </c>
      <c r="AH140" s="42">
        <f>MAX(0,MIN(AE140+AF140-AG140,AD140))</f>
        <v/>
      </c>
      <c r="AI140" s="42">
        <f>ROUND(AE140+AF140-AG140-AH140,2)</f>
        <v/>
      </c>
      <c r="AJ140">
        <f>AD140-AH140</f>
        <v/>
      </c>
      <c r="AK140" s="42">
        <f>AO139</f>
        <v/>
      </c>
      <c r="AL140" s="42">
        <f>ROUND(AK140*AL$6/12,2)</f>
        <v/>
      </c>
      <c r="AM140" s="42">
        <f>MIN(AM$6,AK140+AL140)</f>
        <v/>
      </c>
      <c r="AN140" s="42">
        <f>MAX(0,MIN(AK140+AL140-AM140,AJ140))</f>
        <v/>
      </c>
      <c r="AO140" s="42">
        <f>ROUND(AK140+AL140-AM140-AN140,2)</f>
        <v/>
      </c>
      <c r="AP140">
        <f>AJ140-AN140</f>
        <v/>
      </c>
      <c r="AQ140" s="42">
        <f>AU139</f>
        <v/>
      </c>
      <c r="AR140" s="42">
        <f>ROUND(AQ140*AR$6/12,2)</f>
        <v/>
      </c>
      <c r="AS140" s="42">
        <f>MIN(AS$6,AQ140+AR140)</f>
        <v/>
      </c>
      <c r="AT140" s="42">
        <f>MAX(0,MIN(AQ140+AR140-AS140,AP140))</f>
        <v/>
      </c>
      <c r="AU140" s="42">
        <f>ROUND(AQ140+AR140-AS140-AT140,2)</f>
        <v/>
      </c>
      <c r="AV140">
        <f>AP140-AT140</f>
        <v/>
      </c>
      <c r="AW140" s="42">
        <f>BA139</f>
        <v/>
      </c>
      <c r="AX140" s="42">
        <f>ROUND(AW140*AX$6/12,2)</f>
        <v/>
      </c>
      <c r="AY140" s="42">
        <f>MIN(AY$6,AW140+AX140)</f>
        <v/>
      </c>
      <c r="AZ140" s="42">
        <f>MAX(0,MIN(AW140+AX140-AY140,AV140))</f>
        <v/>
      </c>
      <c r="BA140" s="42">
        <f>ROUND(AW140+AX140-AY140-AZ140,2)</f>
        <v/>
      </c>
      <c r="BB140">
        <f>AV140-AZ140</f>
        <v/>
      </c>
      <c r="BC140" s="42">
        <f>BG139</f>
        <v/>
      </c>
      <c r="BD140" s="42">
        <f>ROUND(BC140*BD$6/12,2)</f>
        <v/>
      </c>
      <c r="BE140" s="42">
        <f>MIN(BE$6,BC140+BD140)</f>
        <v/>
      </c>
      <c r="BF140" s="42">
        <f>MAX(0,MIN(BC140+BD140-BE140,BB140))</f>
        <v/>
      </c>
      <c r="BG140" s="42">
        <f>ROUND(BC140+BD140-BE140-BF140,2)</f>
        <v/>
      </c>
      <c r="BH140">
        <f>BB140-BF140</f>
        <v/>
      </c>
      <c r="BI140" s="42">
        <f>BM139</f>
        <v/>
      </c>
      <c r="BJ140" s="42">
        <f>ROUND(BI140*BJ$6/12,2)</f>
        <v/>
      </c>
      <c r="BK140" s="42">
        <f>MIN(BK$6,BI140+BJ140)</f>
        <v/>
      </c>
      <c r="BL140" s="42">
        <f>MAX(0,MIN(BI140+BJ140-BK140,BH140))</f>
        <v/>
      </c>
      <c r="BM140" s="42">
        <f>ROUND(BI140+BJ140-BK140-BL140,2)</f>
        <v/>
      </c>
      <c r="BN140">
        <f>BH140-BL140</f>
        <v/>
      </c>
    </row>
    <row r="141">
      <c r="A141" s="43" t="n">
        <v>134</v>
      </c>
      <c r="B141" s="44">
        <f>EDATE('My Debts'!$C$6,A141-1)</f>
        <v/>
      </c>
      <c r="C141" s="45">
        <f>K141+Q141+W141+AC141+AI141+AO141+AU141+BA141+BG141+BM141</f>
        <v/>
      </c>
      <c r="D141" s="46">
        <f>I141+O141+U141+AA141+AG141+AM141+AS141+AY141+BE141+BK141+J141+P141+V141+AB141+AH141+AN141+AT141+AZ141+BF141+BL141</f>
        <v/>
      </c>
      <c r="E141" s="46">
        <f>H141+N141+T141+Z141+AF141+AL141+AR141+AX141+BD141+BJ141</f>
        <v/>
      </c>
      <c r="F141">
        <f>MAX(0,'My Debts'!$E$21-(I141+O141+U141+AA141+AG141+AM141+AS141+AY141+BE141+BK141))</f>
        <v/>
      </c>
      <c r="G141" s="42">
        <f>K140</f>
        <v/>
      </c>
      <c r="H141" s="42">
        <f>ROUND(G141*H$6/12,2)</f>
        <v/>
      </c>
      <c r="I141" s="42">
        <f>MIN(I$6,G141+H141)</f>
        <v/>
      </c>
      <c r="J141" s="42">
        <f>MAX(0,MIN(G141+H141-I141,$F141))</f>
        <v/>
      </c>
      <c r="K141" s="42">
        <f>ROUND(G141+H141-I141-J141,2)</f>
        <v/>
      </c>
      <c r="L141">
        <f>$F141-J141</f>
        <v/>
      </c>
      <c r="M141" s="42">
        <f>Q140</f>
        <v/>
      </c>
      <c r="N141" s="42">
        <f>ROUND(M141*N$6/12,2)</f>
        <v/>
      </c>
      <c r="O141" s="42">
        <f>MIN(O$6,M141+N141)</f>
        <v/>
      </c>
      <c r="P141" s="42">
        <f>MAX(0,MIN(M141+N141-O141,L141))</f>
        <v/>
      </c>
      <c r="Q141" s="42">
        <f>ROUND(M141+N141-O141-P141,2)</f>
        <v/>
      </c>
      <c r="R141">
        <f>L141-P141</f>
        <v/>
      </c>
      <c r="S141" s="42">
        <f>W140</f>
        <v/>
      </c>
      <c r="T141" s="42">
        <f>ROUND(S141*T$6/12,2)</f>
        <v/>
      </c>
      <c r="U141" s="42">
        <f>MIN(U$6,S141+T141)</f>
        <v/>
      </c>
      <c r="V141" s="42">
        <f>MAX(0,MIN(S141+T141-U141,R141))</f>
        <v/>
      </c>
      <c r="W141" s="42">
        <f>ROUND(S141+T141-U141-V141,2)</f>
        <v/>
      </c>
      <c r="X141">
        <f>R141-V141</f>
        <v/>
      </c>
      <c r="Y141" s="42">
        <f>AC140</f>
        <v/>
      </c>
      <c r="Z141" s="42">
        <f>ROUND(Y141*Z$6/12,2)</f>
        <v/>
      </c>
      <c r="AA141" s="42">
        <f>MIN(AA$6,Y141+Z141)</f>
        <v/>
      </c>
      <c r="AB141" s="42">
        <f>MAX(0,MIN(Y141+Z141-AA141,X141))</f>
        <v/>
      </c>
      <c r="AC141" s="42">
        <f>ROUND(Y141+Z141-AA141-AB141,2)</f>
        <v/>
      </c>
      <c r="AD141">
        <f>X141-AB141</f>
        <v/>
      </c>
      <c r="AE141" s="42">
        <f>AI140</f>
        <v/>
      </c>
      <c r="AF141" s="42">
        <f>ROUND(AE141*AF$6/12,2)</f>
        <v/>
      </c>
      <c r="AG141" s="42">
        <f>MIN(AG$6,AE141+AF141)</f>
        <v/>
      </c>
      <c r="AH141" s="42">
        <f>MAX(0,MIN(AE141+AF141-AG141,AD141))</f>
        <v/>
      </c>
      <c r="AI141" s="42">
        <f>ROUND(AE141+AF141-AG141-AH141,2)</f>
        <v/>
      </c>
      <c r="AJ141">
        <f>AD141-AH141</f>
        <v/>
      </c>
      <c r="AK141" s="42">
        <f>AO140</f>
        <v/>
      </c>
      <c r="AL141" s="42">
        <f>ROUND(AK141*AL$6/12,2)</f>
        <v/>
      </c>
      <c r="AM141" s="42">
        <f>MIN(AM$6,AK141+AL141)</f>
        <v/>
      </c>
      <c r="AN141" s="42">
        <f>MAX(0,MIN(AK141+AL141-AM141,AJ141))</f>
        <v/>
      </c>
      <c r="AO141" s="42">
        <f>ROUND(AK141+AL141-AM141-AN141,2)</f>
        <v/>
      </c>
      <c r="AP141">
        <f>AJ141-AN141</f>
        <v/>
      </c>
      <c r="AQ141" s="42">
        <f>AU140</f>
        <v/>
      </c>
      <c r="AR141" s="42">
        <f>ROUND(AQ141*AR$6/12,2)</f>
        <v/>
      </c>
      <c r="AS141" s="42">
        <f>MIN(AS$6,AQ141+AR141)</f>
        <v/>
      </c>
      <c r="AT141" s="42">
        <f>MAX(0,MIN(AQ141+AR141-AS141,AP141))</f>
        <v/>
      </c>
      <c r="AU141" s="42">
        <f>ROUND(AQ141+AR141-AS141-AT141,2)</f>
        <v/>
      </c>
      <c r="AV141">
        <f>AP141-AT141</f>
        <v/>
      </c>
      <c r="AW141" s="42">
        <f>BA140</f>
        <v/>
      </c>
      <c r="AX141" s="42">
        <f>ROUND(AW141*AX$6/12,2)</f>
        <v/>
      </c>
      <c r="AY141" s="42">
        <f>MIN(AY$6,AW141+AX141)</f>
        <v/>
      </c>
      <c r="AZ141" s="42">
        <f>MAX(0,MIN(AW141+AX141-AY141,AV141))</f>
        <v/>
      </c>
      <c r="BA141" s="42">
        <f>ROUND(AW141+AX141-AY141-AZ141,2)</f>
        <v/>
      </c>
      <c r="BB141">
        <f>AV141-AZ141</f>
        <v/>
      </c>
      <c r="BC141" s="42">
        <f>BG140</f>
        <v/>
      </c>
      <c r="BD141" s="42">
        <f>ROUND(BC141*BD$6/12,2)</f>
        <v/>
      </c>
      <c r="BE141" s="42">
        <f>MIN(BE$6,BC141+BD141)</f>
        <v/>
      </c>
      <c r="BF141" s="42">
        <f>MAX(0,MIN(BC141+BD141-BE141,BB141))</f>
        <v/>
      </c>
      <c r="BG141" s="42">
        <f>ROUND(BC141+BD141-BE141-BF141,2)</f>
        <v/>
      </c>
      <c r="BH141">
        <f>BB141-BF141</f>
        <v/>
      </c>
      <c r="BI141" s="42">
        <f>BM140</f>
        <v/>
      </c>
      <c r="BJ141" s="42">
        <f>ROUND(BI141*BJ$6/12,2)</f>
        <v/>
      </c>
      <c r="BK141" s="42">
        <f>MIN(BK$6,BI141+BJ141)</f>
        <v/>
      </c>
      <c r="BL141" s="42">
        <f>MAX(0,MIN(BI141+BJ141-BK141,BH141))</f>
        <v/>
      </c>
      <c r="BM141" s="42">
        <f>ROUND(BI141+BJ141-BK141-BL141,2)</f>
        <v/>
      </c>
      <c r="BN141">
        <f>BH141-BL141</f>
        <v/>
      </c>
    </row>
    <row r="142">
      <c r="A142" s="39" t="n">
        <v>135</v>
      </c>
      <c r="B142" s="40">
        <f>EDATE('My Debts'!$C$6,A142-1)</f>
        <v/>
      </c>
      <c r="C142" s="41">
        <f>K142+Q142+W142+AC142+AI142+AO142+AU142+BA142+BG142+BM142</f>
        <v/>
      </c>
      <c r="D142" s="42">
        <f>I142+O142+U142+AA142+AG142+AM142+AS142+AY142+BE142+BK142+J142+P142+V142+AB142+AH142+AN142+AT142+AZ142+BF142+BL142</f>
        <v/>
      </c>
      <c r="E142" s="42">
        <f>H142+N142+T142+Z142+AF142+AL142+AR142+AX142+BD142+BJ142</f>
        <v/>
      </c>
      <c r="F142">
        <f>MAX(0,'My Debts'!$E$21-(I142+O142+U142+AA142+AG142+AM142+AS142+AY142+BE142+BK142))</f>
        <v/>
      </c>
      <c r="G142" s="42">
        <f>K141</f>
        <v/>
      </c>
      <c r="H142" s="42">
        <f>ROUND(G142*H$6/12,2)</f>
        <v/>
      </c>
      <c r="I142" s="42">
        <f>MIN(I$6,G142+H142)</f>
        <v/>
      </c>
      <c r="J142" s="42">
        <f>MAX(0,MIN(G142+H142-I142,$F142))</f>
        <v/>
      </c>
      <c r="K142" s="42">
        <f>ROUND(G142+H142-I142-J142,2)</f>
        <v/>
      </c>
      <c r="L142">
        <f>$F142-J142</f>
        <v/>
      </c>
      <c r="M142" s="42">
        <f>Q141</f>
        <v/>
      </c>
      <c r="N142" s="42">
        <f>ROUND(M142*N$6/12,2)</f>
        <v/>
      </c>
      <c r="O142" s="42">
        <f>MIN(O$6,M142+N142)</f>
        <v/>
      </c>
      <c r="P142" s="42">
        <f>MAX(0,MIN(M142+N142-O142,L142))</f>
        <v/>
      </c>
      <c r="Q142" s="42">
        <f>ROUND(M142+N142-O142-P142,2)</f>
        <v/>
      </c>
      <c r="R142">
        <f>L142-P142</f>
        <v/>
      </c>
      <c r="S142" s="42">
        <f>W141</f>
        <v/>
      </c>
      <c r="T142" s="42">
        <f>ROUND(S142*T$6/12,2)</f>
        <v/>
      </c>
      <c r="U142" s="42">
        <f>MIN(U$6,S142+T142)</f>
        <v/>
      </c>
      <c r="V142" s="42">
        <f>MAX(0,MIN(S142+T142-U142,R142))</f>
        <v/>
      </c>
      <c r="W142" s="42">
        <f>ROUND(S142+T142-U142-V142,2)</f>
        <v/>
      </c>
      <c r="X142">
        <f>R142-V142</f>
        <v/>
      </c>
      <c r="Y142" s="42">
        <f>AC141</f>
        <v/>
      </c>
      <c r="Z142" s="42">
        <f>ROUND(Y142*Z$6/12,2)</f>
        <v/>
      </c>
      <c r="AA142" s="42">
        <f>MIN(AA$6,Y142+Z142)</f>
        <v/>
      </c>
      <c r="AB142" s="42">
        <f>MAX(0,MIN(Y142+Z142-AA142,X142))</f>
        <v/>
      </c>
      <c r="AC142" s="42">
        <f>ROUND(Y142+Z142-AA142-AB142,2)</f>
        <v/>
      </c>
      <c r="AD142">
        <f>X142-AB142</f>
        <v/>
      </c>
      <c r="AE142" s="42">
        <f>AI141</f>
        <v/>
      </c>
      <c r="AF142" s="42">
        <f>ROUND(AE142*AF$6/12,2)</f>
        <v/>
      </c>
      <c r="AG142" s="42">
        <f>MIN(AG$6,AE142+AF142)</f>
        <v/>
      </c>
      <c r="AH142" s="42">
        <f>MAX(0,MIN(AE142+AF142-AG142,AD142))</f>
        <v/>
      </c>
      <c r="AI142" s="42">
        <f>ROUND(AE142+AF142-AG142-AH142,2)</f>
        <v/>
      </c>
      <c r="AJ142">
        <f>AD142-AH142</f>
        <v/>
      </c>
      <c r="AK142" s="42">
        <f>AO141</f>
        <v/>
      </c>
      <c r="AL142" s="42">
        <f>ROUND(AK142*AL$6/12,2)</f>
        <v/>
      </c>
      <c r="AM142" s="42">
        <f>MIN(AM$6,AK142+AL142)</f>
        <v/>
      </c>
      <c r="AN142" s="42">
        <f>MAX(0,MIN(AK142+AL142-AM142,AJ142))</f>
        <v/>
      </c>
      <c r="AO142" s="42">
        <f>ROUND(AK142+AL142-AM142-AN142,2)</f>
        <v/>
      </c>
      <c r="AP142">
        <f>AJ142-AN142</f>
        <v/>
      </c>
      <c r="AQ142" s="42">
        <f>AU141</f>
        <v/>
      </c>
      <c r="AR142" s="42">
        <f>ROUND(AQ142*AR$6/12,2)</f>
        <v/>
      </c>
      <c r="AS142" s="42">
        <f>MIN(AS$6,AQ142+AR142)</f>
        <v/>
      </c>
      <c r="AT142" s="42">
        <f>MAX(0,MIN(AQ142+AR142-AS142,AP142))</f>
        <v/>
      </c>
      <c r="AU142" s="42">
        <f>ROUND(AQ142+AR142-AS142-AT142,2)</f>
        <v/>
      </c>
      <c r="AV142">
        <f>AP142-AT142</f>
        <v/>
      </c>
      <c r="AW142" s="42">
        <f>BA141</f>
        <v/>
      </c>
      <c r="AX142" s="42">
        <f>ROUND(AW142*AX$6/12,2)</f>
        <v/>
      </c>
      <c r="AY142" s="42">
        <f>MIN(AY$6,AW142+AX142)</f>
        <v/>
      </c>
      <c r="AZ142" s="42">
        <f>MAX(0,MIN(AW142+AX142-AY142,AV142))</f>
        <v/>
      </c>
      <c r="BA142" s="42">
        <f>ROUND(AW142+AX142-AY142-AZ142,2)</f>
        <v/>
      </c>
      <c r="BB142">
        <f>AV142-AZ142</f>
        <v/>
      </c>
      <c r="BC142" s="42">
        <f>BG141</f>
        <v/>
      </c>
      <c r="BD142" s="42">
        <f>ROUND(BC142*BD$6/12,2)</f>
        <v/>
      </c>
      <c r="BE142" s="42">
        <f>MIN(BE$6,BC142+BD142)</f>
        <v/>
      </c>
      <c r="BF142" s="42">
        <f>MAX(0,MIN(BC142+BD142-BE142,BB142))</f>
        <v/>
      </c>
      <c r="BG142" s="42">
        <f>ROUND(BC142+BD142-BE142-BF142,2)</f>
        <v/>
      </c>
      <c r="BH142">
        <f>BB142-BF142</f>
        <v/>
      </c>
      <c r="BI142" s="42">
        <f>BM141</f>
        <v/>
      </c>
      <c r="BJ142" s="42">
        <f>ROUND(BI142*BJ$6/12,2)</f>
        <v/>
      </c>
      <c r="BK142" s="42">
        <f>MIN(BK$6,BI142+BJ142)</f>
        <v/>
      </c>
      <c r="BL142" s="42">
        <f>MAX(0,MIN(BI142+BJ142-BK142,BH142))</f>
        <v/>
      </c>
      <c r="BM142" s="42">
        <f>ROUND(BI142+BJ142-BK142-BL142,2)</f>
        <v/>
      </c>
      <c r="BN142">
        <f>BH142-BL142</f>
        <v/>
      </c>
    </row>
    <row r="143">
      <c r="A143" s="43" t="n">
        <v>136</v>
      </c>
      <c r="B143" s="44">
        <f>EDATE('My Debts'!$C$6,A143-1)</f>
        <v/>
      </c>
      <c r="C143" s="45">
        <f>K143+Q143+W143+AC143+AI143+AO143+AU143+BA143+BG143+BM143</f>
        <v/>
      </c>
      <c r="D143" s="46">
        <f>I143+O143+U143+AA143+AG143+AM143+AS143+AY143+BE143+BK143+J143+P143+V143+AB143+AH143+AN143+AT143+AZ143+BF143+BL143</f>
        <v/>
      </c>
      <c r="E143" s="46">
        <f>H143+N143+T143+Z143+AF143+AL143+AR143+AX143+BD143+BJ143</f>
        <v/>
      </c>
      <c r="F143">
        <f>MAX(0,'My Debts'!$E$21-(I143+O143+U143+AA143+AG143+AM143+AS143+AY143+BE143+BK143))</f>
        <v/>
      </c>
      <c r="G143" s="42">
        <f>K142</f>
        <v/>
      </c>
      <c r="H143" s="42">
        <f>ROUND(G143*H$6/12,2)</f>
        <v/>
      </c>
      <c r="I143" s="42">
        <f>MIN(I$6,G143+H143)</f>
        <v/>
      </c>
      <c r="J143" s="42">
        <f>MAX(0,MIN(G143+H143-I143,$F143))</f>
        <v/>
      </c>
      <c r="K143" s="42">
        <f>ROUND(G143+H143-I143-J143,2)</f>
        <v/>
      </c>
      <c r="L143">
        <f>$F143-J143</f>
        <v/>
      </c>
      <c r="M143" s="42">
        <f>Q142</f>
        <v/>
      </c>
      <c r="N143" s="42">
        <f>ROUND(M143*N$6/12,2)</f>
        <v/>
      </c>
      <c r="O143" s="42">
        <f>MIN(O$6,M143+N143)</f>
        <v/>
      </c>
      <c r="P143" s="42">
        <f>MAX(0,MIN(M143+N143-O143,L143))</f>
        <v/>
      </c>
      <c r="Q143" s="42">
        <f>ROUND(M143+N143-O143-P143,2)</f>
        <v/>
      </c>
      <c r="R143">
        <f>L143-P143</f>
        <v/>
      </c>
      <c r="S143" s="42">
        <f>W142</f>
        <v/>
      </c>
      <c r="T143" s="42">
        <f>ROUND(S143*T$6/12,2)</f>
        <v/>
      </c>
      <c r="U143" s="42">
        <f>MIN(U$6,S143+T143)</f>
        <v/>
      </c>
      <c r="V143" s="42">
        <f>MAX(0,MIN(S143+T143-U143,R143))</f>
        <v/>
      </c>
      <c r="W143" s="42">
        <f>ROUND(S143+T143-U143-V143,2)</f>
        <v/>
      </c>
      <c r="X143">
        <f>R143-V143</f>
        <v/>
      </c>
      <c r="Y143" s="42">
        <f>AC142</f>
        <v/>
      </c>
      <c r="Z143" s="42">
        <f>ROUND(Y143*Z$6/12,2)</f>
        <v/>
      </c>
      <c r="AA143" s="42">
        <f>MIN(AA$6,Y143+Z143)</f>
        <v/>
      </c>
      <c r="AB143" s="42">
        <f>MAX(0,MIN(Y143+Z143-AA143,X143))</f>
        <v/>
      </c>
      <c r="AC143" s="42">
        <f>ROUND(Y143+Z143-AA143-AB143,2)</f>
        <v/>
      </c>
      <c r="AD143">
        <f>X143-AB143</f>
        <v/>
      </c>
      <c r="AE143" s="42">
        <f>AI142</f>
        <v/>
      </c>
      <c r="AF143" s="42">
        <f>ROUND(AE143*AF$6/12,2)</f>
        <v/>
      </c>
      <c r="AG143" s="42">
        <f>MIN(AG$6,AE143+AF143)</f>
        <v/>
      </c>
      <c r="AH143" s="42">
        <f>MAX(0,MIN(AE143+AF143-AG143,AD143))</f>
        <v/>
      </c>
      <c r="AI143" s="42">
        <f>ROUND(AE143+AF143-AG143-AH143,2)</f>
        <v/>
      </c>
      <c r="AJ143">
        <f>AD143-AH143</f>
        <v/>
      </c>
      <c r="AK143" s="42">
        <f>AO142</f>
        <v/>
      </c>
      <c r="AL143" s="42">
        <f>ROUND(AK143*AL$6/12,2)</f>
        <v/>
      </c>
      <c r="AM143" s="42">
        <f>MIN(AM$6,AK143+AL143)</f>
        <v/>
      </c>
      <c r="AN143" s="42">
        <f>MAX(0,MIN(AK143+AL143-AM143,AJ143))</f>
        <v/>
      </c>
      <c r="AO143" s="42">
        <f>ROUND(AK143+AL143-AM143-AN143,2)</f>
        <v/>
      </c>
      <c r="AP143">
        <f>AJ143-AN143</f>
        <v/>
      </c>
      <c r="AQ143" s="42">
        <f>AU142</f>
        <v/>
      </c>
      <c r="AR143" s="42">
        <f>ROUND(AQ143*AR$6/12,2)</f>
        <v/>
      </c>
      <c r="AS143" s="42">
        <f>MIN(AS$6,AQ143+AR143)</f>
        <v/>
      </c>
      <c r="AT143" s="42">
        <f>MAX(0,MIN(AQ143+AR143-AS143,AP143))</f>
        <v/>
      </c>
      <c r="AU143" s="42">
        <f>ROUND(AQ143+AR143-AS143-AT143,2)</f>
        <v/>
      </c>
      <c r="AV143">
        <f>AP143-AT143</f>
        <v/>
      </c>
      <c r="AW143" s="42">
        <f>BA142</f>
        <v/>
      </c>
      <c r="AX143" s="42">
        <f>ROUND(AW143*AX$6/12,2)</f>
        <v/>
      </c>
      <c r="AY143" s="42">
        <f>MIN(AY$6,AW143+AX143)</f>
        <v/>
      </c>
      <c r="AZ143" s="42">
        <f>MAX(0,MIN(AW143+AX143-AY143,AV143))</f>
        <v/>
      </c>
      <c r="BA143" s="42">
        <f>ROUND(AW143+AX143-AY143-AZ143,2)</f>
        <v/>
      </c>
      <c r="BB143">
        <f>AV143-AZ143</f>
        <v/>
      </c>
      <c r="BC143" s="42">
        <f>BG142</f>
        <v/>
      </c>
      <c r="BD143" s="42">
        <f>ROUND(BC143*BD$6/12,2)</f>
        <v/>
      </c>
      <c r="BE143" s="42">
        <f>MIN(BE$6,BC143+BD143)</f>
        <v/>
      </c>
      <c r="BF143" s="42">
        <f>MAX(0,MIN(BC143+BD143-BE143,BB143))</f>
        <v/>
      </c>
      <c r="BG143" s="42">
        <f>ROUND(BC143+BD143-BE143-BF143,2)</f>
        <v/>
      </c>
      <c r="BH143">
        <f>BB143-BF143</f>
        <v/>
      </c>
      <c r="BI143" s="42">
        <f>BM142</f>
        <v/>
      </c>
      <c r="BJ143" s="42">
        <f>ROUND(BI143*BJ$6/12,2)</f>
        <v/>
      </c>
      <c r="BK143" s="42">
        <f>MIN(BK$6,BI143+BJ143)</f>
        <v/>
      </c>
      <c r="BL143" s="42">
        <f>MAX(0,MIN(BI143+BJ143-BK143,BH143))</f>
        <v/>
      </c>
      <c r="BM143" s="42">
        <f>ROUND(BI143+BJ143-BK143-BL143,2)</f>
        <v/>
      </c>
      <c r="BN143">
        <f>BH143-BL143</f>
        <v/>
      </c>
    </row>
    <row r="144">
      <c r="A144" s="39" t="n">
        <v>137</v>
      </c>
      <c r="B144" s="40">
        <f>EDATE('My Debts'!$C$6,A144-1)</f>
        <v/>
      </c>
      <c r="C144" s="41">
        <f>K144+Q144+W144+AC144+AI144+AO144+AU144+BA144+BG144+BM144</f>
        <v/>
      </c>
      <c r="D144" s="42">
        <f>I144+O144+U144+AA144+AG144+AM144+AS144+AY144+BE144+BK144+J144+P144+V144+AB144+AH144+AN144+AT144+AZ144+BF144+BL144</f>
        <v/>
      </c>
      <c r="E144" s="42">
        <f>H144+N144+T144+Z144+AF144+AL144+AR144+AX144+BD144+BJ144</f>
        <v/>
      </c>
      <c r="F144">
        <f>MAX(0,'My Debts'!$E$21-(I144+O144+U144+AA144+AG144+AM144+AS144+AY144+BE144+BK144))</f>
        <v/>
      </c>
      <c r="G144" s="42">
        <f>K143</f>
        <v/>
      </c>
      <c r="H144" s="42">
        <f>ROUND(G144*H$6/12,2)</f>
        <v/>
      </c>
      <c r="I144" s="42">
        <f>MIN(I$6,G144+H144)</f>
        <v/>
      </c>
      <c r="J144" s="42">
        <f>MAX(0,MIN(G144+H144-I144,$F144))</f>
        <v/>
      </c>
      <c r="K144" s="42">
        <f>ROUND(G144+H144-I144-J144,2)</f>
        <v/>
      </c>
      <c r="L144">
        <f>$F144-J144</f>
        <v/>
      </c>
      <c r="M144" s="42">
        <f>Q143</f>
        <v/>
      </c>
      <c r="N144" s="42">
        <f>ROUND(M144*N$6/12,2)</f>
        <v/>
      </c>
      <c r="O144" s="42">
        <f>MIN(O$6,M144+N144)</f>
        <v/>
      </c>
      <c r="P144" s="42">
        <f>MAX(0,MIN(M144+N144-O144,L144))</f>
        <v/>
      </c>
      <c r="Q144" s="42">
        <f>ROUND(M144+N144-O144-P144,2)</f>
        <v/>
      </c>
      <c r="R144">
        <f>L144-P144</f>
        <v/>
      </c>
      <c r="S144" s="42">
        <f>W143</f>
        <v/>
      </c>
      <c r="T144" s="42">
        <f>ROUND(S144*T$6/12,2)</f>
        <v/>
      </c>
      <c r="U144" s="42">
        <f>MIN(U$6,S144+T144)</f>
        <v/>
      </c>
      <c r="V144" s="42">
        <f>MAX(0,MIN(S144+T144-U144,R144))</f>
        <v/>
      </c>
      <c r="W144" s="42">
        <f>ROUND(S144+T144-U144-V144,2)</f>
        <v/>
      </c>
      <c r="X144">
        <f>R144-V144</f>
        <v/>
      </c>
      <c r="Y144" s="42">
        <f>AC143</f>
        <v/>
      </c>
      <c r="Z144" s="42">
        <f>ROUND(Y144*Z$6/12,2)</f>
        <v/>
      </c>
      <c r="AA144" s="42">
        <f>MIN(AA$6,Y144+Z144)</f>
        <v/>
      </c>
      <c r="AB144" s="42">
        <f>MAX(0,MIN(Y144+Z144-AA144,X144))</f>
        <v/>
      </c>
      <c r="AC144" s="42">
        <f>ROUND(Y144+Z144-AA144-AB144,2)</f>
        <v/>
      </c>
      <c r="AD144">
        <f>X144-AB144</f>
        <v/>
      </c>
      <c r="AE144" s="42">
        <f>AI143</f>
        <v/>
      </c>
      <c r="AF144" s="42">
        <f>ROUND(AE144*AF$6/12,2)</f>
        <v/>
      </c>
      <c r="AG144" s="42">
        <f>MIN(AG$6,AE144+AF144)</f>
        <v/>
      </c>
      <c r="AH144" s="42">
        <f>MAX(0,MIN(AE144+AF144-AG144,AD144))</f>
        <v/>
      </c>
      <c r="AI144" s="42">
        <f>ROUND(AE144+AF144-AG144-AH144,2)</f>
        <v/>
      </c>
      <c r="AJ144">
        <f>AD144-AH144</f>
        <v/>
      </c>
      <c r="AK144" s="42">
        <f>AO143</f>
        <v/>
      </c>
      <c r="AL144" s="42">
        <f>ROUND(AK144*AL$6/12,2)</f>
        <v/>
      </c>
      <c r="AM144" s="42">
        <f>MIN(AM$6,AK144+AL144)</f>
        <v/>
      </c>
      <c r="AN144" s="42">
        <f>MAX(0,MIN(AK144+AL144-AM144,AJ144))</f>
        <v/>
      </c>
      <c r="AO144" s="42">
        <f>ROUND(AK144+AL144-AM144-AN144,2)</f>
        <v/>
      </c>
      <c r="AP144">
        <f>AJ144-AN144</f>
        <v/>
      </c>
      <c r="AQ144" s="42">
        <f>AU143</f>
        <v/>
      </c>
      <c r="AR144" s="42">
        <f>ROUND(AQ144*AR$6/12,2)</f>
        <v/>
      </c>
      <c r="AS144" s="42">
        <f>MIN(AS$6,AQ144+AR144)</f>
        <v/>
      </c>
      <c r="AT144" s="42">
        <f>MAX(0,MIN(AQ144+AR144-AS144,AP144))</f>
        <v/>
      </c>
      <c r="AU144" s="42">
        <f>ROUND(AQ144+AR144-AS144-AT144,2)</f>
        <v/>
      </c>
      <c r="AV144">
        <f>AP144-AT144</f>
        <v/>
      </c>
      <c r="AW144" s="42">
        <f>BA143</f>
        <v/>
      </c>
      <c r="AX144" s="42">
        <f>ROUND(AW144*AX$6/12,2)</f>
        <v/>
      </c>
      <c r="AY144" s="42">
        <f>MIN(AY$6,AW144+AX144)</f>
        <v/>
      </c>
      <c r="AZ144" s="42">
        <f>MAX(0,MIN(AW144+AX144-AY144,AV144))</f>
        <v/>
      </c>
      <c r="BA144" s="42">
        <f>ROUND(AW144+AX144-AY144-AZ144,2)</f>
        <v/>
      </c>
      <c r="BB144">
        <f>AV144-AZ144</f>
        <v/>
      </c>
      <c r="BC144" s="42">
        <f>BG143</f>
        <v/>
      </c>
      <c r="BD144" s="42">
        <f>ROUND(BC144*BD$6/12,2)</f>
        <v/>
      </c>
      <c r="BE144" s="42">
        <f>MIN(BE$6,BC144+BD144)</f>
        <v/>
      </c>
      <c r="BF144" s="42">
        <f>MAX(0,MIN(BC144+BD144-BE144,BB144))</f>
        <v/>
      </c>
      <c r="BG144" s="42">
        <f>ROUND(BC144+BD144-BE144-BF144,2)</f>
        <v/>
      </c>
      <c r="BH144">
        <f>BB144-BF144</f>
        <v/>
      </c>
      <c r="BI144" s="42">
        <f>BM143</f>
        <v/>
      </c>
      <c r="BJ144" s="42">
        <f>ROUND(BI144*BJ$6/12,2)</f>
        <v/>
      </c>
      <c r="BK144" s="42">
        <f>MIN(BK$6,BI144+BJ144)</f>
        <v/>
      </c>
      <c r="BL144" s="42">
        <f>MAX(0,MIN(BI144+BJ144-BK144,BH144))</f>
        <v/>
      </c>
      <c r="BM144" s="42">
        <f>ROUND(BI144+BJ144-BK144-BL144,2)</f>
        <v/>
      </c>
      <c r="BN144">
        <f>BH144-BL144</f>
        <v/>
      </c>
    </row>
    <row r="145">
      <c r="A145" s="43" t="n">
        <v>138</v>
      </c>
      <c r="B145" s="44">
        <f>EDATE('My Debts'!$C$6,A145-1)</f>
        <v/>
      </c>
      <c r="C145" s="45">
        <f>K145+Q145+W145+AC145+AI145+AO145+AU145+BA145+BG145+BM145</f>
        <v/>
      </c>
      <c r="D145" s="46">
        <f>I145+O145+U145+AA145+AG145+AM145+AS145+AY145+BE145+BK145+J145+P145+V145+AB145+AH145+AN145+AT145+AZ145+BF145+BL145</f>
        <v/>
      </c>
      <c r="E145" s="46">
        <f>H145+N145+T145+Z145+AF145+AL145+AR145+AX145+BD145+BJ145</f>
        <v/>
      </c>
      <c r="F145">
        <f>MAX(0,'My Debts'!$E$21-(I145+O145+U145+AA145+AG145+AM145+AS145+AY145+BE145+BK145))</f>
        <v/>
      </c>
      <c r="G145" s="42">
        <f>K144</f>
        <v/>
      </c>
      <c r="H145" s="42">
        <f>ROUND(G145*H$6/12,2)</f>
        <v/>
      </c>
      <c r="I145" s="42">
        <f>MIN(I$6,G145+H145)</f>
        <v/>
      </c>
      <c r="J145" s="42">
        <f>MAX(0,MIN(G145+H145-I145,$F145))</f>
        <v/>
      </c>
      <c r="K145" s="42">
        <f>ROUND(G145+H145-I145-J145,2)</f>
        <v/>
      </c>
      <c r="L145">
        <f>$F145-J145</f>
        <v/>
      </c>
      <c r="M145" s="42">
        <f>Q144</f>
        <v/>
      </c>
      <c r="N145" s="42">
        <f>ROUND(M145*N$6/12,2)</f>
        <v/>
      </c>
      <c r="O145" s="42">
        <f>MIN(O$6,M145+N145)</f>
        <v/>
      </c>
      <c r="P145" s="42">
        <f>MAX(0,MIN(M145+N145-O145,L145))</f>
        <v/>
      </c>
      <c r="Q145" s="42">
        <f>ROUND(M145+N145-O145-P145,2)</f>
        <v/>
      </c>
      <c r="R145">
        <f>L145-P145</f>
        <v/>
      </c>
      <c r="S145" s="42">
        <f>W144</f>
        <v/>
      </c>
      <c r="T145" s="42">
        <f>ROUND(S145*T$6/12,2)</f>
        <v/>
      </c>
      <c r="U145" s="42">
        <f>MIN(U$6,S145+T145)</f>
        <v/>
      </c>
      <c r="V145" s="42">
        <f>MAX(0,MIN(S145+T145-U145,R145))</f>
        <v/>
      </c>
      <c r="W145" s="42">
        <f>ROUND(S145+T145-U145-V145,2)</f>
        <v/>
      </c>
      <c r="X145">
        <f>R145-V145</f>
        <v/>
      </c>
      <c r="Y145" s="42">
        <f>AC144</f>
        <v/>
      </c>
      <c r="Z145" s="42">
        <f>ROUND(Y145*Z$6/12,2)</f>
        <v/>
      </c>
      <c r="AA145" s="42">
        <f>MIN(AA$6,Y145+Z145)</f>
        <v/>
      </c>
      <c r="AB145" s="42">
        <f>MAX(0,MIN(Y145+Z145-AA145,X145))</f>
        <v/>
      </c>
      <c r="AC145" s="42">
        <f>ROUND(Y145+Z145-AA145-AB145,2)</f>
        <v/>
      </c>
      <c r="AD145">
        <f>X145-AB145</f>
        <v/>
      </c>
      <c r="AE145" s="42">
        <f>AI144</f>
        <v/>
      </c>
      <c r="AF145" s="42">
        <f>ROUND(AE145*AF$6/12,2)</f>
        <v/>
      </c>
      <c r="AG145" s="42">
        <f>MIN(AG$6,AE145+AF145)</f>
        <v/>
      </c>
      <c r="AH145" s="42">
        <f>MAX(0,MIN(AE145+AF145-AG145,AD145))</f>
        <v/>
      </c>
      <c r="AI145" s="42">
        <f>ROUND(AE145+AF145-AG145-AH145,2)</f>
        <v/>
      </c>
      <c r="AJ145">
        <f>AD145-AH145</f>
        <v/>
      </c>
      <c r="AK145" s="42">
        <f>AO144</f>
        <v/>
      </c>
      <c r="AL145" s="42">
        <f>ROUND(AK145*AL$6/12,2)</f>
        <v/>
      </c>
      <c r="AM145" s="42">
        <f>MIN(AM$6,AK145+AL145)</f>
        <v/>
      </c>
      <c r="AN145" s="42">
        <f>MAX(0,MIN(AK145+AL145-AM145,AJ145))</f>
        <v/>
      </c>
      <c r="AO145" s="42">
        <f>ROUND(AK145+AL145-AM145-AN145,2)</f>
        <v/>
      </c>
      <c r="AP145">
        <f>AJ145-AN145</f>
        <v/>
      </c>
      <c r="AQ145" s="42">
        <f>AU144</f>
        <v/>
      </c>
      <c r="AR145" s="42">
        <f>ROUND(AQ145*AR$6/12,2)</f>
        <v/>
      </c>
      <c r="AS145" s="42">
        <f>MIN(AS$6,AQ145+AR145)</f>
        <v/>
      </c>
      <c r="AT145" s="42">
        <f>MAX(0,MIN(AQ145+AR145-AS145,AP145))</f>
        <v/>
      </c>
      <c r="AU145" s="42">
        <f>ROUND(AQ145+AR145-AS145-AT145,2)</f>
        <v/>
      </c>
      <c r="AV145">
        <f>AP145-AT145</f>
        <v/>
      </c>
      <c r="AW145" s="42">
        <f>BA144</f>
        <v/>
      </c>
      <c r="AX145" s="42">
        <f>ROUND(AW145*AX$6/12,2)</f>
        <v/>
      </c>
      <c r="AY145" s="42">
        <f>MIN(AY$6,AW145+AX145)</f>
        <v/>
      </c>
      <c r="AZ145" s="42">
        <f>MAX(0,MIN(AW145+AX145-AY145,AV145))</f>
        <v/>
      </c>
      <c r="BA145" s="42">
        <f>ROUND(AW145+AX145-AY145-AZ145,2)</f>
        <v/>
      </c>
      <c r="BB145">
        <f>AV145-AZ145</f>
        <v/>
      </c>
      <c r="BC145" s="42">
        <f>BG144</f>
        <v/>
      </c>
      <c r="BD145" s="42">
        <f>ROUND(BC145*BD$6/12,2)</f>
        <v/>
      </c>
      <c r="BE145" s="42">
        <f>MIN(BE$6,BC145+BD145)</f>
        <v/>
      </c>
      <c r="BF145" s="42">
        <f>MAX(0,MIN(BC145+BD145-BE145,BB145))</f>
        <v/>
      </c>
      <c r="BG145" s="42">
        <f>ROUND(BC145+BD145-BE145-BF145,2)</f>
        <v/>
      </c>
      <c r="BH145">
        <f>BB145-BF145</f>
        <v/>
      </c>
      <c r="BI145" s="42">
        <f>BM144</f>
        <v/>
      </c>
      <c r="BJ145" s="42">
        <f>ROUND(BI145*BJ$6/12,2)</f>
        <v/>
      </c>
      <c r="BK145" s="42">
        <f>MIN(BK$6,BI145+BJ145)</f>
        <v/>
      </c>
      <c r="BL145" s="42">
        <f>MAX(0,MIN(BI145+BJ145-BK145,BH145))</f>
        <v/>
      </c>
      <c r="BM145" s="42">
        <f>ROUND(BI145+BJ145-BK145-BL145,2)</f>
        <v/>
      </c>
      <c r="BN145">
        <f>BH145-BL145</f>
        <v/>
      </c>
    </row>
    <row r="146">
      <c r="A146" s="39" t="n">
        <v>139</v>
      </c>
      <c r="B146" s="40">
        <f>EDATE('My Debts'!$C$6,A146-1)</f>
        <v/>
      </c>
      <c r="C146" s="41">
        <f>K146+Q146+W146+AC146+AI146+AO146+AU146+BA146+BG146+BM146</f>
        <v/>
      </c>
      <c r="D146" s="42">
        <f>I146+O146+U146+AA146+AG146+AM146+AS146+AY146+BE146+BK146+J146+P146+V146+AB146+AH146+AN146+AT146+AZ146+BF146+BL146</f>
        <v/>
      </c>
      <c r="E146" s="42">
        <f>H146+N146+T146+Z146+AF146+AL146+AR146+AX146+BD146+BJ146</f>
        <v/>
      </c>
      <c r="F146">
        <f>MAX(0,'My Debts'!$E$21-(I146+O146+U146+AA146+AG146+AM146+AS146+AY146+BE146+BK146))</f>
        <v/>
      </c>
      <c r="G146" s="42">
        <f>K145</f>
        <v/>
      </c>
      <c r="H146" s="42">
        <f>ROUND(G146*H$6/12,2)</f>
        <v/>
      </c>
      <c r="I146" s="42">
        <f>MIN(I$6,G146+H146)</f>
        <v/>
      </c>
      <c r="J146" s="42">
        <f>MAX(0,MIN(G146+H146-I146,$F146))</f>
        <v/>
      </c>
      <c r="K146" s="42">
        <f>ROUND(G146+H146-I146-J146,2)</f>
        <v/>
      </c>
      <c r="L146">
        <f>$F146-J146</f>
        <v/>
      </c>
      <c r="M146" s="42">
        <f>Q145</f>
        <v/>
      </c>
      <c r="N146" s="42">
        <f>ROUND(M146*N$6/12,2)</f>
        <v/>
      </c>
      <c r="O146" s="42">
        <f>MIN(O$6,M146+N146)</f>
        <v/>
      </c>
      <c r="P146" s="42">
        <f>MAX(0,MIN(M146+N146-O146,L146))</f>
        <v/>
      </c>
      <c r="Q146" s="42">
        <f>ROUND(M146+N146-O146-P146,2)</f>
        <v/>
      </c>
      <c r="R146">
        <f>L146-P146</f>
        <v/>
      </c>
      <c r="S146" s="42">
        <f>W145</f>
        <v/>
      </c>
      <c r="T146" s="42">
        <f>ROUND(S146*T$6/12,2)</f>
        <v/>
      </c>
      <c r="U146" s="42">
        <f>MIN(U$6,S146+T146)</f>
        <v/>
      </c>
      <c r="V146" s="42">
        <f>MAX(0,MIN(S146+T146-U146,R146))</f>
        <v/>
      </c>
      <c r="W146" s="42">
        <f>ROUND(S146+T146-U146-V146,2)</f>
        <v/>
      </c>
      <c r="X146">
        <f>R146-V146</f>
        <v/>
      </c>
      <c r="Y146" s="42">
        <f>AC145</f>
        <v/>
      </c>
      <c r="Z146" s="42">
        <f>ROUND(Y146*Z$6/12,2)</f>
        <v/>
      </c>
      <c r="AA146" s="42">
        <f>MIN(AA$6,Y146+Z146)</f>
        <v/>
      </c>
      <c r="AB146" s="42">
        <f>MAX(0,MIN(Y146+Z146-AA146,X146))</f>
        <v/>
      </c>
      <c r="AC146" s="42">
        <f>ROUND(Y146+Z146-AA146-AB146,2)</f>
        <v/>
      </c>
      <c r="AD146">
        <f>X146-AB146</f>
        <v/>
      </c>
      <c r="AE146" s="42">
        <f>AI145</f>
        <v/>
      </c>
      <c r="AF146" s="42">
        <f>ROUND(AE146*AF$6/12,2)</f>
        <v/>
      </c>
      <c r="AG146" s="42">
        <f>MIN(AG$6,AE146+AF146)</f>
        <v/>
      </c>
      <c r="AH146" s="42">
        <f>MAX(0,MIN(AE146+AF146-AG146,AD146))</f>
        <v/>
      </c>
      <c r="AI146" s="42">
        <f>ROUND(AE146+AF146-AG146-AH146,2)</f>
        <v/>
      </c>
      <c r="AJ146">
        <f>AD146-AH146</f>
        <v/>
      </c>
      <c r="AK146" s="42">
        <f>AO145</f>
        <v/>
      </c>
      <c r="AL146" s="42">
        <f>ROUND(AK146*AL$6/12,2)</f>
        <v/>
      </c>
      <c r="AM146" s="42">
        <f>MIN(AM$6,AK146+AL146)</f>
        <v/>
      </c>
      <c r="AN146" s="42">
        <f>MAX(0,MIN(AK146+AL146-AM146,AJ146))</f>
        <v/>
      </c>
      <c r="AO146" s="42">
        <f>ROUND(AK146+AL146-AM146-AN146,2)</f>
        <v/>
      </c>
      <c r="AP146">
        <f>AJ146-AN146</f>
        <v/>
      </c>
      <c r="AQ146" s="42">
        <f>AU145</f>
        <v/>
      </c>
      <c r="AR146" s="42">
        <f>ROUND(AQ146*AR$6/12,2)</f>
        <v/>
      </c>
      <c r="AS146" s="42">
        <f>MIN(AS$6,AQ146+AR146)</f>
        <v/>
      </c>
      <c r="AT146" s="42">
        <f>MAX(0,MIN(AQ146+AR146-AS146,AP146))</f>
        <v/>
      </c>
      <c r="AU146" s="42">
        <f>ROUND(AQ146+AR146-AS146-AT146,2)</f>
        <v/>
      </c>
      <c r="AV146">
        <f>AP146-AT146</f>
        <v/>
      </c>
      <c r="AW146" s="42">
        <f>BA145</f>
        <v/>
      </c>
      <c r="AX146" s="42">
        <f>ROUND(AW146*AX$6/12,2)</f>
        <v/>
      </c>
      <c r="AY146" s="42">
        <f>MIN(AY$6,AW146+AX146)</f>
        <v/>
      </c>
      <c r="AZ146" s="42">
        <f>MAX(0,MIN(AW146+AX146-AY146,AV146))</f>
        <v/>
      </c>
      <c r="BA146" s="42">
        <f>ROUND(AW146+AX146-AY146-AZ146,2)</f>
        <v/>
      </c>
      <c r="BB146">
        <f>AV146-AZ146</f>
        <v/>
      </c>
      <c r="BC146" s="42">
        <f>BG145</f>
        <v/>
      </c>
      <c r="BD146" s="42">
        <f>ROUND(BC146*BD$6/12,2)</f>
        <v/>
      </c>
      <c r="BE146" s="42">
        <f>MIN(BE$6,BC146+BD146)</f>
        <v/>
      </c>
      <c r="BF146" s="42">
        <f>MAX(0,MIN(BC146+BD146-BE146,BB146))</f>
        <v/>
      </c>
      <c r="BG146" s="42">
        <f>ROUND(BC146+BD146-BE146-BF146,2)</f>
        <v/>
      </c>
      <c r="BH146">
        <f>BB146-BF146</f>
        <v/>
      </c>
      <c r="BI146" s="42">
        <f>BM145</f>
        <v/>
      </c>
      <c r="BJ146" s="42">
        <f>ROUND(BI146*BJ$6/12,2)</f>
        <v/>
      </c>
      <c r="BK146" s="42">
        <f>MIN(BK$6,BI146+BJ146)</f>
        <v/>
      </c>
      <c r="BL146" s="42">
        <f>MAX(0,MIN(BI146+BJ146-BK146,BH146))</f>
        <v/>
      </c>
      <c r="BM146" s="42">
        <f>ROUND(BI146+BJ146-BK146-BL146,2)</f>
        <v/>
      </c>
      <c r="BN146">
        <f>BH146-BL146</f>
        <v/>
      </c>
    </row>
    <row r="147">
      <c r="A147" s="43" t="n">
        <v>140</v>
      </c>
      <c r="B147" s="44">
        <f>EDATE('My Debts'!$C$6,A147-1)</f>
        <v/>
      </c>
      <c r="C147" s="45">
        <f>K147+Q147+W147+AC147+AI147+AO147+AU147+BA147+BG147+BM147</f>
        <v/>
      </c>
      <c r="D147" s="46">
        <f>I147+O147+U147+AA147+AG147+AM147+AS147+AY147+BE147+BK147+J147+P147+V147+AB147+AH147+AN147+AT147+AZ147+BF147+BL147</f>
        <v/>
      </c>
      <c r="E147" s="46">
        <f>H147+N147+T147+Z147+AF147+AL147+AR147+AX147+BD147+BJ147</f>
        <v/>
      </c>
      <c r="F147">
        <f>MAX(0,'My Debts'!$E$21-(I147+O147+U147+AA147+AG147+AM147+AS147+AY147+BE147+BK147))</f>
        <v/>
      </c>
      <c r="G147" s="42">
        <f>K146</f>
        <v/>
      </c>
      <c r="H147" s="42">
        <f>ROUND(G147*H$6/12,2)</f>
        <v/>
      </c>
      <c r="I147" s="42">
        <f>MIN(I$6,G147+H147)</f>
        <v/>
      </c>
      <c r="J147" s="42">
        <f>MAX(0,MIN(G147+H147-I147,$F147))</f>
        <v/>
      </c>
      <c r="K147" s="42">
        <f>ROUND(G147+H147-I147-J147,2)</f>
        <v/>
      </c>
      <c r="L147">
        <f>$F147-J147</f>
        <v/>
      </c>
      <c r="M147" s="42">
        <f>Q146</f>
        <v/>
      </c>
      <c r="N147" s="42">
        <f>ROUND(M147*N$6/12,2)</f>
        <v/>
      </c>
      <c r="O147" s="42">
        <f>MIN(O$6,M147+N147)</f>
        <v/>
      </c>
      <c r="P147" s="42">
        <f>MAX(0,MIN(M147+N147-O147,L147))</f>
        <v/>
      </c>
      <c r="Q147" s="42">
        <f>ROUND(M147+N147-O147-P147,2)</f>
        <v/>
      </c>
      <c r="R147">
        <f>L147-P147</f>
        <v/>
      </c>
      <c r="S147" s="42">
        <f>W146</f>
        <v/>
      </c>
      <c r="T147" s="42">
        <f>ROUND(S147*T$6/12,2)</f>
        <v/>
      </c>
      <c r="U147" s="42">
        <f>MIN(U$6,S147+T147)</f>
        <v/>
      </c>
      <c r="V147" s="42">
        <f>MAX(0,MIN(S147+T147-U147,R147))</f>
        <v/>
      </c>
      <c r="W147" s="42">
        <f>ROUND(S147+T147-U147-V147,2)</f>
        <v/>
      </c>
      <c r="X147">
        <f>R147-V147</f>
        <v/>
      </c>
      <c r="Y147" s="42">
        <f>AC146</f>
        <v/>
      </c>
      <c r="Z147" s="42">
        <f>ROUND(Y147*Z$6/12,2)</f>
        <v/>
      </c>
      <c r="AA147" s="42">
        <f>MIN(AA$6,Y147+Z147)</f>
        <v/>
      </c>
      <c r="AB147" s="42">
        <f>MAX(0,MIN(Y147+Z147-AA147,X147))</f>
        <v/>
      </c>
      <c r="AC147" s="42">
        <f>ROUND(Y147+Z147-AA147-AB147,2)</f>
        <v/>
      </c>
      <c r="AD147">
        <f>X147-AB147</f>
        <v/>
      </c>
      <c r="AE147" s="42">
        <f>AI146</f>
        <v/>
      </c>
      <c r="AF147" s="42">
        <f>ROUND(AE147*AF$6/12,2)</f>
        <v/>
      </c>
      <c r="AG147" s="42">
        <f>MIN(AG$6,AE147+AF147)</f>
        <v/>
      </c>
      <c r="AH147" s="42">
        <f>MAX(0,MIN(AE147+AF147-AG147,AD147))</f>
        <v/>
      </c>
      <c r="AI147" s="42">
        <f>ROUND(AE147+AF147-AG147-AH147,2)</f>
        <v/>
      </c>
      <c r="AJ147">
        <f>AD147-AH147</f>
        <v/>
      </c>
      <c r="AK147" s="42">
        <f>AO146</f>
        <v/>
      </c>
      <c r="AL147" s="42">
        <f>ROUND(AK147*AL$6/12,2)</f>
        <v/>
      </c>
      <c r="AM147" s="42">
        <f>MIN(AM$6,AK147+AL147)</f>
        <v/>
      </c>
      <c r="AN147" s="42">
        <f>MAX(0,MIN(AK147+AL147-AM147,AJ147))</f>
        <v/>
      </c>
      <c r="AO147" s="42">
        <f>ROUND(AK147+AL147-AM147-AN147,2)</f>
        <v/>
      </c>
      <c r="AP147">
        <f>AJ147-AN147</f>
        <v/>
      </c>
      <c r="AQ147" s="42">
        <f>AU146</f>
        <v/>
      </c>
      <c r="AR147" s="42">
        <f>ROUND(AQ147*AR$6/12,2)</f>
        <v/>
      </c>
      <c r="AS147" s="42">
        <f>MIN(AS$6,AQ147+AR147)</f>
        <v/>
      </c>
      <c r="AT147" s="42">
        <f>MAX(0,MIN(AQ147+AR147-AS147,AP147))</f>
        <v/>
      </c>
      <c r="AU147" s="42">
        <f>ROUND(AQ147+AR147-AS147-AT147,2)</f>
        <v/>
      </c>
      <c r="AV147">
        <f>AP147-AT147</f>
        <v/>
      </c>
      <c r="AW147" s="42">
        <f>BA146</f>
        <v/>
      </c>
      <c r="AX147" s="42">
        <f>ROUND(AW147*AX$6/12,2)</f>
        <v/>
      </c>
      <c r="AY147" s="42">
        <f>MIN(AY$6,AW147+AX147)</f>
        <v/>
      </c>
      <c r="AZ147" s="42">
        <f>MAX(0,MIN(AW147+AX147-AY147,AV147))</f>
        <v/>
      </c>
      <c r="BA147" s="42">
        <f>ROUND(AW147+AX147-AY147-AZ147,2)</f>
        <v/>
      </c>
      <c r="BB147">
        <f>AV147-AZ147</f>
        <v/>
      </c>
      <c r="BC147" s="42">
        <f>BG146</f>
        <v/>
      </c>
      <c r="BD147" s="42">
        <f>ROUND(BC147*BD$6/12,2)</f>
        <v/>
      </c>
      <c r="BE147" s="42">
        <f>MIN(BE$6,BC147+BD147)</f>
        <v/>
      </c>
      <c r="BF147" s="42">
        <f>MAX(0,MIN(BC147+BD147-BE147,BB147))</f>
        <v/>
      </c>
      <c r="BG147" s="42">
        <f>ROUND(BC147+BD147-BE147-BF147,2)</f>
        <v/>
      </c>
      <c r="BH147">
        <f>BB147-BF147</f>
        <v/>
      </c>
      <c r="BI147" s="42">
        <f>BM146</f>
        <v/>
      </c>
      <c r="BJ147" s="42">
        <f>ROUND(BI147*BJ$6/12,2)</f>
        <v/>
      </c>
      <c r="BK147" s="42">
        <f>MIN(BK$6,BI147+BJ147)</f>
        <v/>
      </c>
      <c r="BL147" s="42">
        <f>MAX(0,MIN(BI147+BJ147-BK147,BH147))</f>
        <v/>
      </c>
      <c r="BM147" s="42">
        <f>ROUND(BI147+BJ147-BK147-BL147,2)</f>
        <v/>
      </c>
      <c r="BN147">
        <f>BH147-BL147</f>
        <v/>
      </c>
    </row>
    <row r="148">
      <c r="A148" s="39" t="n">
        <v>141</v>
      </c>
      <c r="B148" s="40">
        <f>EDATE('My Debts'!$C$6,A148-1)</f>
        <v/>
      </c>
      <c r="C148" s="41">
        <f>K148+Q148+W148+AC148+AI148+AO148+AU148+BA148+BG148+BM148</f>
        <v/>
      </c>
      <c r="D148" s="42">
        <f>I148+O148+U148+AA148+AG148+AM148+AS148+AY148+BE148+BK148+J148+P148+V148+AB148+AH148+AN148+AT148+AZ148+BF148+BL148</f>
        <v/>
      </c>
      <c r="E148" s="42">
        <f>H148+N148+T148+Z148+AF148+AL148+AR148+AX148+BD148+BJ148</f>
        <v/>
      </c>
      <c r="F148">
        <f>MAX(0,'My Debts'!$E$21-(I148+O148+U148+AA148+AG148+AM148+AS148+AY148+BE148+BK148))</f>
        <v/>
      </c>
      <c r="G148" s="42">
        <f>K147</f>
        <v/>
      </c>
      <c r="H148" s="42">
        <f>ROUND(G148*H$6/12,2)</f>
        <v/>
      </c>
      <c r="I148" s="42">
        <f>MIN(I$6,G148+H148)</f>
        <v/>
      </c>
      <c r="J148" s="42">
        <f>MAX(0,MIN(G148+H148-I148,$F148))</f>
        <v/>
      </c>
      <c r="K148" s="42">
        <f>ROUND(G148+H148-I148-J148,2)</f>
        <v/>
      </c>
      <c r="L148">
        <f>$F148-J148</f>
        <v/>
      </c>
      <c r="M148" s="42">
        <f>Q147</f>
        <v/>
      </c>
      <c r="N148" s="42">
        <f>ROUND(M148*N$6/12,2)</f>
        <v/>
      </c>
      <c r="O148" s="42">
        <f>MIN(O$6,M148+N148)</f>
        <v/>
      </c>
      <c r="P148" s="42">
        <f>MAX(0,MIN(M148+N148-O148,L148))</f>
        <v/>
      </c>
      <c r="Q148" s="42">
        <f>ROUND(M148+N148-O148-P148,2)</f>
        <v/>
      </c>
      <c r="R148">
        <f>L148-P148</f>
        <v/>
      </c>
      <c r="S148" s="42">
        <f>W147</f>
        <v/>
      </c>
      <c r="T148" s="42">
        <f>ROUND(S148*T$6/12,2)</f>
        <v/>
      </c>
      <c r="U148" s="42">
        <f>MIN(U$6,S148+T148)</f>
        <v/>
      </c>
      <c r="V148" s="42">
        <f>MAX(0,MIN(S148+T148-U148,R148))</f>
        <v/>
      </c>
      <c r="W148" s="42">
        <f>ROUND(S148+T148-U148-V148,2)</f>
        <v/>
      </c>
      <c r="X148">
        <f>R148-V148</f>
        <v/>
      </c>
      <c r="Y148" s="42">
        <f>AC147</f>
        <v/>
      </c>
      <c r="Z148" s="42">
        <f>ROUND(Y148*Z$6/12,2)</f>
        <v/>
      </c>
      <c r="AA148" s="42">
        <f>MIN(AA$6,Y148+Z148)</f>
        <v/>
      </c>
      <c r="AB148" s="42">
        <f>MAX(0,MIN(Y148+Z148-AA148,X148))</f>
        <v/>
      </c>
      <c r="AC148" s="42">
        <f>ROUND(Y148+Z148-AA148-AB148,2)</f>
        <v/>
      </c>
      <c r="AD148">
        <f>X148-AB148</f>
        <v/>
      </c>
      <c r="AE148" s="42">
        <f>AI147</f>
        <v/>
      </c>
      <c r="AF148" s="42">
        <f>ROUND(AE148*AF$6/12,2)</f>
        <v/>
      </c>
      <c r="AG148" s="42">
        <f>MIN(AG$6,AE148+AF148)</f>
        <v/>
      </c>
      <c r="AH148" s="42">
        <f>MAX(0,MIN(AE148+AF148-AG148,AD148))</f>
        <v/>
      </c>
      <c r="AI148" s="42">
        <f>ROUND(AE148+AF148-AG148-AH148,2)</f>
        <v/>
      </c>
      <c r="AJ148">
        <f>AD148-AH148</f>
        <v/>
      </c>
      <c r="AK148" s="42">
        <f>AO147</f>
        <v/>
      </c>
      <c r="AL148" s="42">
        <f>ROUND(AK148*AL$6/12,2)</f>
        <v/>
      </c>
      <c r="AM148" s="42">
        <f>MIN(AM$6,AK148+AL148)</f>
        <v/>
      </c>
      <c r="AN148" s="42">
        <f>MAX(0,MIN(AK148+AL148-AM148,AJ148))</f>
        <v/>
      </c>
      <c r="AO148" s="42">
        <f>ROUND(AK148+AL148-AM148-AN148,2)</f>
        <v/>
      </c>
      <c r="AP148">
        <f>AJ148-AN148</f>
        <v/>
      </c>
      <c r="AQ148" s="42">
        <f>AU147</f>
        <v/>
      </c>
      <c r="AR148" s="42">
        <f>ROUND(AQ148*AR$6/12,2)</f>
        <v/>
      </c>
      <c r="AS148" s="42">
        <f>MIN(AS$6,AQ148+AR148)</f>
        <v/>
      </c>
      <c r="AT148" s="42">
        <f>MAX(0,MIN(AQ148+AR148-AS148,AP148))</f>
        <v/>
      </c>
      <c r="AU148" s="42">
        <f>ROUND(AQ148+AR148-AS148-AT148,2)</f>
        <v/>
      </c>
      <c r="AV148">
        <f>AP148-AT148</f>
        <v/>
      </c>
      <c r="AW148" s="42">
        <f>BA147</f>
        <v/>
      </c>
      <c r="AX148" s="42">
        <f>ROUND(AW148*AX$6/12,2)</f>
        <v/>
      </c>
      <c r="AY148" s="42">
        <f>MIN(AY$6,AW148+AX148)</f>
        <v/>
      </c>
      <c r="AZ148" s="42">
        <f>MAX(0,MIN(AW148+AX148-AY148,AV148))</f>
        <v/>
      </c>
      <c r="BA148" s="42">
        <f>ROUND(AW148+AX148-AY148-AZ148,2)</f>
        <v/>
      </c>
      <c r="BB148">
        <f>AV148-AZ148</f>
        <v/>
      </c>
      <c r="BC148" s="42">
        <f>BG147</f>
        <v/>
      </c>
      <c r="BD148" s="42">
        <f>ROUND(BC148*BD$6/12,2)</f>
        <v/>
      </c>
      <c r="BE148" s="42">
        <f>MIN(BE$6,BC148+BD148)</f>
        <v/>
      </c>
      <c r="BF148" s="42">
        <f>MAX(0,MIN(BC148+BD148-BE148,BB148))</f>
        <v/>
      </c>
      <c r="BG148" s="42">
        <f>ROUND(BC148+BD148-BE148-BF148,2)</f>
        <v/>
      </c>
      <c r="BH148">
        <f>BB148-BF148</f>
        <v/>
      </c>
      <c r="BI148" s="42">
        <f>BM147</f>
        <v/>
      </c>
      <c r="BJ148" s="42">
        <f>ROUND(BI148*BJ$6/12,2)</f>
        <v/>
      </c>
      <c r="BK148" s="42">
        <f>MIN(BK$6,BI148+BJ148)</f>
        <v/>
      </c>
      <c r="BL148" s="42">
        <f>MAX(0,MIN(BI148+BJ148-BK148,BH148))</f>
        <v/>
      </c>
      <c r="BM148" s="42">
        <f>ROUND(BI148+BJ148-BK148-BL148,2)</f>
        <v/>
      </c>
      <c r="BN148">
        <f>BH148-BL148</f>
        <v/>
      </c>
    </row>
    <row r="149">
      <c r="A149" s="43" t="n">
        <v>142</v>
      </c>
      <c r="B149" s="44">
        <f>EDATE('My Debts'!$C$6,A149-1)</f>
        <v/>
      </c>
      <c r="C149" s="45">
        <f>K149+Q149+W149+AC149+AI149+AO149+AU149+BA149+BG149+BM149</f>
        <v/>
      </c>
      <c r="D149" s="46">
        <f>I149+O149+U149+AA149+AG149+AM149+AS149+AY149+BE149+BK149+J149+P149+V149+AB149+AH149+AN149+AT149+AZ149+BF149+BL149</f>
        <v/>
      </c>
      <c r="E149" s="46">
        <f>H149+N149+T149+Z149+AF149+AL149+AR149+AX149+BD149+BJ149</f>
        <v/>
      </c>
      <c r="F149">
        <f>MAX(0,'My Debts'!$E$21-(I149+O149+U149+AA149+AG149+AM149+AS149+AY149+BE149+BK149))</f>
        <v/>
      </c>
      <c r="G149" s="42">
        <f>K148</f>
        <v/>
      </c>
      <c r="H149" s="42">
        <f>ROUND(G149*H$6/12,2)</f>
        <v/>
      </c>
      <c r="I149" s="42">
        <f>MIN(I$6,G149+H149)</f>
        <v/>
      </c>
      <c r="J149" s="42">
        <f>MAX(0,MIN(G149+H149-I149,$F149))</f>
        <v/>
      </c>
      <c r="K149" s="42">
        <f>ROUND(G149+H149-I149-J149,2)</f>
        <v/>
      </c>
      <c r="L149">
        <f>$F149-J149</f>
        <v/>
      </c>
      <c r="M149" s="42">
        <f>Q148</f>
        <v/>
      </c>
      <c r="N149" s="42">
        <f>ROUND(M149*N$6/12,2)</f>
        <v/>
      </c>
      <c r="O149" s="42">
        <f>MIN(O$6,M149+N149)</f>
        <v/>
      </c>
      <c r="P149" s="42">
        <f>MAX(0,MIN(M149+N149-O149,L149))</f>
        <v/>
      </c>
      <c r="Q149" s="42">
        <f>ROUND(M149+N149-O149-P149,2)</f>
        <v/>
      </c>
      <c r="R149">
        <f>L149-P149</f>
        <v/>
      </c>
      <c r="S149" s="42">
        <f>W148</f>
        <v/>
      </c>
      <c r="T149" s="42">
        <f>ROUND(S149*T$6/12,2)</f>
        <v/>
      </c>
      <c r="U149" s="42">
        <f>MIN(U$6,S149+T149)</f>
        <v/>
      </c>
      <c r="V149" s="42">
        <f>MAX(0,MIN(S149+T149-U149,R149))</f>
        <v/>
      </c>
      <c r="W149" s="42">
        <f>ROUND(S149+T149-U149-V149,2)</f>
        <v/>
      </c>
      <c r="X149">
        <f>R149-V149</f>
        <v/>
      </c>
      <c r="Y149" s="42">
        <f>AC148</f>
        <v/>
      </c>
      <c r="Z149" s="42">
        <f>ROUND(Y149*Z$6/12,2)</f>
        <v/>
      </c>
      <c r="AA149" s="42">
        <f>MIN(AA$6,Y149+Z149)</f>
        <v/>
      </c>
      <c r="AB149" s="42">
        <f>MAX(0,MIN(Y149+Z149-AA149,X149))</f>
        <v/>
      </c>
      <c r="AC149" s="42">
        <f>ROUND(Y149+Z149-AA149-AB149,2)</f>
        <v/>
      </c>
      <c r="AD149">
        <f>X149-AB149</f>
        <v/>
      </c>
      <c r="AE149" s="42">
        <f>AI148</f>
        <v/>
      </c>
      <c r="AF149" s="42">
        <f>ROUND(AE149*AF$6/12,2)</f>
        <v/>
      </c>
      <c r="AG149" s="42">
        <f>MIN(AG$6,AE149+AF149)</f>
        <v/>
      </c>
      <c r="AH149" s="42">
        <f>MAX(0,MIN(AE149+AF149-AG149,AD149))</f>
        <v/>
      </c>
      <c r="AI149" s="42">
        <f>ROUND(AE149+AF149-AG149-AH149,2)</f>
        <v/>
      </c>
      <c r="AJ149">
        <f>AD149-AH149</f>
        <v/>
      </c>
      <c r="AK149" s="42">
        <f>AO148</f>
        <v/>
      </c>
      <c r="AL149" s="42">
        <f>ROUND(AK149*AL$6/12,2)</f>
        <v/>
      </c>
      <c r="AM149" s="42">
        <f>MIN(AM$6,AK149+AL149)</f>
        <v/>
      </c>
      <c r="AN149" s="42">
        <f>MAX(0,MIN(AK149+AL149-AM149,AJ149))</f>
        <v/>
      </c>
      <c r="AO149" s="42">
        <f>ROUND(AK149+AL149-AM149-AN149,2)</f>
        <v/>
      </c>
      <c r="AP149">
        <f>AJ149-AN149</f>
        <v/>
      </c>
      <c r="AQ149" s="42">
        <f>AU148</f>
        <v/>
      </c>
      <c r="AR149" s="42">
        <f>ROUND(AQ149*AR$6/12,2)</f>
        <v/>
      </c>
      <c r="AS149" s="42">
        <f>MIN(AS$6,AQ149+AR149)</f>
        <v/>
      </c>
      <c r="AT149" s="42">
        <f>MAX(0,MIN(AQ149+AR149-AS149,AP149))</f>
        <v/>
      </c>
      <c r="AU149" s="42">
        <f>ROUND(AQ149+AR149-AS149-AT149,2)</f>
        <v/>
      </c>
      <c r="AV149">
        <f>AP149-AT149</f>
        <v/>
      </c>
      <c r="AW149" s="42">
        <f>BA148</f>
        <v/>
      </c>
      <c r="AX149" s="42">
        <f>ROUND(AW149*AX$6/12,2)</f>
        <v/>
      </c>
      <c r="AY149" s="42">
        <f>MIN(AY$6,AW149+AX149)</f>
        <v/>
      </c>
      <c r="AZ149" s="42">
        <f>MAX(0,MIN(AW149+AX149-AY149,AV149))</f>
        <v/>
      </c>
      <c r="BA149" s="42">
        <f>ROUND(AW149+AX149-AY149-AZ149,2)</f>
        <v/>
      </c>
      <c r="BB149">
        <f>AV149-AZ149</f>
        <v/>
      </c>
      <c r="BC149" s="42">
        <f>BG148</f>
        <v/>
      </c>
      <c r="BD149" s="42">
        <f>ROUND(BC149*BD$6/12,2)</f>
        <v/>
      </c>
      <c r="BE149" s="42">
        <f>MIN(BE$6,BC149+BD149)</f>
        <v/>
      </c>
      <c r="BF149" s="42">
        <f>MAX(0,MIN(BC149+BD149-BE149,BB149))</f>
        <v/>
      </c>
      <c r="BG149" s="42">
        <f>ROUND(BC149+BD149-BE149-BF149,2)</f>
        <v/>
      </c>
      <c r="BH149">
        <f>BB149-BF149</f>
        <v/>
      </c>
      <c r="BI149" s="42">
        <f>BM148</f>
        <v/>
      </c>
      <c r="BJ149" s="42">
        <f>ROUND(BI149*BJ$6/12,2)</f>
        <v/>
      </c>
      <c r="BK149" s="42">
        <f>MIN(BK$6,BI149+BJ149)</f>
        <v/>
      </c>
      <c r="BL149" s="42">
        <f>MAX(0,MIN(BI149+BJ149-BK149,BH149))</f>
        <v/>
      </c>
      <c r="BM149" s="42">
        <f>ROUND(BI149+BJ149-BK149-BL149,2)</f>
        <v/>
      </c>
      <c r="BN149">
        <f>BH149-BL149</f>
        <v/>
      </c>
    </row>
    <row r="150">
      <c r="A150" s="39" t="n">
        <v>143</v>
      </c>
      <c r="B150" s="40">
        <f>EDATE('My Debts'!$C$6,A150-1)</f>
        <v/>
      </c>
      <c r="C150" s="41">
        <f>K150+Q150+W150+AC150+AI150+AO150+AU150+BA150+BG150+BM150</f>
        <v/>
      </c>
      <c r="D150" s="42">
        <f>I150+O150+U150+AA150+AG150+AM150+AS150+AY150+BE150+BK150+J150+P150+V150+AB150+AH150+AN150+AT150+AZ150+BF150+BL150</f>
        <v/>
      </c>
      <c r="E150" s="42">
        <f>H150+N150+T150+Z150+AF150+AL150+AR150+AX150+BD150+BJ150</f>
        <v/>
      </c>
      <c r="F150">
        <f>MAX(0,'My Debts'!$E$21-(I150+O150+U150+AA150+AG150+AM150+AS150+AY150+BE150+BK150))</f>
        <v/>
      </c>
      <c r="G150" s="42">
        <f>K149</f>
        <v/>
      </c>
      <c r="H150" s="42">
        <f>ROUND(G150*H$6/12,2)</f>
        <v/>
      </c>
      <c r="I150" s="42">
        <f>MIN(I$6,G150+H150)</f>
        <v/>
      </c>
      <c r="J150" s="42">
        <f>MAX(0,MIN(G150+H150-I150,$F150))</f>
        <v/>
      </c>
      <c r="K150" s="42">
        <f>ROUND(G150+H150-I150-J150,2)</f>
        <v/>
      </c>
      <c r="L150">
        <f>$F150-J150</f>
        <v/>
      </c>
      <c r="M150" s="42">
        <f>Q149</f>
        <v/>
      </c>
      <c r="N150" s="42">
        <f>ROUND(M150*N$6/12,2)</f>
        <v/>
      </c>
      <c r="O150" s="42">
        <f>MIN(O$6,M150+N150)</f>
        <v/>
      </c>
      <c r="P150" s="42">
        <f>MAX(0,MIN(M150+N150-O150,L150))</f>
        <v/>
      </c>
      <c r="Q150" s="42">
        <f>ROUND(M150+N150-O150-P150,2)</f>
        <v/>
      </c>
      <c r="R150">
        <f>L150-P150</f>
        <v/>
      </c>
      <c r="S150" s="42">
        <f>W149</f>
        <v/>
      </c>
      <c r="T150" s="42">
        <f>ROUND(S150*T$6/12,2)</f>
        <v/>
      </c>
      <c r="U150" s="42">
        <f>MIN(U$6,S150+T150)</f>
        <v/>
      </c>
      <c r="V150" s="42">
        <f>MAX(0,MIN(S150+T150-U150,R150))</f>
        <v/>
      </c>
      <c r="W150" s="42">
        <f>ROUND(S150+T150-U150-V150,2)</f>
        <v/>
      </c>
      <c r="X150">
        <f>R150-V150</f>
        <v/>
      </c>
      <c r="Y150" s="42">
        <f>AC149</f>
        <v/>
      </c>
      <c r="Z150" s="42">
        <f>ROUND(Y150*Z$6/12,2)</f>
        <v/>
      </c>
      <c r="AA150" s="42">
        <f>MIN(AA$6,Y150+Z150)</f>
        <v/>
      </c>
      <c r="AB150" s="42">
        <f>MAX(0,MIN(Y150+Z150-AA150,X150))</f>
        <v/>
      </c>
      <c r="AC150" s="42">
        <f>ROUND(Y150+Z150-AA150-AB150,2)</f>
        <v/>
      </c>
      <c r="AD150">
        <f>X150-AB150</f>
        <v/>
      </c>
      <c r="AE150" s="42">
        <f>AI149</f>
        <v/>
      </c>
      <c r="AF150" s="42">
        <f>ROUND(AE150*AF$6/12,2)</f>
        <v/>
      </c>
      <c r="AG150" s="42">
        <f>MIN(AG$6,AE150+AF150)</f>
        <v/>
      </c>
      <c r="AH150" s="42">
        <f>MAX(0,MIN(AE150+AF150-AG150,AD150))</f>
        <v/>
      </c>
      <c r="AI150" s="42">
        <f>ROUND(AE150+AF150-AG150-AH150,2)</f>
        <v/>
      </c>
      <c r="AJ150">
        <f>AD150-AH150</f>
        <v/>
      </c>
      <c r="AK150" s="42">
        <f>AO149</f>
        <v/>
      </c>
      <c r="AL150" s="42">
        <f>ROUND(AK150*AL$6/12,2)</f>
        <v/>
      </c>
      <c r="AM150" s="42">
        <f>MIN(AM$6,AK150+AL150)</f>
        <v/>
      </c>
      <c r="AN150" s="42">
        <f>MAX(0,MIN(AK150+AL150-AM150,AJ150))</f>
        <v/>
      </c>
      <c r="AO150" s="42">
        <f>ROUND(AK150+AL150-AM150-AN150,2)</f>
        <v/>
      </c>
      <c r="AP150">
        <f>AJ150-AN150</f>
        <v/>
      </c>
      <c r="AQ150" s="42">
        <f>AU149</f>
        <v/>
      </c>
      <c r="AR150" s="42">
        <f>ROUND(AQ150*AR$6/12,2)</f>
        <v/>
      </c>
      <c r="AS150" s="42">
        <f>MIN(AS$6,AQ150+AR150)</f>
        <v/>
      </c>
      <c r="AT150" s="42">
        <f>MAX(0,MIN(AQ150+AR150-AS150,AP150))</f>
        <v/>
      </c>
      <c r="AU150" s="42">
        <f>ROUND(AQ150+AR150-AS150-AT150,2)</f>
        <v/>
      </c>
      <c r="AV150">
        <f>AP150-AT150</f>
        <v/>
      </c>
      <c r="AW150" s="42">
        <f>BA149</f>
        <v/>
      </c>
      <c r="AX150" s="42">
        <f>ROUND(AW150*AX$6/12,2)</f>
        <v/>
      </c>
      <c r="AY150" s="42">
        <f>MIN(AY$6,AW150+AX150)</f>
        <v/>
      </c>
      <c r="AZ150" s="42">
        <f>MAX(0,MIN(AW150+AX150-AY150,AV150))</f>
        <v/>
      </c>
      <c r="BA150" s="42">
        <f>ROUND(AW150+AX150-AY150-AZ150,2)</f>
        <v/>
      </c>
      <c r="BB150">
        <f>AV150-AZ150</f>
        <v/>
      </c>
      <c r="BC150" s="42">
        <f>BG149</f>
        <v/>
      </c>
      <c r="BD150" s="42">
        <f>ROUND(BC150*BD$6/12,2)</f>
        <v/>
      </c>
      <c r="BE150" s="42">
        <f>MIN(BE$6,BC150+BD150)</f>
        <v/>
      </c>
      <c r="BF150" s="42">
        <f>MAX(0,MIN(BC150+BD150-BE150,BB150))</f>
        <v/>
      </c>
      <c r="BG150" s="42">
        <f>ROUND(BC150+BD150-BE150-BF150,2)</f>
        <v/>
      </c>
      <c r="BH150">
        <f>BB150-BF150</f>
        <v/>
      </c>
      <c r="BI150" s="42">
        <f>BM149</f>
        <v/>
      </c>
      <c r="BJ150" s="42">
        <f>ROUND(BI150*BJ$6/12,2)</f>
        <v/>
      </c>
      <c r="BK150" s="42">
        <f>MIN(BK$6,BI150+BJ150)</f>
        <v/>
      </c>
      <c r="BL150" s="42">
        <f>MAX(0,MIN(BI150+BJ150-BK150,BH150))</f>
        <v/>
      </c>
      <c r="BM150" s="42">
        <f>ROUND(BI150+BJ150-BK150-BL150,2)</f>
        <v/>
      </c>
      <c r="BN150">
        <f>BH150-BL150</f>
        <v/>
      </c>
    </row>
    <row r="151">
      <c r="A151" s="43" t="n">
        <v>144</v>
      </c>
      <c r="B151" s="44">
        <f>EDATE('My Debts'!$C$6,A151-1)</f>
        <v/>
      </c>
      <c r="C151" s="45">
        <f>K151+Q151+W151+AC151+AI151+AO151+AU151+BA151+BG151+BM151</f>
        <v/>
      </c>
      <c r="D151" s="46">
        <f>I151+O151+U151+AA151+AG151+AM151+AS151+AY151+BE151+BK151+J151+P151+V151+AB151+AH151+AN151+AT151+AZ151+BF151+BL151</f>
        <v/>
      </c>
      <c r="E151" s="46">
        <f>H151+N151+T151+Z151+AF151+AL151+AR151+AX151+BD151+BJ151</f>
        <v/>
      </c>
      <c r="F151">
        <f>MAX(0,'My Debts'!$E$21-(I151+O151+U151+AA151+AG151+AM151+AS151+AY151+BE151+BK151))</f>
        <v/>
      </c>
      <c r="G151" s="42">
        <f>K150</f>
        <v/>
      </c>
      <c r="H151" s="42">
        <f>ROUND(G151*H$6/12,2)</f>
        <v/>
      </c>
      <c r="I151" s="42">
        <f>MIN(I$6,G151+H151)</f>
        <v/>
      </c>
      <c r="J151" s="42">
        <f>MAX(0,MIN(G151+H151-I151,$F151))</f>
        <v/>
      </c>
      <c r="K151" s="42">
        <f>ROUND(G151+H151-I151-J151,2)</f>
        <v/>
      </c>
      <c r="L151">
        <f>$F151-J151</f>
        <v/>
      </c>
      <c r="M151" s="42">
        <f>Q150</f>
        <v/>
      </c>
      <c r="N151" s="42">
        <f>ROUND(M151*N$6/12,2)</f>
        <v/>
      </c>
      <c r="O151" s="42">
        <f>MIN(O$6,M151+N151)</f>
        <v/>
      </c>
      <c r="P151" s="42">
        <f>MAX(0,MIN(M151+N151-O151,L151))</f>
        <v/>
      </c>
      <c r="Q151" s="42">
        <f>ROUND(M151+N151-O151-P151,2)</f>
        <v/>
      </c>
      <c r="R151">
        <f>L151-P151</f>
        <v/>
      </c>
      <c r="S151" s="42">
        <f>W150</f>
        <v/>
      </c>
      <c r="T151" s="42">
        <f>ROUND(S151*T$6/12,2)</f>
        <v/>
      </c>
      <c r="U151" s="42">
        <f>MIN(U$6,S151+T151)</f>
        <v/>
      </c>
      <c r="V151" s="42">
        <f>MAX(0,MIN(S151+T151-U151,R151))</f>
        <v/>
      </c>
      <c r="W151" s="42">
        <f>ROUND(S151+T151-U151-V151,2)</f>
        <v/>
      </c>
      <c r="X151">
        <f>R151-V151</f>
        <v/>
      </c>
      <c r="Y151" s="42">
        <f>AC150</f>
        <v/>
      </c>
      <c r="Z151" s="42">
        <f>ROUND(Y151*Z$6/12,2)</f>
        <v/>
      </c>
      <c r="AA151" s="42">
        <f>MIN(AA$6,Y151+Z151)</f>
        <v/>
      </c>
      <c r="AB151" s="42">
        <f>MAX(0,MIN(Y151+Z151-AA151,X151))</f>
        <v/>
      </c>
      <c r="AC151" s="42">
        <f>ROUND(Y151+Z151-AA151-AB151,2)</f>
        <v/>
      </c>
      <c r="AD151">
        <f>X151-AB151</f>
        <v/>
      </c>
      <c r="AE151" s="42">
        <f>AI150</f>
        <v/>
      </c>
      <c r="AF151" s="42">
        <f>ROUND(AE151*AF$6/12,2)</f>
        <v/>
      </c>
      <c r="AG151" s="42">
        <f>MIN(AG$6,AE151+AF151)</f>
        <v/>
      </c>
      <c r="AH151" s="42">
        <f>MAX(0,MIN(AE151+AF151-AG151,AD151))</f>
        <v/>
      </c>
      <c r="AI151" s="42">
        <f>ROUND(AE151+AF151-AG151-AH151,2)</f>
        <v/>
      </c>
      <c r="AJ151">
        <f>AD151-AH151</f>
        <v/>
      </c>
      <c r="AK151" s="42">
        <f>AO150</f>
        <v/>
      </c>
      <c r="AL151" s="42">
        <f>ROUND(AK151*AL$6/12,2)</f>
        <v/>
      </c>
      <c r="AM151" s="42">
        <f>MIN(AM$6,AK151+AL151)</f>
        <v/>
      </c>
      <c r="AN151" s="42">
        <f>MAX(0,MIN(AK151+AL151-AM151,AJ151))</f>
        <v/>
      </c>
      <c r="AO151" s="42">
        <f>ROUND(AK151+AL151-AM151-AN151,2)</f>
        <v/>
      </c>
      <c r="AP151">
        <f>AJ151-AN151</f>
        <v/>
      </c>
      <c r="AQ151" s="42">
        <f>AU150</f>
        <v/>
      </c>
      <c r="AR151" s="42">
        <f>ROUND(AQ151*AR$6/12,2)</f>
        <v/>
      </c>
      <c r="AS151" s="42">
        <f>MIN(AS$6,AQ151+AR151)</f>
        <v/>
      </c>
      <c r="AT151" s="42">
        <f>MAX(0,MIN(AQ151+AR151-AS151,AP151))</f>
        <v/>
      </c>
      <c r="AU151" s="42">
        <f>ROUND(AQ151+AR151-AS151-AT151,2)</f>
        <v/>
      </c>
      <c r="AV151">
        <f>AP151-AT151</f>
        <v/>
      </c>
      <c r="AW151" s="42">
        <f>BA150</f>
        <v/>
      </c>
      <c r="AX151" s="42">
        <f>ROUND(AW151*AX$6/12,2)</f>
        <v/>
      </c>
      <c r="AY151" s="42">
        <f>MIN(AY$6,AW151+AX151)</f>
        <v/>
      </c>
      <c r="AZ151" s="42">
        <f>MAX(0,MIN(AW151+AX151-AY151,AV151))</f>
        <v/>
      </c>
      <c r="BA151" s="42">
        <f>ROUND(AW151+AX151-AY151-AZ151,2)</f>
        <v/>
      </c>
      <c r="BB151">
        <f>AV151-AZ151</f>
        <v/>
      </c>
      <c r="BC151" s="42">
        <f>BG150</f>
        <v/>
      </c>
      <c r="BD151" s="42">
        <f>ROUND(BC151*BD$6/12,2)</f>
        <v/>
      </c>
      <c r="BE151" s="42">
        <f>MIN(BE$6,BC151+BD151)</f>
        <v/>
      </c>
      <c r="BF151" s="42">
        <f>MAX(0,MIN(BC151+BD151-BE151,BB151))</f>
        <v/>
      </c>
      <c r="BG151" s="42">
        <f>ROUND(BC151+BD151-BE151-BF151,2)</f>
        <v/>
      </c>
      <c r="BH151">
        <f>BB151-BF151</f>
        <v/>
      </c>
      <c r="BI151" s="42">
        <f>BM150</f>
        <v/>
      </c>
      <c r="BJ151" s="42">
        <f>ROUND(BI151*BJ$6/12,2)</f>
        <v/>
      </c>
      <c r="BK151" s="42">
        <f>MIN(BK$6,BI151+BJ151)</f>
        <v/>
      </c>
      <c r="BL151" s="42">
        <f>MAX(0,MIN(BI151+BJ151-BK151,BH151))</f>
        <v/>
      </c>
      <c r="BM151" s="42">
        <f>ROUND(BI151+BJ151-BK151-BL151,2)</f>
        <v/>
      </c>
      <c r="BN151">
        <f>BH151-BL151</f>
        <v/>
      </c>
    </row>
    <row r="152">
      <c r="A152" s="39" t="n">
        <v>145</v>
      </c>
      <c r="B152" s="40">
        <f>EDATE('My Debts'!$C$6,A152-1)</f>
        <v/>
      </c>
      <c r="C152" s="41">
        <f>K152+Q152+W152+AC152+AI152+AO152+AU152+BA152+BG152+BM152</f>
        <v/>
      </c>
      <c r="D152" s="42">
        <f>I152+O152+U152+AA152+AG152+AM152+AS152+AY152+BE152+BK152+J152+P152+V152+AB152+AH152+AN152+AT152+AZ152+BF152+BL152</f>
        <v/>
      </c>
      <c r="E152" s="42">
        <f>H152+N152+T152+Z152+AF152+AL152+AR152+AX152+BD152+BJ152</f>
        <v/>
      </c>
      <c r="F152">
        <f>MAX(0,'My Debts'!$E$21-(I152+O152+U152+AA152+AG152+AM152+AS152+AY152+BE152+BK152))</f>
        <v/>
      </c>
      <c r="G152" s="42">
        <f>K151</f>
        <v/>
      </c>
      <c r="H152" s="42">
        <f>ROUND(G152*H$6/12,2)</f>
        <v/>
      </c>
      <c r="I152" s="42">
        <f>MIN(I$6,G152+H152)</f>
        <v/>
      </c>
      <c r="J152" s="42">
        <f>MAX(0,MIN(G152+H152-I152,$F152))</f>
        <v/>
      </c>
      <c r="K152" s="42">
        <f>ROUND(G152+H152-I152-J152,2)</f>
        <v/>
      </c>
      <c r="L152">
        <f>$F152-J152</f>
        <v/>
      </c>
      <c r="M152" s="42">
        <f>Q151</f>
        <v/>
      </c>
      <c r="N152" s="42">
        <f>ROUND(M152*N$6/12,2)</f>
        <v/>
      </c>
      <c r="O152" s="42">
        <f>MIN(O$6,M152+N152)</f>
        <v/>
      </c>
      <c r="P152" s="42">
        <f>MAX(0,MIN(M152+N152-O152,L152))</f>
        <v/>
      </c>
      <c r="Q152" s="42">
        <f>ROUND(M152+N152-O152-P152,2)</f>
        <v/>
      </c>
      <c r="R152">
        <f>L152-P152</f>
        <v/>
      </c>
      <c r="S152" s="42">
        <f>W151</f>
        <v/>
      </c>
      <c r="T152" s="42">
        <f>ROUND(S152*T$6/12,2)</f>
        <v/>
      </c>
      <c r="U152" s="42">
        <f>MIN(U$6,S152+T152)</f>
        <v/>
      </c>
      <c r="V152" s="42">
        <f>MAX(0,MIN(S152+T152-U152,R152))</f>
        <v/>
      </c>
      <c r="W152" s="42">
        <f>ROUND(S152+T152-U152-V152,2)</f>
        <v/>
      </c>
      <c r="X152">
        <f>R152-V152</f>
        <v/>
      </c>
      <c r="Y152" s="42">
        <f>AC151</f>
        <v/>
      </c>
      <c r="Z152" s="42">
        <f>ROUND(Y152*Z$6/12,2)</f>
        <v/>
      </c>
      <c r="AA152" s="42">
        <f>MIN(AA$6,Y152+Z152)</f>
        <v/>
      </c>
      <c r="AB152" s="42">
        <f>MAX(0,MIN(Y152+Z152-AA152,X152))</f>
        <v/>
      </c>
      <c r="AC152" s="42">
        <f>ROUND(Y152+Z152-AA152-AB152,2)</f>
        <v/>
      </c>
      <c r="AD152">
        <f>X152-AB152</f>
        <v/>
      </c>
      <c r="AE152" s="42">
        <f>AI151</f>
        <v/>
      </c>
      <c r="AF152" s="42">
        <f>ROUND(AE152*AF$6/12,2)</f>
        <v/>
      </c>
      <c r="AG152" s="42">
        <f>MIN(AG$6,AE152+AF152)</f>
        <v/>
      </c>
      <c r="AH152" s="42">
        <f>MAX(0,MIN(AE152+AF152-AG152,AD152))</f>
        <v/>
      </c>
      <c r="AI152" s="42">
        <f>ROUND(AE152+AF152-AG152-AH152,2)</f>
        <v/>
      </c>
      <c r="AJ152">
        <f>AD152-AH152</f>
        <v/>
      </c>
      <c r="AK152" s="42">
        <f>AO151</f>
        <v/>
      </c>
      <c r="AL152" s="42">
        <f>ROUND(AK152*AL$6/12,2)</f>
        <v/>
      </c>
      <c r="AM152" s="42">
        <f>MIN(AM$6,AK152+AL152)</f>
        <v/>
      </c>
      <c r="AN152" s="42">
        <f>MAX(0,MIN(AK152+AL152-AM152,AJ152))</f>
        <v/>
      </c>
      <c r="AO152" s="42">
        <f>ROUND(AK152+AL152-AM152-AN152,2)</f>
        <v/>
      </c>
      <c r="AP152">
        <f>AJ152-AN152</f>
        <v/>
      </c>
      <c r="AQ152" s="42">
        <f>AU151</f>
        <v/>
      </c>
      <c r="AR152" s="42">
        <f>ROUND(AQ152*AR$6/12,2)</f>
        <v/>
      </c>
      <c r="AS152" s="42">
        <f>MIN(AS$6,AQ152+AR152)</f>
        <v/>
      </c>
      <c r="AT152" s="42">
        <f>MAX(0,MIN(AQ152+AR152-AS152,AP152))</f>
        <v/>
      </c>
      <c r="AU152" s="42">
        <f>ROUND(AQ152+AR152-AS152-AT152,2)</f>
        <v/>
      </c>
      <c r="AV152">
        <f>AP152-AT152</f>
        <v/>
      </c>
      <c r="AW152" s="42">
        <f>BA151</f>
        <v/>
      </c>
      <c r="AX152" s="42">
        <f>ROUND(AW152*AX$6/12,2)</f>
        <v/>
      </c>
      <c r="AY152" s="42">
        <f>MIN(AY$6,AW152+AX152)</f>
        <v/>
      </c>
      <c r="AZ152" s="42">
        <f>MAX(0,MIN(AW152+AX152-AY152,AV152))</f>
        <v/>
      </c>
      <c r="BA152" s="42">
        <f>ROUND(AW152+AX152-AY152-AZ152,2)</f>
        <v/>
      </c>
      <c r="BB152">
        <f>AV152-AZ152</f>
        <v/>
      </c>
      <c r="BC152" s="42">
        <f>BG151</f>
        <v/>
      </c>
      <c r="BD152" s="42">
        <f>ROUND(BC152*BD$6/12,2)</f>
        <v/>
      </c>
      <c r="BE152" s="42">
        <f>MIN(BE$6,BC152+BD152)</f>
        <v/>
      </c>
      <c r="BF152" s="42">
        <f>MAX(0,MIN(BC152+BD152-BE152,BB152))</f>
        <v/>
      </c>
      <c r="BG152" s="42">
        <f>ROUND(BC152+BD152-BE152-BF152,2)</f>
        <v/>
      </c>
      <c r="BH152">
        <f>BB152-BF152</f>
        <v/>
      </c>
      <c r="BI152" s="42">
        <f>BM151</f>
        <v/>
      </c>
      <c r="BJ152" s="42">
        <f>ROUND(BI152*BJ$6/12,2)</f>
        <v/>
      </c>
      <c r="BK152" s="42">
        <f>MIN(BK$6,BI152+BJ152)</f>
        <v/>
      </c>
      <c r="BL152" s="42">
        <f>MAX(0,MIN(BI152+BJ152-BK152,BH152))</f>
        <v/>
      </c>
      <c r="BM152" s="42">
        <f>ROUND(BI152+BJ152-BK152-BL152,2)</f>
        <v/>
      </c>
      <c r="BN152">
        <f>BH152-BL152</f>
        <v/>
      </c>
    </row>
    <row r="153">
      <c r="A153" s="43" t="n">
        <v>146</v>
      </c>
      <c r="B153" s="44">
        <f>EDATE('My Debts'!$C$6,A153-1)</f>
        <v/>
      </c>
      <c r="C153" s="45">
        <f>K153+Q153+W153+AC153+AI153+AO153+AU153+BA153+BG153+BM153</f>
        <v/>
      </c>
      <c r="D153" s="46">
        <f>I153+O153+U153+AA153+AG153+AM153+AS153+AY153+BE153+BK153+J153+P153+V153+AB153+AH153+AN153+AT153+AZ153+BF153+BL153</f>
        <v/>
      </c>
      <c r="E153" s="46">
        <f>H153+N153+T153+Z153+AF153+AL153+AR153+AX153+BD153+BJ153</f>
        <v/>
      </c>
      <c r="F153">
        <f>MAX(0,'My Debts'!$E$21-(I153+O153+U153+AA153+AG153+AM153+AS153+AY153+BE153+BK153))</f>
        <v/>
      </c>
      <c r="G153" s="42">
        <f>K152</f>
        <v/>
      </c>
      <c r="H153" s="42">
        <f>ROUND(G153*H$6/12,2)</f>
        <v/>
      </c>
      <c r="I153" s="42">
        <f>MIN(I$6,G153+H153)</f>
        <v/>
      </c>
      <c r="J153" s="42">
        <f>MAX(0,MIN(G153+H153-I153,$F153))</f>
        <v/>
      </c>
      <c r="K153" s="42">
        <f>ROUND(G153+H153-I153-J153,2)</f>
        <v/>
      </c>
      <c r="L153">
        <f>$F153-J153</f>
        <v/>
      </c>
      <c r="M153" s="42">
        <f>Q152</f>
        <v/>
      </c>
      <c r="N153" s="42">
        <f>ROUND(M153*N$6/12,2)</f>
        <v/>
      </c>
      <c r="O153" s="42">
        <f>MIN(O$6,M153+N153)</f>
        <v/>
      </c>
      <c r="P153" s="42">
        <f>MAX(0,MIN(M153+N153-O153,L153))</f>
        <v/>
      </c>
      <c r="Q153" s="42">
        <f>ROUND(M153+N153-O153-P153,2)</f>
        <v/>
      </c>
      <c r="R153">
        <f>L153-P153</f>
        <v/>
      </c>
      <c r="S153" s="42">
        <f>W152</f>
        <v/>
      </c>
      <c r="T153" s="42">
        <f>ROUND(S153*T$6/12,2)</f>
        <v/>
      </c>
      <c r="U153" s="42">
        <f>MIN(U$6,S153+T153)</f>
        <v/>
      </c>
      <c r="V153" s="42">
        <f>MAX(0,MIN(S153+T153-U153,R153))</f>
        <v/>
      </c>
      <c r="W153" s="42">
        <f>ROUND(S153+T153-U153-V153,2)</f>
        <v/>
      </c>
      <c r="X153">
        <f>R153-V153</f>
        <v/>
      </c>
      <c r="Y153" s="42">
        <f>AC152</f>
        <v/>
      </c>
      <c r="Z153" s="42">
        <f>ROUND(Y153*Z$6/12,2)</f>
        <v/>
      </c>
      <c r="AA153" s="42">
        <f>MIN(AA$6,Y153+Z153)</f>
        <v/>
      </c>
      <c r="AB153" s="42">
        <f>MAX(0,MIN(Y153+Z153-AA153,X153))</f>
        <v/>
      </c>
      <c r="AC153" s="42">
        <f>ROUND(Y153+Z153-AA153-AB153,2)</f>
        <v/>
      </c>
      <c r="AD153">
        <f>X153-AB153</f>
        <v/>
      </c>
      <c r="AE153" s="42">
        <f>AI152</f>
        <v/>
      </c>
      <c r="AF153" s="42">
        <f>ROUND(AE153*AF$6/12,2)</f>
        <v/>
      </c>
      <c r="AG153" s="42">
        <f>MIN(AG$6,AE153+AF153)</f>
        <v/>
      </c>
      <c r="AH153" s="42">
        <f>MAX(0,MIN(AE153+AF153-AG153,AD153))</f>
        <v/>
      </c>
      <c r="AI153" s="42">
        <f>ROUND(AE153+AF153-AG153-AH153,2)</f>
        <v/>
      </c>
      <c r="AJ153">
        <f>AD153-AH153</f>
        <v/>
      </c>
      <c r="AK153" s="42">
        <f>AO152</f>
        <v/>
      </c>
      <c r="AL153" s="42">
        <f>ROUND(AK153*AL$6/12,2)</f>
        <v/>
      </c>
      <c r="AM153" s="42">
        <f>MIN(AM$6,AK153+AL153)</f>
        <v/>
      </c>
      <c r="AN153" s="42">
        <f>MAX(0,MIN(AK153+AL153-AM153,AJ153))</f>
        <v/>
      </c>
      <c r="AO153" s="42">
        <f>ROUND(AK153+AL153-AM153-AN153,2)</f>
        <v/>
      </c>
      <c r="AP153">
        <f>AJ153-AN153</f>
        <v/>
      </c>
      <c r="AQ153" s="42">
        <f>AU152</f>
        <v/>
      </c>
      <c r="AR153" s="42">
        <f>ROUND(AQ153*AR$6/12,2)</f>
        <v/>
      </c>
      <c r="AS153" s="42">
        <f>MIN(AS$6,AQ153+AR153)</f>
        <v/>
      </c>
      <c r="AT153" s="42">
        <f>MAX(0,MIN(AQ153+AR153-AS153,AP153))</f>
        <v/>
      </c>
      <c r="AU153" s="42">
        <f>ROUND(AQ153+AR153-AS153-AT153,2)</f>
        <v/>
      </c>
      <c r="AV153">
        <f>AP153-AT153</f>
        <v/>
      </c>
      <c r="AW153" s="42">
        <f>BA152</f>
        <v/>
      </c>
      <c r="AX153" s="42">
        <f>ROUND(AW153*AX$6/12,2)</f>
        <v/>
      </c>
      <c r="AY153" s="42">
        <f>MIN(AY$6,AW153+AX153)</f>
        <v/>
      </c>
      <c r="AZ153" s="42">
        <f>MAX(0,MIN(AW153+AX153-AY153,AV153))</f>
        <v/>
      </c>
      <c r="BA153" s="42">
        <f>ROUND(AW153+AX153-AY153-AZ153,2)</f>
        <v/>
      </c>
      <c r="BB153">
        <f>AV153-AZ153</f>
        <v/>
      </c>
      <c r="BC153" s="42">
        <f>BG152</f>
        <v/>
      </c>
      <c r="BD153" s="42">
        <f>ROUND(BC153*BD$6/12,2)</f>
        <v/>
      </c>
      <c r="BE153" s="42">
        <f>MIN(BE$6,BC153+BD153)</f>
        <v/>
      </c>
      <c r="BF153" s="42">
        <f>MAX(0,MIN(BC153+BD153-BE153,BB153))</f>
        <v/>
      </c>
      <c r="BG153" s="42">
        <f>ROUND(BC153+BD153-BE153-BF153,2)</f>
        <v/>
      </c>
      <c r="BH153">
        <f>BB153-BF153</f>
        <v/>
      </c>
      <c r="BI153" s="42">
        <f>BM152</f>
        <v/>
      </c>
      <c r="BJ153" s="42">
        <f>ROUND(BI153*BJ$6/12,2)</f>
        <v/>
      </c>
      <c r="BK153" s="42">
        <f>MIN(BK$6,BI153+BJ153)</f>
        <v/>
      </c>
      <c r="BL153" s="42">
        <f>MAX(0,MIN(BI153+BJ153-BK153,BH153))</f>
        <v/>
      </c>
      <c r="BM153" s="42">
        <f>ROUND(BI153+BJ153-BK153-BL153,2)</f>
        <v/>
      </c>
      <c r="BN153">
        <f>BH153-BL153</f>
        <v/>
      </c>
    </row>
    <row r="154">
      <c r="A154" s="39" t="n">
        <v>147</v>
      </c>
      <c r="B154" s="40">
        <f>EDATE('My Debts'!$C$6,A154-1)</f>
        <v/>
      </c>
      <c r="C154" s="41">
        <f>K154+Q154+W154+AC154+AI154+AO154+AU154+BA154+BG154+BM154</f>
        <v/>
      </c>
      <c r="D154" s="42">
        <f>I154+O154+U154+AA154+AG154+AM154+AS154+AY154+BE154+BK154+J154+P154+V154+AB154+AH154+AN154+AT154+AZ154+BF154+BL154</f>
        <v/>
      </c>
      <c r="E154" s="42">
        <f>H154+N154+T154+Z154+AF154+AL154+AR154+AX154+BD154+BJ154</f>
        <v/>
      </c>
      <c r="F154">
        <f>MAX(0,'My Debts'!$E$21-(I154+O154+U154+AA154+AG154+AM154+AS154+AY154+BE154+BK154))</f>
        <v/>
      </c>
      <c r="G154" s="42">
        <f>K153</f>
        <v/>
      </c>
      <c r="H154" s="42">
        <f>ROUND(G154*H$6/12,2)</f>
        <v/>
      </c>
      <c r="I154" s="42">
        <f>MIN(I$6,G154+H154)</f>
        <v/>
      </c>
      <c r="J154" s="42">
        <f>MAX(0,MIN(G154+H154-I154,$F154))</f>
        <v/>
      </c>
      <c r="K154" s="42">
        <f>ROUND(G154+H154-I154-J154,2)</f>
        <v/>
      </c>
      <c r="L154">
        <f>$F154-J154</f>
        <v/>
      </c>
      <c r="M154" s="42">
        <f>Q153</f>
        <v/>
      </c>
      <c r="N154" s="42">
        <f>ROUND(M154*N$6/12,2)</f>
        <v/>
      </c>
      <c r="O154" s="42">
        <f>MIN(O$6,M154+N154)</f>
        <v/>
      </c>
      <c r="P154" s="42">
        <f>MAX(0,MIN(M154+N154-O154,L154))</f>
        <v/>
      </c>
      <c r="Q154" s="42">
        <f>ROUND(M154+N154-O154-P154,2)</f>
        <v/>
      </c>
      <c r="R154">
        <f>L154-P154</f>
        <v/>
      </c>
      <c r="S154" s="42">
        <f>W153</f>
        <v/>
      </c>
      <c r="T154" s="42">
        <f>ROUND(S154*T$6/12,2)</f>
        <v/>
      </c>
      <c r="U154" s="42">
        <f>MIN(U$6,S154+T154)</f>
        <v/>
      </c>
      <c r="V154" s="42">
        <f>MAX(0,MIN(S154+T154-U154,R154))</f>
        <v/>
      </c>
      <c r="W154" s="42">
        <f>ROUND(S154+T154-U154-V154,2)</f>
        <v/>
      </c>
      <c r="X154">
        <f>R154-V154</f>
        <v/>
      </c>
      <c r="Y154" s="42">
        <f>AC153</f>
        <v/>
      </c>
      <c r="Z154" s="42">
        <f>ROUND(Y154*Z$6/12,2)</f>
        <v/>
      </c>
      <c r="AA154" s="42">
        <f>MIN(AA$6,Y154+Z154)</f>
        <v/>
      </c>
      <c r="AB154" s="42">
        <f>MAX(0,MIN(Y154+Z154-AA154,X154))</f>
        <v/>
      </c>
      <c r="AC154" s="42">
        <f>ROUND(Y154+Z154-AA154-AB154,2)</f>
        <v/>
      </c>
      <c r="AD154">
        <f>X154-AB154</f>
        <v/>
      </c>
      <c r="AE154" s="42">
        <f>AI153</f>
        <v/>
      </c>
      <c r="AF154" s="42">
        <f>ROUND(AE154*AF$6/12,2)</f>
        <v/>
      </c>
      <c r="AG154" s="42">
        <f>MIN(AG$6,AE154+AF154)</f>
        <v/>
      </c>
      <c r="AH154" s="42">
        <f>MAX(0,MIN(AE154+AF154-AG154,AD154))</f>
        <v/>
      </c>
      <c r="AI154" s="42">
        <f>ROUND(AE154+AF154-AG154-AH154,2)</f>
        <v/>
      </c>
      <c r="AJ154">
        <f>AD154-AH154</f>
        <v/>
      </c>
      <c r="AK154" s="42">
        <f>AO153</f>
        <v/>
      </c>
      <c r="AL154" s="42">
        <f>ROUND(AK154*AL$6/12,2)</f>
        <v/>
      </c>
      <c r="AM154" s="42">
        <f>MIN(AM$6,AK154+AL154)</f>
        <v/>
      </c>
      <c r="AN154" s="42">
        <f>MAX(0,MIN(AK154+AL154-AM154,AJ154))</f>
        <v/>
      </c>
      <c r="AO154" s="42">
        <f>ROUND(AK154+AL154-AM154-AN154,2)</f>
        <v/>
      </c>
      <c r="AP154">
        <f>AJ154-AN154</f>
        <v/>
      </c>
      <c r="AQ154" s="42">
        <f>AU153</f>
        <v/>
      </c>
      <c r="AR154" s="42">
        <f>ROUND(AQ154*AR$6/12,2)</f>
        <v/>
      </c>
      <c r="AS154" s="42">
        <f>MIN(AS$6,AQ154+AR154)</f>
        <v/>
      </c>
      <c r="AT154" s="42">
        <f>MAX(0,MIN(AQ154+AR154-AS154,AP154))</f>
        <v/>
      </c>
      <c r="AU154" s="42">
        <f>ROUND(AQ154+AR154-AS154-AT154,2)</f>
        <v/>
      </c>
      <c r="AV154">
        <f>AP154-AT154</f>
        <v/>
      </c>
      <c r="AW154" s="42">
        <f>BA153</f>
        <v/>
      </c>
      <c r="AX154" s="42">
        <f>ROUND(AW154*AX$6/12,2)</f>
        <v/>
      </c>
      <c r="AY154" s="42">
        <f>MIN(AY$6,AW154+AX154)</f>
        <v/>
      </c>
      <c r="AZ154" s="42">
        <f>MAX(0,MIN(AW154+AX154-AY154,AV154))</f>
        <v/>
      </c>
      <c r="BA154" s="42">
        <f>ROUND(AW154+AX154-AY154-AZ154,2)</f>
        <v/>
      </c>
      <c r="BB154">
        <f>AV154-AZ154</f>
        <v/>
      </c>
      <c r="BC154" s="42">
        <f>BG153</f>
        <v/>
      </c>
      <c r="BD154" s="42">
        <f>ROUND(BC154*BD$6/12,2)</f>
        <v/>
      </c>
      <c r="BE154" s="42">
        <f>MIN(BE$6,BC154+BD154)</f>
        <v/>
      </c>
      <c r="BF154" s="42">
        <f>MAX(0,MIN(BC154+BD154-BE154,BB154))</f>
        <v/>
      </c>
      <c r="BG154" s="42">
        <f>ROUND(BC154+BD154-BE154-BF154,2)</f>
        <v/>
      </c>
      <c r="BH154">
        <f>BB154-BF154</f>
        <v/>
      </c>
      <c r="BI154" s="42">
        <f>BM153</f>
        <v/>
      </c>
      <c r="BJ154" s="42">
        <f>ROUND(BI154*BJ$6/12,2)</f>
        <v/>
      </c>
      <c r="BK154" s="42">
        <f>MIN(BK$6,BI154+BJ154)</f>
        <v/>
      </c>
      <c r="BL154" s="42">
        <f>MAX(0,MIN(BI154+BJ154-BK154,BH154))</f>
        <v/>
      </c>
      <c r="BM154" s="42">
        <f>ROUND(BI154+BJ154-BK154-BL154,2)</f>
        <v/>
      </c>
      <c r="BN154">
        <f>BH154-BL154</f>
        <v/>
      </c>
    </row>
    <row r="155">
      <c r="A155" s="43" t="n">
        <v>148</v>
      </c>
      <c r="B155" s="44">
        <f>EDATE('My Debts'!$C$6,A155-1)</f>
        <v/>
      </c>
      <c r="C155" s="45">
        <f>K155+Q155+W155+AC155+AI155+AO155+AU155+BA155+BG155+BM155</f>
        <v/>
      </c>
      <c r="D155" s="46">
        <f>I155+O155+U155+AA155+AG155+AM155+AS155+AY155+BE155+BK155+J155+P155+V155+AB155+AH155+AN155+AT155+AZ155+BF155+BL155</f>
        <v/>
      </c>
      <c r="E155" s="46">
        <f>H155+N155+T155+Z155+AF155+AL155+AR155+AX155+BD155+BJ155</f>
        <v/>
      </c>
      <c r="F155">
        <f>MAX(0,'My Debts'!$E$21-(I155+O155+U155+AA155+AG155+AM155+AS155+AY155+BE155+BK155))</f>
        <v/>
      </c>
      <c r="G155" s="42">
        <f>K154</f>
        <v/>
      </c>
      <c r="H155" s="42">
        <f>ROUND(G155*H$6/12,2)</f>
        <v/>
      </c>
      <c r="I155" s="42">
        <f>MIN(I$6,G155+H155)</f>
        <v/>
      </c>
      <c r="J155" s="42">
        <f>MAX(0,MIN(G155+H155-I155,$F155))</f>
        <v/>
      </c>
      <c r="K155" s="42">
        <f>ROUND(G155+H155-I155-J155,2)</f>
        <v/>
      </c>
      <c r="L155">
        <f>$F155-J155</f>
        <v/>
      </c>
      <c r="M155" s="42">
        <f>Q154</f>
        <v/>
      </c>
      <c r="N155" s="42">
        <f>ROUND(M155*N$6/12,2)</f>
        <v/>
      </c>
      <c r="O155" s="42">
        <f>MIN(O$6,M155+N155)</f>
        <v/>
      </c>
      <c r="P155" s="42">
        <f>MAX(0,MIN(M155+N155-O155,L155))</f>
        <v/>
      </c>
      <c r="Q155" s="42">
        <f>ROUND(M155+N155-O155-P155,2)</f>
        <v/>
      </c>
      <c r="R155">
        <f>L155-P155</f>
        <v/>
      </c>
      <c r="S155" s="42">
        <f>W154</f>
        <v/>
      </c>
      <c r="T155" s="42">
        <f>ROUND(S155*T$6/12,2)</f>
        <v/>
      </c>
      <c r="U155" s="42">
        <f>MIN(U$6,S155+T155)</f>
        <v/>
      </c>
      <c r="V155" s="42">
        <f>MAX(0,MIN(S155+T155-U155,R155))</f>
        <v/>
      </c>
      <c r="W155" s="42">
        <f>ROUND(S155+T155-U155-V155,2)</f>
        <v/>
      </c>
      <c r="X155">
        <f>R155-V155</f>
        <v/>
      </c>
      <c r="Y155" s="42">
        <f>AC154</f>
        <v/>
      </c>
      <c r="Z155" s="42">
        <f>ROUND(Y155*Z$6/12,2)</f>
        <v/>
      </c>
      <c r="AA155" s="42">
        <f>MIN(AA$6,Y155+Z155)</f>
        <v/>
      </c>
      <c r="AB155" s="42">
        <f>MAX(0,MIN(Y155+Z155-AA155,X155))</f>
        <v/>
      </c>
      <c r="AC155" s="42">
        <f>ROUND(Y155+Z155-AA155-AB155,2)</f>
        <v/>
      </c>
      <c r="AD155">
        <f>X155-AB155</f>
        <v/>
      </c>
      <c r="AE155" s="42">
        <f>AI154</f>
        <v/>
      </c>
      <c r="AF155" s="42">
        <f>ROUND(AE155*AF$6/12,2)</f>
        <v/>
      </c>
      <c r="AG155" s="42">
        <f>MIN(AG$6,AE155+AF155)</f>
        <v/>
      </c>
      <c r="AH155" s="42">
        <f>MAX(0,MIN(AE155+AF155-AG155,AD155))</f>
        <v/>
      </c>
      <c r="AI155" s="42">
        <f>ROUND(AE155+AF155-AG155-AH155,2)</f>
        <v/>
      </c>
      <c r="AJ155">
        <f>AD155-AH155</f>
        <v/>
      </c>
      <c r="AK155" s="42">
        <f>AO154</f>
        <v/>
      </c>
      <c r="AL155" s="42">
        <f>ROUND(AK155*AL$6/12,2)</f>
        <v/>
      </c>
      <c r="AM155" s="42">
        <f>MIN(AM$6,AK155+AL155)</f>
        <v/>
      </c>
      <c r="AN155" s="42">
        <f>MAX(0,MIN(AK155+AL155-AM155,AJ155))</f>
        <v/>
      </c>
      <c r="AO155" s="42">
        <f>ROUND(AK155+AL155-AM155-AN155,2)</f>
        <v/>
      </c>
      <c r="AP155">
        <f>AJ155-AN155</f>
        <v/>
      </c>
      <c r="AQ155" s="42">
        <f>AU154</f>
        <v/>
      </c>
      <c r="AR155" s="42">
        <f>ROUND(AQ155*AR$6/12,2)</f>
        <v/>
      </c>
      <c r="AS155" s="42">
        <f>MIN(AS$6,AQ155+AR155)</f>
        <v/>
      </c>
      <c r="AT155" s="42">
        <f>MAX(0,MIN(AQ155+AR155-AS155,AP155))</f>
        <v/>
      </c>
      <c r="AU155" s="42">
        <f>ROUND(AQ155+AR155-AS155-AT155,2)</f>
        <v/>
      </c>
      <c r="AV155">
        <f>AP155-AT155</f>
        <v/>
      </c>
      <c r="AW155" s="42">
        <f>BA154</f>
        <v/>
      </c>
      <c r="AX155" s="42">
        <f>ROUND(AW155*AX$6/12,2)</f>
        <v/>
      </c>
      <c r="AY155" s="42">
        <f>MIN(AY$6,AW155+AX155)</f>
        <v/>
      </c>
      <c r="AZ155" s="42">
        <f>MAX(0,MIN(AW155+AX155-AY155,AV155))</f>
        <v/>
      </c>
      <c r="BA155" s="42">
        <f>ROUND(AW155+AX155-AY155-AZ155,2)</f>
        <v/>
      </c>
      <c r="BB155">
        <f>AV155-AZ155</f>
        <v/>
      </c>
      <c r="BC155" s="42">
        <f>BG154</f>
        <v/>
      </c>
      <c r="BD155" s="42">
        <f>ROUND(BC155*BD$6/12,2)</f>
        <v/>
      </c>
      <c r="BE155" s="42">
        <f>MIN(BE$6,BC155+BD155)</f>
        <v/>
      </c>
      <c r="BF155" s="42">
        <f>MAX(0,MIN(BC155+BD155-BE155,BB155))</f>
        <v/>
      </c>
      <c r="BG155" s="42">
        <f>ROUND(BC155+BD155-BE155-BF155,2)</f>
        <v/>
      </c>
      <c r="BH155">
        <f>BB155-BF155</f>
        <v/>
      </c>
      <c r="BI155" s="42">
        <f>BM154</f>
        <v/>
      </c>
      <c r="BJ155" s="42">
        <f>ROUND(BI155*BJ$6/12,2)</f>
        <v/>
      </c>
      <c r="BK155" s="42">
        <f>MIN(BK$6,BI155+BJ155)</f>
        <v/>
      </c>
      <c r="BL155" s="42">
        <f>MAX(0,MIN(BI155+BJ155-BK155,BH155))</f>
        <v/>
      </c>
      <c r="BM155" s="42">
        <f>ROUND(BI155+BJ155-BK155-BL155,2)</f>
        <v/>
      </c>
      <c r="BN155">
        <f>BH155-BL155</f>
        <v/>
      </c>
    </row>
    <row r="156">
      <c r="A156" s="39" t="n">
        <v>149</v>
      </c>
      <c r="B156" s="40">
        <f>EDATE('My Debts'!$C$6,A156-1)</f>
        <v/>
      </c>
      <c r="C156" s="41">
        <f>K156+Q156+W156+AC156+AI156+AO156+AU156+BA156+BG156+BM156</f>
        <v/>
      </c>
      <c r="D156" s="42">
        <f>I156+O156+U156+AA156+AG156+AM156+AS156+AY156+BE156+BK156+J156+P156+V156+AB156+AH156+AN156+AT156+AZ156+BF156+BL156</f>
        <v/>
      </c>
      <c r="E156" s="42">
        <f>H156+N156+T156+Z156+AF156+AL156+AR156+AX156+BD156+BJ156</f>
        <v/>
      </c>
      <c r="F156">
        <f>MAX(0,'My Debts'!$E$21-(I156+O156+U156+AA156+AG156+AM156+AS156+AY156+BE156+BK156))</f>
        <v/>
      </c>
      <c r="G156" s="42">
        <f>K155</f>
        <v/>
      </c>
      <c r="H156" s="42">
        <f>ROUND(G156*H$6/12,2)</f>
        <v/>
      </c>
      <c r="I156" s="42">
        <f>MIN(I$6,G156+H156)</f>
        <v/>
      </c>
      <c r="J156" s="42">
        <f>MAX(0,MIN(G156+H156-I156,$F156))</f>
        <v/>
      </c>
      <c r="K156" s="42">
        <f>ROUND(G156+H156-I156-J156,2)</f>
        <v/>
      </c>
      <c r="L156">
        <f>$F156-J156</f>
        <v/>
      </c>
      <c r="M156" s="42">
        <f>Q155</f>
        <v/>
      </c>
      <c r="N156" s="42">
        <f>ROUND(M156*N$6/12,2)</f>
        <v/>
      </c>
      <c r="O156" s="42">
        <f>MIN(O$6,M156+N156)</f>
        <v/>
      </c>
      <c r="P156" s="42">
        <f>MAX(0,MIN(M156+N156-O156,L156))</f>
        <v/>
      </c>
      <c r="Q156" s="42">
        <f>ROUND(M156+N156-O156-P156,2)</f>
        <v/>
      </c>
      <c r="R156">
        <f>L156-P156</f>
        <v/>
      </c>
      <c r="S156" s="42">
        <f>W155</f>
        <v/>
      </c>
      <c r="T156" s="42">
        <f>ROUND(S156*T$6/12,2)</f>
        <v/>
      </c>
      <c r="U156" s="42">
        <f>MIN(U$6,S156+T156)</f>
        <v/>
      </c>
      <c r="V156" s="42">
        <f>MAX(0,MIN(S156+T156-U156,R156))</f>
        <v/>
      </c>
      <c r="W156" s="42">
        <f>ROUND(S156+T156-U156-V156,2)</f>
        <v/>
      </c>
      <c r="X156">
        <f>R156-V156</f>
        <v/>
      </c>
      <c r="Y156" s="42">
        <f>AC155</f>
        <v/>
      </c>
      <c r="Z156" s="42">
        <f>ROUND(Y156*Z$6/12,2)</f>
        <v/>
      </c>
      <c r="AA156" s="42">
        <f>MIN(AA$6,Y156+Z156)</f>
        <v/>
      </c>
      <c r="AB156" s="42">
        <f>MAX(0,MIN(Y156+Z156-AA156,X156))</f>
        <v/>
      </c>
      <c r="AC156" s="42">
        <f>ROUND(Y156+Z156-AA156-AB156,2)</f>
        <v/>
      </c>
      <c r="AD156">
        <f>X156-AB156</f>
        <v/>
      </c>
      <c r="AE156" s="42">
        <f>AI155</f>
        <v/>
      </c>
      <c r="AF156" s="42">
        <f>ROUND(AE156*AF$6/12,2)</f>
        <v/>
      </c>
      <c r="AG156" s="42">
        <f>MIN(AG$6,AE156+AF156)</f>
        <v/>
      </c>
      <c r="AH156" s="42">
        <f>MAX(0,MIN(AE156+AF156-AG156,AD156))</f>
        <v/>
      </c>
      <c r="AI156" s="42">
        <f>ROUND(AE156+AF156-AG156-AH156,2)</f>
        <v/>
      </c>
      <c r="AJ156">
        <f>AD156-AH156</f>
        <v/>
      </c>
      <c r="AK156" s="42">
        <f>AO155</f>
        <v/>
      </c>
      <c r="AL156" s="42">
        <f>ROUND(AK156*AL$6/12,2)</f>
        <v/>
      </c>
      <c r="AM156" s="42">
        <f>MIN(AM$6,AK156+AL156)</f>
        <v/>
      </c>
      <c r="AN156" s="42">
        <f>MAX(0,MIN(AK156+AL156-AM156,AJ156))</f>
        <v/>
      </c>
      <c r="AO156" s="42">
        <f>ROUND(AK156+AL156-AM156-AN156,2)</f>
        <v/>
      </c>
      <c r="AP156">
        <f>AJ156-AN156</f>
        <v/>
      </c>
      <c r="AQ156" s="42">
        <f>AU155</f>
        <v/>
      </c>
      <c r="AR156" s="42">
        <f>ROUND(AQ156*AR$6/12,2)</f>
        <v/>
      </c>
      <c r="AS156" s="42">
        <f>MIN(AS$6,AQ156+AR156)</f>
        <v/>
      </c>
      <c r="AT156" s="42">
        <f>MAX(0,MIN(AQ156+AR156-AS156,AP156))</f>
        <v/>
      </c>
      <c r="AU156" s="42">
        <f>ROUND(AQ156+AR156-AS156-AT156,2)</f>
        <v/>
      </c>
      <c r="AV156">
        <f>AP156-AT156</f>
        <v/>
      </c>
      <c r="AW156" s="42">
        <f>BA155</f>
        <v/>
      </c>
      <c r="AX156" s="42">
        <f>ROUND(AW156*AX$6/12,2)</f>
        <v/>
      </c>
      <c r="AY156" s="42">
        <f>MIN(AY$6,AW156+AX156)</f>
        <v/>
      </c>
      <c r="AZ156" s="42">
        <f>MAX(0,MIN(AW156+AX156-AY156,AV156))</f>
        <v/>
      </c>
      <c r="BA156" s="42">
        <f>ROUND(AW156+AX156-AY156-AZ156,2)</f>
        <v/>
      </c>
      <c r="BB156">
        <f>AV156-AZ156</f>
        <v/>
      </c>
      <c r="BC156" s="42">
        <f>BG155</f>
        <v/>
      </c>
      <c r="BD156" s="42">
        <f>ROUND(BC156*BD$6/12,2)</f>
        <v/>
      </c>
      <c r="BE156" s="42">
        <f>MIN(BE$6,BC156+BD156)</f>
        <v/>
      </c>
      <c r="BF156" s="42">
        <f>MAX(0,MIN(BC156+BD156-BE156,BB156))</f>
        <v/>
      </c>
      <c r="BG156" s="42">
        <f>ROUND(BC156+BD156-BE156-BF156,2)</f>
        <v/>
      </c>
      <c r="BH156">
        <f>BB156-BF156</f>
        <v/>
      </c>
      <c r="BI156" s="42">
        <f>BM155</f>
        <v/>
      </c>
      <c r="BJ156" s="42">
        <f>ROUND(BI156*BJ$6/12,2)</f>
        <v/>
      </c>
      <c r="BK156" s="42">
        <f>MIN(BK$6,BI156+BJ156)</f>
        <v/>
      </c>
      <c r="BL156" s="42">
        <f>MAX(0,MIN(BI156+BJ156-BK156,BH156))</f>
        <v/>
      </c>
      <c r="BM156" s="42">
        <f>ROUND(BI156+BJ156-BK156-BL156,2)</f>
        <v/>
      </c>
      <c r="BN156">
        <f>BH156-BL156</f>
        <v/>
      </c>
    </row>
    <row r="157">
      <c r="A157" s="43" t="n">
        <v>150</v>
      </c>
      <c r="B157" s="44">
        <f>EDATE('My Debts'!$C$6,A157-1)</f>
        <v/>
      </c>
      <c r="C157" s="45">
        <f>K157+Q157+W157+AC157+AI157+AO157+AU157+BA157+BG157+BM157</f>
        <v/>
      </c>
      <c r="D157" s="46">
        <f>I157+O157+U157+AA157+AG157+AM157+AS157+AY157+BE157+BK157+J157+P157+V157+AB157+AH157+AN157+AT157+AZ157+BF157+BL157</f>
        <v/>
      </c>
      <c r="E157" s="46">
        <f>H157+N157+T157+Z157+AF157+AL157+AR157+AX157+BD157+BJ157</f>
        <v/>
      </c>
      <c r="F157">
        <f>MAX(0,'My Debts'!$E$21-(I157+O157+U157+AA157+AG157+AM157+AS157+AY157+BE157+BK157))</f>
        <v/>
      </c>
      <c r="G157" s="42">
        <f>K156</f>
        <v/>
      </c>
      <c r="H157" s="42">
        <f>ROUND(G157*H$6/12,2)</f>
        <v/>
      </c>
      <c r="I157" s="42">
        <f>MIN(I$6,G157+H157)</f>
        <v/>
      </c>
      <c r="J157" s="42">
        <f>MAX(0,MIN(G157+H157-I157,$F157))</f>
        <v/>
      </c>
      <c r="K157" s="42">
        <f>ROUND(G157+H157-I157-J157,2)</f>
        <v/>
      </c>
      <c r="L157">
        <f>$F157-J157</f>
        <v/>
      </c>
      <c r="M157" s="42">
        <f>Q156</f>
        <v/>
      </c>
      <c r="N157" s="42">
        <f>ROUND(M157*N$6/12,2)</f>
        <v/>
      </c>
      <c r="O157" s="42">
        <f>MIN(O$6,M157+N157)</f>
        <v/>
      </c>
      <c r="P157" s="42">
        <f>MAX(0,MIN(M157+N157-O157,L157))</f>
        <v/>
      </c>
      <c r="Q157" s="42">
        <f>ROUND(M157+N157-O157-P157,2)</f>
        <v/>
      </c>
      <c r="R157">
        <f>L157-P157</f>
        <v/>
      </c>
      <c r="S157" s="42">
        <f>W156</f>
        <v/>
      </c>
      <c r="T157" s="42">
        <f>ROUND(S157*T$6/12,2)</f>
        <v/>
      </c>
      <c r="U157" s="42">
        <f>MIN(U$6,S157+T157)</f>
        <v/>
      </c>
      <c r="V157" s="42">
        <f>MAX(0,MIN(S157+T157-U157,R157))</f>
        <v/>
      </c>
      <c r="W157" s="42">
        <f>ROUND(S157+T157-U157-V157,2)</f>
        <v/>
      </c>
      <c r="X157">
        <f>R157-V157</f>
        <v/>
      </c>
      <c r="Y157" s="42">
        <f>AC156</f>
        <v/>
      </c>
      <c r="Z157" s="42">
        <f>ROUND(Y157*Z$6/12,2)</f>
        <v/>
      </c>
      <c r="AA157" s="42">
        <f>MIN(AA$6,Y157+Z157)</f>
        <v/>
      </c>
      <c r="AB157" s="42">
        <f>MAX(0,MIN(Y157+Z157-AA157,X157))</f>
        <v/>
      </c>
      <c r="AC157" s="42">
        <f>ROUND(Y157+Z157-AA157-AB157,2)</f>
        <v/>
      </c>
      <c r="AD157">
        <f>X157-AB157</f>
        <v/>
      </c>
      <c r="AE157" s="42">
        <f>AI156</f>
        <v/>
      </c>
      <c r="AF157" s="42">
        <f>ROUND(AE157*AF$6/12,2)</f>
        <v/>
      </c>
      <c r="AG157" s="42">
        <f>MIN(AG$6,AE157+AF157)</f>
        <v/>
      </c>
      <c r="AH157" s="42">
        <f>MAX(0,MIN(AE157+AF157-AG157,AD157))</f>
        <v/>
      </c>
      <c r="AI157" s="42">
        <f>ROUND(AE157+AF157-AG157-AH157,2)</f>
        <v/>
      </c>
      <c r="AJ157">
        <f>AD157-AH157</f>
        <v/>
      </c>
      <c r="AK157" s="42">
        <f>AO156</f>
        <v/>
      </c>
      <c r="AL157" s="42">
        <f>ROUND(AK157*AL$6/12,2)</f>
        <v/>
      </c>
      <c r="AM157" s="42">
        <f>MIN(AM$6,AK157+AL157)</f>
        <v/>
      </c>
      <c r="AN157" s="42">
        <f>MAX(0,MIN(AK157+AL157-AM157,AJ157))</f>
        <v/>
      </c>
      <c r="AO157" s="42">
        <f>ROUND(AK157+AL157-AM157-AN157,2)</f>
        <v/>
      </c>
      <c r="AP157">
        <f>AJ157-AN157</f>
        <v/>
      </c>
      <c r="AQ157" s="42">
        <f>AU156</f>
        <v/>
      </c>
      <c r="AR157" s="42">
        <f>ROUND(AQ157*AR$6/12,2)</f>
        <v/>
      </c>
      <c r="AS157" s="42">
        <f>MIN(AS$6,AQ157+AR157)</f>
        <v/>
      </c>
      <c r="AT157" s="42">
        <f>MAX(0,MIN(AQ157+AR157-AS157,AP157))</f>
        <v/>
      </c>
      <c r="AU157" s="42">
        <f>ROUND(AQ157+AR157-AS157-AT157,2)</f>
        <v/>
      </c>
      <c r="AV157">
        <f>AP157-AT157</f>
        <v/>
      </c>
      <c r="AW157" s="42">
        <f>BA156</f>
        <v/>
      </c>
      <c r="AX157" s="42">
        <f>ROUND(AW157*AX$6/12,2)</f>
        <v/>
      </c>
      <c r="AY157" s="42">
        <f>MIN(AY$6,AW157+AX157)</f>
        <v/>
      </c>
      <c r="AZ157" s="42">
        <f>MAX(0,MIN(AW157+AX157-AY157,AV157))</f>
        <v/>
      </c>
      <c r="BA157" s="42">
        <f>ROUND(AW157+AX157-AY157-AZ157,2)</f>
        <v/>
      </c>
      <c r="BB157">
        <f>AV157-AZ157</f>
        <v/>
      </c>
      <c r="BC157" s="42">
        <f>BG156</f>
        <v/>
      </c>
      <c r="BD157" s="42">
        <f>ROUND(BC157*BD$6/12,2)</f>
        <v/>
      </c>
      <c r="BE157" s="42">
        <f>MIN(BE$6,BC157+BD157)</f>
        <v/>
      </c>
      <c r="BF157" s="42">
        <f>MAX(0,MIN(BC157+BD157-BE157,BB157))</f>
        <v/>
      </c>
      <c r="BG157" s="42">
        <f>ROUND(BC157+BD157-BE157-BF157,2)</f>
        <v/>
      </c>
      <c r="BH157">
        <f>BB157-BF157</f>
        <v/>
      </c>
      <c r="BI157" s="42">
        <f>BM156</f>
        <v/>
      </c>
      <c r="BJ157" s="42">
        <f>ROUND(BI157*BJ$6/12,2)</f>
        <v/>
      </c>
      <c r="BK157" s="42">
        <f>MIN(BK$6,BI157+BJ157)</f>
        <v/>
      </c>
      <c r="BL157" s="42">
        <f>MAX(0,MIN(BI157+BJ157-BK157,BH157))</f>
        <v/>
      </c>
      <c r="BM157" s="42">
        <f>ROUND(BI157+BJ157-BK157-BL157,2)</f>
        <v/>
      </c>
      <c r="BN157">
        <f>BH157-BL157</f>
        <v/>
      </c>
    </row>
    <row r="158">
      <c r="A158" s="39" t="n">
        <v>151</v>
      </c>
      <c r="B158" s="40">
        <f>EDATE('My Debts'!$C$6,A158-1)</f>
        <v/>
      </c>
      <c r="C158" s="41">
        <f>K158+Q158+W158+AC158+AI158+AO158+AU158+BA158+BG158+BM158</f>
        <v/>
      </c>
      <c r="D158" s="42">
        <f>I158+O158+U158+AA158+AG158+AM158+AS158+AY158+BE158+BK158+J158+P158+V158+AB158+AH158+AN158+AT158+AZ158+BF158+BL158</f>
        <v/>
      </c>
      <c r="E158" s="42">
        <f>H158+N158+T158+Z158+AF158+AL158+AR158+AX158+BD158+BJ158</f>
        <v/>
      </c>
      <c r="F158">
        <f>MAX(0,'My Debts'!$E$21-(I158+O158+U158+AA158+AG158+AM158+AS158+AY158+BE158+BK158))</f>
        <v/>
      </c>
      <c r="G158" s="42">
        <f>K157</f>
        <v/>
      </c>
      <c r="H158" s="42">
        <f>ROUND(G158*H$6/12,2)</f>
        <v/>
      </c>
      <c r="I158" s="42">
        <f>MIN(I$6,G158+H158)</f>
        <v/>
      </c>
      <c r="J158" s="42">
        <f>MAX(0,MIN(G158+H158-I158,$F158))</f>
        <v/>
      </c>
      <c r="K158" s="42">
        <f>ROUND(G158+H158-I158-J158,2)</f>
        <v/>
      </c>
      <c r="L158">
        <f>$F158-J158</f>
        <v/>
      </c>
      <c r="M158" s="42">
        <f>Q157</f>
        <v/>
      </c>
      <c r="N158" s="42">
        <f>ROUND(M158*N$6/12,2)</f>
        <v/>
      </c>
      <c r="O158" s="42">
        <f>MIN(O$6,M158+N158)</f>
        <v/>
      </c>
      <c r="P158" s="42">
        <f>MAX(0,MIN(M158+N158-O158,L158))</f>
        <v/>
      </c>
      <c r="Q158" s="42">
        <f>ROUND(M158+N158-O158-P158,2)</f>
        <v/>
      </c>
      <c r="R158">
        <f>L158-P158</f>
        <v/>
      </c>
      <c r="S158" s="42">
        <f>W157</f>
        <v/>
      </c>
      <c r="T158" s="42">
        <f>ROUND(S158*T$6/12,2)</f>
        <v/>
      </c>
      <c r="U158" s="42">
        <f>MIN(U$6,S158+T158)</f>
        <v/>
      </c>
      <c r="V158" s="42">
        <f>MAX(0,MIN(S158+T158-U158,R158))</f>
        <v/>
      </c>
      <c r="W158" s="42">
        <f>ROUND(S158+T158-U158-V158,2)</f>
        <v/>
      </c>
      <c r="X158">
        <f>R158-V158</f>
        <v/>
      </c>
      <c r="Y158" s="42">
        <f>AC157</f>
        <v/>
      </c>
      <c r="Z158" s="42">
        <f>ROUND(Y158*Z$6/12,2)</f>
        <v/>
      </c>
      <c r="AA158" s="42">
        <f>MIN(AA$6,Y158+Z158)</f>
        <v/>
      </c>
      <c r="AB158" s="42">
        <f>MAX(0,MIN(Y158+Z158-AA158,X158))</f>
        <v/>
      </c>
      <c r="AC158" s="42">
        <f>ROUND(Y158+Z158-AA158-AB158,2)</f>
        <v/>
      </c>
      <c r="AD158">
        <f>X158-AB158</f>
        <v/>
      </c>
      <c r="AE158" s="42">
        <f>AI157</f>
        <v/>
      </c>
      <c r="AF158" s="42">
        <f>ROUND(AE158*AF$6/12,2)</f>
        <v/>
      </c>
      <c r="AG158" s="42">
        <f>MIN(AG$6,AE158+AF158)</f>
        <v/>
      </c>
      <c r="AH158" s="42">
        <f>MAX(0,MIN(AE158+AF158-AG158,AD158))</f>
        <v/>
      </c>
      <c r="AI158" s="42">
        <f>ROUND(AE158+AF158-AG158-AH158,2)</f>
        <v/>
      </c>
      <c r="AJ158">
        <f>AD158-AH158</f>
        <v/>
      </c>
      <c r="AK158" s="42">
        <f>AO157</f>
        <v/>
      </c>
      <c r="AL158" s="42">
        <f>ROUND(AK158*AL$6/12,2)</f>
        <v/>
      </c>
      <c r="AM158" s="42">
        <f>MIN(AM$6,AK158+AL158)</f>
        <v/>
      </c>
      <c r="AN158" s="42">
        <f>MAX(0,MIN(AK158+AL158-AM158,AJ158))</f>
        <v/>
      </c>
      <c r="AO158" s="42">
        <f>ROUND(AK158+AL158-AM158-AN158,2)</f>
        <v/>
      </c>
      <c r="AP158">
        <f>AJ158-AN158</f>
        <v/>
      </c>
      <c r="AQ158" s="42">
        <f>AU157</f>
        <v/>
      </c>
      <c r="AR158" s="42">
        <f>ROUND(AQ158*AR$6/12,2)</f>
        <v/>
      </c>
      <c r="AS158" s="42">
        <f>MIN(AS$6,AQ158+AR158)</f>
        <v/>
      </c>
      <c r="AT158" s="42">
        <f>MAX(0,MIN(AQ158+AR158-AS158,AP158))</f>
        <v/>
      </c>
      <c r="AU158" s="42">
        <f>ROUND(AQ158+AR158-AS158-AT158,2)</f>
        <v/>
      </c>
      <c r="AV158">
        <f>AP158-AT158</f>
        <v/>
      </c>
      <c r="AW158" s="42">
        <f>BA157</f>
        <v/>
      </c>
      <c r="AX158" s="42">
        <f>ROUND(AW158*AX$6/12,2)</f>
        <v/>
      </c>
      <c r="AY158" s="42">
        <f>MIN(AY$6,AW158+AX158)</f>
        <v/>
      </c>
      <c r="AZ158" s="42">
        <f>MAX(0,MIN(AW158+AX158-AY158,AV158))</f>
        <v/>
      </c>
      <c r="BA158" s="42">
        <f>ROUND(AW158+AX158-AY158-AZ158,2)</f>
        <v/>
      </c>
      <c r="BB158">
        <f>AV158-AZ158</f>
        <v/>
      </c>
      <c r="BC158" s="42">
        <f>BG157</f>
        <v/>
      </c>
      <c r="BD158" s="42">
        <f>ROUND(BC158*BD$6/12,2)</f>
        <v/>
      </c>
      <c r="BE158" s="42">
        <f>MIN(BE$6,BC158+BD158)</f>
        <v/>
      </c>
      <c r="BF158" s="42">
        <f>MAX(0,MIN(BC158+BD158-BE158,BB158))</f>
        <v/>
      </c>
      <c r="BG158" s="42">
        <f>ROUND(BC158+BD158-BE158-BF158,2)</f>
        <v/>
      </c>
      <c r="BH158">
        <f>BB158-BF158</f>
        <v/>
      </c>
      <c r="BI158" s="42">
        <f>BM157</f>
        <v/>
      </c>
      <c r="BJ158" s="42">
        <f>ROUND(BI158*BJ$6/12,2)</f>
        <v/>
      </c>
      <c r="BK158" s="42">
        <f>MIN(BK$6,BI158+BJ158)</f>
        <v/>
      </c>
      <c r="BL158" s="42">
        <f>MAX(0,MIN(BI158+BJ158-BK158,BH158))</f>
        <v/>
      </c>
      <c r="BM158" s="42">
        <f>ROUND(BI158+BJ158-BK158-BL158,2)</f>
        <v/>
      </c>
      <c r="BN158">
        <f>BH158-BL158</f>
        <v/>
      </c>
    </row>
    <row r="159">
      <c r="A159" s="43" t="n">
        <v>152</v>
      </c>
      <c r="B159" s="44">
        <f>EDATE('My Debts'!$C$6,A159-1)</f>
        <v/>
      </c>
      <c r="C159" s="45">
        <f>K159+Q159+W159+AC159+AI159+AO159+AU159+BA159+BG159+BM159</f>
        <v/>
      </c>
      <c r="D159" s="46">
        <f>I159+O159+U159+AA159+AG159+AM159+AS159+AY159+BE159+BK159+J159+P159+V159+AB159+AH159+AN159+AT159+AZ159+BF159+BL159</f>
        <v/>
      </c>
      <c r="E159" s="46">
        <f>H159+N159+T159+Z159+AF159+AL159+AR159+AX159+BD159+BJ159</f>
        <v/>
      </c>
      <c r="F159">
        <f>MAX(0,'My Debts'!$E$21-(I159+O159+U159+AA159+AG159+AM159+AS159+AY159+BE159+BK159))</f>
        <v/>
      </c>
      <c r="G159" s="42">
        <f>K158</f>
        <v/>
      </c>
      <c r="H159" s="42">
        <f>ROUND(G159*H$6/12,2)</f>
        <v/>
      </c>
      <c r="I159" s="42">
        <f>MIN(I$6,G159+H159)</f>
        <v/>
      </c>
      <c r="J159" s="42">
        <f>MAX(0,MIN(G159+H159-I159,$F159))</f>
        <v/>
      </c>
      <c r="K159" s="42">
        <f>ROUND(G159+H159-I159-J159,2)</f>
        <v/>
      </c>
      <c r="L159">
        <f>$F159-J159</f>
        <v/>
      </c>
      <c r="M159" s="42">
        <f>Q158</f>
        <v/>
      </c>
      <c r="N159" s="42">
        <f>ROUND(M159*N$6/12,2)</f>
        <v/>
      </c>
      <c r="O159" s="42">
        <f>MIN(O$6,M159+N159)</f>
        <v/>
      </c>
      <c r="P159" s="42">
        <f>MAX(0,MIN(M159+N159-O159,L159))</f>
        <v/>
      </c>
      <c r="Q159" s="42">
        <f>ROUND(M159+N159-O159-P159,2)</f>
        <v/>
      </c>
      <c r="R159">
        <f>L159-P159</f>
        <v/>
      </c>
      <c r="S159" s="42">
        <f>W158</f>
        <v/>
      </c>
      <c r="T159" s="42">
        <f>ROUND(S159*T$6/12,2)</f>
        <v/>
      </c>
      <c r="U159" s="42">
        <f>MIN(U$6,S159+T159)</f>
        <v/>
      </c>
      <c r="V159" s="42">
        <f>MAX(0,MIN(S159+T159-U159,R159))</f>
        <v/>
      </c>
      <c r="W159" s="42">
        <f>ROUND(S159+T159-U159-V159,2)</f>
        <v/>
      </c>
      <c r="X159">
        <f>R159-V159</f>
        <v/>
      </c>
      <c r="Y159" s="42">
        <f>AC158</f>
        <v/>
      </c>
      <c r="Z159" s="42">
        <f>ROUND(Y159*Z$6/12,2)</f>
        <v/>
      </c>
      <c r="AA159" s="42">
        <f>MIN(AA$6,Y159+Z159)</f>
        <v/>
      </c>
      <c r="AB159" s="42">
        <f>MAX(0,MIN(Y159+Z159-AA159,X159))</f>
        <v/>
      </c>
      <c r="AC159" s="42">
        <f>ROUND(Y159+Z159-AA159-AB159,2)</f>
        <v/>
      </c>
      <c r="AD159">
        <f>X159-AB159</f>
        <v/>
      </c>
      <c r="AE159" s="42">
        <f>AI158</f>
        <v/>
      </c>
      <c r="AF159" s="42">
        <f>ROUND(AE159*AF$6/12,2)</f>
        <v/>
      </c>
      <c r="AG159" s="42">
        <f>MIN(AG$6,AE159+AF159)</f>
        <v/>
      </c>
      <c r="AH159" s="42">
        <f>MAX(0,MIN(AE159+AF159-AG159,AD159))</f>
        <v/>
      </c>
      <c r="AI159" s="42">
        <f>ROUND(AE159+AF159-AG159-AH159,2)</f>
        <v/>
      </c>
      <c r="AJ159">
        <f>AD159-AH159</f>
        <v/>
      </c>
      <c r="AK159" s="42">
        <f>AO158</f>
        <v/>
      </c>
      <c r="AL159" s="42">
        <f>ROUND(AK159*AL$6/12,2)</f>
        <v/>
      </c>
      <c r="AM159" s="42">
        <f>MIN(AM$6,AK159+AL159)</f>
        <v/>
      </c>
      <c r="AN159" s="42">
        <f>MAX(0,MIN(AK159+AL159-AM159,AJ159))</f>
        <v/>
      </c>
      <c r="AO159" s="42">
        <f>ROUND(AK159+AL159-AM159-AN159,2)</f>
        <v/>
      </c>
      <c r="AP159">
        <f>AJ159-AN159</f>
        <v/>
      </c>
      <c r="AQ159" s="42">
        <f>AU158</f>
        <v/>
      </c>
      <c r="AR159" s="42">
        <f>ROUND(AQ159*AR$6/12,2)</f>
        <v/>
      </c>
      <c r="AS159" s="42">
        <f>MIN(AS$6,AQ159+AR159)</f>
        <v/>
      </c>
      <c r="AT159" s="42">
        <f>MAX(0,MIN(AQ159+AR159-AS159,AP159))</f>
        <v/>
      </c>
      <c r="AU159" s="42">
        <f>ROUND(AQ159+AR159-AS159-AT159,2)</f>
        <v/>
      </c>
      <c r="AV159">
        <f>AP159-AT159</f>
        <v/>
      </c>
      <c r="AW159" s="42">
        <f>BA158</f>
        <v/>
      </c>
      <c r="AX159" s="42">
        <f>ROUND(AW159*AX$6/12,2)</f>
        <v/>
      </c>
      <c r="AY159" s="42">
        <f>MIN(AY$6,AW159+AX159)</f>
        <v/>
      </c>
      <c r="AZ159" s="42">
        <f>MAX(0,MIN(AW159+AX159-AY159,AV159))</f>
        <v/>
      </c>
      <c r="BA159" s="42">
        <f>ROUND(AW159+AX159-AY159-AZ159,2)</f>
        <v/>
      </c>
      <c r="BB159">
        <f>AV159-AZ159</f>
        <v/>
      </c>
      <c r="BC159" s="42">
        <f>BG158</f>
        <v/>
      </c>
      <c r="BD159" s="42">
        <f>ROUND(BC159*BD$6/12,2)</f>
        <v/>
      </c>
      <c r="BE159" s="42">
        <f>MIN(BE$6,BC159+BD159)</f>
        <v/>
      </c>
      <c r="BF159" s="42">
        <f>MAX(0,MIN(BC159+BD159-BE159,BB159))</f>
        <v/>
      </c>
      <c r="BG159" s="42">
        <f>ROUND(BC159+BD159-BE159-BF159,2)</f>
        <v/>
      </c>
      <c r="BH159">
        <f>BB159-BF159</f>
        <v/>
      </c>
      <c r="BI159" s="42">
        <f>BM158</f>
        <v/>
      </c>
      <c r="BJ159" s="42">
        <f>ROUND(BI159*BJ$6/12,2)</f>
        <v/>
      </c>
      <c r="BK159" s="42">
        <f>MIN(BK$6,BI159+BJ159)</f>
        <v/>
      </c>
      <c r="BL159" s="42">
        <f>MAX(0,MIN(BI159+BJ159-BK159,BH159))</f>
        <v/>
      </c>
      <c r="BM159" s="42">
        <f>ROUND(BI159+BJ159-BK159-BL159,2)</f>
        <v/>
      </c>
      <c r="BN159">
        <f>BH159-BL159</f>
        <v/>
      </c>
    </row>
    <row r="160">
      <c r="A160" s="39" t="n">
        <v>153</v>
      </c>
      <c r="B160" s="40">
        <f>EDATE('My Debts'!$C$6,A160-1)</f>
        <v/>
      </c>
      <c r="C160" s="41">
        <f>K160+Q160+W160+AC160+AI160+AO160+AU160+BA160+BG160+BM160</f>
        <v/>
      </c>
      <c r="D160" s="42">
        <f>I160+O160+U160+AA160+AG160+AM160+AS160+AY160+BE160+BK160+J160+P160+V160+AB160+AH160+AN160+AT160+AZ160+BF160+BL160</f>
        <v/>
      </c>
      <c r="E160" s="42">
        <f>H160+N160+T160+Z160+AF160+AL160+AR160+AX160+BD160+BJ160</f>
        <v/>
      </c>
      <c r="F160">
        <f>MAX(0,'My Debts'!$E$21-(I160+O160+U160+AA160+AG160+AM160+AS160+AY160+BE160+BK160))</f>
        <v/>
      </c>
      <c r="G160" s="42">
        <f>K159</f>
        <v/>
      </c>
      <c r="H160" s="42">
        <f>ROUND(G160*H$6/12,2)</f>
        <v/>
      </c>
      <c r="I160" s="42">
        <f>MIN(I$6,G160+H160)</f>
        <v/>
      </c>
      <c r="J160" s="42">
        <f>MAX(0,MIN(G160+H160-I160,$F160))</f>
        <v/>
      </c>
      <c r="K160" s="42">
        <f>ROUND(G160+H160-I160-J160,2)</f>
        <v/>
      </c>
      <c r="L160">
        <f>$F160-J160</f>
        <v/>
      </c>
      <c r="M160" s="42">
        <f>Q159</f>
        <v/>
      </c>
      <c r="N160" s="42">
        <f>ROUND(M160*N$6/12,2)</f>
        <v/>
      </c>
      <c r="O160" s="42">
        <f>MIN(O$6,M160+N160)</f>
        <v/>
      </c>
      <c r="P160" s="42">
        <f>MAX(0,MIN(M160+N160-O160,L160))</f>
        <v/>
      </c>
      <c r="Q160" s="42">
        <f>ROUND(M160+N160-O160-P160,2)</f>
        <v/>
      </c>
      <c r="R160">
        <f>L160-P160</f>
        <v/>
      </c>
      <c r="S160" s="42">
        <f>W159</f>
        <v/>
      </c>
      <c r="T160" s="42">
        <f>ROUND(S160*T$6/12,2)</f>
        <v/>
      </c>
      <c r="U160" s="42">
        <f>MIN(U$6,S160+T160)</f>
        <v/>
      </c>
      <c r="V160" s="42">
        <f>MAX(0,MIN(S160+T160-U160,R160))</f>
        <v/>
      </c>
      <c r="W160" s="42">
        <f>ROUND(S160+T160-U160-V160,2)</f>
        <v/>
      </c>
      <c r="X160">
        <f>R160-V160</f>
        <v/>
      </c>
      <c r="Y160" s="42">
        <f>AC159</f>
        <v/>
      </c>
      <c r="Z160" s="42">
        <f>ROUND(Y160*Z$6/12,2)</f>
        <v/>
      </c>
      <c r="AA160" s="42">
        <f>MIN(AA$6,Y160+Z160)</f>
        <v/>
      </c>
      <c r="AB160" s="42">
        <f>MAX(0,MIN(Y160+Z160-AA160,X160))</f>
        <v/>
      </c>
      <c r="AC160" s="42">
        <f>ROUND(Y160+Z160-AA160-AB160,2)</f>
        <v/>
      </c>
      <c r="AD160">
        <f>X160-AB160</f>
        <v/>
      </c>
      <c r="AE160" s="42">
        <f>AI159</f>
        <v/>
      </c>
      <c r="AF160" s="42">
        <f>ROUND(AE160*AF$6/12,2)</f>
        <v/>
      </c>
      <c r="AG160" s="42">
        <f>MIN(AG$6,AE160+AF160)</f>
        <v/>
      </c>
      <c r="AH160" s="42">
        <f>MAX(0,MIN(AE160+AF160-AG160,AD160))</f>
        <v/>
      </c>
      <c r="AI160" s="42">
        <f>ROUND(AE160+AF160-AG160-AH160,2)</f>
        <v/>
      </c>
      <c r="AJ160">
        <f>AD160-AH160</f>
        <v/>
      </c>
      <c r="AK160" s="42">
        <f>AO159</f>
        <v/>
      </c>
      <c r="AL160" s="42">
        <f>ROUND(AK160*AL$6/12,2)</f>
        <v/>
      </c>
      <c r="AM160" s="42">
        <f>MIN(AM$6,AK160+AL160)</f>
        <v/>
      </c>
      <c r="AN160" s="42">
        <f>MAX(0,MIN(AK160+AL160-AM160,AJ160))</f>
        <v/>
      </c>
      <c r="AO160" s="42">
        <f>ROUND(AK160+AL160-AM160-AN160,2)</f>
        <v/>
      </c>
      <c r="AP160">
        <f>AJ160-AN160</f>
        <v/>
      </c>
      <c r="AQ160" s="42">
        <f>AU159</f>
        <v/>
      </c>
      <c r="AR160" s="42">
        <f>ROUND(AQ160*AR$6/12,2)</f>
        <v/>
      </c>
      <c r="AS160" s="42">
        <f>MIN(AS$6,AQ160+AR160)</f>
        <v/>
      </c>
      <c r="AT160" s="42">
        <f>MAX(0,MIN(AQ160+AR160-AS160,AP160))</f>
        <v/>
      </c>
      <c r="AU160" s="42">
        <f>ROUND(AQ160+AR160-AS160-AT160,2)</f>
        <v/>
      </c>
      <c r="AV160">
        <f>AP160-AT160</f>
        <v/>
      </c>
      <c r="AW160" s="42">
        <f>BA159</f>
        <v/>
      </c>
      <c r="AX160" s="42">
        <f>ROUND(AW160*AX$6/12,2)</f>
        <v/>
      </c>
      <c r="AY160" s="42">
        <f>MIN(AY$6,AW160+AX160)</f>
        <v/>
      </c>
      <c r="AZ160" s="42">
        <f>MAX(0,MIN(AW160+AX160-AY160,AV160))</f>
        <v/>
      </c>
      <c r="BA160" s="42">
        <f>ROUND(AW160+AX160-AY160-AZ160,2)</f>
        <v/>
      </c>
      <c r="BB160">
        <f>AV160-AZ160</f>
        <v/>
      </c>
      <c r="BC160" s="42">
        <f>BG159</f>
        <v/>
      </c>
      <c r="BD160" s="42">
        <f>ROUND(BC160*BD$6/12,2)</f>
        <v/>
      </c>
      <c r="BE160" s="42">
        <f>MIN(BE$6,BC160+BD160)</f>
        <v/>
      </c>
      <c r="BF160" s="42">
        <f>MAX(0,MIN(BC160+BD160-BE160,BB160))</f>
        <v/>
      </c>
      <c r="BG160" s="42">
        <f>ROUND(BC160+BD160-BE160-BF160,2)</f>
        <v/>
      </c>
      <c r="BH160">
        <f>BB160-BF160</f>
        <v/>
      </c>
      <c r="BI160" s="42">
        <f>BM159</f>
        <v/>
      </c>
      <c r="BJ160" s="42">
        <f>ROUND(BI160*BJ$6/12,2)</f>
        <v/>
      </c>
      <c r="BK160" s="42">
        <f>MIN(BK$6,BI160+BJ160)</f>
        <v/>
      </c>
      <c r="BL160" s="42">
        <f>MAX(0,MIN(BI160+BJ160-BK160,BH160))</f>
        <v/>
      </c>
      <c r="BM160" s="42">
        <f>ROUND(BI160+BJ160-BK160-BL160,2)</f>
        <v/>
      </c>
      <c r="BN160">
        <f>BH160-BL160</f>
        <v/>
      </c>
    </row>
    <row r="161">
      <c r="A161" s="43" t="n">
        <v>154</v>
      </c>
      <c r="B161" s="44">
        <f>EDATE('My Debts'!$C$6,A161-1)</f>
        <v/>
      </c>
      <c r="C161" s="45">
        <f>K161+Q161+W161+AC161+AI161+AO161+AU161+BA161+BG161+BM161</f>
        <v/>
      </c>
      <c r="D161" s="46">
        <f>I161+O161+U161+AA161+AG161+AM161+AS161+AY161+BE161+BK161+J161+P161+V161+AB161+AH161+AN161+AT161+AZ161+BF161+BL161</f>
        <v/>
      </c>
      <c r="E161" s="46">
        <f>H161+N161+T161+Z161+AF161+AL161+AR161+AX161+BD161+BJ161</f>
        <v/>
      </c>
      <c r="F161">
        <f>MAX(0,'My Debts'!$E$21-(I161+O161+U161+AA161+AG161+AM161+AS161+AY161+BE161+BK161))</f>
        <v/>
      </c>
      <c r="G161" s="42">
        <f>K160</f>
        <v/>
      </c>
      <c r="H161" s="42">
        <f>ROUND(G161*H$6/12,2)</f>
        <v/>
      </c>
      <c r="I161" s="42">
        <f>MIN(I$6,G161+H161)</f>
        <v/>
      </c>
      <c r="J161" s="42">
        <f>MAX(0,MIN(G161+H161-I161,$F161))</f>
        <v/>
      </c>
      <c r="K161" s="42">
        <f>ROUND(G161+H161-I161-J161,2)</f>
        <v/>
      </c>
      <c r="L161">
        <f>$F161-J161</f>
        <v/>
      </c>
      <c r="M161" s="42">
        <f>Q160</f>
        <v/>
      </c>
      <c r="N161" s="42">
        <f>ROUND(M161*N$6/12,2)</f>
        <v/>
      </c>
      <c r="O161" s="42">
        <f>MIN(O$6,M161+N161)</f>
        <v/>
      </c>
      <c r="P161" s="42">
        <f>MAX(0,MIN(M161+N161-O161,L161))</f>
        <v/>
      </c>
      <c r="Q161" s="42">
        <f>ROUND(M161+N161-O161-P161,2)</f>
        <v/>
      </c>
      <c r="R161">
        <f>L161-P161</f>
        <v/>
      </c>
      <c r="S161" s="42">
        <f>W160</f>
        <v/>
      </c>
      <c r="T161" s="42">
        <f>ROUND(S161*T$6/12,2)</f>
        <v/>
      </c>
      <c r="U161" s="42">
        <f>MIN(U$6,S161+T161)</f>
        <v/>
      </c>
      <c r="V161" s="42">
        <f>MAX(0,MIN(S161+T161-U161,R161))</f>
        <v/>
      </c>
      <c r="W161" s="42">
        <f>ROUND(S161+T161-U161-V161,2)</f>
        <v/>
      </c>
      <c r="X161">
        <f>R161-V161</f>
        <v/>
      </c>
      <c r="Y161" s="42">
        <f>AC160</f>
        <v/>
      </c>
      <c r="Z161" s="42">
        <f>ROUND(Y161*Z$6/12,2)</f>
        <v/>
      </c>
      <c r="AA161" s="42">
        <f>MIN(AA$6,Y161+Z161)</f>
        <v/>
      </c>
      <c r="AB161" s="42">
        <f>MAX(0,MIN(Y161+Z161-AA161,X161))</f>
        <v/>
      </c>
      <c r="AC161" s="42">
        <f>ROUND(Y161+Z161-AA161-AB161,2)</f>
        <v/>
      </c>
      <c r="AD161">
        <f>X161-AB161</f>
        <v/>
      </c>
      <c r="AE161" s="42">
        <f>AI160</f>
        <v/>
      </c>
      <c r="AF161" s="42">
        <f>ROUND(AE161*AF$6/12,2)</f>
        <v/>
      </c>
      <c r="AG161" s="42">
        <f>MIN(AG$6,AE161+AF161)</f>
        <v/>
      </c>
      <c r="AH161" s="42">
        <f>MAX(0,MIN(AE161+AF161-AG161,AD161))</f>
        <v/>
      </c>
      <c r="AI161" s="42">
        <f>ROUND(AE161+AF161-AG161-AH161,2)</f>
        <v/>
      </c>
      <c r="AJ161">
        <f>AD161-AH161</f>
        <v/>
      </c>
      <c r="AK161" s="42">
        <f>AO160</f>
        <v/>
      </c>
      <c r="AL161" s="42">
        <f>ROUND(AK161*AL$6/12,2)</f>
        <v/>
      </c>
      <c r="AM161" s="42">
        <f>MIN(AM$6,AK161+AL161)</f>
        <v/>
      </c>
      <c r="AN161" s="42">
        <f>MAX(0,MIN(AK161+AL161-AM161,AJ161))</f>
        <v/>
      </c>
      <c r="AO161" s="42">
        <f>ROUND(AK161+AL161-AM161-AN161,2)</f>
        <v/>
      </c>
      <c r="AP161">
        <f>AJ161-AN161</f>
        <v/>
      </c>
      <c r="AQ161" s="42">
        <f>AU160</f>
        <v/>
      </c>
      <c r="AR161" s="42">
        <f>ROUND(AQ161*AR$6/12,2)</f>
        <v/>
      </c>
      <c r="AS161" s="42">
        <f>MIN(AS$6,AQ161+AR161)</f>
        <v/>
      </c>
      <c r="AT161" s="42">
        <f>MAX(0,MIN(AQ161+AR161-AS161,AP161))</f>
        <v/>
      </c>
      <c r="AU161" s="42">
        <f>ROUND(AQ161+AR161-AS161-AT161,2)</f>
        <v/>
      </c>
      <c r="AV161">
        <f>AP161-AT161</f>
        <v/>
      </c>
      <c r="AW161" s="42">
        <f>BA160</f>
        <v/>
      </c>
      <c r="AX161" s="42">
        <f>ROUND(AW161*AX$6/12,2)</f>
        <v/>
      </c>
      <c r="AY161" s="42">
        <f>MIN(AY$6,AW161+AX161)</f>
        <v/>
      </c>
      <c r="AZ161" s="42">
        <f>MAX(0,MIN(AW161+AX161-AY161,AV161))</f>
        <v/>
      </c>
      <c r="BA161" s="42">
        <f>ROUND(AW161+AX161-AY161-AZ161,2)</f>
        <v/>
      </c>
      <c r="BB161">
        <f>AV161-AZ161</f>
        <v/>
      </c>
      <c r="BC161" s="42">
        <f>BG160</f>
        <v/>
      </c>
      <c r="BD161" s="42">
        <f>ROUND(BC161*BD$6/12,2)</f>
        <v/>
      </c>
      <c r="BE161" s="42">
        <f>MIN(BE$6,BC161+BD161)</f>
        <v/>
      </c>
      <c r="BF161" s="42">
        <f>MAX(0,MIN(BC161+BD161-BE161,BB161))</f>
        <v/>
      </c>
      <c r="BG161" s="42">
        <f>ROUND(BC161+BD161-BE161-BF161,2)</f>
        <v/>
      </c>
      <c r="BH161">
        <f>BB161-BF161</f>
        <v/>
      </c>
      <c r="BI161" s="42">
        <f>BM160</f>
        <v/>
      </c>
      <c r="BJ161" s="42">
        <f>ROUND(BI161*BJ$6/12,2)</f>
        <v/>
      </c>
      <c r="BK161" s="42">
        <f>MIN(BK$6,BI161+BJ161)</f>
        <v/>
      </c>
      <c r="BL161" s="42">
        <f>MAX(0,MIN(BI161+BJ161-BK161,BH161))</f>
        <v/>
      </c>
      <c r="BM161" s="42">
        <f>ROUND(BI161+BJ161-BK161-BL161,2)</f>
        <v/>
      </c>
      <c r="BN161">
        <f>BH161-BL161</f>
        <v/>
      </c>
    </row>
    <row r="162">
      <c r="A162" s="39" t="n">
        <v>155</v>
      </c>
      <c r="B162" s="40">
        <f>EDATE('My Debts'!$C$6,A162-1)</f>
        <v/>
      </c>
      <c r="C162" s="41">
        <f>K162+Q162+W162+AC162+AI162+AO162+AU162+BA162+BG162+BM162</f>
        <v/>
      </c>
      <c r="D162" s="42">
        <f>I162+O162+U162+AA162+AG162+AM162+AS162+AY162+BE162+BK162+J162+P162+V162+AB162+AH162+AN162+AT162+AZ162+BF162+BL162</f>
        <v/>
      </c>
      <c r="E162" s="42">
        <f>H162+N162+T162+Z162+AF162+AL162+AR162+AX162+BD162+BJ162</f>
        <v/>
      </c>
      <c r="F162">
        <f>MAX(0,'My Debts'!$E$21-(I162+O162+U162+AA162+AG162+AM162+AS162+AY162+BE162+BK162))</f>
        <v/>
      </c>
      <c r="G162" s="42">
        <f>K161</f>
        <v/>
      </c>
      <c r="H162" s="42">
        <f>ROUND(G162*H$6/12,2)</f>
        <v/>
      </c>
      <c r="I162" s="42">
        <f>MIN(I$6,G162+H162)</f>
        <v/>
      </c>
      <c r="J162" s="42">
        <f>MAX(0,MIN(G162+H162-I162,$F162))</f>
        <v/>
      </c>
      <c r="K162" s="42">
        <f>ROUND(G162+H162-I162-J162,2)</f>
        <v/>
      </c>
      <c r="L162">
        <f>$F162-J162</f>
        <v/>
      </c>
      <c r="M162" s="42">
        <f>Q161</f>
        <v/>
      </c>
      <c r="N162" s="42">
        <f>ROUND(M162*N$6/12,2)</f>
        <v/>
      </c>
      <c r="O162" s="42">
        <f>MIN(O$6,M162+N162)</f>
        <v/>
      </c>
      <c r="P162" s="42">
        <f>MAX(0,MIN(M162+N162-O162,L162))</f>
        <v/>
      </c>
      <c r="Q162" s="42">
        <f>ROUND(M162+N162-O162-P162,2)</f>
        <v/>
      </c>
      <c r="R162">
        <f>L162-P162</f>
        <v/>
      </c>
      <c r="S162" s="42">
        <f>W161</f>
        <v/>
      </c>
      <c r="T162" s="42">
        <f>ROUND(S162*T$6/12,2)</f>
        <v/>
      </c>
      <c r="U162" s="42">
        <f>MIN(U$6,S162+T162)</f>
        <v/>
      </c>
      <c r="V162" s="42">
        <f>MAX(0,MIN(S162+T162-U162,R162))</f>
        <v/>
      </c>
      <c r="W162" s="42">
        <f>ROUND(S162+T162-U162-V162,2)</f>
        <v/>
      </c>
      <c r="X162">
        <f>R162-V162</f>
        <v/>
      </c>
      <c r="Y162" s="42">
        <f>AC161</f>
        <v/>
      </c>
      <c r="Z162" s="42">
        <f>ROUND(Y162*Z$6/12,2)</f>
        <v/>
      </c>
      <c r="AA162" s="42">
        <f>MIN(AA$6,Y162+Z162)</f>
        <v/>
      </c>
      <c r="AB162" s="42">
        <f>MAX(0,MIN(Y162+Z162-AA162,X162))</f>
        <v/>
      </c>
      <c r="AC162" s="42">
        <f>ROUND(Y162+Z162-AA162-AB162,2)</f>
        <v/>
      </c>
      <c r="AD162">
        <f>X162-AB162</f>
        <v/>
      </c>
      <c r="AE162" s="42">
        <f>AI161</f>
        <v/>
      </c>
      <c r="AF162" s="42">
        <f>ROUND(AE162*AF$6/12,2)</f>
        <v/>
      </c>
      <c r="AG162" s="42">
        <f>MIN(AG$6,AE162+AF162)</f>
        <v/>
      </c>
      <c r="AH162" s="42">
        <f>MAX(0,MIN(AE162+AF162-AG162,AD162))</f>
        <v/>
      </c>
      <c r="AI162" s="42">
        <f>ROUND(AE162+AF162-AG162-AH162,2)</f>
        <v/>
      </c>
      <c r="AJ162">
        <f>AD162-AH162</f>
        <v/>
      </c>
      <c r="AK162" s="42">
        <f>AO161</f>
        <v/>
      </c>
      <c r="AL162" s="42">
        <f>ROUND(AK162*AL$6/12,2)</f>
        <v/>
      </c>
      <c r="AM162" s="42">
        <f>MIN(AM$6,AK162+AL162)</f>
        <v/>
      </c>
      <c r="AN162" s="42">
        <f>MAX(0,MIN(AK162+AL162-AM162,AJ162))</f>
        <v/>
      </c>
      <c r="AO162" s="42">
        <f>ROUND(AK162+AL162-AM162-AN162,2)</f>
        <v/>
      </c>
      <c r="AP162">
        <f>AJ162-AN162</f>
        <v/>
      </c>
      <c r="AQ162" s="42">
        <f>AU161</f>
        <v/>
      </c>
      <c r="AR162" s="42">
        <f>ROUND(AQ162*AR$6/12,2)</f>
        <v/>
      </c>
      <c r="AS162" s="42">
        <f>MIN(AS$6,AQ162+AR162)</f>
        <v/>
      </c>
      <c r="AT162" s="42">
        <f>MAX(0,MIN(AQ162+AR162-AS162,AP162))</f>
        <v/>
      </c>
      <c r="AU162" s="42">
        <f>ROUND(AQ162+AR162-AS162-AT162,2)</f>
        <v/>
      </c>
      <c r="AV162">
        <f>AP162-AT162</f>
        <v/>
      </c>
      <c r="AW162" s="42">
        <f>BA161</f>
        <v/>
      </c>
      <c r="AX162" s="42">
        <f>ROUND(AW162*AX$6/12,2)</f>
        <v/>
      </c>
      <c r="AY162" s="42">
        <f>MIN(AY$6,AW162+AX162)</f>
        <v/>
      </c>
      <c r="AZ162" s="42">
        <f>MAX(0,MIN(AW162+AX162-AY162,AV162))</f>
        <v/>
      </c>
      <c r="BA162" s="42">
        <f>ROUND(AW162+AX162-AY162-AZ162,2)</f>
        <v/>
      </c>
      <c r="BB162">
        <f>AV162-AZ162</f>
        <v/>
      </c>
      <c r="BC162" s="42">
        <f>BG161</f>
        <v/>
      </c>
      <c r="BD162" s="42">
        <f>ROUND(BC162*BD$6/12,2)</f>
        <v/>
      </c>
      <c r="BE162" s="42">
        <f>MIN(BE$6,BC162+BD162)</f>
        <v/>
      </c>
      <c r="BF162" s="42">
        <f>MAX(0,MIN(BC162+BD162-BE162,BB162))</f>
        <v/>
      </c>
      <c r="BG162" s="42">
        <f>ROUND(BC162+BD162-BE162-BF162,2)</f>
        <v/>
      </c>
      <c r="BH162">
        <f>BB162-BF162</f>
        <v/>
      </c>
      <c r="BI162" s="42">
        <f>BM161</f>
        <v/>
      </c>
      <c r="BJ162" s="42">
        <f>ROUND(BI162*BJ$6/12,2)</f>
        <v/>
      </c>
      <c r="BK162" s="42">
        <f>MIN(BK$6,BI162+BJ162)</f>
        <v/>
      </c>
      <c r="BL162" s="42">
        <f>MAX(0,MIN(BI162+BJ162-BK162,BH162))</f>
        <v/>
      </c>
      <c r="BM162" s="42">
        <f>ROUND(BI162+BJ162-BK162-BL162,2)</f>
        <v/>
      </c>
      <c r="BN162">
        <f>BH162-BL162</f>
        <v/>
      </c>
    </row>
    <row r="163">
      <c r="A163" s="43" t="n">
        <v>156</v>
      </c>
      <c r="B163" s="44">
        <f>EDATE('My Debts'!$C$6,A163-1)</f>
        <v/>
      </c>
      <c r="C163" s="45">
        <f>K163+Q163+W163+AC163+AI163+AO163+AU163+BA163+BG163+BM163</f>
        <v/>
      </c>
      <c r="D163" s="46">
        <f>I163+O163+U163+AA163+AG163+AM163+AS163+AY163+BE163+BK163+J163+P163+V163+AB163+AH163+AN163+AT163+AZ163+BF163+BL163</f>
        <v/>
      </c>
      <c r="E163" s="46">
        <f>H163+N163+T163+Z163+AF163+AL163+AR163+AX163+BD163+BJ163</f>
        <v/>
      </c>
      <c r="F163">
        <f>MAX(0,'My Debts'!$E$21-(I163+O163+U163+AA163+AG163+AM163+AS163+AY163+BE163+BK163))</f>
        <v/>
      </c>
      <c r="G163" s="42">
        <f>K162</f>
        <v/>
      </c>
      <c r="H163" s="42">
        <f>ROUND(G163*H$6/12,2)</f>
        <v/>
      </c>
      <c r="I163" s="42">
        <f>MIN(I$6,G163+H163)</f>
        <v/>
      </c>
      <c r="J163" s="42">
        <f>MAX(0,MIN(G163+H163-I163,$F163))</f>
        <v/>
      </c>
      <c r="K163" s="42">
        <f>ROUND(G163+H163-I163-J163,2)</f>
        <v/>
      </c>
      <c r="L163">
        <f>$F163-J163</f>
        <v/>
      </c>
      <c r="M163" s="42">
        <f>Q162</f>
        <v/>
      </c>
      <c r="N163" s="42">
        <f>ROUND(M163*N$6/12,2)</f>
        <v/>
      </c>
      <c r="O163" s="42">
        <f>MIN(O$6,M163+N163)</f>
        <v/>
      </c>
      <c r="P163" s="42">
        <f>MAX(0,MIN(M163+N163-O163,L163))</f>
        <v/>
      </c>
      <c r="Q163" s="42">
        <f>ROUND(M163+N163-O163-P163,2)</f>
        <v/>
      </c>
      <c r="R163">
        <f>L163-P163</f>
        <v/>
      </c>
      <c r="S163" s="42">
        <f>W162</f>
        <v/>
      </c>
      <c r="T163" s="42">
        <f>ROUND(S163*T$6/12,2)</f>
        <v/>
      </c>
      <c r="U163" s="42">
        <f>MIN(U$6,S163+T163)</f>
        <v/>
      </c>
      <c r="V163" s="42">
        <f>MAX(0,MIN(S163+T163-U163,R163))</f>
        <v/>
      </c>
      <c r="W163" s="42">
        <f>ROUND(S163+T163-U163-V163,2)</f>
        <v/>
      </c>
      <c r="X163">
        <f>R163-V163</f>
        <v/>
      </c>
      <c r="Y163" s="42">
        <f>AC162</f>
        <v/>
      </c>
      <c r="Z163" s="42">
        <f>ROUND(Y163*Z$6/12,2)</f>
        <v/>
      </c>
      <c r="AA163" s="42">
        <f>MIN(AA$6,Y163+Z163)</f>
        <v/>
      </c>
      <c r="AB163" s="42">
        <f>MAX(0,MIN(Y163+Z163-AA163,X163))</f>
        <v/>
      </c>
      <c r="AC163" s="42">
        <f>ROUND(Y163+Z163-AA163-AB163,2)</f>
        <v/>
      </c>
      <c r="AD163">
        <f>X163-AB163</f>
        <v/>
      </c>
      <c r="AE163" s="42">
        <f>AI162</f>
        <v/>
      </c>
      <c r="AF163" s="42">
        <f>ROUND(AE163*AF$6/12,2)</f>
        <v/>
      </c>
      <c r="AG163" s="42">
        <f>MIN(AG$6,AE163+AF163)</f>
        <v/>
      </c>
      <c r="AH163" s="42">
        <f>MAX(0,MIN(AE163+AF163-AG163,AD163))</f>
        <v/>
      </c>
      <c r="AI163" s="42">
        <f>ROUND(AE163+AF163-AG163-AH163,2)</f>
        <v/>
      </c>
      <c r="AJ163">
        <f>AD163-AH163</f>
        <v/>
      </c>
      <c r="AK163" s="42">
        <f>AO162</f>
        <v/>
      </c>
      <c r="AL163" s="42">
        <f>ROUND(AK163*AL$6/12,2)</f>
        <v/>
      </c>
      <c r="AM163" s="42">
        <f>MIN(AM$6,AK163+AL163)</f>
        <v/>
      </c>
      <c r="AN163" s="42">
        <f>MAX(0,MIN(AK163+AL163-AM163,AJ163))</f>
        <v/>
      </c>
      <c r="AO163" s="42">
        <f>ROUND(AK163+AL163-AM163-AN163,2)</f>
        <v/>
      </c>
      <c r="AP163">
        <f>AJ163-AN163</f>
        <v/>
      </c>
      <c r="AQ163" s="42">
        <f>AU162</f>
        <v/>
      </c>
      <c r="AR163" s="42">
        <f>ROUND(AQ163*AR$6/12,2)</f>
        <v/>
      </c>
      <c r="AS163" s="42">
        <f>MIN(AS$6,AQ163+AR163)</f>
        <v/>
      </c>
      <c r="AT163" s="42">
        <f>MAX(0,MIN(AQ163+AR163-AS163,AP163))</f>
        <v/>
      </c>
      <c r="AU163" s="42">
        <f>ROUND(AQ163+AR163-AS163-AT163,2)</f>
        <v/>
      </c>
      <c r="AV163">
        <f>AP163-AT163</f>
        <v/>
      </c>
      <c r="AW163" s="42">
        <f>BA162</f>
        <v/>
      </c>
      <c r="AX163" s="42">
        <f>ROUND(AW163*AX$6/12,2)</f>
        <v/>
      </c>
      <c r="AY163" s="42">
        <f>MIN(AY$6,AW163+AX163)</f>
        <v/>
      </c>
      <c r="AZ163" s="42">
        <f>MAX(0,MIN(AW163+AX163-AY163,AV163))</f>
        <v/>
      </c>
      <c r="BA163" s="42">
        <f>ROUND(AW163+AX163-AY163-AZ163,2)</f>
        <v/>
      </c>
      <c r="BB163">
        <f>AV163-AZ163</f>
        <v/>
      </c>
      <c r="BC163" s="42">
        <f>BG162</f>
        <v/>
      </c>
      <c r="BD163" s="42">
        <f>ROUND(BC163*BD$6/12,2)</f>
        <v/>
      </c>
      <c r="BE163" s="42">
        <f>MIN(BE$6,BC163+BD163)</f>
        <v/>
      </c>
      <c r="BF163" s="42">
        <f>MAX(0,MIN(BC163+BD163-BE163,BB163))</f>
        <v/>
      </c>
      <c r="BG163" s="42">
        <f>ROUND(BC163+BD163-BE163-BF163,2)</f>
        <v/>
      </c>
      <c r="BH163">
        <f>BB163-BF163</f>
        <v/>
      </c>
      <c r="BI163" s="42">
        <f>BM162</f>
        <v/>
      </c>
      <c r="BJ163" s="42">
        <f>ROUND(BI163*BJ$6/12,2)</f>
        <v/>
      </c>
      <c r="BK163" s="42">
        <f>MIN(BK$6,BI163+BJ163)</f>
        <v/>
      </c>
      <c r="BL163" s="42">
        <f>MAX(0,MIN(BI163+BJ163-BK163,BH163))</f>
        <v/>
      </c>
      <c r="BM163" s="42">
        <f>ROUND(BI163+BJ163-BK163-BL163,2)</f>
        <v/>
      </c>
      <c r="BN163">
        <f>BH163-BL163</f>
        <v/>
      </c>
    </row>
    <row r="164">
      <c r="A164" s="39" t="n">
        <v>157</v>
      </c>
      <c r="B164" s="40">
        <f>EDATE('My Debts'!$C$6,A164-1)</f>
        <v/>
      </c>
      <c r="C164" s="41">
        <f>K164+Q164+W164+AC164+AI164+AO164+AU164+BA164+BG164+BM164</f>
        <v/>
      </c>
      <c r="D164" s="42">
        <f>I164+O164+U164+AA164+AG164+AM164+AS164+AY164+BE164+BK164+J164+P164+V164+AB164+AH164+AN164+AT164+AZ164+BF164+BL164</f>
        <v/>
      </c>
      <c r="E164" s="42">
        <f>H164+N164+T164+Z164+AF164+AL164+AR164+AX164+BD164+BJ164</f>
        <v/>
      </c>
      <c r="F164">
        <f>MAX(0,'My Debts'!$E$21-(I164+O164+U164+AA164+AG164+AM164+AS164+AY164+BE164+BK164))</f>
        <v/>
      </c>
      <c r="G164" s="42">
        <f>K163</f>
        <v/>
      </c>
      <c r="H164" s="42">
        <f>ROUND(G164*H$6/12,2)</f>
        <v/>
      </c>
      <c r="I164" s="42">
        <f>MIN(I$6,G164+H164)</f>
        <v/>
      </c>
      <c r="J164" s="42">
        <f>MAX(0,MIN(G164+H164-I164,$F164))</f>
        <v/>
      </c>
      <c r="K164" s="42">
        <f>ROUND(G164+H164-I164-J164,2)</f>
        <v/>
      </c>
      <c r="L164">
        <f>$F164-J164</f>
        <v/>
      </c>
      <c r="M164" s="42">
        <f>Q163</f>
        <v/>
      </c>
      <c r="N164" s="42">
        <f>ROUND(M164*N$6/12,2)</f>
        <v/>
      </c>
      <c r="O164" s="42">
        <f>MIN(O$6,M164+N164)</f>
        <v/>
      </c>
      <c r="P164" s="42">
        <f>MAX(0,MIN(M164+N164-O164,L164))</f>
        <v/>
      </c>
      <c r="Q164" s="42">
        <f>ROUND(M164+N164-O164-P164,2)</f>
        <v/>
      </c>
      <c r="R164">
        <f>L164-P164</f>
        <v/>
      </c>
      <c r="S164" s="42">
        <f>W163</f>
        <v/>
      </c>
      <c r="T164" s="42">
        <f>ROUND(S164*T$6/12,2)</f>
        <v/>
      </c>
      <c r="U164" s="42">
        <f>MIN(U$6,S164+T164)</f>
        <v/>
      </c>
      <c r="V164" s="42">
        <f>MAX(0,MIN(S164+T164-U164,R164))</f>
        <v/>
      </c>
      <c r="W164" s="42">
        <f>ROUND(S164+T164-U164-V164,2)</f>
        <v/>
      </c>
      <c r="X164">
        <f>R164-V164</f>
        <v/>
      </c>
      <c r="Y164" s="42">
        <f>AC163</f>
        <v/>
      </c>
      <c r="Z164" s="42">
        <f>ROUND(Y164*Z$6/12,2)</f>
        <v/>
      </c>
      <c r="AA164" s="42">
        <f>MIN(AA$6,Y164+Z164)</f>
        <v/>
      </c>
      <c r="AB164" s="42">
        <f>MAX(0,MIN(Y164+Z164-AA164,X164))</f>
        <v/>
      </c>
      <c r="AC164" s="42">
        <f>ROUND(Y164+Z164-AA164-AB164,2)</f>
        <v/>
      </c>
      <c r="AD164">
        <f>X164-AB164</f>
        <v/>
      </c>
      <c r="AE164" s="42">
        <f>AI163</f>
        <v/>
      </c>
      <c r="AF164" s="42">
        <f>ROUND(AE164*AF$6/12,2)</f>
        <v/>
      </c>
      <c r="AG164" s="42">
        <f>MIN(AG$6,AE164+AF164)</f>
        <v/>
      </c>
      <c r="AH164" s="42">
        <f>MAX(0,MIN(AE164+AF164-AG164,AD164))</f>
        <v/>
      </c>
      <c r="AI164" s="42">
        <f>ROUND(AE164+AF164-AG164-AH164,2)</f>
        <v/>
      </c>
      <c r="AJ164">
        <f>AD164-AH164</f>
        <v/>
      </c>
      <c r="AK164" s="42">
        <f>AO163</f>
        <v/>
      </c>
      <c r="AL164" s="42">
        <f>ROUND(AK164*AL$6/12,2)</f>
        <v/>
      </c>
      <c r="AM164" s="42">
        <f>MIN(AM$6,AK164+AL164)</f>
        <v/>
      </c>
      <c r="AN164" s="42">
        <f>MAX(0,MIN(AK164+AL164-AM164,AJ164))</f>
        <v/>
      </c>
      <c r="AO164" s="42">
        <f>ROUND(AK164+AL164-AM164-AN164,2)</f>
        <v/>
      </c>
      <c r="AP164">
        <f>AJ164-AN164</f>
        <v/>
      </c>
      <c r="AQ164" s="42">
        <f>AU163</f>
        <v/>
      </c>
      <c r="AR164" s="42">
        <f>ROUND(AQ164*AR$6/12,2)</f>
        <v/>
      </c>
      <c r="AS164" s="42">
        <f>MIN(AS$6,AQ164+AR164)</f>
        <v/>
      </c>
      <c r="AT164" s="42">
        <f>MAX(0,MIN(AQ164+AR164-AS164,AP164))</f>
        <v/>
      </c>
      <c r="AU164" s="42">
        <f>ROUND(AQ164+AR164-AS164-AT164,2)</f>
        <v/>
      </c>
      <c r="AV164">
        <f>AP164-AT164</f>
        <v/>
      </c>
      <c r="AW164" s="42">
        <f>BA163</f>
        <v/>
      </c>
      <c r="AX164" s="42">
        <f>ROUND(AW164*AX$6/12,2)</f>
        <v/>
      </c>
      <c r="AY164" s="42">
        <f>MIN(AY$6,AW164+AX164)</f>
        <v/>
      </c>
      <c r="AZ164" s="42">
        <f>MAX(0,MIN(AW164+AX164-AY164,AV164))</f>
        <v/>
      </c>
      <c r="BA164" s="42">
        <f>ROUND(AW164+AX164-AY164-AZ164,2)</f>
        <v/>
      </c>
      <c r="BB164">
        <f>AV164-AZ164</f>
        <v/>
      </c>
      <c r="BC164" s="42">
        <f>BG163</f>
        <v/>
      </c>
      <c r="BD164" s="42">
        <f>ROUND(BC164*BD$6/12,2)</f>
        <v/>
      </c>
      <c r="BE164" s="42">
        <f>MIN(BE$6,BC164+BD164)</f>
        <v/>
      </c>
      <c r="BF164" s="42">
        <f>MAX(0,MIN(BC164+BD164-BE164,BB164))</f>
        <v/>
      </c>
      <c r="BG164" s="42">
        <f>ROUND(BC164+BD164-BE164-BF164,2)</f>
        <v/>
      </c>
      <c r="BH164">
        <f>BB164-BF164</f>
        <v/>
      </c>
      <c r="BI164" s="42">
        <f>BM163</f>
        <v/>
      </c>
      <c r="BJ164" s="42">
        <f>ROUND(BI164*BJ$6/12,2)</f>
        <v/>
      </c>
      <c r="BK164" s="42">
        <f>MIN(BK$6,BI164+BJ164)</f>
        <v/>
      </c>
      <c r="BL164" s="42">
        <f>MAX(0,MIN(BI164+BJ164-BK164,BH164))</f>
        <v/>
      </c>
      <c r="BM164" s="42">
        <f>ROUND(BI164+BJ164-BK164-BL164,2)</f>
        <v/>
      </c>
      <c r="BN164">
        <f>BH164-BL164</f>
        <v/>
      </c>
    </row>
    <row r="165">
      <c r="A165" s="43" t="n">
        <v>158</v>
      </c>
      <c r="B165" s="44">
        <f>EDATE('My Debts'!$C$6,A165-1)</f>
        <v/>
      </c>
      <c r="C165" s="45">
        <f>K165+Q165+W165+AC165+AI165+AO165+AU165+BA165+BG165+BM165</f>
        <v/>
      </c>
      <c r="D165" s="46">
        <f>I165+O165+U165+AA165+AG165+AM165+AS165+AY165+BE165+BK165+J165+P165+V165+AB165+AH165+AN165+AT165+AZ165+BF165+BL165</f>
        <v/>
      </c>
      <c r="E165" s="46">
        <f>H165+N165+T165+Z165+AF165+AL165+AR165+AX165+BD165+BJ165</f>
        <v/>
      </c>
      <c r="F165">
        <f>MAX(0,'My Debts'!$E$21-(I165+O165+U165+AA165+AG165+AM165+AS165+AY165+BE165+BK165))</f>
        <v/>
      </c>
      <c r="G165" s="42">
        <f>K164</f>
        <v/>
      </c>
      <c r="H165" s="42">
        <f>ROUND(G165*H$6/12,2)</f>
        <v/>
      </c>
      <c r="I165" s="42">
        <f>MIN(I$6,G165+H165)</f>
        <v/>
      </c>
      <c r="J165" s="42">
        <f>MAX(0,MIN(G165+H165-I165,$F165))</f>
        <v/>
      </c>
      <c r="K165" s="42">
        <f>ROUND(G165+H165-I165-J165,2)</f>
        <v/>
      </c>
      <c r="L165">
        <f>$F165-J165</f>
        <v/>
      </c>
      <c r="M165" s="42">
        <f>Q164</f>
        <v/>
      </c>
      <c r="N165" s="42">
        <f>ROUND(M165*N$6/12,2)</f>
        <v/>
      </c>
      <c r="O165" s="42">
        <f>MIN(O$6,M165+N165)</f>
        <v/>
      </c>
      <c r="P165" s="42">
        <f>MAX(0,MIN(M165+N165-O165,L165))</f>
        <v/>
      </c>
      <c r="Q165" s="42">
        <f>ROUND(M165+N165-O165-P165,2)</f>
        <v/>
      </c>
      <c r="R165">
        <f>L165-P165</f>
        <v/>
      </c>
      <c r="S165" s="42">
        <f>W164</f>
        <v/>
      </c>
      <c r="T165" s="42">
        <f>ROUND(S165*T$6/12,2)</f>
        <v/>
      </c>
      <c r="U165" s="42">
        <f>MIN(U$6,S165+T165)</f>
        <v/>
      </c>
      <c r="V165" s="42">
        <f>MAX(0,MIN(S165+T165-U165,R165))</f>
        <v/>
      </c>
      <c r="W165" s="42">
        <f>ROUND(S165+T165-U165-V165,2)</f>
        <v/>
      </c>
      <c r="X165">
        <f>R165-V165</f>
        <v/>
      </c>
      <c r="Y165" s="42">
        <f>AC164</f>
        <v/>
      </c>
      <c r="Z165" s="42">
        <f>ROUND(Y165*Z$6/12,2)</f>
        <v/>
      </c>
      <c r="AA165" s="42">
        <f>MIN(AA$6,Y165+Z165)</f>
        <v/>
      </c>
      <c r="AB165" s="42">
        <f>MAX(0,MIN(Y165+Z165-AA165,X165))</f>
        <v/>
      </c>
      <c r="AC165" s="42">
        <f>ROUND(Y165+Z165-AA165-AB165,2)</f>
        <v/>
      </c>
      <c r="AD165">
        <f>X165-AB165</f>
        <v/>
      </c>
      <c r="AE165" s="42">
        <f>AI164</f>
        <v/>
      </c>
      <c r="AF165" s="42">
        <f>ROUND(AE165*AF$6/12,2)</f>
        <v/>
      </c>
      <c r="AG165" s="42">
        <f>MIN(AG$6,AE165+AF165)</f>
        <v/>
      </c>
      <c r="AH165" s="42">
        <f>MAX(0,MIN(AE165+AF165-AG165,AD165))</f>
        <v/>
      </c>
      <c r="AI165" s="42">
        <f>ROUND(AE165+AF165-AG165-AH165,2)</f>
        <v/>
      </c>
      <c r="AJ165">
        <f>AD165-AH165</f>
        <v/>
      </c>
      <c r="AK165" s="42">
        <f>AO164</f>
        <v/>
      </c>
      <c r="AL165" s="42">
        <f>ROUND(AK165*AL$6/12,2)</f>
        <v/>
      </c>
      <c r="AM165" s="42">
        <f>MIN(AM$6,AK165+AL165)</f>
        <v/>
      </c>
      <c r="AN165" s="42">
        <f>MAX(0,MIN(AK165+AL165-AM165,AJ165))</f>
        <v/>
      </c>
      <c r="AO165" s="42">
        <f>ROUND(AK165+AL165-AM165-AN165,2)</f>
        <v/>
      </c>
      <c r="AP165">
        <f>AJ165-AN165</f>
        <v/>
      </c>
      <c r="AQ165" s="42">
        <f>AU164</f>
        <v/>
      </c>
      <c r="AR165" s="42">
        <f>ROUND(AQ165*AR$6/12,2)</f>
        <v/>
      </c>
      <c r="AS165" s="42">
        <f>MIN(AS$6,AQ165+AR165)</f>
        <v/>
      </c>
      <c r="AT165" s="42">
        <f>MAX(0,MIN(AQ165+AR165-AS165,AP165))</f>
        <v/>
      </c>
      <c r="AU165" s="42">
        <f>ROUND(AQ165+AR165-AS165-AT165,2)</f>
        <v/>
      </c>
      <c r="AV165">
        <f>AP165-AT165</f>
        <v/>
      </c>
      <c r="AW165" s="42">
        <f>BA164</f>
        <v/>
      </c>
      <c r="AX165" s="42">
        <f>ROUND(AW165*AX$6/12,2)</f>
        <v/>
      </c>
      <c r="AY165" s="42">
        <f>MIN(AY$6,AW165+AX165)</f>
        <v/>
      </c>
      <c r="AZ165" s="42">
        <f>MAX(0,MIN(AW165+AX165-AY165,AV165))</f>
        <v/>
      </c>
      <c r="BA165" s="42">
        <f>ROUND(AW165+AX165-AY165-AZ165,2)</f>
        <v/>
      </c>
      <c r="BB165">
        <f>AV165-AZ165</f>
        <v/>
      </c>
      <c r="BC165" s="42">
        <f>BG164</f>
        <v/>
      </c>
      <c r="BD165" s="42">
        <f>ROUND(BC165*BD$6/12,2)</f>
        <v/>
      </c>
      <c r="BE165" s="42">
        <f>MIN(BE$6,BC165+BD165)</f>
        <v/>
      </c>
      <c r="BF165" s="42">
        <f>MAX(0,MIN(BC165+BD165-BE165,BB165))</f>
        <v/>
      </c>
      <c r="BG165" s="42">
        <f>ROUND(BC165+BD165-BE165-BF165,2)</f>
        <v/>
      </c>
      <c r="BH165">
        <f>BB165-BF165</f>
        <v/>
      </c>
      <c r="BI165" s="42">
        <f>BM164</f>
        <v/>
      </c>
      <c r="BJ165" s="42">
        <f>ROUND(BI165*BJ$6/12,2)</f>
        <v/>
      </c>
      <c r="BK165" s="42">
        <f>MIN(BK$6,BI165+BJ165)</f>
        <v/>
      </c>
      <c r="BL165" s="42">
        <f>MAX(0,MIN(BI165+BJ165-BK165,BH165))</f>
        <v/>
      </c>
      <c r="BM165" s="42">
        <f>ROUND(BI165+BJ165-BK165-BL165,2)</f>
        <v/>
      </c>
      <c r="BN165">
        <f>BH165-BL165</f>
        <v/>
      </c>
    </row>
    <row r="166">
      <c r="A166" s="39" t="n">
        <v>159</v>
      </c>
      <c r="B166" s="40">
        <f>EDATE('My Debts'!$C$6,A166-1)</f>
        <v/>
      </c>
      <c r="C166" s="41">
        <f>K166+Q166+W166+AC166+AI166+AO166+AU166+BA166+BG166+BM166</f>
        <v/>
      </c>
      <c r="D166" s="42">
        <f>I166+O166+U166+AA166+AG166+AM166+AS166+AY166+BE166+BK166+J166+P166+V166+AB166+AH166+AN166+AT166+AZ166+BF166+BL166</f>
        <v/>
      </c>
      <c r="E166" s="42">
        <f>H166+N166+T166+Z166+AF166+AL166+AR166+AX166+BD166+BJ166</f>
        <v/>
      </c>
      <c r="F166">
        <f>MAX(0,'My Debts'!$E$21-(I166+O166+U166+AA166+AG166+AM166+AS166+AY166+BE166+BK166))</f>
        <v/>
      </c>
      <c r="G166" s="42">
        <f>K165</f>
        <v/>
      </c>
      <c r="H166" s="42">
        <f>ROUND(G166*H$6/12,2)</f>
        <v/>
      </c>
      <c r="I166" s="42">
        <f>MIN(I$6,G166+H166)</f>
        <v/>
      </c>
      <c r="J166" s="42">
        <f>MAX(0,MIN(G166+H166-I166,$F166))</f>
        <v/>
      </c>
      <c r="K166" s="42">
        <f>ROUND(G166+H166-I166-J166,2)</f>
        <v/>
      </c>
      <c r="L166">
        <f>$F166-J166</f>
        <v/>
      </c>
      <c r="M166" s="42">
        <f>Q165</f>
        <v/>
      </c>
      <c r="N166" s="42">
        <f>ROUND(M166*N$6/12,2)</f>
        <v/>
      </c>
      <c r="O166" s="42">
        <f>MIN(O$6,M166+N166)</f>
        <v/>
      </c>
      <c r="P166" s="42">
        <f>MAX(0,MIN(M166+N166-O166,L166))</f>
        <v/>
      </c>
      <c r="Q166" s="42">
        <f>ROUND(M166+N166-O166-P166,2)</f>
        <v/>
      </c>
      <c r="R166">
        <f>L166-P166</f>
        <v/>
      </c>
      <c r="S166" s="42">
        <f>W165</f>
        <v/>
      </c>
      <c r="T166" s="42">
        <f>ROUND(S166*T$6/12,2)</f>
        <v/>
      </c>
      <c r="U166" s="42">
        <f>MIN(U$6,S166+T166)</f>
        <v/>
      </c>
      <c r="V166" s="42">
        <f>MAX(0,MIN(S166+T166-U166,R166))</f>
        <v/>
      </c>
      <c r="W166" s="42">
        <f>ROUND(S166+T166-U166-V166,2)</f>
        <v/>
      </c>
      <c r="X166">
        <f>R166-V166</f>
        <v/>
      </c>
      <c r="Y166" s="42">
        <f>AC165</f>
        <v/>
      </c>
      <c r="Z166" s="42">
        <f>ROUND(Y166*Z$6/12,2)</f>
        <v/>
      </c>
      <c r="AA166" s="42">
        <f>MIN(AA$6,Y166+Z166)</f>
        <v/>
      </c>
      <c r="AB166" s="42">
        <f>MAX(0,MIN(Y166+Z166-AA166,X166))</f>
        <v/>
      </c>
      <c r="AC166" s="42">
        <f>ROUND(Y166+Z166-AA166-AB166,2)</f>
        <v/>
      </c>
      <c r="AD166">
        <f>X166-AB166</f>
        <v/>
      </c>
      <c r="AE166" s="42">
        <f>AI165</f>
        <v/>
      </c>
      <c r="AF166" s="42">
        <f>ROUND(AE166*AF$6/12,2)</f>
        <v/>
      </c>
      <c r="AG166" s="42">
        <f>MIN(AG$6,AE166+AF166)</f>
        <v/>
      </c>
      <c r="AH166" s="42">
        <f>MAX(0,MIN(AE166+AF166-AG166,AD166))</f>
        <v/>
      </c>
      <c r="AI166" s="42">
        <f>ROUND(AE166+AF166-AG166-AH166,2)</f>
        <v/>
      </c>
      <c r="AJ166">
        <f>AD166-AH166</f>
        <v/>
      </c>
      <c r="AK166" s="42">
        <f>AO165</f>
        <v/>
      </c>
      <c r="AL166" s="42">
        <f>ROUND(AK166*AL$6/12,2)</f>
        <v/>
      </c>
      <c r="AM166" s="42">
        <f>MIN(AM$6,AK166+AL166)</f>
        <v/>
      </c>
      <c r="AN166" s="42">
        <f>MAX(0,MIN(AK166+AL166-AM166,AJ166))</f>
        <v/>
      </c>
      <c r="AO166" s="42">
        <f>ROUND(AK166+AL166-AM166-AN166,2)</f>
        <v/>
      </c>
      <c r="AP166">
        <f>AJ166-AN166</f>
        <v/>
      </c>
      <c r="AQ166" s="42">
        <f>AU165</f>
        <v/>
      </c>
      <c r="AR166" s="42">
        <f>ROUND(AQ166*AR$6/12,2)</f>
        <v/>
      </c>
      <c r="AS166" s="42">
        <f>MIN(AS$6,AQ166+AR166)</f>
        <v/>
      </c>
      <c r="AT166" s="42">
        <f>MAX(0,MIN(AQ166+AR166-AS166,AP166))</f>
        <v/>
      </c>
      <c r="AU166" s="42">
        <f>ROUND(AQ166+AR166-AS166-AT166,2)</f>
        <v/>
      </c>
      <c r="AV166">
        <f>AP166-AT166</f>
        <v/>
      </c>
      <c r="AW166" s="42">
        <f>BA165</f>
        <v/>
      </c>
      <c r="AX166" s="42">
        <f>ROUND(AW166*AX$6/12,2)</f>
        <v/>
      </c>
      <c r="AY166" s="42">
        <f>MIN(AY$6,AW166+AX166)</f>
        <v/>
      </c>
      <c r="AZ166" s="42">
        <f>MAX(0,MIN(AW166+AX166-AY166,AV166))</f>
        <v/>
      </c>
      <c r="BA166" s="42">
        <f>ROUND(AW166+AX166-AY166-AZ166,2)</f>
        <v/>
      </c>
      <c r="BB166">
        <f>AV166-AZ166</f>
        <v/>
      </c>
      <c r="BC166" s="42">
        <f>BG165</f>
        <v/>
      </c>
      <c r="BD166" s="42">
        <f>ROUND(BC166*BD$6/12,2)</f>
        <v/>
      </c>
      <c r="BE166" s="42">
        <f>MIN(BE$6,BC166+BD166)</f>
        <v/>
      </c>
      <c r="BF166" s="42">
        <f>MAX(0,MIN(BC166+BD166-BE166,BB166))</f>
        <v/>
      </c>
      <c r="BG166" s="42">
        <f>ROUND(BC166+BD166-BE166-BF166,2)</f>
        <v/>
      </c>
      <c r="BH166">
        <f>BB166-BF166</f>
        <v/>
      </c>
      <c r="BI166" s="42">
        <f>BM165</f>
        <v/>
      </c>
      <c r="BJ166" s="42">
        <f>ROUND(BI166*BJ$6/12,2)</f>
        <v/>
      </c>
      <c r="BK166" s="42">
        <f>MIN(BK$6,BI166+BJ166)</f>
        <v/>
      </c>
      <c r="BL166" s="42">
        <f>MAX(0,MIN(BI166+BJ166-BK166,BH166))</f>
        <v/>
      </c>
      <c r="BM166" s="42">
        <f>ROUND(BI166+BJ166-BK166-BL166,2)</f>
        <v/>
      </c>
      <c r="BN166">
        <f>BH166-BL166</f>
        <v/>
      </c>
    </row>
    <row r="167">
      <c r="A167" s="43" t="n">
        <v>160</v>
      </c>
      <c r="B167" s="44">
        <f>EDATE('My Debts'!$C$6,A167-1)</f>
        <v/>
      </c>
      <c r="C167" s="45">
        <f>K167+Q167+W167+AC167+AI167+AO167+AU167+BA167+BG167+BM167</f>
        <v/>
      </c>
      <c r="D167" s="46">
        <f>I167+O167+U167+AA167+AG167+AM167+AS167+AY167+BE167+BK167+J167+P167+V167+AB167+AH167+AN167+AT167+AZ167+BF167+BL167</f>
        <v/>
      </c>
      <c r="E167" s="46">
        <f>H167+N167+T167+Z167+AF167+AL167+AR167+AX167+BD167+BJ167</f>
        <v/>
      </c>
      <c r="F167">
        <f>MAX(0,'My Debts'!$E$21-(I167+O167+U167+AA167+AG167+AM167+AS167+AY167+BE167+BK167))</f>
        <v/>
      </c>
      <c r="G167" s="42">
        <f>K166</f>
        <v/>
      </c>
      <c r="H167" s="42">
        <f>ROUND(G167*H$6/12,2)</f>
        <v/>
      </c>
      <c r="I167" s="42">
        <f>MIN(I$6,G167+H167)</f>
        <v/>
      </c>
      <c r="J167" s="42">
        <f>MAX(0,MIN(G167+H167-I167,$F167))</f>
        <v/>
      </c>
      <c r="K167" s="42">
        <f>ROUND(G167+H167-I167-J167,2)</f>
        <v/>
      </c>
      <c r="L167">
        <f>$F167-J167</f>
        <v/>
      </c>
      <c r="M167" s="42">
        <f>Q166</f>
        <v/>
      </c>
      <c r="N167" s="42">
        <f>ROUND(M167*N$6/12,2)</f>
        <v/>
      </c>
      <c r="O167" s="42">
        <f>MIN(O$6,M167+N167)</f>
        <v/>
      </c>
      <c r="P167" s="42">
        <f>MAX(0,MIN(M167+N167-O167,L167))</f>
        <v/>
      </c>
      <c r="Q167" s="42">
        <f>ROUND(M167+N167-O167-P167,2)</f>
        <v/>
      </c>
      <c r="R167">
        <f>L167-P167</f>
        <v/>
      </c>
      <c r="S167" s="42">
        <f>W166</f>
        <v/>
      </c>
      <c r="T167" s="42">
        <f>ROUND(S167*T$6/12,2)</f>
        <v/>
      </c>
      <c r="U167" s="42">
        <f>MIN(U$6,S167+T167)</f>
        <v/>
      </c>
      <c r="V167" s="42">
        <f>MAX(0,MIN(S167+T167-U167,R167))</f>
        <v/>
      </c>
      <c r="W167" s="42">
        <f>ROUND(S167+T167-U167-V167,2)</f>
        <v/>
      </c>
      <c r="X167">
        <f>R167-V167</f>
        <v/>
      </c>
      <c r="Y167" s="42">
        <f>AC166</f>
        <v/>
      </c>
      <c r="Z167" s="42">
        <f>ROUND(Y167*Z$6/12,2)</f>
        <v/>
      </c>
      <c r="AA167" s="42">
        <f>MIN(AA$6,Y167+Z167)</f>
        <v/>
      </c>
      <c r="AB167" s="42">
        <f>MAX(0,MIN(Y167+Z167-AA167,X167))</f>
        <v/>
      </c>
      <c r="AC167" s="42">
        <f>ROUND(Y167+Z167-AA167-AB167,2)</f>
        <v/>
      </c>
      <c r="AD167">
        <f>X167-AB167</f>
        <v/>
      </c>
      <c r="AE167" s="42">
        <f>AI166</f>
        <v/>
      </c>
      <c r="AF167" s="42">
        <f>ROUND(AE167*AF$6/12,2)</f>
        <v/>
      </c>
      <c r="AG167" s="42">
        <f>MIN(AG$6,AE167+AF167)</f>
        <v/>
      </c>
      <c r="AH167" s="42">
        <f>MAX(0,MIN(AE167+AF167-AG167,AD167))</f>
        <v/>
      </c>
      <c r="AI167" s="42">
        <f>ROUND(AE167+AF167-AG167-AH167,2)</f>
        <v/>
      </c>
      <c r="AJ167">
        <f>AD167-AH167</f>
        <v/>
      </c>
      <c r="AK167" s="42">
        <f>AO166</f>
        <v/>
      </c>
      <c r="AL167" s="42">
        <f>ROUND(AK167*AL$6/12,2)</f>
        <v/>
      </c>
      <c r="AM167" s="42">
        <f>MIN(AM$6,AK167+AL167)</f>
        <v/>
      </c>
      <c r="AN167" s="42">
        <f>MAX(0,MIN(AK167+AL167-AM167,AJ167))</f>
        <v/>
      </c>
      <c r="AO167" s="42">
        <f>ROUND(AK167+AL167-AM167-AN167,2)</f>
        <v/>
      </c>
      <c r="AP167">
        <f>AJ167-AN167</f>
        <v/>
      </c>
      <c r="AQ167" s="42">
        <f>AU166</f>
        <v/>
      </c>
      <c r="AR167" s="42">
        <f>ROUND(AQ167*AR$6/12,2)</f>
        <v/>
      </c>
      <c r="AS167" s="42">
        <f>MIN(AS$6,AQ167+AR167)</f>
        <v/>
      </c>
      <c r="AT167" s="42">
        <f>MAX(0,MIN(AQ167+AR167-AS167,AP167))</f>
        <v/>
      </c>
      <c r="AU167" s="42">
        <f>ROUND(AQ167+AR167-AS167-AT167,2)</f>
        <v/>
      </c>
      <c r="AV167">
        <f>AP167-AT167</f>
        <v/>
      </c>
      <c r="AW167" s="42">
        <f>BA166</f>
        <v/>
      </c>
      <c r="AX167" s="42">
        <f>ROUND(AW167*AX$6/12,2)</f>
        <v/>
      </c>
      <c r="AY167" s="42">
        <f>MIN(AY$6,AW167+AX167)</f>
        <v/>
      </c>
      <c r="AZ167" s="42">
        <f>MAX(0,MIN(AW167+AX167-AY167,AV167))</f>
        <v/>
      </c>
      <c r="BA167" s="42">
        <f>ROUND(AW167+AX167-AY167-AZ167,2)</f>
        <v/>
      </c>
      <c r="BB167">
        <f>AV167-AZ167</f>
        <v/>
      </c>
      <c r="BC167" s="42">
        <f>BG166</f>
        <v/>
      </c>
      <c r="BD167" s="42">
        <f>ROUND(BC167*BD$6/12,2)</f>
        <v/>
      </c>
      <c r="BE167" s="42">
        <f>MIN(BE$6,BC167+BD167)</f>
        <v/>
      </c>
      <c r="BF167" s="42">
        <f>MAX(0,MIN(BC167+BD167-BE167,BB167))</f>
        <v/>
      </c>
      <c r="BG167" s="42">
        <f>ROUND(BC167+BD167-BE167-BF167,2)</f>
        <v/>
      </c>
      <c r="BH167">
        <f>BB167-BF167</f>
        <v/>
      </c>
      <c r="BI167" s="42">
        <f>BM166</f>
        <v/>
      </c>
      <c r="BJ167" s="42">
        <f>ROUND(BI167*BJ$6/12,2)</f>
        <v/>
      </c>
      <c r="BK167" s="42">
        <f>MIN(BK$6,BI167+BJ167)</f>
        <v/>
      </c>
      <c r="BL167" s="42">
        <f>MAX(0,MIN(BI167+BJ167-BK167,BH167))</f>
        <v/>
      </c>
      <c r="BM167" s="42">
        <f>ROUND(BI167+BJ167-BK167-BL167,2)</f>
        <v/>
      </c>
      <c r="BN167">
        <f>BH167-BL167</f>
        <v/>
      </c>
    </row>
    <row r="168">
      <c r="A168" s="39" t="n">
        <v>161</v>
      </c>
      <c r="B168" s="40">
        <f>EDATE('My Debts'!$C$6,A168-1)</f>
        <v/>
      </c>
      <c r="C168" s="41">
        <f>K168+Q168+W168+AC168+AI168+AO168+AU168+BA168+BG168+BM168</f>
        <v/>
      </c>
      <c r="D168" s="42">
        <f>I168+O168+U168+AA168+AG168+AM168+AS168+AY168+BE168+BK168+J168+P168+V168+AB168+AH168+AN168+AT168+AZ168+BF168+BL168</f>
        <v/>
      </c>
      <c r="E168" s="42">
        <f>H168+N168+T168+Z168+AF168+AL168+AR168+AX168+BD168+BJ168</f>
        <v/>
      </c>
      <c r="F168">
        <f>MAX(0,'My Debts'!$E$21-(I168+O168+U168+AA168+AG168+AM168+AS168+AY168+BE168+BK168))</f>
        <v/>
      </c>
      <c r="G168" s="42">
        <f>K167</f>
        <v/>
      </c>
      <c r="H168" s="42">
        <f>ROUND(G168*H$6/12,2)</f>
        <v/>
      </c>
      <c r="I168" s="42">
        <f>MIN(I$6,G168+H168)</f>
        <v/>
      </c>
      <c r="J168" s="42">
        <f>MAX(0,MIN(G168+H168-I168,$F168))</f>
        <v/>
      </c>
      <c r="K168" s="42">
        <f>ROUND(G168+H168-I168-J168,2)</f>
        <v/>
      </c>
      <c r="L168">
        <f>$F168-J168</f>
        <v/>
      </c>
      <c r="M168" s="42">
        <f>Q167</f>
        <v/>
      </c>
      <c r="N168" s="42">
        <f>ROUND(M168*N$6/12,2)</f>
        <v/>
      </c>
      <c r="O168" s="42">
        <f>MIN(O$6,M168+N168)</f>
        <v/>
      </c>
      <c r="P168" s="42">
        <f>MAX(0,MIN(M168+N168-O168,L168))</f>
        <v/>
      </c>
      <c r="Q168" s="42">
        <f>ROUND(M168+N168-O168-P168,2)</f>
        <v/>
      </c>
      <c r="R168">
        <f>L168-P168</f>
        <v/>
      </c>
      <c r="S168" s="42">
        <f>W167</f>
        <v/>
      </c>
      <c r="T168" s="42">
        <f>ROUND(S168*T$6/12,2)</f>
        <v/>
      </c>
      <c r="U168" s="42">
        <f>MIN(U$6,S168+T168)</f>
        <v/>
      </c>
      <c r="V168" s="42">
        <f>MAX(0,MIN(S168+T168-U168,R168))</f>
        <v/>
      </c>
      <c r="W168" s="42">
        <f>ROUND(S168+T168-U168-V168,2)</f>
        <v/>
      </c>
      <c r="X168">
        <f>R168-V168</f>
        <v/>
      </c>
      <c r="Y168" s="42">
        <f>AC167</f>
        <v/>
      </c>
      <c r="Z168" s="42">
        <f>ROUND(Y168*Z$6/12,2)</f>
        <v/>
      </c>
      <c r="AA168" s="42">
        <f>MIN(AA$6,Y168+Z168)</f>
        <v/>
      </c>
      <c r="AB168" s="42">
        <f>MAX(0,MIN(Y168+Z168-AA168,X168))</f>
        <v/>
      </c>
      <c r="AC168" s="42">
        <f>ROUND(Y168+Z168-AA168-AB168,2)</f>
        <v/>
      </c>
      <c r="AD168">
        <f>X168-AB168</f>
        <v/>
      </c>
      <c r="AE168" s="42">
        <f>AI167</f>
        <v/>
      </c>
      <c r="AF168" s="42">
        <f>ROUND(AE168*AF$6/12,2)</f>
        <v/>
      </c>
      <c r="AG168" s="42">
        <f>MIN(AG$6,AE168+AF168)</f>
        <v/>
      </c>
      <c r="AH168" s="42">
        <f>MAX(0,MIN(AE168+AF168-AG168,AD168))</f>
        <v/>
      </c>
      <c r="AI168" s="42">
        <f>ROUND(AE168+AF168-AG168-AH168,2)</f>
        <v/>
      </c>
      <c r="AJ168">
        <f>AD168-AH168</f>
        <v/>
      </c>
      <c r="AK168" s="42">
        <f>AO167</f>
        <v/>
      </c>
      <c r="AL168" s="42">
        <f>ROUND(AK168*AL$6/12,2)</f>
        <v/>
      </c>
      <c r="AM168" s="42">
        <f>MIN(AM$6,AK168+AL168)</f>
        <v/>
      </c>
      <c r="AN168" s="42">
        <f>MAX(0,MIN(AK168+AL168-AM168,AJ168))</f>
        <v/>
      </c>
      <c r="AO168" s="42">
        <f>ROUND(AK168+AL168-AM168-AN168,2)</f>
        <v/>
      </c>
      <c r="AP168">
        <f>AJ168-AN168</f>
        <v/>
      </c>
      <c r="AQ168" s="42">
        <f>AU167</f>
        <v/>
      </c>
      <c r="AR168" s="42">
        <f>ROUND(AQ168*AR$6/12,2)</f>
        <v/>
      </c>
      <c r="AS168" s="42">
        <f>MIN(AS$6,AQ168+AR168)</f>
        <v/>
      </c>
      <c r="AT168" s="42">
        <f>MAX(0,MIN(AQ168+AR168-AS168,AP168))</f>
        <v/>
      </c>
      <c r="AU168" s="42">
        <f>ROUND(AQ168+AR168-AS168-AT168,2)</f>
        <v/>
      </c>
      <c r="AV168">
        <f>AP168-AT168</f>
        <v/>
      </c>
      <c r="AW168" s="42">
        <f>BA167</f>
        <v/>
      </c>
      <c r="AX168" s="42">
        <f>ROUND(AW168*AX$6/12,2)</f>
        <v/>
      </c>
      <c r="AY168" s="42">
        <f>MIN(AY$6,AW168+AX168)</f>
        <v/>
      </c>
      <c r="AZ168" s="42">
        <f>MAX(0,MIN(AW168+AX168-AY168,AV168))</f>
        <v/>
      </c>
      <c r="BA168" s="42">
        <f>ROUND(AW168+AX168-AY168-AZ168,2)</f>
        <v/>
      </c>
      <c r="BB168">
        <f>AV168-AZ168</f>
        <v/>
      </c>
      <c r="BC168" s="42">
        <f>BG167</f>
        <v/>
      </c>
      <c r="BD168" s="42">
        <f>ROUND(BC168*BD$6/12,2)</f>
        <v/>
      </c>
      <c r="BE168" s="42">
        <f>MIN(BE$6,BC168+BD168)</f>
        <v/>
      </c>
      <c r="BF168" s="42">
        <f>MAX(0,MIN(BC168+BD168-BE168,BB168))</f>
        <v/>
      </c>
      <c r="BG168" s="42">
        <f>ROUND(BC168+BD168-BE168-BF168,2)</f>
        <v/>
      </c>
      <c r="BH168">
        <f>BB168-BF168</f>
        <v/>
      </c>
      <c r="BI168" s="42">
        <f>BM167</f>
        <v/>
      </c>
      <c r="BJ168" s="42">
        <f>ROUND(BI168*BJ$6/12,2)</f>
        <v/>
      </c>
      <c r="BK168" s="42">
        <f>MIN(BK$6,BI168+BJ168)</f>
        <v/>
      </c>
      <c r="BL168" s="42">
        <f>MAX(0,MIN(BI168+BJ168-BK168,BH168))</f>
        <v/>
      </c>
      <c r="BM168" s="42">
        <f>ROUND(BI168+BJ168-BK168-BL168,2)</f>
        <v/>
      </c>
      <c r="BN168">
        <f>BH168-BL168</f>
        <v/>
      </c>
    </row>
    <row r="169">
      <c r="A169" s="43" t="n">
        <v>162</v>
      </c>
      <c r="B169" s="44">
        <f>EDATE('My Debts'!$C$6,A169-1)</f>
        <v/>
      </c>
      <c r="C169" s="45">
        <f>K169+Q169+W169+AC169+AI169+AO169+AU169+BA169+BG169+BM169</f>
        <v/>
      </c>
      <c r="D169" s="46">
        <f>I169+O169+U169+AA169+AG169+AM169+AS169+AY169+BE169+BK169+J169+P169+V169+AB169+AH169+AN169+AT169+AZ169+BF169+BL169</f>
        <v/>
      </c>
      <c r="E169" s="46">
        <f>H169+N169+T169+Z169+AF169+AL169+AR169+AX169+BD169+BJ169</f>
        <v/>
      </c>
      <c r="F169">
        <f>MAX(0,'My Debts'!$E$21-(I169+O169+U169+AA169+AG169+AM169+AS169+AY169+BE169+BK169))</f>
        <v/>
      </c>
      <c r="G169" s="42">
        <f>K168</f>
        <v/>
      </c>
      <c r="H169" s="42">
        <f>ROUND(G169*H$6/12,2)</f>
        <v/>
      </c>
      <c r="I169" s="42">
        <f>MIN(I$6,G169+H169)</f>
        <v/>
      </c>
      <c r="J169" s="42">
        <f>MAX(0,MIN(G169+H169-I169,$F169))</f>
        <v/>
      </c>
      <c r="K169" s="42">
        <f>ROUND(G169+H169-I169-J169,2)</f>
        <v/>
      </c>
      <c r="L169">
        <f>$F169-J169</f>
        <v/>
      </c>
      <c r="M169" s="42">
        <f>Q168</f>
        <v/>
      </c>
      <c r="N169" s="42">
        <f>ROUND(M169*N$6/12,2)</f>
        <v/>
      </c>
      <c r="O169" s="42">
        <f>MIN(O$6,M169+N169)</f>
        <v/>
      </c>
      <c r="P169" s="42">
        <f>MAX(0,MIN(M169+N169-O169,L169))</f>
        <v/>
      </c>
      <c r="Q169" s="42">
        <f>ROUND(M169+N169-O169-P169,2)</f>
        <v/>
      </c>
      <c r="R169">
        <f>L169-P169</f>
        <v/>
      </c>
      <c r="S169" s="42">
        <f>W168</f>
        <v/>
      </c>
      <c r="T169" s="42">
        <f>ROUND(S169*T$6/12,2)</f>
        <v/>
      </c>
      <c r="U169" s="42">
        <f>MIN(U$6,S169+T169)</f>
        <v/>
      </c>
      <c r="V169" s="42">
        <f>MAX(0,MIN(S169+T169-U169,R169))</f>
        <v/>
      </c>
      <c r="W169" s="42">
        <f>ROUND(S169+T169-U169-V169,2)</f>
        <v/>
      </c>
      <c r="X169">
        <f>R169-V169</f>
        <v/>
      </c>
      <c r="Y169" s="42">
        <f>AC168</f>
        <v/>
      </c>
      <c r="Z169" s="42">
        <f>ROUND(Y169*Z$6/12,2)</f>
        <v/>
      </c>
      <c r="AA169" s="42">
        <f>MIN(AA$6,Y169+Z169)</f>
        <v/>
      </c>
      <c r="AB169" s="42">
        <f>MAX(0,MIN(Y169+Z169-AA169,X169))</f>
        <v/>
      </c>
      <c r="AC169" s="42">
        <f>ROUND(Y169+Z169-AA169-AB169,2)</f>
        <v/>
      </c>
      <c r="AD169">
        <f>X169-AB169</f>
        <v/>
      </c>
      <c r="AE169" s="42">
        <f>AI168</f>
        <v/>
      </c>
      <c r="AF169" s="42">
        <f>ROUND(AE169*AF$6/12,2)</f>
        <v/>
      </c>
      <c r="AG169" s="42">
        <f>MIN(AG$6,AE169+AF169)</f>
        <v/>
      </c>
      <c r="AH169" s="42">
        <f>MAX(0,MIN(AE169+AF169-AG169,AD169))</f>
        <v/>
      </c>
      <c r="AI169" s="42">
        <f>ROUND(AE169+AF169-AG169-AH169,2)</f>
        <v/>
      </c>
      <c r="AJ169">
        <f>AD169-AH169</f>
        <v/>
      </c>
      <c r="AK169" s="42">
        <f>AO168</f>
        <v/>
      </c>
      <c r="AL169" s="42">
        <f>ROUND(AK169*AL$6/12,2)</f>
        <v/>
      </c>
      <c r="AM169" s="42">
        <f>MIN(AM$6,AK169+AL169)</f>
        <v/>
      </c>
      <c r="AN169" s="42">
        <f>MAX(0,MIN(AK169+AL169-AM169,AJ169))</f>
        <v/>
      </c>
      <c r="AO169" s="42">
        <f>ROUND(AK169+AL169-AM169-AN169,2)</f>
        <v/>
      </c>
      <c r="AP169">
        <f>AJ169-AN169</f>
        <v/>
      </c>
      <c r="AQ169" s="42">
        <f>AU168</f>
        <v/>
      </c>
      <c r="AR169" s="42">
        <f>ROUND(AQ169*AR$6/12,2)</f>
        <v/>
      </c>
      <c r="AS169" s="42">
        <f>MIN(AS$6,AQ169+AR169)</f>
        <v/>
      </c>
      <c r="AT169" s="42">
        <f>MAX(0,MIN(AQ169+AR169-AS169,AP169))</f>
        <v/>
      </c>
      <c r="AU169" s="42">
        <f>ROUND(AQ169+AR169-AS169-AT169,2)</f>
        <v/>
      </c>
      <c r="AV169">
        <f>AP169-AT169</f>
        <v/>
      </c>
      <c r="AW169" s="42">
        <f>BA168</f>
        <v/>
      </c>
      <c r="AX169" s="42">
        <f>ROUND(AW169*AX$6/12,2)</f>
        <v/>
      </c>
      <c r="AY169" s="42">
        <f>MIN(AY$6,AW169+AX169)</f>
        <v/>
      </c>
      <c r="AZ169" s="42">
        <f>MAX(0,MIN(AW169+AX169-AY169,AV169))</f>
        <v/>
      </c>
      <c r="BA169" s="42">
        <f>ROUND(AW169+AX169-AY169-AZ169,2)</f>
        <v/>
      </c>
      <c r="BB169">
        <f>AV169-AZ169</f>
        <v/>
      </c>
      <c r="BC169" s="42">
        <f>BG168</f>
        <v/>
      </c>
      <c r="BD169" s="42">
        <f>ROUND(BC169*BD$6/12,2)</f>
        <v/>
      </c>
      <c r="BE169" s="42">
        <f>MIN(BE$6,BC169+BD169)</f>
        <v/>
      </c>
      <c r="BF169" s="42">
        <f>MAX(0,MIN(BC169+BD169-BE169,BB169))</f>
        <v/>
      </c>
      <c r="BG169" s="42">
        <f>ROUND(BC169+BD169-BE169-BF169,2)</f>
        <v/>
      </c>
      <c r="BH169">
        <f>BB169-BF169</f>
        <v/>
      </c>
      <c r="BI169" s="42">
        <f>BM168</f>
        <v/>
      </c>
      <c r="BJ169" s="42">
        <f>ROUND(BI169*BJ$6/12,2)</f>
        <v/>
      </c>
      <c r="BK169" s="42">
        <f>MIN(BK$6,BI169+BJ169)</f>
        <v/>
      </c>
      <c r="BL169" s="42">
        <f>MAX(0,MIN(BI169+BJ169-BK169,BH169))</f>
        <v/>
      </c>
      <c r="BM169" s="42">
        <f>ROUND(BI169+BJ169-BK169-BL169,2)</f>
        <v/>
      </c>
      <c r="BN169">
        <f>BH169-BL169</f>
        <v/>
      </c>
    </row>
    <row r="170">
      <c r="A170" s="39" t="n">
        <v>163</v>
      </c>
      <c r="B170" s="40">
        <f>EDATE('My Debts'!$C$6,A170-1)</f>
        <v/>
      </c>
      <c r="C170" s="41">
        <f>K170+Q170+W170+AC170+AI170+AO170+AU170+BA170+BG170+BM170</f>
        <v/>
      </c>
      <c r="D170" s="42">
        <f>I170+O170+U170+AA170+AG170+AM170+AS170+AY170+BE170+BK170+J170+P170+V170+AB170+AH170+AN170+AT170+AZ170+BF170+BL170</f>
        <v/>
      </c>
      <c r="E170" s="42">
        <f>H170+N170+T170+Z170+AF170+AL170+AR170+AX170+BD170+BJ170</f>
        <v/>
      </c>
      <c r="F170">
        <f>MAX(0,'My Debts'!$E$21-(I170+O170+U170+AA170+AG170+AM170+AS170+AY170+BE170+BK170))</f>
        <v/>
      </c>
      <c r="G170" s="42">
        <f>K169</f>
        <v/>
      </c>
      <c r="H170" s="42">
        <f>ROUND(G170*H$6/12,2)</f>
        <v/>
      </c>
      <c r="I170" s="42">
        <f>MIN(I$6,G170+H170)</f>
        <v/>
      </c>
      <c r="J170" s="42">
        <f>MAX(0,MIN(G170+H170-I170,$F170))</f>
        <v/>
      </c>
      <c r="K170" s="42">
        <f>ROUND(G170+H170-I170-J170,2)</f>
        <v/>
      </c>
      <c r="L170">
        <f>$F170-J170</f>
        <v/>
      </c>
      <c r="M170" s="42">
        <f>Q169</f>
        <v/>
      </c>
      <c r="N170" s="42">
        <f>ROUND(M170*N$6/12,2)</f>
        <v/>
      </c>
      <c r="O170" s="42">
        <f>MIN(O$6,M170+N170)</f>
        <v/>
      </c>
      <c r="P170" s="42">
        <f>MAX(0,MIN(M170+N170-O170,L170))</f>
        <v/>
      </c>
      <c r="Q170" s="42">
        <f>ROUND(M170+N170-O170-P170,2)</f>
        <v/>
      </c>
      <c r="R170">
        <f>L170-P170</f>
        <v/>
      </c>
      <c r="S170" s="42">
        <f>W169</f>
        <v/>
      </c>
      <c r="T170" s="42">
        <f>ROUND(S170*T$6/12,2)</f>
        <v/>
      </c>
      <c r="U170" s="42">
        <f>MIN(U$6,S170+T170)</f>
        <v/>
      </c>
      <c r="V170" s="42">
        <f>MAX(0,MIN(S170+T170-U170,R170))</f>
        <v/>
      </c>
      <c r="W170" s="42">
        <f>ROUND(S170+T170-U170-V170,2)</f>
        <v/>
      </c>
      <c r="X170">
        <f>R170-V170</f>
        <v/>
      </c>
      <c r="Y170" s="42">
        <f>AC169</f>
        <v/>
      </c>
      <c r="Z170" s="42">
        <f>ROUND(Y170*Z$6/12,2)</f>
        <v/>
      </c>
      <c r="AA170" s="42">
        <f>MIN(AA$6,Y170+Z170)</f>
        <v/>
      </c>
      <c r="AB170" s="42">
        <f>MAX(0,MIN(Y170+Z170-AA170,X170))</f>
        <v/>
      </c>
      <c r="AC170" s="42">
        <f>ROUND(Y170+Z170-AA170-AB170,2)</f>
        <v/>
      </c>
      <c r="AD170">
        <f>X170-AB170</f>
        <v/>
      </c>
      <c r="AE170" s="42">
        <f>AI169</f>
        <v/>
      </c>
      <c r="AF170" s="42">
        <f>ROUND(AE170*AF$6/12,2)</f>
        <v/>
      </c>
      <c r="AG170" s="42">
        <f>MIN(AG$6,AE170+AF170)</f>
        <v/>
      </c>
      <c r="AH170" s="42">
        <f>MAX(0,MIN(AE170+AF170-AG170,AD170))</f>
        <v/>
      </c>
      <c r="AI170" s="42">
        <f>ROUND(AE170+AF170-AG170-AH170,2)</f>
        <v/>
      </c>
      <c r="AJ170">
        <f>AD170-AH170</f>
        <v/>
      </c>
      <c r="AK170" s="42">
        <f>AO169</f>
        <v/>
      </c>
      <c r="AL170" s="42">
        <f>ROUND(AK170*AL$6/12,2)</f>
        <v/>
      </c>
      <c r="AM170" s="42">
        <f>MIN(AM$6,AK170+AL170)</f>
        <v/>
      </c>
      <c r="AN170" s="42">
        <f>MAX(0,MIN(AK170+AL170-AM170,AJ170))</f>
        <v/>
      </c>
      <c r="AO170" s="42">
        <f>ROUND(AK170+AL170-AM170-AN170,2)</f>
        <v/>
      </c>
      <c r="AP170">
        <f>AJ170-AN170</f>
        <v/>
      </c>
      <c r="AQ170" s="42">
        <f>AU169</f>
        <v/>
      </c>
      <c r="AR170" s="42">
        <f>ROUND(AQ170*AR$6/12,2)</f>
        <v/>
      </c>
      <c r="AS170" s="42">
        <f>MIN(AS$6,AQ170+AR170)</f>
        <v/>
      </c>
      <c r="AT170" s="42">
        <f>MAX(0,MIN(AQ170+AR170-AS170,AP170))</f>
        <v/>
      </c>
      <c r="AU170" s="42">
        <f>ROUND(AQ170+AR170-AS170-AT170,2)</f>
        <v/>
      </c>
      <c r="AV170">
        <f>AP170-AT170</f>
        <v/>
      </c>
      <c r="AW170" s="42">
        <f>BA169</f>
        <v/>
      </c>
      <c r="AX170" s="42">
        <f>ROUND(AW170*AX$6/12,2)</f>
        <v/>
      </c>
      <c r="AY170" s="42">
        <f>MIN(AY$6,AW170+AX170)</f>
        <v/>
      </c>
      <c r="AZ170" s="42">
        <f>MAX(0,MIN(AW170+AX170-AY170,AV170))</f>
        <v/>
      </c>
      <c r="BA170" s="42">
        <f>ROUND(AW170+AX170-AY170-AZ170,2)</f>
        <v/>
      </c>
      <c r="BB170">
        <f>AV170-AZ170</f>
        <v/>
      </c>
      <c r="BC170" s="42">
        <f>BG169</f>
        <v/>
      </c>
      <c r="BD170" s="42">
        <f>ROUND(BC170*BD$6/12,2)</f>
        <v/>
      </c>
      <c r="BE170" s="42">
        <f>MIN(BE$6,BC170+BD170)</f>
        <v/>
      </c>
      <c r="BF170" s="42">
        <f>MAX(0,MIN(BC170+BD170-BE170,BB170))</f>
        <v/>
      </c>
      <c r="BG170" s="42">
        <f>ROUND(BC170+BD170-BE170-BF170,2)</f>
        <v/>
      </c>
      <c r="BH170">
        <f>BB170-BF170</f>
        <v/>
      </c>
      <c r="BI170" s="42">
        <f>BM169</f>
        <v/>
      </c>
      <c r="BJ170" s="42">
        <f>ROUND(BI170*BJ$6/12,2)</f>
        <v/>
      </c>
      <c r="BK170" s="42">
        <f>MIN(BK$6,BI170+BJ170)</f>
        <v/>
      </c>
      <c r="BL170" s="42">
        <f>MAX(0,MIN(BI170+BJ170-BK170,BH170))</f>
        <v/>
      </c>
      <c r="BM170" s="42">
        <f>ROUND(BI170+BJ170-BK170-BL170,2)</f>
        <v/>
      </c>
      <c r="BN170">
        <f>BH170-BL170</f>
        <v/>
      </c>
    </row>
    <row r="171">
      <c r="A171" s="43" t="n">
        <v>164</v>
      </c>
      <c r="B171" s="44">
        <f>EDATE('My Debts'!$C$6,A171-1)</f>
        <v/>
      </c>
      <c r="C171" s="45">
        <f>K171+Q171+W171+AC171+AI171+AO171+AU171+BA171+BG171+BM171</f>
        <v/>
      </c>
      <c r="D171" s="46">
        <f>I171+O171+U171+AA171+AG171+AM171+AS171+AY171+BE171+BK171+J171+P171+V171+AB171+AH171+AN171+AT171+AZ171+BF171+BL171</f>
        <v/>
      </c>
      <c r="E171" s="46">
        <f>H171+N171+T171+Z171+AF171+AL171+AR171+AX171+BD171+BJ171</f>
        <v/>
      </c>
      <c r="F171">
        <f>MAX(0,'My Debts'!$E$21-(I171+O171+U171+AA171+AG171+AM171+AS171+AY171+BE171+BK171))</f>
        <v/>
      </c>
      <c r="G171" s="42">
        <f>K170</f>
        <v/>
      </c>
      <c r="H171" s="42">
        <f>ROUND(G171*H$6/12,2)</f>
        <v/>
      </c>
      <c r="I171" s="42">
        <f>MIN(I$6,G171+H171)</f>
        <v/>
      </c>
      <c r="J171" s="42">
        <f>MAX(0,MIN(G171+H171-I171,$F171))</f>
        <v/>
      </c>
      <c r="K171" s="42">
        <f>ROUND(G171+H171-I171-J171,2)</f>
        <v/>
      </c>
      <c r="L171">
        <f>$F171-J171</f>
        <v/>
      </c>
      <c r="M171" s="42">
        <f>Q170</f>
        <v/>
      </c>
      <c r="N171" s="42">
        <f>ROUND(M171*N$6/12,2)</f>
        <v/>
      </c>
      <c r="O171" s="42">
        <f>MIN(O$6,M171+N171)</f>
        <v/>
      </c>
      <c r="P171" s="42">
        <f>MAX(0,MIN(M171+N171-O171,L171))</f>
        <v/>
      </c>
      <c r="Q171" s="42">
        <f>ROUND(M171+N171-O171-P171,2)</f>
        <v/>
      </c>
      <c r="R171">
        <f>L171-P171</f>
        <v/>
      </c>
      <c r="S171" s="42">
        <f>W170</f>
        <v/>
      </c>
      <c r="T171" s="42">
        <f>ROUND(S171*T$6/12,2)</f>
        <v/>
      </c>
      <c r="U171" s="42">
        <f>MIN(U$6,S171+T171)</f>
        <v/>
      </c>
      <c r="V171" s="42">
        <f>MAX(0,MIN(S171+T171-U171,R171))</f>
        <v/>
      </c>
      <c r="W171" s="42">
        <f>ROUND(S171+T171-U171-V171,2)</f>
        <v/>
      </c>
      <c r="X171">
        <f>R171-V171</f>
        <v/>
      </c>
      <c r="Y171" s="42">
        <f>AC170</f>
        <v/>
      </c>
      <c r="Z171" s="42">
        <f>ROUND(Y171*Z$6/12,2)</f>
        <v/>
      </c>
      <c r="AA171" s="42">
        <f>MIN(AA$6,Y171+Z171)</f>
        <v/>
      </c>
      <c r="AB171" s="42">
        <f>MAX(0,MIN(Y171+Z171-AA171,X171))</f>
        <v/>
      </c>
      <c r="AC171" s="42">
        <f>ROUND(Y171+Z171-AA171-AB171,2)</f>
        <v/>
      </c>
      <c r="AD171">
        <f>X171-AB171</f>
        <v/>
      </c>
      <c r="AE171" s="42">
        <f>AI170</f>
        <v/>
      </c>
      <c r="AF171" s="42">
        <f>ROUND(AE171*AF$6/12,2)</f>
        <v/>
      </c>
      <c r="AG171" s="42">
        <f>MIN(AG$6,AE171+AF171)</f>
        <v/>
      </c>
      <c r="AH171" s="42">
        <f>MAX(0,MIN(AE171+AF171-AG171,AD171))</f>
        <v/>
      </c>
      <c r="AI171" s="42">
        <f>ROUND(AE171+AF171-AG171-AH171,2)</f>
        <v/>
      </c>
      <c r="AJ171">
        <f>AD171-AH171</f>
        <v/>
      </c>
      <c r="AK171" s="42">
        <f>AO170</f>
        <v/>
      </c>
      <c r="AL171" s="42">
        <f>ROUND(AK171*AL$6/12,2)</f>
        <v/>
      </c>
      <c r="AM171" s="42">
        <f>MIN(AM$6,AK171+AL171)</f>
        <v/>
      </c>
      <c r="AN171" s="42">
        <f>MAX(0,MIN(AK171+AL171-AM171,AJ171))</f>
        <v/>
      </c>
      <c r="AO171" s="42">
        <f>ROUND(AK171+AL171-AM171-AN171,2)</f>
        <v/>
      </c>
      <c r="AP171">
        <f>AJ171-AN171</f>
        <v/>
      </c>
      <c r="AQ171" s="42">
        <f>AU170</f>
        <v/>
      </c>
      <c r="AR171" s="42">
        <f>ROUND(AQ171*AR$6/12,2)</f>
        <v/>
      </c>
      <c r="AS171" s="42">
        <f>MIN(AS$6,AQ171+AR171)</f>
        <v/>
      </c>
      <c r="AT171" s="42">
        <f>MAX(0,MIN(AQ171+AR171-AS171,AP171))</f>
        <v/>
      </c>
      <c r="AU171" s="42">
        <f>ROUND(AQ171+AR171-AS171-AT171,2)</f>
        <v/>
      </c>
      <c r="AV171">
        <f>AP171-AT171</f>
        <v/>
      </c>
      <c r="AW171" s="42">
        <f>BA170</f>
        <v/>
      </c>
      <c r="AX171" s="42">
        <f>ROUND(AW171*AX$6/12,2)</f>
        <v/>
      </c>
      <c r="AY171" s="42">
        <f>MIN(AY$6,AW171+AX171)</f>
        <v/>
      </c>
      <c r="AZ171" s="42">
        <f>MAX(0,MIN(AW171+AX171-AY171,AV171))</f>
        <v/>
      </c>
      <c r="BA171" s="42">
        <f>ROUND(AW171+AX171-AY171-AZ171,2)</f>
        <v/>
      </c>
      <c r="BB171">
        <f>AV171-AZ171</f>
        <v/>
      </c>
      <c r="BC171" s="42">
        <f>BG170</f>
        <v/>
      </c>
      <c r="BD171" s="42">
        <f>ROUND(BC171*BD$6/12,2)</f>
        <v/>
      </c>
      <c r="BE171" s="42">
        <f>MIN(BE$6,BC171+BD171)</f>
        <v/>
      </c>
      <c r="BF171" s="42">
        <f>MAX(0,MIN(BC171+BD171-BE171,BB171))</f>
        <v/>
      </c>
      <c r="BG171" s="42">
        <f>ROUND(BC171+BD171-BE171-BF171,2)</f>
        <v/>
      </c>
      <c r="BH171">
        <f>BB171-BF171</f>
        <v/>
      </c>
      <c r="BI171" s="42">
        <f>BM170</f>
        <v/>
      </c>
      <c r="BJ171" s="42">
        <f>ROUND(BI171*BJ$6/12,2)</f>
        <v/>
      </c>
      <c r="BK171" s="42">
        <f>MIN(BK$6,BI171+BJ171)</f>
        <v/>
      </c>
      <c r="BL171" s="42">
        <f>MAX(0,MIN(BI171+BJ171-BK171,BH171))</f>
        <v/>
      </c>
      <c r="BM171" s="42">
        <f>ROUND(BI171+BJ171-BK171-BL171,2)</f>
        <v/>
      </c>
      <c r="BN171">
        <f>BH171-BL171</f>
        <v/>
      </c>
    </row>
    <row r="172">
      <c r="A172" s="39" t="n">
        <v>165</v>
      </c>
      <c r="B172" s="40">
        <f>EDATE('My Debts'!$C$6,A172-1)</f>
        <v/>
      </c>
      <c r="C172" s="41">
        <f>K172+Q172+W172+AC172+AI172+AO172+AU172+BA172+BG172+BM172</f>
        <v/>
      </c>
      <c r="D172" s="42">
        <f>I172+O172+U172+AA172+AG172+AM172+AS172+AY172+BE172+BK172+J172+P172+V172+AB172+AH172+AN172+AT172+AZ172+BF172+BL172</f>
        <v/>
      </c>
      <c r="E172" s="42">
        <f>H172+N172+T172+Z172+AF172+AL172+AR172+AX172+BD172+BJ172</f>
        <v/>
      </c>
      <c r="F172">
        <f>MAX(0,'My Debts'!$E$21-(I172+O172+U172+AA172+AG172+AM172+AS172+AY172+BE172+BK172))</f>
        <v/>
      </c>
      <c r="G172" s="42">
        <f>K171</f>
        <v/>
      </c>
      <c r="H172" s="42">
        <f>ROUND(G172*H$6/12,2)</f>
        <v/>
      </c>
      <c r="I172" s="42">
        <f>MIN(I$6,G172+H172)</f>
        <v/>
      </c>
      <c r="J172" s="42">
        <f>MAX(0,MIN(G172+H172-I172,$F172))</f>
        <v/>
      </c>
      <c r="K172" s="42">
        <f>ROUND(G172+H172-I172-J172,2)</f>
        <v/>
      </c>
      <c r="L172">
        <f>$F172-J172</f>
        <v/>
      </c>
      <c r="M172" s="42">
        <f>Q171</f>
        <v/>
      </c>
      <c r="N172" s="42">
        <f>ROUND(M172*N$6/12,2)</f>
        <v/>
      </c>
      <c r="O172" s="42">
        <f>MIN(O$6,M172+N172)</f>
        <v/>
      </c>
      <c r="P172" s="42">
        <f>MAX(0,MIN(M172+N172-O172,L172))</f>
        <v/>
      </c>
      <c r="Q172" s="42">
        <f>ROUND(M172+N172-O172-P172,2)</f>
        <v/>
      </c>
      <c r="R172">
        <f>L172-P172</f>
        <v/>
      </c>
      <c r="S172" s="42">
        <f>W171</f>
        <v/>
      </c>
      <c r="T172" s="42">
        <f>ROUND(S172*T$6/12,2)</f>
        <v/>
      </c>
      <c r="U172" s="42">
        <f>MIN(U$6,S172+T172)</f>
        <v/>
      </c>
      <c r="V172" s="42">
        <f>MAX(0,MIN(S172+T172-U172,R172))</f>
        <v/>
      </c>
      <c r="W172" s="42">
        <f>ROUND(S172+T172-U172-V172,2)</f>
        <v/>
      </c>
      <c r="X172">
        <f>R172-V172</f>
        <v/>
      </c>
      <c r="Y172" s="42">
        <f>AC171</f>
        <v/>
      </c>
      <c r="Z172" s="42">
        <f>ROUND(Y172*Z$6/12,2)</f>
        <v/>
      </c>
      <c r="AA172" s="42">
        <f>MIN(AA$6,Y172+Z172)</f>
        <v/>
      </c>
      <c r="AB172" s="42">
        <f>MAX(0,MIN(Y172+Z172-AA172,X172))</f>
        <v/>
      </c>
      <c r="AC172" s="42">
        <f>ROUND(Y172+Z172-AA172-AB172,2)</f>
        <v/>
      </c>
      <c r="AD172">
        <f>X172-AB172</f>
        <v/>
      </c>
      <c r="AE172" s="42">
        <f>AI171</f>
        <v/>
      </c>
      <c r="AF172" s="42">
        <f>ROUND(AE172*AF$6/12,2)</f>
        <v/>
      </c>
      <c r="AG172" s="42">
        <f>MIN(AG$6,AE172+AF172)</f>
        <v/>
      </c>
      <c r="AH172" s="42">
        <f>MAX(0,MIN(AE172+AF172-AG172,AD172))</f>
        <v/>
      </c>
      <c r="AI172" s="42">
        <f>ROUND(AE172+AF172-AG172-AH172,2)</f>
        <v/>
      </c>
      <c r="AJ172">
        <f>AD172-AH172</f>
        <v/>
      </c>
      <c r="AK172" s="42">
        <f>AO171</f>
        <v/>
      </c>
      <c r="AL172" s="42">
        <f>ROUND(AK172*AL$6/12,2)</f>
        <v/>
      </c>
      <c r="AM172" s="42">
        <f>MIN(AM$6,AK172+AL172)</f>
        <v/>
      </c>
      <c r="AN172" s="42">
        <f>MAX(0,MIN(AK172+AL172-AM172,AJ172))</f>
        <v/>
      </c>
      <c r="AO172" s="42">
        <f>ROUND(AK172+AL172-AM172-AN172,2)</f>
        <v/>
      </c>
      <c r="AP172">
        <f>AJ172-AN172</f>
        <v/>
      </c>
      <c r="AQ172" s="42">
        <f>AU171</f>
        <v/>
      </c>
      <c r="AR172" s="42">
        <f>ROUND(AQ172*AR$6/12,2)</f>
        <v/>
      </c>
      <c r="AS172" s="42">
        <f>MIN(AS$6,AQ172+AR172)</f>
        <v/>
      </c>
      <c r="AT172" s="42">
        <f>MAX(0,MIN(AQ172+AR172-AS172,AP172))</f>
        <v/>
      </c>
      <c r="AU172" s="42">
        <f>ROUND(AQ172+AR172-AS172-AT172,2)</f>
        <v/>
      </c>
      <c r="AV172">
        <f>AP172-AT172</f>
        <v/>
      </c>
      <c r="AW172" s="42">
        <f>BA171</f>
        <v/>
      </c>
      <c r="AX172" s="42">
        <f>ROUND(AW172*AX$6/12,2)</f>
        <v/>
      </c>
      <c r="AY172" s="42">
        <f>MIN(AY$6,AW172+AX172)</f>
        <v/>
      </c>
      <c r="AZ172" s="42">
        <f>MAX(0,MIN(AW172+AX172-AY172,AV172))</f>
        <v/>
      </c>
      <c r="BA172" s="42">
        <f>ROUND(AW172+AX172-AY172-AZ172,2)</f>
        <v/>
      </c>
      <c r="BB172">
        <f>AV172-AZ172</f>
        <v/>
      </c>
      <c r="BC172" s="42">
        <f>BG171</f>
        <v/>
      </c>
      <c r="BD172" s="42">
        <f>ROUND(BC172*BD$6/12,2)</f>
        <v/>
      </c>
      <c r="BE172" s="42">
        <f>MIN(BE$6,BC172+BD172)</f>
        <v/>
      </c>
      <c r="BF172" s="42">
        <f>MAX(0,MIN(BC172+BD172-BE172,BB172))</f>
        <v/>
      </c>
      <c r="BG172" s="42">
        <f>ROUND(BC172+BD172-BE172-BF172,2)</f>
        <v/>
      </c>
      <c r="BH172">
        <f>BB172-BF172</f>
        <v/>
      </c>
      <c r="BI172" s="42">
        <f>BM171</f>
        <v/>
      </c>
      <c r="BJ172" s="42">
        <f>ROUND(BI172*BJ$6/12,2)</f>
        <v/>
      </c>
      <c r="BK172" s="42">
        <f>MIN(BK$6,BI172+BJ172)</f>
        <v/>
      </c>
      <c r="BL172" s="42">
        <f>MAX(0,MIN(BI172+BJ172-BK172,BH172))</f>
        <v/>
      </c>
      <c r="BM172" s="42">
        <f>ROUND(BI172+BJ172-BK172-BL172,2)</f>
        <v/>
      </c>
      <c r="BN172">
        <f>BH172-BL172</f>
        <v/>
      </c>
    </row>
    <row r="173">
      <c r="A173" s="43" t="n">
        <v>166</v>
      </c>
      <c r="B173" s="44">
        <f>EDATE('My Debts'!$C$6,A173-1)</f>
        <v/>
      </c>
      <c r="C173" s="45">
        <f>K173+Q173+W173+AC173+AI173+AO173+AU173+BA173+BG173+BM173</f>
        <v/>
      </c>
      <c r="D173" s="46">
        <f>I173+O173+U173+AA173+AG173+AM173+AS173+AY173+BE173+BK173+J173+P173+V173+AB173+AH173+AN173+AT173+AZ173+BF173+BL173</f>
        <v/>
      </c>
      <c r="E173" s="46">
        <f>H173+N173+T173+Z173+AF173+AL173+AR173+AX173+BD173+BJ173</f>
        <v/>
      </c>
      <c r="F173">
        <f>MAX(0,'My Debts'!$E$21-(I173+O173+U173+AA173+AG173+AM173+AS173+AY173+BE173+BK173))</f>
        <v/>
      </c>
      <c r="G173" s="42">
        <f>K172</f>
        <v/>
      </c>
      <c r="H173" s="42">
        <f>ROUND(G173*H$6/12,2)</f>
        <v/>
      </c>
      <c r="I173" s="42">
        <f>MIN(I$6,G173+H173)</f>
        <v/>
      </c>
      <c r="J173" s="42">
        <f>MAX(0,MIN(G173+H173-I173,$F173))</f>
        <v/>
      </c>
      <c r="K173" s="42">
        <f>ROUND(G173+H173-I173-J173,2)</f>
        <v/>
      </c>
      <c r="L173">
        <f>$F173-J173</f>
        <v/>
      </c>
      <c r="M173" s="42">
        <f>Q172</f>
        <v/>
      </c>
      <c r="N173" s="42">
        <f>ROUND(M173*N$6/12,2)</f>
        <v/>
      </c>
      <c r="O173" s="42">
        <f>MIN(O$6,M173+N173)</f>
        <v/>
      </c>
      <c r="P173" s="42">
        <f>MAX(0,MIN(M173+N173-O173,L173))</f>
        <v/>
      </c>
      <c r="Q173" s="42">
        <f>ROUND(M173+N173-O173-P173,2)</f>
        <v/>
      </c>
      <c r="R173">
        <f>L173-P173</f>
        <v/>
      </c>
      <c r="S173" s="42">
        <f>W172</f>
        <v/>
      </c>
      <c r="T173" s="42">
        <f>ROUND(S173*T$6/12,2)</f>
        <v/>
      </c>
      <c r="U173" s="42">
        <f>MIN(U$6,S173+T173)</f>
        <v/>
      </c>
      <c r="V173" s="42">
        <f>MAX(0,MIN(S173+T173-U173,R173))</f>
        <v/>
      </c>
      <c r="W173" s="42">
        <f>ROUND(S173+T173-U173-V173,2)</f>
        <v/>
      </c>
      <c r="X173">
        <f>R173-V173</f>
        <v/>
      </c>
      <c r="Y173" s="42">
        <f>AC172</f>
        <v/>
      </c>
      <c r="Z173" s="42">
        <f>ROUND(Y173*Z$6/12,2)</f>
        <v/>
      </c>
      <c r="AA173" s="42">
        <f>MIN(AA$6,Y173+Z173)</f>
        <v/>
      </c>
      <c r="AB173" s="42">
        <f>MAX(0,MIN(Y173+Z173-AA173,X173))</f>
        <v/>
      </c>
      <c r="AC173" s="42">
        <f>ROUND(Y173+Z173-AA173-AB173,2)</f>
        <v/>
      </c>
      <c r="AD173">
        <f>X173-AB173</f>
        <v/>
      </c>
      <c r="AE173" s="42">
        <f>AI172</f>
        <v/>
      </c>
      <c r="AF173" s="42">
        <f>ROUND(AE173*AF$6/12,2)</f>
        <v/>
      </c>
      <c r="AG173" s="42">
        <f>MIN(AG$6,AE173+AF173)</f>
        <v/>
      </c>
      <c r="AH173" s="42">
        <f>MAX(0,MIN(AE173+AF173-AG173,AD173))</f>
        <v/>
      </c>
      <c r="AI173" s="42">
        <f>ROUND(AE173+AF173-AG173-AH173,2)</f>
        <v/>
      </c>
      <c r="AJ173">
        <f>AD173-AH173</f>
        <v/>
      </c>
      <c r="AK173" s="42">
        <f>AO172</f>
        <v/>
      </c>
      <c r="AL173" s="42">
        <f>ROUND(AK173*AL$6/12,2)</f>
        <v/>
      </c>
      <c r="AM173" s="42">
        <f>MIN(AM$6,AK173+AL173)</f>
        <v/>
      </c>
      <c r="AN173" s="42">
        <f>MAX(0,MIN(AK173+AL173-AM173,AJ173))</f>
        <v/>
      </c>
      <c r="AO173" s="42">
        <f>ROUND(AK173+AL173-AM173-AN173,2)</f>
        <v/>
      </c>
      <c r="AP173">
        <f>AJ173-AN173</f>
        <v/>
      </c>
      <c r="AQ173" s="42">
        <f>AU172</f>
        <v/>
      </c>
      <c r="AR173" s="42">
        <f>ROUND(AQ173*AR$6/12,2)</f>
        <v/>
      </c>
      <c r="AS173" s="42">
        <f>MIN(AS$6,AQ173+AR173)</f>
        <v/>
      </c>
      <c r="AT173" s="42">
        <f>MAX(0,MIN(AQ173+AR173-AS173,AP173))</f>
        <v/>
      </c>
      <c r="AU173" s="42">
        <f>ROUND(AQ173+AR173-AS173-AT173,2)</f>
        <v/>
      </c>
      <c r="AV173">
        <f>AP173-AT173</f>
        <v/>
      </c>
      <c r="AW173" s="42">
        <f>BA172</f>
        <v/>
      </c>
      <c r="AX173" s="42">
        <f>ROUND(AW173*AX$6/12,2)</f>
        <v/>
      </c>
      <c r="AY173" s="42">
        <f>MIN(AY$6,AW173+AX173)</f>
        <v/>
      </c>
      <c r="AZ173" s="42">
        <f>MAX(0,MIN(AW173+AX173-AY173,AV173))</f>
        <v/>
      </c>
      <c r="BA173" s="42">
        <f>ROUND(AW173+AX173-AY173-AZ173,2)</f>
        <v/>
      </c>
      <c r="BB173">
        <f>AV173-AZ173</f>
        <v/>
      </c>
      <c r="BC173" s="42">
        <f>BG172</f>
        <v/>
      </c>
      <c r="BD173" s="42">
        <f>ROUND(BC173*BD$6/12,2)</f>
        <v/>
      </c>
      <c r="BE173" s="42">
        <f>MIN(BE$6,BC173+BD173)</f>
        <v/>
      </c>
      <c r="BF173" s="42">
        <f>MAX(0,MIN(BC173+BD173-BE173,BB173))</f>
        <v/>
      </c>
      <c r="BG173" s="42">
        <f>ROUND(BC173+BD173-BE173-BF173,2)</f>
        <v/>
      </c>
      <c r="BH173">
        <f>BB173-BF173</f>
        <v/>
      </c>
      <c r="BI173" s="42">
        <f>BM172</f>
        <v/>
      </c>
      <c r="BJ173" s="42">
        <f>ROUND(BI173*BJ$6/12,2)</f>
        <v/>
      </c>
      <c r="BK173" s="42">
        <f>MIN(BK$6,BI173+BJ173)</f>
        <v/>
      </c>
      <c r="BL173" s="42">
        <f>MAX(0,MIN(BI173+BJ173-BK173,BH173))</f>
        <v/>
      </c>
      <c r="BM173" s="42">
        <f>ROUND(BI173+BJ173-BK173-BL173,2)</f>
        <v/>
      </c>
      <c r="BN173">
        <f>BH173-BL173</f>
        <v/>
      </c>
    </row>
    <row r="174">
      <c r="A174" s="39" t="n">
        <v>167</v>
      </c>
      <c r="B174" s="40">
        <f>EDATE('My Debts'!$C$6,A174-1)</f>
        <v/>
      </c>
      <c r="C174" s="41">
        <f>K174+Q174+W174+AC174+AI174+AO174+AU174+BA174+BG174+BM174</f>
        <v/>
      </c>
      <c r="D174" s="42">
        <f>I174+O174+U174+AA174+AG174+AM174+AS174+AY174+BE174+BK174+J174+P174+V174+AB174+AH174+AN174+AT174+AZ174+BF174+BL174</f>
        <v/>
      </c>
      <c r="E174" s="42">
        <f>H174+N174+T174+Z174+AF174+AL174+AR174+AX174+BD174+BJ174</f>
        <v/>
      </c>
      <c r="F174">
        <f>MAX(0,'My Debts'!$E$21-(I174+O174+U174+AA174+AG174+AM174+AS174+AY174+BE174+BK174))</f>
        <v/>
      </c>
      <c r="G174" s="42">
        <f>K173</f>
        <v/>
      </c>
      <c r="H174" s="42">
        <f>ROUND(G174*H$6/12,2)</f>
        <v/>
      </c>
      <c r="I174" s="42">
        <f>MIN(I$6,G174+H174)</f>
        <v/>
      </c>
      <c r="J174" s="42">
        <f>MAX(0,MIN(G174+H174-I174,$F174))</f>
        <v/>
      </c>
      <c r="K174" s="42">
        <f>ROUND(G174+H174-I174-J174,2)</f>
        <v/>
      </c>
      <c r="L174">
        <f>$F174-J174</f>
        <v/>
      </c>
      <c r="M174" s="42">
        <f>Q173</f>
        <v/>
      </c>
      <c r="N174" s="42">
        <f>ROUND(M174*N$6/12,2)</f>
        <v/>
      </c>
      <c r="O174" s="42">
        <f>MIN(O$6,M174+N174)</f>
        <v/>
      </c>
      <c r="P174" s="42">
        <f>MAX(0,MIN(M174+N174-O174,L174))</f>
        <v/>
      </c>
      <c r="Q174" s="42">
        <f>ROUND(M174+N174-O174-P174,2)</f>
        <v/>
      </c>
      <c r="R174">
        <f>L174-P174</f>
        <v/>
      </c>
      <c r="S174" s="42">
        <f>W173</f>
        <v/>
      </c>
      <c r="T174" s="42">
        <f>ROUND(S174*T$6/12,2)</f>
        <v/>
      </c>
      <c r="U174" s="42">
        <f>MIN(U$6,S174+T174)</f>
        <v/>
      </c>
      <c r="V174" s="42">
        <f>MAX(0,MIN(S174+T174-U174,R174))</f>
        <v/>
      </c>
      <c r="W174" s="42">
        <f>ROUND(S174+T174-U174-V174,2)</f>
        <v/>
      </c>
      <c r="X174">
        <f>R174-V174</f>
        <v/>
      </c>
      <c r="Y174" s="42">
        <f>AC173</f>
        <v/>
      </c>
      <c r="Z174" s="42">
        <f>ROUND(Y174*Z$6/12,2)</f>
        <v/>
      </c>
      <c r="AA174" s="42">
        <f>MIN(AA$6,Y174+Z174)</f>
        <v/>
      </c>
      <c r="AB174" s="42">
        <f>MAX(0,MIN(Y174+Z174-AA174,X174))</f>
        <v/>
      </c>
      <c r="AC174" s="42">
        <f>ROUND(Y174+Z174-AA174-AB174,2)</f>
        <v/>
      </c>
      <c r="AD174">
        <f>X174-AB174</f>
        <v/>
      </c>
      <c r="AE174" s="42">
        <f>AI173</f>
        <v/>
      </c>
      <c r="AF174" s="42">
        <f>ROUND(AE174*AF$6/12,2)</f>
        <v/>
      </c>
      <c r="AG174" s="42">
        <f>MIN(AG$6,AE174+AF174)</f>
        <v/>
      </c>
      <c r="AH174" s="42">
        <f>MAX(0,MIN(AE174+AF174-AG174,AD174))</f>
        <v/>
      </c>
      <c r="AI174" s="42">
        <f>ROUND(AE174+AF174-AG174-AH174,2)</f>
        <v/>
      </c>
      <c r="AJ174">
        <f>AD174-AH174</f>
        <v/>
      </c>
      <c r="AK174" s="42">
        <f>AO173</f>
        <v/>
      </c>
      <c r="AL174" s="42">
        <f>ROUND(AK174*AL$6/12,2)</f>
        <v/>
      </c>
      <c r="AM174" s="42">
        <f>MIN(AM$6,AK174+AL174)</f>
        <v/>
      </c>
      <c r="AN174" s="42">
        <f>MAX(0,MIN(AK174+AL174-AM174,AJ174))</f>
        <v/>
      </c>
      <c r="AO174" s="42">
        <f>ROUND(AK174+AL174-AM174-AN174,2)</f>
        <v/>
      </c>
      <c r="AP174">
        <f>AJ174-AN174</f>
        <v/>
      </c>
      <c r="AQ174" s="42">
        <f>AU173</f>
        <v/>
      </c>
      <c r="AR174" s="42">
        <f>ROUND(AQ174*AR$6/12,2)</f>
        <v/>
      </c>
      <c r="AS174" s="42">
        <f>MIN(AS$6,AQ174+AR174)</f>
        <v/>
      </c>
      <c r="AT174" s="42">
        <f>MAX(0,MIN(AQ174+AR174-AS174,AP174))</f>
        <v/>
      </c>
      <c r="AU174" s="42">
        <f>ROUND(AQ174+AR174-AS174-AT174,2)</f>
        <v/>
      </c>
      <c r="AV174">
        <f>AP174-AT174</f>
        <v/>
      </c>
      <c r="AW174" s="42">
        <f>BA173</f>
        <v/>
      </c>
      <c r="AX174" s="42">
        <f>ROUND(AW174*AX$6/12,2)</f>
        <v/>
      </c>
      <c r="AY174" s="42">
        <f>MIN(AY$6,AW174+AX174)</f>
        <v/>
      </c>
      <c r="AZ174" s="42">
        <f>MAX(0,MIN(AW174+AX174-AY174,AV174))</f>
        <v/>
      </c>
      <c r="BA174" s="42">
        <f>ROUND(AW174+AX174-AY174-AZ174,2)</f>
        <v/>
      </c>
      <c r="BB174">
        <f>AV174-AZ174</f>
        <v/>
      </c>
      <c r="BC174" s="42">
        <f>BG173</f>
        <v/>
      </c>
      <c r="BD174" s="42">
        <f>ROUND(BC174*BD$6/12,2)</f>
        <v/>
      </c>
      <c r="BE174" s="42">
        <f>MIN(BE$6,BC174+BD174)</f>
        <v/>
      </c>
      <c r="BF174" s="42">
        <f>MAX(0,MIN(BC174+BD174-BE174,BB174))</f>
        <v/>
      </c>
      <c r="BG174" s="42">
        <f>ROUND(BC174+BD174-BE174-BF174,2)</f>
        <v/>
      </c>
      <c r="BH174">
        <f>BB174-BF174</f>
        <v/>
      </c>
      <c r="BI174" s="42">
        <f>BM173</f>
        <v/>
      </c>
      <c r="BJ174" s="42">
        <f>ROUND(BI174*BJ$6/12,2)</f>
        <v/>
      </c>
      <c r="BK174" s="42">
        <f>MIN(BK$6,BI174+BJ174)</f>
        <v/>
      </c>
      <c r="BL174" s="42">
        <f>MAX(0,MIN(BI174+BJ174-BK174,BH174))</f>
        <v/>
      </c>
      <c r="BM174" s="42">
        <f>ROUND(BI174+BJ174-BK174-BL174,2)</f>
        <v/>
      </c>
      <c r="BN174">
        <f>BH174-BL174</f>
        <v/>
      </c>
    </row>
    <row r="175">
      <c r="A175" s="43" t="n">
        <v>168</v>
      </c>
      <c r="B175" s="44">
        <f>EDATE('My Debts'!$C$6,A175-1)</f>
        <v/>
      </c>
      <c r="C175" s="45">
        <f>K175+Q175+W175+AC175+AI175+AO175+AU175+BA175+BG175+BM175</f>
        <v/>
      </c>
      <c r="D175" s="46">
        <f>I175+O175+U175+AA175+AG175+AM175+AS175+AY175+BE175+BK175+J175+P175+V175+AB175+AH175+AN175+AT175+AZ175+BF175+BL175</f>
        <v/>
      </c>
      <c r="E175" s="46">
        <f>H175+N175+T175+Z175+AF175+AL175+AR175+AX175+BD175+BJ175</f>
        <v/>
      </c>
      <c r="F175">
        <f>MAX(0,'My Debts'!$E$21-(I175+O175+U175+AA175+AG175+AM175+AS175+AY175+BE175+BK175))</f>
        <v/>
      </c>
      <c r="G175" s="42">
        <f>K174</f>
        <v/>
      </c>
      <c r="H175" s="42">
        <f>ROUND(G175*H$6/12,2)</f>
        <v/>
      </c>
      <c r="I175" s="42">
        <f>MIN(I$6,G175+H175)</f>
        <v/>
      </c>
      <c r="J175" s="42">
        <f>MAX(0,MIN(G175+H175-I175,$F175))</f>
        <v/>
      </c>
      <c r="K175" s="42">
        <f>ROUND(G175+H175-I175-J175,2)</f>
        <v/>
      </c>
      <c r="L175">
        <f>$F175-J175</f>
        <v/>
      </c>
      <c r="M175" s="42">
        <f>Q174</f>
        <v/>
      </c>
      <c r="N175" s="42">
        <f>ROUND(M175*N$6/12,2)</f>
        <v/>
      </c>
      <c r="O175" s="42">
        <f>MIN(O$6,M175+N175)</f>
        <v/>
      </c>
      <c r="P175" s="42">
        <f>MAX(0,MIN(M175+N175-O175,L175))</f>
        <v/>
      </c>
      <c r="Q175" s="42">
        <f>ROUND(M175+N175-O175-P175,2)</f>
        <v/>
      </c>
      <c r="R175">
        <f>L175-P175</f>
        <v/>
      </c>
      <c r="S175" s="42">
        <f>W174</f>
        <v/>
      </c>
      <c r="T175" s="42">
        <f>ROUND(S175*T$6/12,2)</f>
        <v/>
      </c>
      <c r="U175" s="42">
        <f>MIN(U$6,S175+T175)</f>
        <v/>
      </c>
      <c r="V175" s="42">
        <f>MAX(0,MIN(S175+T175-U175,R175))</f>
        <v/>
      </c>
      <c r="W175" s="42">
        <f>ROUND(S175+T175-U175-V175,2)</f>
        <v/>
      </c>
      <c r="X175">
        <f>R175-V175</f>
        <v/>
      </c>
      <c r="Y175" s="42">
        <f>AC174</f>
        <v/>
      </c>
      <c r="Z175" s="42">
        <f>ROUND(Y175*Z$6/12,2)</f>
        <v/>
      </c>
      <c r="AA175" s="42">
        <f>MIN(AA$6,Y175+Z175)</f>
        <v/>
      </c>
      <c r="AB175" s="42">
        <f>MAX(0,MIN(Y175+Z175-AA175,X175))</f>
        <v/>
      </c>
      <c r="AC175" s="42">
        <f>ROUND(Y175+Z175-AA175-AB175,2)</f>
        <v/>
      </c>
      <c r="AD175">
        <f>X175-AB175</f>
        <v/>
      </c>
      <c r="AE175" s="42">
        <f>AI174</f>
        <v/>
      </c>
      <c r="AF175" s="42">
        <f>ROUND(AE175*AF$6/12,2)</f>
        <v/>
      </c>
      <c r="AG175" s="42">
        <f>MIN(AG$6,AE175+AF175)</f>
        <v/>
      </c>
      <c r="AH175" s="42">
        <f>MAX(0,MIN(AE175+AF175-AG175,AD175))</f>
        <v/>
      </c>
      <c r="AI175" s="42">
        <f>ROUND(AE175+AF175-AG175-AH175,2)</f>
        <v/>
      </c>
      <c r="AJ175">
        <f>AD175-AH175</f>
        <v/>
      </c>
      <c r="AK175" s="42">
        <f>AO174</f>
        <v/>
      </c>
      <c r="AL175" s="42">
        <f>ROUND(AK175*AL$6/12,2)</f>
        <v/>
      </c>
      <c r="AM175" s="42">
        <f>MIN(AM$6,AK175+AL175)</f>
        <v/>
      </c>
      <c r="AN175" s="42">
        <f>MAX(0,MIN(AK175+AL175-AM175,AJ175))</f>
        <v/>
      </c>
      <c r="AO175" s="42">
        <f>ROUND(AK175+AL175-AM175-AN175,2)</f>
        <v/>
      </c>
      <c r="AP175">
        <f>AJ175-AN175</f>
        <v/>
      </c>
      <c r="AQ175" s="42">
        <f>AU174</f>
        <v/>
      </c>
      <c r="AR175" s="42">
        <f>ROUND(AQ175*AR$6/12,2)</f>
        <v/>
      </c>
      <c r="AS175" s="42">
        <f>MIN(AS$6,AQ175+AR175)</f>
        <v/>
      </c>
      <c r="AT175" s="42">
        <f>MAX(0,MIN(AQ175+AR175-AS175,AP175))</f>
        <v/>
      </c>
      <c r="AU175" s="42">
        <f>ROUND(AQ175+AR175-AS175-AT175,2)</f>
        <v/>
      </c>
      <c r="AV175">
        <f>AP175-AT175</f>
        <v/>
      </c>
      <c r="AW175" s="42">
        <f>BA174</f>
        <v/>
      </c>
      <c r="AX175" s="42">
        <f>ROUND(AW175*AX$6/12,2)</f>
        <v/>
      </c>
      <c r="AY175" s="42">
        <f>MIN(AY$6,AW175+AX175)</f>
        <v/>
      </c>
      <c r="AZ175" s="42">
        <f>MAX(0,MIN(AW175+AX175-AY175,AV175))</f>
        <v/>
      </c>
      <c r="BA175" s="42">
        <f>ROUND(AW175+AX175-AY175-AZ175,2)</f>
        <v/>
      </c>
      <c r="BB175">
        <f>AV175-AZ175</f>
        <v/>
      </c>
      <c r="BC175" s="42">
        <f>BG174</f>
        <v/>
      </c>
      <c r="BD175" s="42">
        <f>ROUND(BC175*BD$6/12,2)</f>
        <v/>
      </c>
      <c r="BE175" s="42">
        <f>MIN(BE$6,BC175+BD175)</f>
        <v/>
      </c>
      <c r="BF175" s="42">
        <f>MAX(0,MIN(BC175+BD175-BE175,BB175))</f>
        <v/>
      </c>
      <c r="BG175" s="42">
        <f>ROUND(BC175+BD175-BE175-BF175,2)</f>
        <v/>
      </c>
      <c r="BH175">
        <f>BB175-BF175</f>
        <v/>
      </c>
      <c r="BI175" s="42">
        <f>BM174</f>
        <v/>
      </c>
      <c r="BJ175" s="42">
        <f>ROUND(BI175*BJ$6/12,2)</f>
        <v/>
      </c>
      <c r="BK175" s="42">
        <f>MIN(BK$6,BI175+BJ175)</f>
        <v/>
      </c>
      <c r="BL175" s="42">
        <f>MAX(0,MIN(BI175+BJ175-BK175,BH175))</f>
        <v/>
      </c>
      <c r="BM175" s="42">
        <f>ROUND(BI175+BJ175-BK175-BL175,2)</f>
        <v/>
      </c>
      <c r="BN175">
        <f>BH175-BL175</f>
        <v/>
      </c>
    </row>
    <row r="176">
      <c r="A176" s="39" t="n">
        <v>169</v>
      </c>
      <c r="B176" s="40">
        <f>EDATE('My Debts'!$C$6,A176-1)</f>
        <v/>
      </c>
      <c r="C176" s="41">
        <f>K176+Q176+W176+AC176+AI176+AO176+AU176+BA176+BG176+BM176</f>
        <v/>
      </c>
      <c r="D176" s="42">
        <f>I176+O176+U176+AA176+AG176+AM176+AS176+AY176+BE176+BK176+J176+P176+V176+AB176+AH176+AN176+AT176+AZ176+BF176+BL176</f>
        <v/>
      </c>
      <c r="E176" s="42">
        <f>H176+N176+T176+Z176+AF176+AL176+AR176+AX176+BD176+BJ176</f>
        <v/>
      </c>
      <c r="F176">
        <f>MAX(0,'My Debts'!$E$21-(I176+O176+U176+AA176+AG176+AM176+AS176+AY176+BE176+BK176))</f>
        <v/>
      </c>
      <c r="G176" s="42">
        <f>K175</f>
        <v/>
      </c>
      <c r="H176" s="42">
        <f>ROUND(G176*H$6/12,2)</f>
        <v/>
      </c>
      <c r="I176" s="42">
        <f>MIN(I$6,G176+H176)</f>
        <v/>
      </c>
      <c r="J176" s="42">
        <f>MAX(0,MIN(G176+H176-I176,$F176))</f>
        <v/>
      </c>
      <c r="K176" s="42">
        <f>ROUND(G176+H176-I176-J176,2)</f>
        <v/>
      </c>
      <c r="L176">
        <f>$F176-J176</f>
        <v/>
      </c>
      <c r="M176" s="42">
        <f>Q175</f>
        <v/>
      </c>
      <c r="N176" s="42">
        <f>ROUND(M176*N$6/12,2)</f>
        <v/>
      </c>
      <c r="O176" s="42">
        <f>MIN(O$6,M176+N176)</f>
        <v/>
      </c>
      <c r="P176" s="42">
        <f>MAX(0,MIN(M176+N176-O176,L176))</f>
        <v/>
      </c>
      <c r="Q176" s="42">
        <f>ROUND(M176+N176-O176-P176,2)</f>
        <v/>
      </c>
      <c r="R176">
        <f>L176-P176</f>
        <v/>
      </c>
      <c r="S176" s="42">
        <f>W175</f>
        <v/>
      </c>
      <c r="T176" s="42">
        <f>ROUND(S176*T$6/12,2)</f>
        <v/>
      </c>
      <c r="U176" s="42">
        <f>MIN(U$6,S176+T176)</f>
        <v/>
      </c>
      <c r="V176" s="42">
        <f>MAX(0,MIN(S176+T176-U176,R176))</f>
        <v/>
      </c>
      <c r="W176" s="42">
        <f>ROUND(S176+T176-U176-V176,2)</f>
        <v/>
      </c>
      <c r="X176">
        <f>R176-V176</f>
        <v/>
      </c>
      <c r="Y176" s="42">
        <f>AC175</f>
        <v/>
      </c>
      <c r="Z176" s="42">
        <f>ROUND(Y176*Z$6/12,2)</f>
        <v/>
      </c>
      <c r="AA176" s="42">
        <f>MIN(AA$6,Y176+Z176)</f>
        <v/>
      </c>
      <c r="AB176" s="42">
        <f>MAX(0,MIN(Y176+Z176-AA176,X176))</f>
        <v/>
      </c>
      <c r="AC176" s="42">
        <f>ROUND(Y176+Z176-AA176-AB176,2)</f>
        <v/>
      </c>
      <c r="AD176">
        <f>X176-AB176</f>
        <v/>
      </c>
      <c r="AE176" s="42">
        <f>AI175</f>
        <v/>
      </c>
      <c r="AF176" s="42">
        <f>ROUND(AE176*AF$6/12,2)</f>
        <v/>
      </c>
      <c r="AG176" s="42">
        <f>MIN(AG$6,AE176+AF176)</f>
        <v/>
      </c>
      <c r="AH176" s="42">
        <f>MAX(0,MIN(AE176+AF176-AG176,AD176))</f>
        <v/>
      </c>
      <c r="AI176" s="42">
        <f>ROUND(AE176+AF176-AG176-AH176,2)</f>
        <v/>
      </c>
      <c r="AJ176">
        <f>AD176-AH176</f>
        <v/>
      </c>
      <c r="AK176" s="42">
        <f>AO175</f>
        <v/>
      </c>
      <c r="AL176" s="42">
        <f>ROUND(AK176*AL$6/12,2)</f>
        <v/>
      </c>
      <c r="AM176" s="42">
        <f>MIN(AM$6,AK176+AL176)</f>
        <v/>
      </c>
      <c r="AN176" s="42">
        <f>MAX(0,MIN(AK176+AL176-AM176,AJ176))</f>
        <v/>
      </c>
      <c r="AO176" s="42">
        <f>ROUND(AK176+AL176-AM176-AN176,2)</f>
        <v/>
      </c>
      <c r="AP176">
        <f>AJ176-AN176</f>
        <v/>
      </c>
      <c r="AQ176" s="42">
        <f>AU175</f>
        <v/>
      </c>
      <c r="AR176" s="42">
        <f>ROUND(AQ176*AR$6/12,2)</f>
        <v/>
      </c>
      <c r="AS176" s="42">
        <f>MIN(AS$6,AQ176+AR176)</f>
        <v/>
      </c>
      <c r="AT176" s="42">
        <f>MAX(0,MIN(AQ176+AR176-AS176,AP176))</f>
        <v/>
      </c>
      <c r="AU176" s="42">
        <f>ROUND(AQ176+AR176-AS176-AT176,2)</f>
        <v/>
      </c>
      <c r="AV176">
        <f>AP176-AT176</f>
        <v/>
      </c>
      <c r="AW176" s="42">
        <f>BA175</f>
        <v/>
      </c>
      <c r="AX176" s="42">
        <f>ROUND(AW176*AX$6/12,2)</f>
        <v/>
      </c>
      <c r="AY176" s="42">
        <f>MIN(AY$6,AW176+AX176)</f>
        <v/>
      </c>
      <c r="AZ176" s="42">
        <f>MAX(0,MIN(AW176+AX176-AY176,AV176))</f>
        <v/>
      </c>
      <c r="BA176" s="42">
        <f>ROUND(AW176+AX176-AY176-AZ176,2)</f>
        <v/>
      </c>
      <c r="BB176">
        <f>AV176-AZ176</f>
        <v/>
      </c>
      <c r="BC176" s="42">
        <f>BG175</f>
        <v/>
      </c>
      <c r="BD176" s="42">
        <f>ROUND(BC176*BD$6/12,2)</f>
        <v/>
      </c>
      <c r="BE176" s="42">
        <f>MIN(BE$6,BC176+BD176)</f>
        <v/>
      </c>
      <c r="BF176" s="42">
        <f>MAX(0,MIN(BC176+BD176-BE176,BB176))</f>
        <v/>
      </c>
      <c r="BG176" s="42">
        <f>ROUND(BC176+BD176-BE176-BF176,2)</f>
        <v/>
      </c>
      <c r="BH176">
        <f>BB176-BF176</f>
        <v/>
      </c>
      <c r="BI176" s="42">
        <f>BM175</f>
        <v/>
      </c>
      <c r="BJ176" s="42">
        <f>ROUND(BI176*BJ$6/12,2)</f>
        <v/>
      </c>
      <c r="BK176" s="42">
        <f>MIN(BK$6,BI176+BJ176)</f>
        <v/>
      </c>
      <c r="BL176" s="42">
        <f>MAX(0,MIN(BI176+BJ176-BK176,BH176))</f>
        <v/>
      </c>
      <c r="BM176" s="42">
        <f>ROUND(BI176+BJ176-BK176-BL176,2)</f>
        <v/>
      </c>
      <c r="BN176">
        <f>BH176-BL176</f>
        <v/>
      </c>
    </row>
    <row r="177">
      <c r="A177" s="43" t="n">
        <v>170</v>
      </c>
      <c r="B177" s="44">
        <f>EDATE('My Debts'!$C$6,A177-1)</f>
        <v/>
      </c>
      <c r="C177" s="45">
        <f>K177+Q177+W177+AC177+AI177+AO177+AU177+BA177+BG177+BM177</f>
        <v/>
      </c>
      <c r="D177" s="46">
        <f>I177+O177+U177+AA177+AG177+AM177+AS177+AY177+BE177+BK177+J177+P177+V177+AB177+AH177+AN177+AT177+AZ177+BF177+BL177</f>
        <v/>
      </c>
      <c r="E177" s="46">
        <f>H177+N177+T177+Z177+AF177+AL177+AR177+AX177+BD177+BJ177</f>
        <v/>
      </c>
      <c r="F177">
        <f>MAX(0,'My Debts'!$E$21-(I177+O177+U177+AA177+AG177+AM177+AS177+AY177+BE177+BK177))</f>
        <v/>
      </c>
      <c r="G177" s="42">
        <f>K176</f>
        <v/>
      </c>
      <c r="H177" s="42">
        <f>ROUND(G177*H$6/12,2)</f>
        <v/>
      </c>
      <c r="I177" s="42">
        <f>MIN(I$6,G177+H177)</f>
        <v/>
      </c>
      <c r="J177" s="42">
        <f>MAX(0,MIN(G177+H177-I177,$F177))</f>
        <v/>
      </c>
      <c r="K177" s="42">
        <f>ROUND(G177+H177-I177-J177,2)</f>
        <v/>
      </c>
      <c r="L177">
        <f>$F177-J177</f>
        <v/>
      </c>
      <c r="M177" s="42">
        <f>Q176</f>
        <v/>
      </c>
      <c r="N177" s="42">
        <f>ROUND(M177*N$6/12,2)</f>
        <v/>
      </c>
      <c r="O177" s="42">
        <f>MIN(O$6,M177+N177)</f>
        <v/>
      </c>
      <c r="P177" s="42">
        <f>MAX(0,MIN(M177+N177-O177,L177))</f>
        <v/>
      </c>
      <c r="Q177" s="42">
        <f>ROUND(M177+N177-O177-P177,2)</f>
        <v/>
      </c>
      <c r="R177">
        <f>L177-P177</f>
        <v/>
      </c>
      <c r="S177" s="42">
        <f>W176</f>
        <v/>
      </c>
      <c r="T177" s="42">
        <f>ROUND(S177*T$6/12,2)</f>
        <v/>
      </c>
      <c r="U177" s="42">
        <f>MIN(U$6,S177+T177)</f>
        <v/>
      </c>
      <c r="V177" s="42">
        <f>MAX(0,MIN(S177+T177-U177,R177))</f>
        <v/>
      </c>
      <c r="W177" s="42">
        <f>ROUND(S177+T177-U177-V177,2)</f>
        <v/>
      </c>
      <c r="X177">
        <f>R177-V177</f>
        <v/>
      </c>
      <c r="Y177" s="42">
        <f>AC176</f>
        <v/>
      </c>
      <c r="Z177" s="42">
        <f>ROUND(Y177*Z$6/12,2)</f>
        <v/>
      </c>
      <c r="AA177" s="42">
        <f>MIN(AA$6,Y177+Z177)</f>
        <v/>
      </c>
      <c r="AB177" s="42">
        <f>MAX(0,MIN(Y177+Z177-AA177,X177))</f>
        <v/>
      </c>
      <c r="AC177" s="42">
        <f>ROUND(Y177+Z177-AA177-AB177,2)</f>
        <v/>
      </c>
      <c r="AD177">
        <f>X177-AB177</f>
        <v/>
      </c>
      <c r="AE177" s="42">
        <f>AI176</f>
        <v/>
      </c>
      <c r="AF177" s="42">
        <f>ROUND(AE177*AF$6/12,2)</f>
        <v/>
      </c>
      <c r="AG177" s="42">
        <f>MIN(AG$6,AE177+AF177)</f>
        <v/>
      </c>
      <c r="AH177" s="42">
        <f>MAX(0,MIN(AE177+AF177-AG177,AD177))</f>
        <v/>
      </c>
      <c r="AI177" s="42">
        <f>ROUND(AE177+AF177-AG177-AH177,2)</f>
        <v/>
      </c>
      <c r="AJ177">
        <f>AD177-AH177</f>
        <v/>
      </c>
      <c r="AK177" s="42">
        <f>AO176</f>
        <v/>
      </c>
      <c r="AL177" s="42">
        <f>ROUND(AK177*AL$6/12,2)</f>
        <v/>
      </c>
      <c r="AM177" s="42">
        <f>MIN(AM$6,AK177+AL177)</f>
        <v/>
      </c>
      <c r="AN177" s="42">
        <f>MAX(0,MIN(AK177+AL177-AM177,AJ177))</f>
        <v/>
      </c>
      <c r="AO177" s="42">
        <f>ROUND(AK177+AL177-AM177-AN177,2)</f>
        <v/>
      </c>
      <c r="AP177">
        <f>AJ177-AN177</f>
        <v/>
      </c>
      <c r="AQ177" s="42">
        <f>AU176</f>
        <v/>
      </c>
      <c r="AR177" s="42">
        <f>ROUND(AQ177*AR$6/12,2)</f>
        <v/>
      </c>
      <c r="AS177" s="42">
        <f>MIN(AS$6,AQ177+AR177)</f>
        <v/>
      </c>
      <c r="AT177" s="42">
        <f>MAX(0,MIN(AQ177+AR177-AS177,AP177))</f>
        <v/>
      </c>
      <c r="AU177" s="42">
        <f>ROUND(AQ177+AR177-AS177-AT177,2)</f>
        <v/>
      </c>
      <c r="AV177">
        <f>AP177-AT177</f>
        <v/>
      </c>
      <c r="AW177" s="42">
        <f>BA176</f>
        <v/>
      </c>
      <c r="AX177" s="42">
        <f>ROUND(AW177*AX$6/12,2)</f>
        <v/>
      </c>
      <c r="AY177" s="42">
        <f>MIN(AY$6,AW177+AX177)</f>
        <v/>
      </c>
      <c r="AZ177" s="42">
        <f>MAX(0,MIN(AW177+AX177-AY177,AV177))</f>
        <v/>
      </c>
      <c r="BA177" s="42">
        <f>ROUND(AW177+AX177-AY177-AZ177,2)</f>
        <v/>
      </c>
      <c r="BB177">
        <f>AV177-AZ177</f>
        <v/>
      </c>
      <c r="BC177" s="42">
        <f>BG176</f>
        <v/>
      </c>
      <c r="BD177" s="42">
        <f>ROUND(BC177*BD$6/12,2)</f>
        <v/>
      </c>
      <c r="BE177" s="42">
        <f>MIN(BE$6,BC177+BD177)</f>
        <v/>
      </c>
      <c r="BF177" s="42">
        <f>MAX(0,MIN(BC177+BD177-BE177,BB177))</f>
        <v/>
      </c>
      <c r="BG177" s="42">
        <f>ROUND(BC177+BD177-BE177-BF177,2)</f>
        <v/>
      </c>
      <c r="BH177">
        <f>BB177-BF177</f>
        <v/>
      </c>
      <c r="BI177" s="42">
        <f>BM176</f>
        <v/>
      </c>
      <c r="BJ177" s="42">
        <f>ROUND(BI177*BJ$6/12,2)</f>
        <v/>
      </c>
      <c r="BK177" s="42">
        <f>MIN(BK$6,BI177+BJ177)</f>
        <v/>
      </c>
      <c r="BL177" s="42">
        <f>MAX(0,MIN(BI177+BJ177-BK177,BH177))</f>
        <v/>
      </c>
      <c r="BM177" s="42">
        <f>ROUND(BI177+BJ177-BK177-BL177,2)</f>
        <v/>
      </c>
      <c r="BN177">
        <f>BH177-BL177</f>
        <v/>
      </c>
    </row>
    <row r="178">
      <c r="A178" s="39" t="n">
        <v>171</v>
      </c>
      <c r="B178" s="40">
        <f>EDATE('My Debts'!$C$6,A178-1)</f>
        <v/>
      </c>
      <c r="C178" s="41">
        <f>K178+Q178+W178+AC178+AI178+AO178+AU178+BA178+BG178+BM178</f>
        <v/>
      </c>
      <c r="D178" s="42">
        <f>I178+O178+U178+AA178+AG178+AM178+AS178+AY178+BE178+BK178+J178+P178+V178+AB178+AH178+AN178+AT178+AZ178+BF178+BL178</f>
        <v/>
      </c>
      <c r="E178" s="42">
        <f>H178+N178+T178+Z178+AF178+AL178+AR178+AX178+BD178+BJ178</f>
        <v/>
      </c>
      <c r="F178">
        <f>MAX(0,'My Debts'!$E$21-(I178+O178+U178+AA178+AG178+AM178+AS178+AY178+BE178+BK178))</f>
        <v/>
      </c>
      <c r="G178" s="42">
        <f>K177</f>
        <v/>
      </c>
      <c r="H178" s="42">
        <f>ROUND(G178*H$6/12,2)</f>
        <v/>
      </c>
      <c r="I178" s="42">
        <f>MIN(I$6,G178+H178)</f>
        <v/>
      </c>
      <c r="J178" s="42">
        <f>MAX(0,MIN(G178+H178-I178,$F178))</f>
        <v/>
      </c>
      <c r="K178" s="42">
        <f>ROUND(G178+H178-I178-J178,2)</f>
        <v/>
      </c>
      <c r="L178">
        <f>$F178-J178</f>
        <v/>
      </c>
      <c r="M178" s="42">
        <f>Q177</f>
        <v/>
      </c>
      <c r="N178" s="42">
        <f>ROUND(M178*N$6/12,2)</f>
        <v/>
      </c>
      <c r="O178" s="42">
        <f>MIN(O$6,M178+N178)</f>
        <v/>
      </c>
      <c r="P178" s="42">
        <f>MAX(0,MIN(M178+N178-O178,L178))</f>
        <v/>
      </c>
      <c r="Q178" s="42">
        <f>ROUND(M178+N178-O178-P178,2)</f>
        <v/>
      </c>
      <c r="R178">
        <f>L178-P178</f>
        <v/>
      </c>
      <c r="S178" s="42">
        <f>W177</f>
        <v/>
      </c>
      <c r="T178" s="42">
        <f>ROUND(S178*T$6/12,2)</f>
        <v/>
      </c>
      <c r="U178" s="42">
        <f>MIN(U$6,S178+T178)</f>
        <v/>
      </c>
      <c r="V178" s="42">
        <f>MAX(0,MIN(S178+T178-U178,R178))</f>
        <v/>
      </c>
      <c r="W178" s="42">
        <f>ROUND(S178+T178-U178-V178,2)</f>
        <v/>
      </c>
      <c r="X178">
        <f>R178-V178</f>
        <v/>
      </c>
      <c r="Y178" s="42">
        <f>AC177</f>
        <v/>
      </c>
      <c r="Z178" s="42">
        <f>ROUND(Y178*Z$6/12,2)</f>
        <v/>
      </c>
      <c r="AA178" s="42">
        <f>MIN(AA$6,Y178+Z178)</f>
        <v/>
      </c>
      <c r="AB178" s="42">
        <f>MAX(0,MIN(Y178+Z178-AA178,X178))</f>
        <v/>
      </c>
      <c r="AC178" s="42">
        <f>ROUND(Y178+Z178-AA178-AB178,2)</f>
        <v/>
      </c>
      <c r="AD178">
        <f>X178-AB178</f>
        <v/>
      </c>
      <c r="AE178" s="42">
        <f>AI177</f>
        <v/>
      </c>
      <c r="AF178" s="42">
        <f>ROUND(AE178*AF$6/12,2)</f>
        <v/>
      </c>
      <c r="AG178" s="42">
        <f>MIN(AG$6,AE178+AF178)</f>
        <v/>
      </c>
      <c r="AH178" s="42">
        <f>MAX(0,MIN(AE178+AF178-AG178,AD178))</f>
        <v/>
      </c>
      <c r="AI178" s="42">
        <f>ROUND(AE178+AF178-AG178-AH178,2)</f>
        <v/>
      </c>
      <c r="AJ178">
        <f>AD178-AH178</f>
        <v/>
      </c>
      <c r="AK178" s="42">
        <f>AO177</f>
        <v/>
      </c>
      <c r="AL178" s="42">
        <f>ROUND(AK178*AL$6/12,2)</f>
        <v/>
      </c>
      <c r="AM178" s="42">
        <f>MIN(AM$6,AK178+AL178)</f>
        <v/>
      </c>
      <c r="AN178" s="42">
        <f>MAX(0,MIN(AK178+AL178-AM178,AJ178))</f>
        <v/>
      </c>
      <c r="AO178" s="42">
        <f>ROUND(AK178+AL178-AM178-AN178,2)</f>
        <v/>
      </c>
      <c r="AP178">
        <f>AJ178-AN178</f>
        <v/>
      </c>
      <c r="AQ178" s="42">
        <f>AU177</f>
        <v/>
      </c>
      <c r="AR178" s="42">
        <f>ROUND(AQ178*AR$6/12,2)</f>
        <v/>
      </c>
      <c r="AS178" s="42">
        <f>MIN(AS$6,AQ178+AR178)</f>
        <v/>
      </c>
      <c r="AT178" s="42">
        <f>MAX(0,MIN(AQ178+AR178-AS178,AP178))</f>
        <v/>
      </c>
      <c r="AU178" s="42">
        <f>ROUND(AQ178+AR178-AS178-AT178,2)</f>
        <v/>
      </c>
      <c r="AV178">
        <f>AP178-AT178</f>
        <v/>
      </c>
      <c r="AW178" s="42">
        <f>BA177</f>
        <v/>
      </c>
      <c r="AX178" s="42">
        <f>ROUND(AW178*AX$6/12,2)</f>
        <v/>
      </c>
      <c r="AY178" s="42">
        <f>MIN(AY$6,AW178+AX178)</f>
        <v/>
      </c>
      <c r="AZ178" s="42">
        <f>MAX(0,MIN(AW178+AX178-AY178,AV178))</f>
        <v/>
      </c>
      <c r="BA178" s="42">
        <f>ROUND(AW178+AX178-AY178-AZ178,2)</f>
        <v/>
      </c>
      <c r="BB178">
        <f>AV178-AZ178</f>
        <v/>
      </c>
      <c r="BC178" s="42">
        <f>BG177</f>
        <v/>
      </c>
      <c r="BD178" s="42">
        <f>ROUND(BC178*BD$6/12,2)</f>
        <v/>
      </c>
      <c r="BE178" s="42">
        <f>MIN(BE$6,BC178+BD178)</f>
        <v/>
      </c>
      <c r="BF178" s="42">
        <f>MAX(0,MIN(BC178+BD178-BE178,BB178))</f>
        <v/>
      </c>
      <c r="BG178" s="42">
        <f>ROUND(BC178+BD178-BE178-BF178,2)</f>
        <v/>
      </c>
      <c r="BH178">
        <f>BB178-BF178</f>
        <v/>
      </c>
      <c r="BI178" s="42">
        <f>BM177</f>
        <v/>
      </c>
      <c r="BJ178" s="42">
        <f>ROUND(BI178*BJ$6/12,2)</f>
        <v/>
      </c>
      <c r="BK178" s="42">
        <f>MIN(BK$6,BI178+BJ178)</f>
        <v/>
      </c>
      <c r="BL178" s="42">
        <f>MAX(0,MIN(BI178+BJ178-BK178,BH178))</f>
        <v/>
      </c>
      <c r="BM178" s="42">
        <f>ROUND(BI178+BJ178-BK178-BL178,2)</f>
        <v/>
      </c>
      <c r="BN178">
        <f>BH178-BL178</f>
        <v/>
      </c>
    </row>
    <row r="179">
      <c r="A179" s="43" t="n">
        <v>172</v>
      </c>
      <c r="B179" s="44">
        <f>EDATE('My Debts'!$C$6,A179-1)</f>
        <v/>
      </c>
      <c r="C179" s="45">
        <f>K179+Q179+W179+AC179+AI179+AO179+AU179+BA179+BG179+BM179</f>
        <v/>
      </c>
      <c r="D179" s="46">
        <f>I179+O179+U179+AA179+AG179+AM179+AS179+AY179+BE179+BK179+J179+P179+V179+AB179+AH179+AN179+AT179+AZ179+BF179+BL179</f>
        <v/>
      </c>
      <c r="E179" s="46">
        <f>H179+N179+T179+Z179+AF179+AL179+AR179+AX179+BD179+BJ179</f>
        <v/>
      </c>
      <c r="F179">
        <f>MAX(0,'My Debts'!$E$21-(I179+O179+U179+AA179+AG179+AM179+AS179+AY179+BE179+BK179))</f>
        <v/>
      </c>
      <c r="G179" s="42">
        <f>K178</f>
        <v/>
      </c>
      <c r="H179" s="42">
        <f>ROUND(G179*H$6/12,2)</f>
        <v/>
      </c>
      <c r="I179" s="42">
        <f>MIN(I$6,G179+H179)</f>
        <v/>
      </c>
      <c r="J179" s="42">
        <f>MAX(0,MIN(G179+H179-I179,$F179))</f>
        <v/>
      </c>
      <c r="K179" s="42">
        <f>ROUND(G179+H179-I179-J179,2)</f>
        <v/>
      </c>
      <c r="L179">
        <f>$F179-J179</f>
        <v/>
      </c>
      <c r="M179" s="42">
        <f>Q178</f>
        <v/>
      </c>
      <c r="N179" s="42">
        <f>ROUND(M179*N$6/12,2)</f>
        <v/>
      </c>
      <c r="O179" s="42">
        <f>MIN(O$6,M179+N179)</f>
        <v/>
      </c>
      <c r="P179" s="42">
        <f>MAX(0,MIN(M179+N179-O179,L179))</f>
        <v/>
      </c>
      <c r="Q179" s="42">
        <f>ROUND(M179+N179-O179-P179,2)</f>
        <v/>
      </c>
      <c r="R179">
        <f>L179-P179</f>
        <v/>
      </c>
      <c r="S179" s="42">
        <f>W178</f>
        <v/>
      </c>
      <c r="T179" s="42">
        <f>ROUND(S179*T$6/12,2)</f>
        <v/>
      </c>
      <c r="U179" s="42">
        <f>MIN(U$6,S179+T179)</f>
        <v/>
      </c>
      <c r="V179" s="42">
        <f>MAX(0,MIN(S179+T179-U179,R179))</f>
        <v/>
      </c>
      <c r="W179" s="42">
        <f>ROUND(S179+T179-U179-V179,2)</f>
        <v/>
      </c>
      <c r="X179">
        <f>R179-V179</f>
        <v/>
      </c>
      <c r="Y179" s="42">
        <f>AC178</f>
        <v/>
      </c>
      <c r="Z179" s="42">
        <f>ROUND(Y179*Z$6/12,2)</f>
        <v/>
      </c>
      <c r="AA179" s="42">
        <f>MIN(AA$6,Y179+Z179)</f>
        <v/>
      </c>
      <c r="AB179" s="42">
        <f>MAX(0,MIN(Y179+Z179-AA179,X179))</f>
        <v/>
      </c>
      <c r="AC179" s="42">
        <f>ROUND(Y179+Z179-AA179-AB179,2)</f>
        <v/>
      </c>
      <c r="AD179">
        <f>X179-AB179</f>
        <v/>
      </c>
      <c r="AE179" s="42">
        <f>AI178</f>
        <v/>
      </c>
      <c r="AF179" s="42">
        <f>ROUND(AE179*AF$6/12,2)</f>
        <v/>
      </c>
      <c r="AG179" s="42">
        <f>MIN(AG$6,AE179+AF179)</f>
        <v/>
      </c>
      <c r="AH179" s="42">
        <f>MAX(0,MIN(AE179+AF179-AG179,AD179))</f>
        <v/>
      </c>
      <c r="AI179" s="42">
        <f>ROUND(AE179+AF179-AG179-AH179,2)</f>
        <v/>
      </c>
      <c r="AJ179">
        <f>AD179-AH179</f>
        <v/>
      </c>
      <c r="AK179" s="42">
        <f>AO178</f>
        <v/>
      </c>
      <c r="AL179" s="42">
        <f>ROUND(AK179*AL$6/12,2)</f>
        <v/>
      </c>
      <c r="AM179" s="42">
        <f>MIN(AM$6,AK179+AL179)</f>
        <v/>
      </c>
      <c r="AN179" s="42">
        <f>MAX(0,MIN(AK179+AL179-AM179,AJ179))</f>
        <v/>
      </c>
      <c r="AO179" s="42">
        <f>ROUND(AK179+AL179-AM179-AN179,2)</f>
        <v/>
      </c>
      <c r="AP179">
        <f>AJ179-AN179</f>
        <v/>
      </c>
      <c r="AQ179" s="42">
        <f>AU178</f>
        <v/>
      </c>
      <c r="AR179" s="42">
        <f>ROUND(AQ179*AR$6/12,2)</f>
        <v/>
      </c>
      <c r="AS179" s="42">
        <f>MIN(AS$6,AQ179+AR179)</f>
        <v/>
      </c>
      <c r="AT179" s="42">
        <f>MAX(0,MIN(AQ179+AR179-AS179,AP179))</f>
        <v/>
      </c>
      <c r="AU179" s="42">
        <f>ROUND(AQ179+AR179-AS179-AT179,2)</f>
        <v/>
      </c>
      <c r="AV179">
        <f>AP179-AT179</f>
        <v/>
      </c>
      <c r="AW179" s="42">
        <f>BA178</f>
        <v/>
      </c>
      <c r="AX179" s="42">
        <f>ROUND(AW179*AX$6/12,2)</f>
        <v/>
      </c>
      <c r="AY179" s="42">
        <f>MIN(AY$6,AW179+AX179)</f>
        <v/>
      </c>
      <c r="AZ179" s="42">
        <f>MAX(0,MIN(AW179+AX179-AY179,AV179))</f>
        <v/>
      </c>
      <c r="BA179" s="42">
        <f>ROUND(AW179+AX179-AY179-AZ179,2)</f>
        <v/>
      </c>
      <c r="BB179">
        <f>AV179-AZ179</f>
        <v/>
      </c>
      <c r="BC179" s="42">
        <f>BG178</f>
        <v/>
      </c>
      <c r="BD179" s="42">
        <f>ROUND(BC179*BD$6/12,2)</f>
        <v/>
      </c>
      <c r="BE179" s="42">
        <f>MIN(BE$6,BC179+BD179)</f>
        <v/>
      </c>
      <c r="BF179" s="42">
        <f>MAX(0,MIN(BC179+BD179-BE179,BB179))</f>
        <v/>
      </c>
      <c r="BG179" s="42">
        <f>ROUND(BC179+BD179-BE179-BF179,2)</f>
        <v/>
      </c>
      <c r="BH179">
        <f>BB179-BF179</f>
        <v/>
      </c>
      <c r="BI179" s="42">
        <f>BM178</f>
        <v/>
      </c>
      <c r="BJ179" s="42">
        <f>ROUND(BI179*BJ$6/12,2)</f>
        <v/>
      </c>
      <c r="BK179" s="42">
        <f>MIN(BK$6,BI179+BJ179)</f>
        <v/>
      </c>
      <c r="BL179" s="42">
        <f>MAX(0,MIN(BI179+BJ179-BK179,BH179))</f>
        <v/>
      </c>
      <c r="BM179" s="42">
        <f>ROUND(BI179+BJ179-BK179-BL179,2)</f>
        <v/>
      </c>
      <c r="BN179">
        <f>BH179-BL179</f>
        <v/>
      </c>
    </row>
    <row r="180">
      <c r="A180" s="39" t="n">
        <v>173</v>
      </c>
      <c r="B180" s="40">
        <f>EDATE('My Debts'!$C$6,A180-1)</f>
        <v/>
      </c>
      <c r="C180" s="41">
        <f>K180+Q180+W180+AC180+AI180+AO180+AU180+BA180+BG180+BM180</f>
        <v/>
      </c>
      <c r="D180" s="42">
        <f>I180+O180+U180+AA180+AG180+AM180+AS180+AY180+BE180+BK180+J180+P180+V180+AB180+AH180+AN180+AT180+AZ180+BF180+BL180</f>
        <v/>
      </c>
      <c r="E180" s="42">
        <f>H180+N180+T180+Z180+AF180+AL180+AR180+AX180+BD180+BJ180</f>
        <v/>
      </c>
      <c r="F180">
        <f>MAX(0,'My Debts'!$E$21-(I180+O180+U180+AA180+AG180+AM180+AS180+AY180+BE180+BK180))</f>
        <v/>
      </c>
      <c r="G180" s="42">
        <f>K179</f>
        <v/>
      </c>
      <c r="H180" s="42">
        <f>ROUND(G180*H$6/12,2)</f>
        <v/>
      </c>
      <c r="I180" s="42">
        <f>MIN(I$6,G180+H180)</f>
        <v/>
      </c>
      <c r="J180" s="42">
        <f>MAX(0,MIN(G180+H180-I180,$F180))</f>
        <v/>
      </c>
      <c r="K180" s="42">
        <f>ROUND(G180+H180-I180-J180,2)</f>
        <v/>
      </c>
      <c r="L180">
        <f>$F180-J180</f>
        <v/>
      </c>
      <c r="M180" s="42">
        <f>Q179</f>
        <v/>
      </c>
      <c r="N180" s="42">
        <f>ROUND(M180*N$6/12,2)</f>
        <v/>
      </c>
      <c r="O180" s="42">
        <f>MIN(O$6,M180+N180)</f>
        <v/>
      </c>
      <c r="P180" s="42">
        <f>MAX(0,MIN(M180+N180-O180,L180))</f>
        <v/>
      </c>
      <c r="Q180" s="42">
        <f>ROUND(M180+N180-O180-P180,2)</f>
        <v/>
      </c>
      <c r="R180">
        <f>L180-P180</f>
        <v/>
      </c>
      <c r="S180" s="42">
        <f>W179</f>
        <v/>
      </c>
      <c r="T180" s="42">
        <f>ROUND(S180*T$6/12,2)</f>
        <v/>
      </c>
      <c r="U180" s="42">
        <f>MIN(U$6,S180+T180)</f>
        <v/>
      </c>
      <c r="V180" s="42">
        <f>MAX(0,MIN(S180+T180-U180,R180))</f>
        <v/>
      </c>
      <c r="W180" s="42">
        <f>ROUND(S180+T180-U180-V180,2)</f>
        <v/>
      </c>
      <c r="X180">
        <f>R180-V180</f>
        <v/>
      </c>
      <c r="Y180" s="42">
        <f>AC179</f>
        <v/>
      </c>
      <c r="Z180" s="42">
        <f>ROUND(Y180*Z$6/12,2)</f>
        <v/>
      </c>
      <c r="AA180" s="42">
        <f>MIN(AA$6,Y180+Z180)</f>
        <v/>
      </c>
      <c r="AB180" s="42">
        <f>MAX(0,MIN(Y180+Z180-AA180,X180))</f>
        <v/>
      </c>
      <c r="AC180" s="42">
        <f>ROUND(Y180+Z180-AA180-AB180,2)</f>
        <v/>
      </c>
      <c r="AD180">
        <f>X180-AB180</f>
        <v/>
      </c>
      <c r="AE180" s="42">
        <f>AI179</f>
        <v/>
      </c>
      <c r="AF180" s="42">
        <f>ROUND(AE180*AF$6/12,2)</f>
        <v/>
      </c>
      <c r="AG180" s="42">
        <f>MIN(AG$6,AE180+AF180)</f>
        <v/>
      </c>
      <c r="AH180" s="42">
        <f>MAX(0,MIN(AE180+AF180-AG180,AD180))</f>
        <v/>
      </c>
      <c r="AI180" s="42">
        <f>ROUND(AE180+AF180-AG180-AH180,2)</f>
        <v/>
      </c>
      <c r="AJ180">
        <f>AD180-AH180</f>
        <v/>
      </c>
      <c r="AK180" s="42">
        <f>AO179</f>
        <v/>
      </c>
      <c r="AL180" s="42">
        <f>ROUND(AK180*AL$6/12,2)</f>
        <v/>
      </c>
      <c r="AM180" s="42">
        <f>MIN(AM$6,AK180+AL180)</f>
        <v/>
      </c>
      <c r="AN180" s="42">
        <f>MAX(0,MIN(AK180+AL180-AM180,AJ180))</f>
        <v/>
      </c>
      <c r="AO180" s="42">
        <f>ROUND(AK180+AL180-AM180-AN180,2)</f>
        <v/>
      </c>
      <c r="AP180">
        <f>AJ180-AN180</f>
        <v/>
      </c>
      <c r="AQ180" s="42">
        <f>AU179</f>
        <v/>
      </c>
      <c r="AR180" s="42">
        <f>ROUND(AQ180*AR$6/12,2)</f>
        <v/>
      </c>
      <c r="AS180" s="42">
        <f>MIN(AS$6,AQ180+AR180)</f>
        <v/>
      </c>
      <c r="AT180" s="42">
        <f>MAX(0,MIN(AQ180+AR180-AS180,AP180))</f>
        <v/>
      </c>
      <c r="AU180" s="42">
        <f>ROUND(AQ180+AR180-AS180-AT180,2)</f>
        <v/>
      </c>
      <c r="AV180">
        <f>AP180-AT180</f>
        <v/>
      </c>
      <c r="AW180" s="42">
        <f>BA179</f>
        <v/>
      </c>
      <c r="AX180" s="42">
        <f>ROUND(AW180*AX$6/12,2)</f>
        <v/>
      </c>
      <c r="AY180" s="42">
        <f>MIN(AY$6,AW180+AX180)</f>
        <v/>
      </c>
      <c r="AZ180" s="42">
        <f>MAX(0,MIN(AW180+AX180-AY180,AV180))</f>
        <v/>
      </c>
      <c r="BA180" s="42">
        <f>ROUND(AW180+AX180-AY180-AZ180,2)</f>
        <v/>
      </c>
      <c r="BB180">
        <f>AV180-AZ180</f>
        <v/>
      </c>
      <c r="BC180" s="42">
        <f>BG179</f>
        <v/>
      </c>
      <c r="BD180" s="42">
        <f>ROUND(BC180*BD$6/12,2)</f>
        <v/>
      </c>
      <c r="BE180" s="42">
        <f>MIN(BE$6,BC180+BD180)</f>
        <v/>
      </c>
      <c r="BF180" s="42">
        <f>MAX(0,MIN(BC180+BD180-BE180,BB180))</f>
        <v/>
      </c>
      <c r="BG180" s="42">
        <f>ROUND(BC180+BD180-BE180-BF180,2)</f>
        <v/>
      </c>
      <c r="BH180">
        <f>BB180-BF180</f>
        <v/>
      </c>
      <c r="BI180" s="42">
        <f>BM179</f>
        <v/>
      </c>
      <c r="BJ180" s="42">
        <f>ROUND(BI180*BJ$6/12,2)</f>
        <v/>
      </c>
      <c r="BK180" s="42">
        <f>MIN(BK$6,BI180+BJ180)</f>
        <v/>
      </c>
      <c r="BL180" s="42">
        <f>MAX(0,MIN(BI180+BJ180-BK180,BH180))</f>
        <v/>
      </c>
      <c r="BM180" s="42">
        <f>ROUND(BI180+BJ180-BK180-BL180,2)</f>
        <v/>
      </c>
      <c r="BN180">
        <f>BH180-BL180</f>
        <v/>
      </c>
    </row>
    <row r="181">
      <c r="A181" s="43" t="n">
        <v>174</v>
      </c>
      <c r="B181" s="44">
        <f>EDATE('My Debts'!$C$6,A181-1)</f>
        <v/>
      </c>
      <c r="C181" s="45">
        <f>K181+Q181+W181+AC181+AI181+AO181+AU181+BA181+BG181+BM181</f>
        <v/>
      </c>
      <c r="D181" s="46">
        <f>I181+O181+U181+AA181+AG181+AM181+AS181+AY181+BE181+BK181+J181+P181+V181+AB181+AH181+AN181+AT181+AZ181+BF181+BL181</f>
        <v/>
      </c>
      <c r="E181" s="46">
        <f>H181+N181+T181+Z181+AF181+AL181+AR181+AX181+BD181+BJ181</f>
        <v/>
      </c>
      <c r="F181">
        <f>MAX(0,'My Debts'!$E$21-(I181+O181+U181+AA181+AG181+AM181+AS181+AY181+BE181+BK181))</f>
        <v/>
      </c>
      <c r="G181" s="42">
        <f>K180</f>
        <v/>
      </c>
      <c r="H181" s="42">
        <f>ROUND(G181*H$6/12,2)</f>
        <v/>
      </c>
      <c r="I181" s="42">
        <f>MIN(I$6,G181+H181)</f>
        <v/>
      </c>
      <c r="J181" s="42">
        <f>MAX(0,MIN(G181+H181-I181,$F181))</f>
        <v/>
      </c>
      <c r="K181" s="42">
        <f>ROUND(G181+H181-I181-J181,2)</f>
        <v/>
      </c>
      <c r="L181">
        <f>$F181-J181</f>
        <v/>
      </c>
      <c r="M181" s="42">
        <f>Q180</f>
        <v/>
      </c>
      <c r="N181" s="42">
        <f>ROUND(M181*N$6/12,2)</f>
        <v/>
      </c>
      <c r="O181" s="42">
        <f>MIN(O$6,M181+N181)</f>
        <v/>
      </c>
      <c r="P181" s="42">
        <f>MAX(0,MIN(M181+N181-O181,L181))</f>
        <v/>
      </c>
      <c r="Q181" s="42">
        <f>ROUND(M181+N181-O181-P181,2)</f>
        <v/>
      </c>
      <c r="R181">
        <f>L181-P181</f>
        <v/>
      </c>
      <c r="S181" s="42">
        <f>W180</f>
        <v/>
      </c>
      <c r="T181" s="42">
        <f>ROUND(S181*T$6/12,2)</f>
        <v/>
      </c>
      <c r="U181" s="42">
        <f>MIN(U$6,S181+T181)</f>
        <v/>
      </c>
      <c r="V181" s="42">
        <f>MAX(0,MIN(S181+T181-U181,R181))</f>
        <v/>
      </c>
      <c r="W181" s="42">
        <f>ROUND(S181+T181-U181-V181,2)</f>
        <v/>
      </c>
      <c r="X181">
        <f>R181-V181</f>
        <v/>
      </c>
      <c r="Y181" s="42">
        <f>AC180</f>
        <v/>
      </c>
      <c r="Z181" s="42">
        <f>ROUND(Y181*Z$6/12,2)</f>
        <v/>
      </c>
      <c r="AA181" s="42">
        <f>MIN(AA$6,Y181+Z181)</f>
        <v/>
      </c>
      <c r="AB181" s="42">
        <f>MAX(0,MIN(Y181+Z181-AA181,X181))</f>
        <v/>
      </c>
      <c r="AC181" s="42">
        <f>ROUND(Y181+Z181-AA181-AB181,2)</f>
        <v/>
      </c>
      <c r="AD181">
        <f>X181-AB181</f>
        <v/>
      </c>
      <c r="AE181" s="42">
        <f>AI180</f>
        <v/>
      </c>
      <c r="AF181" s="42">
        <f>ROUND(AE181*AF$6/12,2)</f>
        <v/>
      </c>
      <c r="AG181" s="42">
        <f>MIN(AG$6,AE181+AF181)</f>
        <v/>
      </c>
      <c r="AH181" s="42">
        <f>MAX(0,MIN(AE181+AF181-AG181,AD181))</f>
        <v/>
      </c>
      <c r="AI181" s="42">
        <f>ROUND(AE181+AF181-AG181-AH181,2)</f>
        <v/>
      </c>
      <c r="AJ181">
        <f>AD181-AH181</f>
        <v/>
      </c>
      <c r="AK181" s="42">
        <f>AO180</f>
        <v/>
      </c>
      <c r="AL181" s="42">
        <f>ROUND(AK181*AL$6/12,2)</f>
        <v/>
      </c>
      <c r="AM181" s="42">
        <f>MIN(AM$6,AK181+AL181)</f>
        <v/>
      </c>
      <c r="AN181" s="42">
        <f>MAX(0,MIN(AK181+AL181-AM181,AJ181))</f>
        <v/>
      </c>
      <c r="AO181" s="42">
        <f>ROUND(AK181+AL181-AM181-AN181,2)</f>
        <v/>
      </c>
      <c r="AP181">
        <f>AJ181-AN181</f>
        <v/>
      </c>
      <c r="AQ181" s="42">
        <f>AU180</f>
        <v/>
      </c>
      <c r="AR181" s="42">
        <f>ROUND(AQ181*AR$6/12,2)</f>
        <v/>
      </c>
      <c r="AS181" s="42">
        <f>MIN(AS$6,AQ181+AR181)</f>
        <v/>
      </c>
      <c r="AT181" s="42">
        <f>MAX(0,MIN(AQ181+AR181-AS181,AP181))</f>
        <v/>
      </c>
      <c r="AU181" s="42">
        <f>ROUND(AQ181+AR181-AS181-AT181,2)</f>
        <v/>
      </c>
      <c r="AV181">
        <f>AP181-AT181</f>
        <v/>
      </c>
      <c r="AW181" s="42">
        <f>BA180</f>
        <v/>
      </c>
      <c r="AX181" s="42">
        <f>ROUND(AW181*AX$6/12,2)</f>
        <v/>
      </c>
      <c r="AY181" s="42">
        <f>MIN(AY$6,AW181+AX181)</f>
        <v/>
      </c>
      <c r="AZ181" s="42">
        <f>MAX(0,MIN(AW181+AX181-AY181,AV181))</f>
        <v/>
      </c>
      <c r="BA181" s="42">
        <f>ROUND(AW181+AX181-AY181-AZ181,2)</f>
        <v/>
      </c>
      <c r="BB181">
        <f>AV181-AZ181</f>
        <v/>
      </c>
      <c r="BC181" s="42">
        <f>BG180</f>
        <v/>
      </c>
      <c r="BD181" s="42">
        <f>ROUND(BC181*BD$6/12,2)</f>
        <v/>
      </c>
      <c r="BE181" s="42">
        <f>MIN(BE$6,BC181+BD181)</f>
        <v/>
      </c>
      <c r="BF181" s="42">
        <f>MAX(0,MIN(BC181+BD181-BE181,BB181))</f>
        <v/>
      </c>
      <c r="BG181" s="42">
        <f>ROUND(BC181+BD181-BE181-BF181,2)</f>
        <v/>
      </c>
      <c r="BH181">
        <f>BB181-BF181</f>
        <v/>
      </c>
      <c r="BI181" s="42">
        <f>BM180</f>
        <v/>
      </c>
      <c r="BJ181" s="42">
        <f>ROUND(BI181*BJ$6/12,2)</f>
        <v/>
      </c>
      <c r="BK181" s="42">
        <f>MIN(BK$6,BI181+BJ181)</f>
        <v/>
      </c>
      <c r="BL181" s="42">
        <f>MAX(0,MIN(BI181+BJ181-BK181,BH181))</f>
        <v/>
      </c>
      <c r="BM181" s="42">
        <f>ROUND(BI181+BJ181-BK181-BL181,2)</f>
        <v/>
      </c>
      <c r="BN181">
        <f>BH181-BL181</f>
        <v/>
      </c>
    </row>
    <row r="182">
      <c r="A182" s="39" t="n">
        <v>175</v>
      </c>
      <c r="B182" s="40">
        <f>EDATE('My Debts'!$C$6,A182-1)</f>
        <v/>
      </c>
      <c r="C182" s="41">
        <f>K182+Q182+W182+AC182+AI182+AO182+AU182+BA182+BG182+BM182</f>
        <v/>
      </c>
      <c r="D182" s="42">
        <f>I182+O182+U182+AA182+AG182+AM182+AS182+AY182+BE182+BK182+J182+P182+V182+AB182+AH182+AN182+AT182+AZ182+BF182+BL182</f>
        <v/>
      </c>
      <c r="E182" s="42">
        <f>H182+N182+T182+Z182+AF182+AL182+AR182+AX182+BD182+BJ182</f>
        <v/>
      </c>
      <c r="F182">
        <f>MAX(0,'My Debts'!$E$21-(I182+O182+U182+AA182+AG182+AM182+AS182+AY182+BE182+BK182))</f>
        <v/>
      </c>
      <c r="G182" s="42">
        <f>K181</f>
        <v/>
      </c>
      <c r="H182" s="42">
        <f>ROUND(G182*H$6/12,2)</f>
        <v/>
      </c>
      <c r="I182" s="42">
        <f>MIN(I$6,G182+H182)</f>
        <v/>
      </c>
      <c r="J182" s="42">
        <f>MAX(0,MIN(G182+H182-I182,$F182))</f>
        <v/>
      </c>
      <c r="K182" s="42">
        <f>ROUND(G182+H182-I182-J182,2)</f>
        <v/>
      </c>
      <c r="L182">
        <f>$F182-J182</f>
        <v/>
      </c>
      <c r="M182" s="42">
        <f>Q181</f>
        <v/>
      </c>
      <c r="N182" s="42">
        <f>ROUND(M182*N$6/12,2)</f>
        <v/>
      </c>
      <c r="O182" s="42">
        <f>MIN(O$6,M182+N182)</f>
        <v/>
      </c>
      <c r="P182" s="42">
        <f>MAX(0,MIN(M182+N182-O182,L182))</f>
        <v/>
      </c>
      <c r="Q182" s="42">
        <f>ROUND(M182+N182-O182-P182,2)</f>
        <v/>
      </c>
      <c r="R182">
        <f>L182-P182</f>
        <v/>
      </c>
      <c r="S182" s="42">
        <f>W181</f>
        <v/>
      </c>
      <c r="T182" s="42">
        <f>ROUND(S182*T$6/12,2)</f>
        <v/>
      </c>
      <c r="U182" s="42">
        <f>MIN(U$6,S182+T182)</f>
        <v/>
      </c>
      <c r="V182" s="42">
        <f>MAX(0,MIN(S182+T182-U182,R182))</f>
        <v/>
      </c>
      <c r="W182" s="42">
        <f>ROUND(S182+T182-U182-V182,2)</f>
        <v/>
      </c>
      <c r="X182">
        <f>R182-V182</f>
        <v/>
      </c>
      <c r="Y182" s="42">
        <f>AC181</f>
        <v/>
      </c>
      <c r="Z182" s="42">
        <f>ROUND(Y182*Z$6/12,2)</f>
        <v/>
      </c>
      <c r="AA182" s="42">
        <f>MIN(AA$6,Y182+Z182)</f>
        <v/>
      </c>
      <c r="AB182" s="42">
        <f>MAX(0,MIN(Y182+Z182-AA182,X182))</f>
        <v/>
      </c>
      <c r="AC182" s="42">
        <f>ROUND(Y182+Z182-AA182-AB182,2)</f>
        <v/>
      </c>
      <c r="AD182">
        <f>X182-AB182</f>
        <v/>
      </c>
      <c r="AE182" s="42">
        <f>AI181</f>
        <v/>
      </c>
      <c r="AF182" s="42">
        <f>ROUND(AE182*AF$6/12,2)</f>
        <v/>
      </c>
      <c r="AG182" s="42">
        <f>MIN(AG$6,AE182+AF182)</f>
        <v/>
      </c>
      <c r="AH182" s="42">
        <f>MAX(0,MIN(AE182+AF182-AG182,AD182))</f>
        <v/>
      </c>
      <c r="AI182" s="42">
        <f>ROUND(AE182+AF182-AG182-AH182,2)</f>
        <v/>
      </c>
      <c r="AJ182">
        <f>AD182-AH182</f>
        <v/>
      </c>
      <c r="AK182" s="42">
        <f>AO181</f>
        <v/>
      </c>
      <c r="AL182" s="42">
        <f>ROUND(AK182*AL$6/12,2)</f>
        <v/>
      </c>
      <c r="AM182" s="42">
        <f>MIN(AM$6,AK182+AL182)</f>
        <v/>
      </c>
      <c r="AN182" s="42">
        <f>MAX(0,MIN(AK182+AL182-AM182,AJ182))</f>
        <v/>
      </c>
      <c r="AO182" s="42">
        <f>ROUND(AK182+AL182-AM182-AN182,2)</f>
        <v/>
      </c>
      <c r="AP182">
        <f>AJ182-AN182</f>
        <v/>
      </c>
      <c r="AQ182" s="42">
        <f>AU181</f>
        <v/>
      </c>
      <c r="AR182" s="42">
        <f>ROUND(AQ182*AR$6/12,2)</f>
        <v/>
      </c>
      <c r="AS182" s="42">
        <f>MIN(AS$6,AQ182+AR182)</f>
        <v/>
      </c>
      <c r="AT182" s="42">
        <f>MAX(0,MIN(AQ182+AR182-AS182,AP182))</f>
        <v/>
      </c>
      <c r="AU182" s="42">
        <f>ROUND(AQ182+AR182-AS182-AT182,2)</f>
        <v/>
      </c>
      <c r="AV182">
        <f>AP182-AT182</f>
        <v/>
      </c>
      <c r="AW182" s="42">
        <f>BA181</f>
        <v/>
      </c>
      <c r="AX182" s="42">
        <f>ROUND(AW182*AX$6/12,2)</f>
        <v/>
      </c>
      <c r="AY182" s="42">
        <f>MIN(AY$6,AW182+AX182)</f>
        <v/>
      </c>
      <c r="AZ182" s="42">
        <f>MAX(0,MIN(AW182+AX182-AY182,AV182))</f>
        <v/>
      </c>
      <c r="BA182" s="42">
        <f>ROUND(AW182+AX182-AY182-AZ182,2)</f>
        <v/>
      </c>
      <c r="BB182">
        <f>AV182-AZ182</f>
        <v/>
      </c>
      <c r="BC182" s="42">
        <f>BG181</f>
        <v/>
      </c>
      <c r="BD182" s="42">
        <f>ROUND(BC182*BD$6/12,2)</f>
        <v/>
      </c>
      <c r="BE182" s="42">
        <f>MIN(BE$6,BC182+BD182)</f>
        <v/>
      </c>
      <c r="BF182" s="42">
        <f>MAX(0,MIN(BC182+BD182-BE182,BB182))</f>
        <v/>
      </c>
      <c r="BG182" s="42">
        <f>ROUND(BC182+BD182-BE182-BF182,2)</f>
        <v/>
      </c>
      <c r="BH182">
        <f>BB182-BF182</f>
        <v/>
      </c>
      <c r="BI182" s="42">
        <f>BM181</f>
        <v/>
      </c>
      <c r="BJ182" s="42">
        <f>ROUND(BI182*BJ$6/12,2)</f>
        <v/>
      </c>
      <c r="BK182" s="42">
        <f>MIN(BK$6,BI182+BJ182)</f>
        <v/>
      </c>
      <c r="BL182" s="42">
        <f>MAX(0,MIN(BI182+BJ182-BK182,BH182))</f>
        <v/>
      </c>
      <c r="BM182" s="42">
        <f>ROUND(BI182+BJ182-BK182-BL182,2)</f>
        <v/>
      </c>
      <c r="BN182">
        <f>BH182-BL182</f>
        <v/>
      </c>
    </row>
    <row r="183">
      <c r="A183" s="43" t="n">
        <v>176</v>
      </c>
      <c r="B183" s="44">
        <f>EDATE('My Debts'!$C$6,A183-1)</f>
        <v/>
      </c>
      <c r="C183" s="45">
        <f>K183+Q183+W183+AC183+AI183+AO183+AU183+BA183+BG183+BM183</f>
        <v/>
      </c>
      <c r="D183" s="46">
        <f>I183+O183+U183+AA183+AG183+AM183+AS183+AY183+BE183+BK183+J183+P183+V183+AB183+AH183+AN183+AT183+AZ183+BF183+BL183</f>
        <v/>
      </c>
      <c r="E183" s="46">
        <f>H183+N183+T183+Z183+AF183+AL183+AR183+AX183+BD183+BJ183</f>
        <v/>
      </c>
      <c r="F183">
        <f>MAX(0,'My Debts'!$E$21-(I183+O183+U183+AA183+AG183+AM183+AS183+AY183+BE183+BK183))</f>
        <v/>
      </c>
      <c r="G183" s="42">
        <f>K182</f>
        <v/>
      </c>
      <c r="H183" s="42">
        <f>ROUND(G183*H$6/12,2)</f>
        <v/>
      </c>
      <c r="I183" s="42">
        <f>MIN(I$6,G183+H183)</f>
        <v/>
      </c>
      <c r="J183" s="42">
        <f>MAX(0,MIN(G183+H183-I183,$F183))</f>
        <v/>
      </c>
      <c r="K183" s="42">
        <f>ROUND(G183+H183-I183-J183,2)</f>
        <v/>
      </c>
      <c r="L183">
        <f>$F183-J183</f>
        <v/>
      </c>
      <c r="M183" s="42">
        <f>Q182</f>
        <v/>
      </c>
      <c r="N183" s="42">
        <f>ROUND(M183*N$6/12,2)</f>
        <v/>
      </c>
      <c r="O183" s="42">
        <f>MIN(O$6,M183+N183)</f>
        <v/>
      </c>
      <c r="P183" s="42">
        <f>MAX(0,MIN(M183+N183-O183,L183))</f>
        <v/>
      </c>
      <c r="Q183" s="42">
        <f>ROUND(M183+N183-O183-P183,2)</f>
        <v/>
      </c>
      <c r="R183">
        <f>L183-P183</f>
        <v/>
      </c>
      <c r="S183" s="42">
        <f>W182</f>
        <v/>
      </c>
      <c r="T183" s="42">
        <f>ROUND(S183*T$6/12,2)</f>
        <v/>
      </c>
      <c r="U183" s="42">
        <f>MIN(U$6,S183+T183)</f>
        <v/>
      </c>
      <c r="V183" s="42">
        <f>MAX(0,MIN(S183+T183-U183,R183))</f>
        <v/>
      </c>
      <c r="W183" s="42">
        <f>ROUND(S183+T183-U183-V183,2)</f>
        <v/>
      </c>
      <c r="X183">
        <f>R183-V183</f>
        <v/>
      </c>
      <c r="Y183" s="42">
        <f>AC182</f>
        <v/>
      </c>
      <c r="Z183" s="42">
        <f>ROUND(Y183*Z$6/12,2)</f>
        <v/>
      </c>
      <c r="AA183" s="42">
        <f>MIN(AA$6,Y183+Z183)</f>
        <v/>
      </c>
      <c r="AB183" s="42">
        <f>MAX(0,MIN(Y183+Z183-AA183,X183))</f>
        <v/>
      </c>
      <c r="AC183" s="42">
        <f>ROUND(Y183+Z183-AA183-AB183,2)</f>
        <v/>
      </c>
      <c r="AD183">
        <f>X183-AB183</f>
        <v/>
      </c>
      <c r="AE183" s="42">
        <f>AI182</f>
        <v/>
      </c>
      <c r="AF183" s="42">
        <f>ROUND(AE183*AF$6/12,2)</f>
        <v/>
      </c>
      <c r="AG183" s="42">
        <f>MIN(AG$6,AE183+AF183)</f>
        <v/>
      </c>
      <c r="AH183" s="42">
        <f>MAX(0,MIN(AE183+AF183-AG183,AD183))</f>
        <v/>
      </c>
      <c r="AI183" s="42">
        <f>ROUND(AE183+AF183-AG183-AH183,2)</f>
        <v/>
      </c>
      <c r="AJ183">
        <f>AD183-AH183</f>
        <v/>
      </c>
      <c r="AK183" s="42">
        <f>AO182</f>
        <v/>
      </c>
      <c r="AL183" s="42">
        <f>ROUND(AK183*AL$6/12,2)</f>
        <v/>
      </c>
      <c r="AM183" s="42">
        <f>MIN(AM$6,AK183+AL183)</f>
        <v/>
      </c>
      <c r="AN183" s="42">
        <f>MAX(0,MIN(AK183+AL183-AM183,AJ183))</f>
        <v/>
      </c>
      <c r="AO183" s="42">
        <f>ROUND(AK183+AL183-AM183-AN183,2)</f>
        <v/>
      </c>
      <c r="AP183">
        <f>AJ183-AN183</f>
        <v/>
      </c>
      <c r="AQ183" s="42">
        <f>AU182</f>
        <v/>
      </c>
      <c r="AR183" s="42">
        <f>ROUND(AQ183*AR$6/12,2)</f>
        <v/>
      </c>
      <c r="AS183" s="42">
        <f>MIN(AS$6,AQ183+AR183)</f>
        <v/>
      </c>
      <c r="AT183" s="42">
        <f>MAX(0,MIN(AQ183+AR183-AS183,AP183))</f>
        <v/>
      </c>
      <c r="AU183" s="42">
        <f>ROUND(AQ183+AR183-AS183-AT183,2)</f>
        <v/>
      </c>
      <c r="AV183">
        <f>AP183-AT183</f>
        <v/>
      </c>
      <c r="AW183" s="42">
        <f>BA182</f>
        <v/>
      </c>
      <c r="AX183" s="42">
        <f>ROUND(AW183*AX$6/12,2)</f>
        <v/>
      </c>
      <c r="AY183" s="42">
        <f>MIN(AY$6,AW183+AX183)</f>
        <v/>
      </c>
      <c r="AZ183" s="42">
        <f>MAX(0,MIN(AW183+AX183-AY183,AV183))</f>
        <v/>
      </c>
      <c r="BA183" s="42">
        <f>ROUND(AW183+AX183-AY183-AZ183,2)</f>
        <v/>
      </c>
      <c r="BB183">
        <f>AV183-AZ183</f>
        <v/>
      </c>
      <c r="BC183" s="42">
        <f>BG182</f>
        <v/>
      </c>
      <c r="BD183" s="42">
        <f>ROUND(BC183*BD$6/12,2)</f>
        <v/>
      </c>
      <c r="BE183" s="42">
        <f>MIN(BE$6,BC183+BD183)</f>
        <v/>
      </c>
      <c r="BF183" s="42">
        <f>MAX(0,MIN(BC183+BD183-BE183,BB183))</f>
        <v/>
      </c>
      <c r="BG183" s="42">
        <f>ROUND(BC183+BD183-BE183-BF183,2)</f>
        <v/>
      </c>
      <c r="BH183">
        <f>BB183-BF183</f>
        <v/>
      </c>
      <c r="BI183" s="42">
        <f>BM182</f>
        <v/>
      </c>
      <c r="BJ183" s="42">
        <f>ROUND(BI183*BJ$6/12,2)</f>
        <v/>
      </c>
      <c r="BK183" s="42">
        <f>MIN(BK$6,BI183+BJ183)</f>
        <v/>
      </c>
      <c r="BL183" s="42">
        <f>MAX(0,MIN(BI183+BJ183-BK183,BH183))</f>
        <v/>
      </c>
      <c r="BM183" s="42">
        <f>ROUND(BI183+BJ183-BK183-BL183,2)</f>
        <v/>
      </c>
      <c r="BN183">
        <f>BH183-BL183</f>
        <v/>
      </c>
    </row>
    <row r="184">
      <c r="A184" s="39" t="n">
        <v>177</v>
      </c>
      <c r="B184" s="40">
        <f>EDATE('My Debts'!$C$6,A184-1)</f>
        <v/>
      </c>
      <c r="C184" s="41">
        <f>K184+Q184+W184+AC184+AI184+AO184+AU184+BA184+BG184+BM184</f>
        <v/>
      </c>
      <c r="D184" s="42">
        <f>I184+O184+U184+AA184+AG184+AM184+AS184+AY184+BE184+BK184+J184+P184+V184+AB184+AH184+AN184+AT184+AZ184+BF184+BL184</f>
        <v/>
      </c>
      <c r="E184" s="42">
        <f>H184+N184+T184+Z184+AF184+AL184+AR184+AX184+BD184+BJ184</f>
        <v/>
      </c>
      <c r="F184">
        <f>MAX(0,'My Debts'!$E$21-(I184+O184+U184+AA184+AG184+AM184+AS184+AY184+BE184+BK184))</f>
        <v/>
      </c>
      <c r="G184" s="42">
        <f>K183</f>
        <v/>
      </c>
      <c r="H184" s="42">
        <f>ROUND(G184*H$6/12,2)</f>
        <v/>
      </c>
      <c r="I184" s="42">
        <f>MIN(I$6,G184+H184)</f>
        <v/>
      </c>
      <c r="J184" s="42">
        <f>MAX(0,MIN(G184+H184-I184,$F184))</f>
        <v/>
      </c>
      <c r="K184" s="42">
        <f>ROUND(G184+H184-I184-J184,2)</f>
        <v/>
      </c>
      <c r="L184">
        <f>$F184-J184</f>
        <v/>
      </c>
      <c r="M184" s="42">
        <f>Q183</f>
        <v/>
      </c>
      <c r="N184" s="42">
        <f>ROUND(M184*N$6/12,2)</f>
        <v/>
      </c>
      <c r="O184" s="42">
        <f>MIN(O$6,M184+N184)</f>
        <v/>
      </c>
      <c r="P184" s="42">
        <f>MAX(0,MIN(M184+N184-O184,L184))</f>
        <v/>
      </c>
      <c r="Q184" s="42">
        <f>ROUND(M184+N184-O184-P184,2)</f>
        <v/>
      </c>
      <c r="R184">
        <f>L184-P184</f>
        <v/>
      </c>
      <c r="S184" s="42">
        <f>W183</f>
        <v/>
      </c>
      <c r="T184" s="42">
        <f>ROUND(S184*T$6/12,2)</f>
        <v/>
      </c>
      <c r="U184" s="42">
        <f>MIN(U$6,S184+T184)</f>
        <v/>
      </c>
      <c r="V184" s="42">
        <f>MAX(0,MIN(S184+T184-U184,R184))</f>
        <v/>
      </c>
      <c r="W184" s="42">
        <f>ROUND(S184+T184-U184-V184,2)</f>
        <v/>
      </c>
      <c r="X184">
        <f>R184-V184</f>
        <v/>
      </c>
      <c r="Y184" s="42">
        <f>AC183</f>
        <v/>
      </c>
      <c r="Z184" s="42">
        <f>ROUND(Y184*Z$6/12,2)</f>
        <v/>
      </c>
      <c r="AA184" s="42">
        <f>MIN(AA$6,Y184+Z184)</f>
        <v/>
      </c>
      <c r="AB184" s="42">
        <f>MAX(0,MIN(Y184+Z184-AA184,X184))</f>
        <v/>
      </c>
      <c r="AC184" s="42">
        <f>ROUND(Y184+Z184-AA184-AB184,2)</f>
        <v/>
      </c>
      <c r="AD184">
        <f>X184-AB184</f>
        <v/>
      </c>
      <c r="AE184" s="42">
        <f>AI183</f>
        <v/>
      </c>
      <c r="AF184" s="42">
        <f>ROUND(AE184*AF$6/12,2)</f>
        <v/>
      </c>
      <c r="AG184" s="42">
        <f>MIN(AG$6,AE184+AF184)</f>
        <v/>
      </c>
      <c r="AH184" s="42">
        <f>MAX(0,MIN(AE184+AF184-AG184,AD184))</f>
        <v/>
      </c>
      <c r="AI184" s="42">
        <f>ROUND(AE184+AF184-AG184-AH184,2)</f>
        <v/>
      </c>
      <c r="AJ184">
        <f>AD184-AH184</f>
        <v/>
      </c>
      <c r="AK184" s="42">
        <f>AO183</f>
        <v/>
      </c>
      <c r="AL184" s="42">
        <f>ROUND(AK184*AL$6/12,2)</f>
        <v/>
      </c>
      <c r="AM184" s="42">
        <f>MIN(AM$6,AK184+AL184)</f>
        <v/>
      </c>
      <c r="AN184" s="42">
        <f>MAX(0,MIN(AK184+AL184-AM184,AJ184))</f>
        <v/>
      </c>
      <c r="AO184" s="42">
        <f>ROUND(AK184+AL184-AM184-AN184,2)</f>
        <v/>
      </c>
      <c r="AP184">
        <f>AJ184-AN184</f>
        <v/>
      </c>
      <c r="AQ184" s="42">
        <f>AU183</f>
        <v/>
      </c>
      <c r="AR184" s="42">
        <f>ROUND(AQ184*AR$6/12,2)</f>
        <v/>
      </c>
      <c r="AS184" s="42">
        <f>MIN(AS$6,AQ184+AR184)</f>
        <v/>
      </c>
      <c r="AT184" s="42">
        <f>MAX(0,MIN(AQ184+AR184-AS184,AP184))</f>
        <v/>
      </c>
      <c r="AU184" s="42">
        <f>ROUND(AQ184+AR184-AS184-AT184,2)</f>
        <v/>
      </c>
      <c r="AV184">
        <f>AP184-AT184</f>
        <v/>
      </c>
      <c r="AW184" s="42">
        <f>BA183</f>
        <v/>
      </c>
      <c r="AX184" s="42">
        <f>ROUND(AW184*AX$6/12,2)</f>
        <v/>
      </c>
      <c r="AY184" s="42">
        <f>MIN(AY$6,AW184+AX184)</f>
        <v/>
      </c>
      <c r="AZ184" s="42">
        <f>MAX(0,MIN(AW184+AX184-AY184,AV184))</f>
        <v/>
      </c>
      <c r="BA184" s="42">
        <f>ROUND(AW184+AX184-AY184-AZ184,2)</f>
        <v/>
      </c>
      <c r="BB184">
        <f>AV184-AZ184</f>
        <v/>
      </c>
      <c r="BC184" s="42">
        <f>BG183</f>
        <v/>
      </c>
      <c r="BD184" s="42">
        <f>ROUND(BC184*BD$6/12,2)</f>
        <v/>
      </c>
      <c r="BE184" s="42">
        <f>MIN(BE$6,BC184+BD184)</f>
        <v/>
      </c>
      <c r="BF184" s="42">
        <f>MAX(0,MIN(BC184+BD184-BE184,BB184))</f>
        <v/>
      </c>
      <c r="BG184" s="42">
        <f>ROUND(BC184+BD184-BE184-BF184,2)</f>
        <v/>
      </c>
      <c r="BH184">
        <f>BB184-BF184</f>
        <v/>
      </c>
      <c r="BI184" s="42">
        <f>BM183</f>
        <v/>
      </c>
      <c r="BJ184" s="42">
        <f>ROUND(BI184*BJ$6/12,2)</f>
        <v/>
      </c>
      <c r="BK184" s="42">
        <f>MIN(BK$6,BI184+BJ184)</f>
        <v/>
      </c>
      <c r="BL184" s="42">
        <f>MAX(0,MIN(BI184+BJ184-BK184,BH184))</f>
        <v/>
      </c>
      <c r="BM184" s="42">
        <f>ROUND(BI184+BJ184-BK184-BL184,2)</f>
        <v/>
      </c>
      <c r="BN184">
        <f>BH184-BL184</f>
        <v/>
      </c>
    </row>
    <row r="185">
      <c r="A185" s="43" t="n">
        <v>178</v>
      </c>
      <c r="B185" s="44">
        <f>EDATE('My Debts'!$C$6,A185-1)</f>
        <v/>
      </c>
      <c r="C185" s="45">
        <f>K185+Q185+W185+AC185+AI185+AO185+AU185+BA185+BG185+BM185</f>
        <v/>
      </c>
      <c r="D185" s="46">
        <f>I185+O185+U185+AA185+AG185+AM185+AS185+AY185+BE185+BK185+J185+P185+V185+AB185+AH185+AN185+AT185+AZ185+BF185+BL185</f>
        <v/>
      </c>
      <c r="E185" s="46">
        <f>H185+N185+T185+Z185+AF185+AL185+AR185+AX185+BD185+BJ185</f>
        <v/>
      </c>
      <c r="F185">
        <f>MAX(0,'My Debts'!$E$21-(I185+O185+U185+AA185+AG185+AM185+AS185+AY185+BE185+BK185))</f>
        <v/>
      </c>
      <c r="G185" s="42">
        <f>K184</f>
        <v/>
      </c>
      <c r="H185" s="42">
        <f>ROUND(G185*H$6/12,2)</f>
        <v/>
      </c>
      <c r="I185" s="42">
        <f>MIN(I$6,G185+H185)</f>
        <v/>
      </c>
      <c r="J185" s="42">
        <f>MAX(0,MIN(G185+H185-I185,$F185))</f>
        <v/>
      </c>
      <c r="K185" s="42">
        <f>ROUND(G185+H185-I185-J185,2)</f>
        <v/>
      </c>
      <c r="L185">
        <f>$F185-J185</f>
        <v/>
      </c>
      <c r="M185" s="42">
        <f>Q184</f>
        <v/>
      </c>
      <c r="N185" s="42">
        <f>ROUND(M185*N$6/12,2)</f>
        <v/>
      </c>
      <c r="O185" s="42">
        <f>MIN(O$6,M185+N185)</f>
        <v/>
      </c>
      <c r="P185" s="42">
        <f>MAX(0,MIN(M185+N185-O185,L185))</f>
        <v/>
      </c>
      <c r="Q185" s="42">
        <f>ROUND(M185+N185-O185-P185,2)</f>
        <v/>
      </c>
      <c r="R185">
        <f>L185-P185</f>
        <v/>
      </c>
      <c r="S185" s="42">
        <f>W184</f>
        <v/>
      </c>
      <c r="T185" s="42">
        <f>ROUND(S185*T$6/12,2)</f>
        <v/>
      </c>
      <c r="U185" s="42">
        <f>MIN(U$6,S185+T185)</f>
        <v/>
      </c>
      <c r="V185" s="42">
        <f>MAX(0,MIN(S185+T185-U185,R185))</f>
        <v/>
      </c>
      <c r="W185" s="42">
        <f>ROUND(S185+T185-U185-V185,2)</f>
        <v/>
      </c>
      <c r="X185">
        <f>R185-V185</f>
        <v/>
      </c>
      <c r="Y185" s="42">
        <f>AC184</f>
        <v/>
      </c>
      <c r="Z185" s="42">
        <f>ROUND(Y185*Z$6/12,2)</f>
        <v/>
      </c>
      <c r="AA185" s="42">
        <f>MIN(AA$6,Y185+Z185)</f>
        <v/>
      </c>
      <c r="AB185" s="42">
        <f>MAX(0,MIN(Y185+Z185-AA185,X185))</f>
        <v/>
      </c>
      <c r="AC185" s="42">
        <f>ROUND(Y185+Z185-AA185-AB185,2)</f>
        <v/>
      </c>
      <c r="AD185">
        <f>X185-AB185</f>
        <v/>
      </c>
      <c r="AE185" s="42">
        <f>AI184</f>
        <v/>
      </c>
      <c r="AF185" s="42">
        <f>ROUND(AE185*AF$6/12,2)</f>
        <v/>
      </c>
      <c r="AG185" s="42">
        <f>MIN(AG$6,AE185+AF185)</f>
        <v/>
      </c>
      <c r="AH185" s="42">
        <f>MAX(0,MIN(AE185+AF185-AG185,AD185))</f>
        <v/>
      </c>
      <c r="AI185" s="42">
        <f>ROUND(AE185+AF185-AG185-AH185,2)</f>
        <v/>
      </c>
      <c r="AJ185">
        <f>AD185-AH185</f>
        <v/>
      </c>
      <c r="AK185" s="42">
        <f>AO184</f>
        <v/>
      </c>
      <c r="AL185" s="42">
        <f>ROUND(AK185*AL$6/12,2)</f>
        <v/>
      </c>
      <c r="AM185" s="42">
        <f>MIN(AM$6,AK185+AL185)</f>
        <v/>
      </c>
      <c r="AN185" s="42">
        <f>MAX(0,MIN(AK185+AL185-AM185,AJ185))</f>
        <v/>
      </c>
      <c r="AO185" s="42">
        <f>ROUND(AK185+AL185-AM185-AN185,2)</f>
        <v/>
      </c>
      <c r="AP185">
        <f>AJ185-AN185</f>
        <v/>
      </c>
      <c r="AQ185" s="42">
        <f>AU184</f>
        <v/>
      </c>
      <c r="AR185" s="42">
        <f>ROUND(AQ185*AR$6/12,2)</f>
        <v/>
      </c>
      <c r="AS185" s="42">
        <f>MIN(AS$6,AQ185+AR185)</f>
        <v/>
      </c>
      <c r="AT185" s="42">
        <f>MAX(0,MIN(AQ185+AR185-AS185,AP185))</f>
        <v/>
      </c>
      <c r="AU185" s="42">
        <f>ROUND(AQ185+AR185-AS185-AT185,2)</f>
        <v/>
      </c>
      <c r="AV185">
        <f>AP185-AT185</f>
        <v/>
      </c>
      <c r="AW185" s="42">
        <f>BA184</f>
        <v/>
      </c>
      <c r="AX185" s="42">
        <f>ROUND(AW185*AX$6/12,2)</f>
        <v/>
      </c>
      <c r="AY185" s="42">
        <f>MIN(AY$6,AW185+AX185)</f>
        <v/>
      </c>
      <c r="AZ185" s="42">
        <f>MAX(0,MIN(AW185+AX185-AY185,AV185))</f>
        <v/>
      </c>
      <c r="BA185" s="42">
        <f>ROUND(AW185+AX185-AY185-AZ185,2)</f>
        <v/>
      </c>
      <c r="BB185">
        <f>AV185-AZ185</f>
        <v/>
      </c>
      <c r="BC185" s="42">
        <f>BG184</f>
        <v/>
      </c>
      <c r="BD185" s="42">
        <f>ROUND(BC185*BD$6/12,2)</f>
        <v/>
      </c>
      <c r="BE185" s="42">
        <f>MIN(BE$6,BC185+BD185)</f>
        <v/>
      </c>
      <c r="BF185" s="42">
        <f>MAX(0,MIN(BC185+BD185-BE185,BB185))</f>
        <v/>
      </c>
      <c r="BG185" s="42">
        <f>ROUND(BC185+BD185-BE185-BF185,2)</f>
        <v/>
      </c>
      <c r="BH185">
        <f>BB185-BF185</f>
        <v/>
      </c>
      <c r="BI185" s="42">
        <f>BM184</f>
        <v/>
      </c>
      <c r="BJ185" s="42">
        <f>ROUND(BI185*BJ$6/12,2)</f>
        <v/>
      </c>
      <c r="BK185" s="42">
        <f>MIN(BK$6,BI185+BJ185)</f>
        <v/>
      </c>
      <c r="BL185" s="42">
        <f>MAX(0,MIN(BI185+BJ185-BK185,BH185))</f>
        <v/>
      </c>
      <c r="BM185" s="42">
        <f>ROUND(BI185+BJ185-BK185-BL185,2)</f>
        <v/>
      </c>
      <c r="BN185">
        <f>BH185-BL185</f>
        <v/>
      </c>
    </row>
    <row r="186">
      <c r="A186" s="39" t="n">
        <v>179</v>
      </c>
      <c r="B186" s="40">
        <f>EDATE('My Debts'!$C$6,A186-1)</f>
        <v/>
      </c>
      <c r="C186" s="41">
        <f>K186+Q186+W186+AC186+AI186+AO186+AU186+BA186+BG186+BM186</f>
        <v/>
      </c>
      <c r="D186" s="42">
        <f>I186+O186+U186+AA186+AG186+AM186+AS186+AY186+BE186+BK186+J186+P186+V186+AB186+AH186+AN186+AT186+AZ186+BF186+BL186</f>
        <v/>
      </c>
      <c r="E186" s="42">
        <f>H186+N186+T186+Z186+AF186+AL186+AR186+AX186+BD186+BJ186</f>
        <v/>
      </c>
      <c r="F186">
        <f>MAX(0,'My Debts'!$E$21-(I186+O186+U186+AA186+AG186+AM186+AS186+AY186+BE186+BK186))</f>
        <v/>
      </c>
      <c r="G186" s="42">
        <f>K185</f>
        <v/>
      </c>
      <c r="H186" s="42">
        <f>ROUND(G186*H$6/12,2)</f>
        <v/>
      </c>
      <c r="I186" s="42">
        <f>MIN(I$6,G186+H186)</f>
        <v/>
      </c>
      <c r="J186" s="42">
        <f>MAX(0,MIN(G186+H186-I186,$F186))</f>
        <v/>
      </c>
      <c r="K186" s="42">
        <f>ROUND(G186+H186-I186-J186,2)</f>
        <v/>
      </c>
      <c r="L186">
        <f>$F186-J186</f>
        <v/>
      </c>
      <c r="M186" s="42">
        <f>Q185</f>
        <v/>
      </c>
      <c r="N186" s="42">
        <f>ROUND(M186*N$6/12,2)</f>
        <v/>
      </c>
      <c r="O186" s="42">
        <f>MIN(O$6,M186+N186)</f>
        <v/>
      </c>
      <c r="P186" s="42">
        <f>MAX(0,MIN(M186+N186-O186,L186))</f>
        <v/>
      </c>
      <c r="Q186" s="42">
        <f>ROUND(M186+N186-O186-P186,2)</f>
        <v/>
      </c>
      <c r="R186">
        <f>L186-P186</f>
        <v/>
      </c>
      <c r="S186" s="42">
        <f>W185</f>
        <v/>
      </c>
      <c r="T186" s="42">
        <f>ROUND(S186*T$6/12,2)</f>
        <v/>
      </c>
      <c r="U186" s="42">
        <f>MIN(U$6,S186+T186)</f>
        <v/>
      </c>
      <c r="V186" s="42">
        <f>MAX(0,MIN(S186+T186-U186,R186))</f>
        <v/>
      </c>
      <c r="W186" s="42">
        <f>ROUND(S186+T186-U186-V186,2)</f>
        <v/>
      </c>
      <c r="X186">
        <f>R186-V186</f>
        <v/>
      </c>
      <c r="Y186" s="42">
        <f>AC185</f>
        <v/>
      </c>
      <c r="Z186" s="42">
        <f>ROUND(Y186*Z$6/12,2)</f>
        <v/>
      </c>
      <c r="AA186" s="42">
        <f>MIN(AA$6,Y186+Z186)</f>
        <v/>
      </c>
      <c r="AB186" s="42">
        <f>MAX(0,MIN(Y186+Z186-AA186,X186))</f>
        <v/>
      </c>
      <c r="AC186" s="42">
        <f>ROUND(Y186+Z186-AA186-AB186,2)</f>
        <v/>
      </c>
      <c r="AD186">
        <f>X186-AB186</f>
        <v/>
      </c>
      <c r="AE186" s="42">
        <f>AI185</f>
        <v/>
      </c>
      <c r="AF186" s="42">
        <f>ROUND(AE186*AF$6/12,2)</f>
        <v/>
      </c>
      <c r="AG186" s="42">
        <f>MIN(AG$6,AE186+AF186)</f>
        <v/>
      </c>
      <c r="AH186" s="42">
        <f>MAX(0,MIN(AE186+AF186-AG186,AD186))</f>
        <v/>
      </c>
      <c r="AI186" s="42">
        <f>ROUND(AE186+AF186-AG186-AH186,2)</f>
        <v/>
      </c>
      <c r="AJ186">
        <f>AD186-AH186</f>
        <v/>
      </c>
      <c r="AK186" s="42">
        <f>AO185</f>
        <v/>
      </c>
      <c r="AL186" s="42">
        <f>ROUND(AK186*AL$6/12,2)</f>
        <v/>
      </c>
      <c r="AM186" s="42">
        <f>MIN(AM$6,AK186+AL186)</f>
        <v/>
      </c>
      <c r="AN186" s="42">
        <f>MAX(0,MIN(AK186+AL186-AM186,AJ186))</f>
        <v/>
      </c>
      <c r="AO186" s="42">
        <f>ROUND(AK186+AL186-AM186-AN186,2)</f>
        <v/>
      </c>
      <c r="AP186">
        <f>AJ186-AN186</f>
        <v/>
      </c>
      <c r="AQ186" s="42">
        <f>AU185</f>
        <v/>
      </c>
      <c r="AR186" s="42">
        <f>ROUND(AQ186*AR$6/12,2)</f>
        <v/>
      </c>
      <c r="AS186" s="42">
        <f>MIN(AS$6,AQ186+AR186)</f>
        <v/>
      </c>
      <c r="AT186" s="42">
        <f>MAX(0,MIN(AQ186+AR186-AS186,AP186))</f>
        <v/>
      </c>
      <c r="AU186" s="42">
        <f>ROUND(AQ186+AR186-AS186-AT186,2)</f>
        <v/>
      </c>
      <c r="AV186">
        <f>AP186-AT186</f>
        <v/>
      </c>
      <c r="AW186" s="42">
        <f>BA185</f>
        <v/>
      </c>
      <c r="AX186" s="42">
        <f>ROUND(AW186*AX$6/12,2)</f>
        <v/>
      </c>
      <c r="AY186" s="42">
        <f>MIN(AY$6,AW186+AX186)</f>
        <v/>
      </c>
      <c r="AZ186" s="42">
        <f>MAX(0,MIN(AW186+AX186-AY186,AV186))</f>
        <v/>
      </c>
      <c r="BA186" s="42">
        <f>ROUND(AW186+AX186-AY186-AZ186,2)</f>
        <v/>
      </c>
      <c r="BB186">
        <f>AV186-AZ186</f>
        <v/>
      </c>
      <c r="BC186" s="42">
        <f>BG185</f>
        <v/>
      </c>
      <c r="BD186" s="42">
        <f>ROUND(BC186*BD$6/12,2)</f>
        <v/>
      </c>
      <c r="BE186" s="42">
        <f>MIN(BE$6,BC186+BD186)</f>
        <v/>
      </c>
      <c r="BF186" s="42">
        <f>MAX(0,MIN(BC186+BD186-BE186,BB186))</f>
        <v/>
      </c>
      <c r="BG186" s="42">
        <f>ROUND(BC186+BD186-BE186-BF186,2)</f>
        <v/>
      </c>
      <c r="BH186">
        <f>BB186-BF186</f>
        <v/>
      </c>
      <c r="BI186" s="42">
        <f>BM185</f>
        <v/>
      </c>
      <c r="BJ186" s="42">
        <f>ROUND(BI186*BJ$6/12,2)</f>
        <v/>
      </c>
      <c r="BK186" s="42">
        <f>MIN(BK$6,BI186+BJ186)</f>
        <v/>
      </c>
      <c r="BL186" s="42">
        <f>MAX(0,MIN(BI186+BJ186-BK186,BH186))</f>
        <v/>
      </c>
      <c r="BM186" s="42">
        <f>ROUND(BI186+BJ186-BK186-BL186,2)</f>
        <v/>
      </c>
      <c r="BN186">
        <f>BH186-BL186</f>
        <v/>
      </c>
    </row>
    <row r="187">
      <c r="A187" s="43" t="n">
        <v>180</v>
      </c>
      <c r="B187" s="44">
        <f>EDATE('My Debts'!$C$6,A187-1)</f>
        <v/>
      </c>
      <c r="C187" s="45">
        <f>K187+Q187+W187+AC187+AI187+AO187+AU187+BA187+BG187+BM187</f>
        <v/>
      </c>
      <c r="D187" s="46">
        <f>I187+O187+U187+AA187+AG187+AM187+AS187+AY187+BE187+BK187+J187+P187+V187+AB187+AH187+AN187+AT187+AZ187+BF187+BL187</f>
        <v/>
      </c>
      <c r="E187" s="46">
        <f>H187+N187+T187+Z187+AF187+AL187+AR187+AX187+BD187+BJ187</f>
        <v/>
      </c>
      <c r="F187">
        <f>MAX(0,'My Debts'!$E$21-(I187+O187+U187+AA187+AG187+AM187+AS187+AY187+BE187+BK187))</f>
        <v/>
      </c>
      <c r="G187" s="42">
        <f>K186</f>
        <v/>
      </c>
      <c r="H187" s="42">
        <f>ROUND(G187*H$6/12,2)</f>
        <v/>
      </c>
      <c r="I187" s="42">
        <f>MIN(I$6,G187+H187)</f>
        <v/>
      </c>
      <c r="J187" s="42">
        <f>MAX(0,MIN(G187+H187-I187,$F187))</f>
        <v/>
      </c>
      <c r="K187" s="42">
        <f>ROUND(G187+H187-I187-J187,2)</f>
        <v/>
      </c>
      <c r="L187">
        <f>$F187-J187</f>
        <v/>
      </c>
      <c r="M187" s="42">
        <f>Q186</f>
        <v/>
      </c>
      <c r="N187" s="42">
        <f>ROUND(M187*N$6/12,2)</f>
        <v/>
      </c>
      <c r="O187" s="42">
        <f>MIN(O$6,M187+N187)</f>
        <v/>
      </c>
      <c r="P187" s="42">
        <f>MAX(0,MIN(M187+N187-O187,L187))</f>
        <v/>
      </c>
      <c r="Q187" s="42">
        <f>ROUND(M187+N187-O187-P187,2)</f>
        <v/>
      </c>
      <c r="R187">
        <f>L187-P187</f>
        <v/>
      </c>
      <c r="S187" s="42">
        <f>W186</f>
        <v/>
      </c>
      <c r="T187" s="42">
        <f>ROUND(S187*T$6/12,2)</f>
        <v/>
      </c>
      <c r="U187" s="42">
        <f>MIN(U$6,S187+T187)</f>
        <v/>
      </c>
      <c r="V187" s="42">
        <f>MAX(0,MIN(S187+T187-U187,R187))</f>
        <v/>
      </c>
      <c r="W187" s="42">
        <f>ROUND(S187+T187-U187-V187,2)</f>
        <v/>
      </c>
      <c r="X187">
        <f>R187-V187</f>
        <v/>
      </c>
      <c r="Y187" s="42">
        <f>AC186</f>
        <v/>
      </c>
      <c r="Z187" s="42">
        <f>ROUND(Y187*Z$6/12,2)</f>
        <v/>
      </c>
      <c r="AA187" s="42">
        <f>MIN(AA$6,Y187+Z187)</f>
        <v/>
      </c>
      <c r="AB187" s="42">
        <f>MAX(0,MIN(Y187+Z187-AA187,X187))</f>
        <v/>
      </c>
      <c r="AC187" s="42">
        <f>ROUND(Y187+Z187-AA187-AB187,2)</f>
        <v/>
      </c>
      <c r="AD187">
        <f>X187-AB187</f>
        <v/>
      </c>
      <c r="AE187" s="42">
        <f>AI186</f>
        <v/>
      </c>
      <c r="AF187" s="42">
        <f>ROUND(AE187*AF$6/12,2)</f>
        <v/>
      </c>
      <c r="AG187" s="42">
        <f>MIN(AG$6,AE187+AF187)</f>
        <v/>
      </c>
      <c r="AH187" s="42">
        <f>MAX(0,MIN(AE187+AF187-AG187,AD187))</f>
        <v/>
      </c>
      <c r="AI187" s="42">
        <f>ROUND(AE187+AF187-AG187-AH187,2)</f>
        <v/>
      </c>
      <c r="AJ187">
        <f>AD187-AH187</f>
        <v/>
      </c>
      <c r="AK187" s="42">
        <f>AO186</f>
        <v/>
      </c>
      <c r="AL187" s="42">
        <f>ROUND(AK187*AL$6/12,2)</f>
        <v/>
      </c>
      <c r="AM187" s="42">
        <f>MIN(AM$6,AK187+AL187)</f>
        <v/>
      </c>
      <c r="AN187" s="42">
        <f>MAX(0,MIN(AK187+AL187-AM187,AJ187))</f>
        <v/>
      </c>
      <c r="AO187" s="42">
        <f>ROUND(AK187+AL187-AM187-AN187,2)</f>
        <v/>
      </c>
      <c r="AP187">
        <f>AJ187-AN187</f>
        <v/>
      </c>
      <c r="AQ187" s="42">
        <f>AU186</f>
        <v/>
      </c>
      <c r="AR187" s="42">
        <f>ROUND(AQ187*AR$6/12,2)</f>
        <v/>
      </c>
      <c r="AS187" s="42">
        <f>MIN(AS$6,AQ187+AR187)</f>
        <v/>
      </c>
      <c r="AT187" s="42">
        <f>MAX(0,MIN(AQ187+AR187-AS187,AP187))</f>
        <v/>
      </c>
      <c r="AU187" s="42">
        <f>ROUND(AQ187+AR187-AS187-AT187,2)</f>
        <v/>
      </c>
      <c r="AV187">
        <f>AP187-AT187</f>
        <v/>
      </c>
      <c r="AW187" s="42">
        <f>BA186</f>
        <v/>
      </c>
      <c r="AX187" s="42">
        <f>ROUND(AW187*AX$6/12,2)</f>
        <v/>
      </c>
      <c r="AY187" s="42">
        <f>MIN(AY$6,AW187+AX187)</f>
        <v/>
      </c>
      <c r="AZ187" s="42">
        <f>MAX(0,MIN(AW187+AX187-AY187,AV187))</f>
        <v/>
      </c>
      <c r="BA187" s="42">
        <f>ROUND(AW187+AX187-AY187-AZ187,2)</f>
        <v/>
      </c>
      <c r="BB187">
        <f>AV187-AZ187</f>
        <v/>
      </c>
      <c r="BC187" s="42">
        <f>BG186</f>
        <v/>
      </c>
      <c r="BD187" s="42">
        <f>ROUND(BC187*BD$6/12,2)</f>
        <v/>
      </c>
      <c r="BE187" s="42">
        <f>MIN(BE$6,BC187+BD187)</f>
        <v/>
      </c>
      <c r="BF187" s="42">
        <f>MAX(0,MIN(BC187+BD187-BE187,BB187))</f>
        <v/>
      </c>
      <c r="BG187" s="42">
        <f>ROUND(BC187+BD187-BE187-BF187,2)</f>
        <v/>
      </c>
      <c r="BH187">
        <f>BB187-BF187</f>
        <v/>
      </c>
      <c r="BI187" s="42">
        <f>BM186</f>
        <v/>
      </c>
      <c r="BJ187" s="42">
        <f>ROUND(BI187*BJ$6/12,2)</f>
        <v/>
      </c>
      <c r="BK187" s="42">
        <f>MIN(BK$6,BI187+BJ187)</f>
        <v/>
      </c>
      <c r="BL187" s="42">
        <f>MAX(0,MIN(BI187+BJ187-BK187,BH187))</f>
        <v/>
      </c>
      <c r="BM187" s="42">
        <f>ROUND(BI187+BJ187-BK187-BL187,2)</f>
        <v/>
      </c>
      <c r="BN187">
        <f>BH187-BL187</f>
        <v/>
      </c>
    </row>
    <row r="188">
      <c r="A188" s="39" t="n">
        <v>181</v>
      </c>
      <c r="B188" s="40">
        <f>EDATE('My Debts'!$C$6,A188-1)</f>
        <v/>
      </c>
      <c r="C188" s="41">
        <f>K188+Q188+W188+AC188+AI188+AO188+AU188+BA188+BG188+BM188</f>
        <v/>
      </c>
      <c r="D188" s="42">
        <f>I188+O188+U188+AA188+AG188+AM188+AS188+AY188+BE188+BK188+J188+P188+V188+AB188+AH188+AN188+AT188+AZ188+BF188+BL188</f>
        <v/>
      </c>
      <c r="E188" s="42">
        <f>H188+N188+T188+Z188+AF188+AL188+AR188+AX188+BD188+BJ188</f>
        <v/>
      </c>
      <c r="F188">
        <f>MAX(0,'My Debts'!$E$21-(I188+O188+U188+AA188+AG188+AM188+AS188+AY188+BE188+BK188))</f>
        <v/>
      </c>
      <c r="G188" s="42">
        <f>K187</f>
        <v/>
      </c>
      <c r="H188" s="42">
        <f>ROUND(G188*H$6/12,2)</f>
        <v/>
      </c>
      <c r="I188" s="42">
        <f>MIN(I$6,G188+H188)</f>
        <v/>
      </c>
      <c r="J188" s="42">
        <f>MAX(0,MIN(G188+H188-I188,$F188))</f>
        <v/>
      </c>
      <c r="K188" s="42">
        <f>ROUND(G188+H188-I188-J188,2)</f>
        <v/>
      </c>
      <c r="L188">
        <f>$F188-J188</f>
        <v/>
      </c>
      <c r="M188" s="42">
        <f>Q187</f>
        <v/>
      </c>
      <c r="N188" s="42">
        <f>ROUND(M188*N$6/12,2)</f>
        <v/>
      </c>
      <c r="O188" s="42">
        <f>MIN(O$6,M188+N188)</f>
        <v/>
      </c>
      <c r="P188" s="42">
        <f>MAX(0,MIN(M188+N188-O188,L188))</f>
        <v/>
      </c>
      <c r="Q188" s="42">
        <f>ROUND(M188+N188-O188-P188,2)</f>
        <v/>
      </c>
      <c r="R188">
        <f>L188-P188</f>
        <v/>
      </c>
      <c r="S188" s="42">
        <f>W187</f>
        <v/>
      </c>
      <c r="T188" s="42">
        <f>ROUND(S188*T$6/12,2)</f>
        <v/>
      </c>
      <c r="U188" s="42">
        <f>MIN(U$6,S188+T188)</f>
        <v/>
      </c>
      <c r="V188" s="42">
        <f>MAX(0,MIN(S188+T188-U188,R188))</f>
        <v/>
      </c>
      <c r="W188" s="42">
        <f>ROUND(S188+T188-U188-V188,2)</f>
        <v/>
      </c>
      <c r="X188">
        <f>R188-V188</f>
        <v/>
      </c>
      <c r="Y188" s="42">
        <f>AC187</f>
        <v/>
      </c>
      <c r="Z188" s="42">
        <f>ROUND(Y188*Z$6/12,2)</f>
        <v/>
      </c>
      <c r="AA188" s="42">
        <f>MIN(AA$6,Y188+Z188)</f>
        <v/>
      </c>
      <c r="AB188" s="42">
        <f>MAX(0,MIN(Y188+Z188-AA188,X188))</f>
        <v/>
      </c>
      <c r="AC188" s="42">
        <f>ROUND(Y188+Z188-AA188-AB188,2)</f>
        <v/>
      </c>
      <c r="AD188">
        <f>X188-AB188</f>
        <v/>
      </c>
      <c r="AE188" s="42">
        <f>AI187</f>
        <v/>
      </c>
      <c r="AF188" s="42">
        <f>ROUND(AE188*AF$6/12,2)</f>
        <v/>
      </c>
      <c r="AG188" s="42">
        <f>MIN(AG$6,AE188+AF188)</f>
        <v/>
      </c>
      <c r="AH188" s="42">
        <f>MAX(0,MIN(AE188+AF188-AG188,AD188))</f>
        <v/>
      </c>
      <c r="AI188" s="42">
        <f>ROUND(AE188+AF188-AG188-AH188,2)</f>
        <v/>
      </c>
      <c r="AJ188">
        <f>AD188-AH188</f>
        <v/>
      </c>
      <c r="AK188" s="42">
        <f>AO187</f>
        <v/>
      </c>
      <c r="AL188" s="42">
        <f>ROUND(AK188*AL$6/12,2)</f>
        <v/>
      </c>
      <c r="AM188" s="42">
        <f>MIN(AM$6,AK188+AL188)</f>
        <v/>
      </c>
      <c r="AN188" s="42">
        <f>MAX(0,MIN(AK188+AL188-AM188,AJ188))</f>
        <v/>
      </c>
      <c r="AO188" s="42">
        <f>ROUND(AK188+AL188-AM188-AN188,2)</f>
        <v/>
      </c>
      <c r="AP188">
        <f>AJ188-AN188</f>
        <v/>
      </c>
      <c r="AQ188" s="42">
        <f>AU187</f>
        <v/>
      </c>
      <c r="AR188" s="42">
        <f>ROUND(AQ188*AR$6/12,2)</f>
        <v/>
      </c>
      <c r="AS188" s="42">
        <f>MIN(AS$6,AQ188+AR188)</f>
        <v/>
      </c>
      <c r="AT188" s="42">
        <f>MAX(0,MIN(AQ188+AR188-AS188,AP188))</f>
        <v/>
      </c>
      <c r="AU188" s="42">
        <f>ROUND(AQ188+AR188-AS188-AT188,2)</f>
        <v/>
      </c>
      <c r="AV188">
        <f>AP188-AT188</f>
        <v/>
      </c>
      <c r="AW188" s="42">
        <f>BA187</f>
        <v/>
      </c>
      <c r="AX188" s="42">
        <f>ROUND(AW188*AX$6/12,2)</f>
        <v/>
      </c>
      <c r="AY188" s="42">
        <f>MIN(AY$6,AW188+AX188)</f>
        <v/>
      </c>
      <c r="AZ188" s="42">
        <f>MAX(0,MIN(AW188+AX188-AY188,AV188))</f>
        <v/>
      </c>
      <c r="BA188" s="42">
        <f>ROUND(AW188+AX188-AY188-AZ188,2)</f>
        <v/>
      </c>
      <c r="BB188">
        <f>AV188-AZ188</f>
        <v/>
      </c>
      <c r="BC188" s="42">
        <f>BG187</f>
        <v/>
      </c>
      <c r="BD188" s="42">
        <f>ROUND(BC188*BD$6/12,2)</f>
        <v/>
      </c>
      <c r="BE188" s="42">
        <f>MIN(BE$6,BC188+BD188)</f>
        <v/>
      </c>
      <c r="BF188" s="42">
        <f>MAX(0,MIN(BC188+BD188-BE188,BB188))</f>
        <v/>
      </c>
      <c r="BG188" s="42">
        <f>ROUND(BC188+BD188-BE188-BF188,2)</f>
        <v/>
      </c>
      <c r="BH188">
        <f>BB188-BF188</f>
        <v/>
      </c>
      <c r="BI188" s="42">
        <f>BM187</f>
        <v/>
      </c>
      <c r="BJ188" s="42">
        <f>ROUND(BI188*BJ$6/12,2)</f>
        <v/>
      </c>
      <c r="BK188" s="42">
        <f>MIN(BK$6,BI188+BJ188)</f>
        <v/>
      </c>
      <c r="BL188" s="42">
        <f>MAX(0,MIN(BI188+BJ188-BK188,BH188))</f>
        <v/>
      </c>
      <c r="BM188" s="42">
        <f>ROUND(BI188+BJ188-BK188-BL188,2)</f>
        <v/>
      </c>
      <c r="BN188">
        <f>BH188-BL188</f>
        <v/>
      </c>
    </row>
    <row r="189">
      <c r="A189" s="43" t="n">
        <v>182</v>
      </c>
      <c r="B189" s="44">
        <f>EDATE('My Debts'!$C$6,A189-1)</f>
        <v/>
      </c>
      <c r="C189" s="45">
        <f>K189+Q189+W189+AC189+AI189+AO189+AU189+BA189+BG189+BM189</f>
        <v/>
      </c>
      <c r="D189" s="46">
        <f>I189+O189+U189+AA189+AG189+AM189+AS189+AY189+BE189+BK189+J189+P189+V189+AB189+AH189+AN189+AT189+AZ189+BF189+BL189</f>
        <v/>
      </c>
      <c r="E189" s="46">
        <f>H189+N189+T189+Z189+AF189+AL189+AR189+AX189+BD189+BJ189</f>
        <v/>
      </c>
      <c r="F189">
        <f>MAX(0,'My Debts'!$E$21-(I189+O189+U189+AA189+AG189+AM189+AS189+AY189+BE189+BK189))</f>
        <v/>
      </c>
      <c r="G189" s="42">
        <f>K188</f>
        <v/>
      </c>
      <c r="H189" s="42">
        <f>ROUND(G189*H$6/12,2)</f>
        <v/>
      </c>
      <c r="I189" s="42">
        <f>MIN(I$6,G189+H189)</f>
        <v/>
      </c>
      <c r="J189" s="42">
        <f>MAX(0,MIN(G189+H189-I189,$F189))</f>
        <v/>
      </c>
      <c r="K189" s="42">
        <f>ROUND(G189+H189-I189-J189,2)</f>
        <v/>
      </c>
      <c r="L189">
        <f>$F189-J189</f>
        <v/>
      </c>
      <c r="M189" s="42">
        <f>Q188</f>
        <v/>
      </c>
      <c r="N189" s="42">
        <f>ROUND(M189*N$6/12,2)</f>
        <v/>
      </c>
      <c r="O189" s="42">
        <f>MIN(O$6,M189+N189)</f>
        <v/>
      </c>
      <c r="P189" s="42">
        <f>MAX(0,MIN(M189+N189-O189,L189))</f>
        <v/>
      </c>
      <c r="Q189" s="42">
        <f>ROUND(M189+N189-O189-P189,2)</f>
        <v/>
      </c>
      <c r="R189">
        <f>L189-P189</f>
        <v/>
      </c>
      <c r="S189" s="42">
        <f>W188</f>
        <v/>
      </c>
      <c r="T189" s="42">
        <f>ROUND(S189*T$6/12,2)</f>
        <v/>
      </c>
      <c r="U189" s="42">
        <f>MIN(U$6,S189+T189)</f>
        <v/>
      </c>
      <c r="V189" s="42">
        <f>MAX(0,MIN(S189+T189-U189,R189))</f>
        <v/>
      </c>
      <c r="W189" s="42">
        <f>ROUND(S189+T189-U189-V189,2)</f>
        <v/>
      </c>
      <c r="X189">
        <f>R189-V189</f>
        <v/>
      </c>
      <c r="Y189" s="42">
        <f>AC188</f>
        <v/>
      </c>
      <c r="Z189" s="42">
        <f>ROUND(Y189*Z$6/12,2)</f>
        <v/>
      </c>
      <c r="AA189" s="42">
        <f>MIN(AA$6,Y189+Z189)</f>
        <v/>
      </c>
      <c r="AB189" s="42">
        <f>MAX(0,MIN(Y189+Z189-AA189,X189))</f>
        <v/>
      </c>
      <c r="AC189" s="42">
        <f>ROUND(Y189+Z189-AA189-AB189,2)</f>
        <v/>
      </c>
      <c r="AD189">
        <f>X189-AB189</f>
        <v/>
      </c>
      <c r="AE189" s="42">
        <f>AI188</f>
        <v/>
      </c>
      <c r="AF189" s="42">
        <f>ROUND(AE189*AF$6/12,2)</f>
        <v/>
      </c>
      <c r="AG189" s="42">
        <f>MIN(AG$6,AE189+AF189)</f>
        <v/>
      </c>
      <c r="AH189" s="42">
        <f>MAX(0,MIN(AE189+AF189-AG189,AD189))</f>
        <v/>
      </c>
      <c r="AI189" s="42">
        <f>ROUND(AE189+AF189-AG189-AH189,2)</f>
        <v/>
      </c>
      <c r="AJ189">
        <f>AD189-AH189</f>
        <v/>
      </c>
      <c r="AK189" s="42">
        <f>AO188</f>
        <v/>
      </c>
      <c r="AL189" s="42">
        <f>ROUND(AK189*AL$6/12,2)</f>
        <v/>
      </c>
      <c r="AM189" s="42">
        <f>MIN(AM$6,AK189+AL189)</f>
        <v/>
      </c>
      <c r="AN189" s="42">
        <f>MAX(0,MIN(AK189+AL189-AM189,AJ189))</f>
        <v/>
      </c>
      <c r="AO189" s="42">
        <f>ROUND(AK189+AL189-AM189-AN189,2)</f>
        <v/>
      </c>
      <c r="AP189">
        <f>AJ189-AN189</f>
        <v/>
      </c>
      <c r="AQ189" s="42">
        <f>AU188</f>
        <v/>
      </c>
      <c r="AR189" s="42">
        <f>ROUND(AQ189*AR$6/12,2)</f>
        <v/>
      </c>
      <c r="AS189" s="42">
        <f>MIN(AS$6,AQ189+AR189)</f>
        <v/>
      </c>
      <c r="AT189" s="42">
        <f>MAX(0,MIN(AQ189+AR189-AS189,AP189))</f>
        <v/>
      </c>
      <c r="AU189" s="42">
        <f>ROUND(AQ189+AR189-AS189-AT189,2)</f>
        <v/>
      </c>
      <c r="AV189">
        <f>AP189-AT189</f>
        <v/>
      </c>
      <c r="AW189" s="42">
        <f>BA188</f>
        <v/>
      </c>
      <c r="AX189" s="42">
        <f>ROUND(AW189*AX$6/12,2)</f>
        <v/>
      </c>
      <c r="AY189" s="42">
        <f>MIN(AY$6,AW189+AX189)</f>
        <v/>
      </c>
      <c r="AZ189" s="42">
        <f>MAX(0,MIN(AW189+AX189-AY189,AV189))</f>
        <v/>
      </c>
      <c r="BA189" s="42">
        <f>ROUND(AW189+AX189-AY189-AZ189,2)</f>
        <v/>
      </c>
      <c r="BB189">
        <f>AV189-AZ189</f>
        <v/>
      </c>
      <c r="BC189" s="42">
        <f>BG188</f>
        <v/>
      </c>
      <c r="BD189" s="42">
        <f>ROUND(BC189*BD$6/12,2)</f>
        <v/>
      </c>
      <c r="BE189" s="42">
        <f>MIN(BE$6,BC189+BD189)</f>
        <v/>
      </c>
      <c r="BF189" s="42">
        <f>MAX(0,MIN(BC189+BD189-BE189,BB189))</f>
        <v/>
      </c>
      <c r="BG189" s="42">
        <f>ROUND(BC189+BD189-BE189-BF189,2)</f>
        <v/>
      </c>
      <c r="BH189">
        <f>BB189-BF189</f>
        <v/>
      </c>
      <c r="BI189" s="42">
        <f>BM188</f>
        <v/>
      </c>
      <c r="BJ189" s="42">
        <f>ROUND(BI189*BJ$6/12,2)</f>
        <v/>
      </c>
      <c r="BK189" s="42">
        <f>MIN(BK$6,BI189+BJ189)</f>
        <v/>
      </c>
      <c r="BL189" s="42">
        <f>MAX(0,MIN(BI189+BJ189-BK189,BH189))</f>
        <v/>
      </c>
      <c r="BM189" s="42">
        <f>ROUND(BI189+BJ189-BK189-BL189,2)</f>
        <v/>
      </c>
      <c r="BN189">
        <f>BH189-BL189</f>
        <v/>
      </c>
    </row>
    <row r="190">
      <c r="A190" s="39" t="n">
        <v>183</v>
      </c>
      <c r="B190" s="40">
        <f>EDATE('My Debts'!$C$6,A190-1)</f>
        <v/>
      </c>
      <c r="C190" s="41">
        <f>K190+Q190+W190+AC190+AI190+AO190+AU190+BA190+BG190+BM190</f>
        <v/>
      </c>
      <c r="D190" s="42">
        <f>I190+O190+U190+AA190+AG190+AM190+AS190+AY190+BE190+BK190+J190+P190+V190+AB190+AH190+AN190+AT190+AZ190+BF190+BL190</f>
        <v/>
      </c>
      <c r="E190" s="42">
        <f>H190+N190+T190+Z190+AF190+AL190+AR190+AX190+BD190+BJ190</f>
        <v/>
      </c>
      <c r="F190">
        <f>MAX(0,'My Debts'!$E$21-(I190+O190+U190+AA190+AG190+AM190+AS190+AY190+BE190+BK190))</f>
        <v/>
      </c>
      <c r="G190" s="42">
        <f>K189</f>
        <v/>
      </c>
      <c r="H190" s="42">
        <f>ROUND(G190*H$6/12,2)</f>
        <v/>
      </c>
      <c r="I190" s="42">
        <f>MIN(I$6,G190+H190)</f>
        <v/>
      </c>
      <c r="J190" s="42">
        <f>MAX(0,MIN(G190+H190-I190,$F190))</f>
        <v/>
      </c>
      <c r="K190" s="42">
        <f>ROUND(G190+H190-I190-J190,2)</f>
        <v/>
      </c>
      <c r="L190">
        <f>$F190-J190</f>
        <v/>
      </c>
      <c r="M190" s="42">
        <f>Q189</f>
        <v/>
      </c>
      <c r="N190" s="42">
        <f>ROUND(M190*N$6/12,2)</f>
        <v/>
      </c>
      <c r="O190" s="42">
        <f>MIN(O$6,M190+N190)</f>
        <v/>
      </c>
      <c r="P190" s="42">
        <f>MAX(0,MIN(M190+N190-O190,L190))</f>
        <v/>
      </c>
      <c r="Q190" s="42">
        <f>ROUND(M190+N190-O190-P190,2)</f>
        <v/>
      </c>
      <c r="R190">
        <f>L190-P190</f>
        <v/>
      </c>
      <c r="S190" s="42">
        <f>W189</f>
        <v/>
      </c>
      <c r="T190" s="42">
        <f>ROUND(S190*T$6/12,2)</f>
        <v/>
      </c>
      <c r="U190" s="42">
        <f>MIN(U$6,S190+T190)</f>
        <v/>
      </c>
      <c r="V190" s="42">
        <f>MAX(0,MIN(S190+T190-U190,R190))</f>
        <v/>
      </c>
      <c r="W190" s="42">
        <f>ROUND(S190+T190-U190-V190,2)</f>
        <v/>
      </c>
      <c r="X190">
        <f>R190-V190</f>
        <v/>
      </c>
      <c r="Y190" s="42">
        <f>AC189</f>
        <v/>
      </c>
      <c r="Z190" s="42">
        <f>ROUND(Y190*Z$6/12,2)</f>
        <v/>
      </c>
      <c r="AA190" s="42">
        <f>MIN(AA$6,Y190+Z190)</f>
        <v/>
      </c>
      <c r="AB190" s="42">
        <f>MAX(0,MIN(Y190+Z190-AA190,X190))</f>
        <v/>
      </c>
      <c r="AC190" s="42">
        <f>ROUND(Y190+Z190-AA190-AB190,2)</f>
        <v/>
      </c>
      <c r="AD190">
        <f>X190-AB190</f>
        <v/>
      </c>
      <c r="AE190" s="42">
        <f>AI189</f>
        <v/>
      </c>
      <c r="AF190" s="42">
        <f>ROUND(AE190*AF$6/12,2)</f>
        <v/>
      </c>
      <c r="AG190" s="42">
        <f>MIN(AG$6,AE190+AF190)</f>
        <v/>
      </c>
      <c r="AH190" s="42">
        <f>MAX(0,MIN(AE190+AF190-AG190,AD190))</f>
        <v/>
      </c>
      <c r="AI190" s="42">
        <f>ROUND(AE190+AF190-AG190-AH190,2)</f>
        <v/>
      </c>
      <c r="AJ190">
        <f>AD190-AH190</f>
        <v/>
      </c>
      <c r="AK190" s="42">
        <f>AO189</f>
        <v/>
      </c>
      <c r="AL190" s="42">
        <f>ROUND(AK190*AL$6/12,2)</f>
        <v/>
      </c>
      <c r="AM190" s="42">
        <f>MIN(AM$6,AK190+AL190)</f>
        <v/>
      </c>
      <c r="AN190" s="42">
        <f>MAX(0,MIN(AK190+AL190-AM190,AJ190))</f>
        <v/>
      </c>
      <c r="AO190" s="42">
        <f>ROUND(AK190+AL190-AM190-AN190,2)</f>
        <v/>
      </c>
      <c r="AP190">
        <f>AJ190-AN190</f>
        <v/>
      </c>
      <c r="AQ190" s="42">
        <f>AU189</f>
        <v/>
      </c>
      <c r="AR190" s="42">
        <f>ROUND(AQ190*AR$6/12,2)</f>
        <v/>
      </c>
      <c r="AS190" s="42">
        <f>MIN(AS$6,AQ190+AR190)</f>
        <v/>
      </c>
      <c r="AT190" s="42">
        <f>MAX(0,MIN(AQ190+AR190-AS190,AP190))</f>
        <v/>
      </c>
      <c r="AU190" s="42">
        <f>ROUND(AQ190+AR190-AS190-AT190,2)</f>
        <v/>
      </c>
      <c r="AV190">
        <f>AP190-AT190</f>
        <v/>
      </c>
      <c r="AW190" s="42">
        <f>BA189</f>
        <v/>
      </c>
      <c r="AX190" s="42">
        <f>ROUND(AW190*AX$6/12,2)</f>
        <v/>
      </c>
      <c r="AY190" s="42">
        <f>MIN(AY$6,AW190+AX190)</f>
        <v/>
      </c>
      <c r="AZ190" s="42">
        <f>MAX(0,MIN(AW190+AX190-AY190,AV190))</f>
        <v/>
      </c>
      <c r="BA190" s="42">
        <f>ROUND(AW190+AX190-AY190-AZ190,2)</f>
        <v/>
      </c>
      <c r="BB190">
        <f>AV190-AZ190</f>
        <v/>
      </c>
      <c r="BC190" s="42">
        <f>BG189</f>
        <v/>
      </c>
      <c r="BD190" s="42">
        <f>ROUND(BC190*BD$6/12,2)</f>
        <v/>
      </c>
      <c r="BE190" s="42">
        <f>MIN(BE$6,BC190+BD190)</f>
        <v/>
      </c>
      <c r="BF190" s="42">
        <f>MAX(0,MIN(BC190+BD190-BE190,BB190))</f>
        <v/>
      </c>
      <c r="BG190" s="42">
        <f>ROUND(BC190+BD190-BE190-BF190,2)</f>
        <v/>
      </c>
      <c r="BH190">
        <f>BB190-BF190</f>
        <v/>
      </c>
      <c r="BI190" s="42">
        <f>BM189</f>
        <v/>
      </c>
      <c r="BJ190" s="42">
        <f>ROUND(BI190*BJ$6/12,2)</f>
        <v/>
      </c>
      <c r="BK190" s="42">
        <f>MIN(BK$6,BI190+BJ190)</f>
        <v/>
      </c>
      <c r="BL190" s="42">
        <f>MAX(0,MIN(BI190+BJ190-BK190,BH190))</f>
        <v/>
      </c>
      <c r="BM190" s="42">
        <f>ROUND(BI190+BJ190-BK190-BL190,2)</f>
        <v/>
      </c>
      <c r="BN190">
        <f>BH190-BL190</f>
        <v/>
      </c>
    </row>
    <row r="191">
      <c r="A191" s="43" t="n">
        <v>184</v>
      </c>
      <c r="B191" s="44">
        <f>EDATE('My Debts'!$C$6,A191-1)</f>
        <v/>
      </c>
      <c r="C191" s="45">
        <f>K191+Q191+W191+AC191+AI191+AO191+AU191+BA191+BG191+BM191</f>
        <v/>
      </c>
      <c r="D191" s="46">
        <f>I191+O191+U191+AA191+AG191+AM191+AS191+AY191+BE191+BK191+J191+P191+V191+AB191+AH191+AN191+AT191+AZ191+BF191+BL191</f>
        <v/>
      </c>
      <c r="E191" s="46">
        <f>H191+N191+T191+Z191+AF191+AL191+AR191+AX191+BD191+BJ191</f>
        <v/>
      </c>
      <c r="F191">
        <f>MAX(0,'My Debts'!$E$21-(I191+O191+U191+AA191+AG191+AM191+AS191+AY191+BE191+BK191))</f>
        <v/>
      </c>
      <c r="G191" s="42">
        <f>K190</f>
        <v/>
      </c>
      <c r="H191" s="42">
        <f>ROUND(G191*H$6/12,2)</f>
        <v/>
      </c>
      <c r="I191" s="42">
        <f>MIN(I$6,G191+H191)</f>
        <v/>
      </c>
      <c r="J191" s="42">
        <f>MAX(0,MIN(G191+H191-I191,$F191))</f>
        <v/>
      </c>
      <c r="K191" s="42">
        <f>ROUND(G191+H191-I191-J191,2)</f>
        <v/>
      </c>
      <c r="L191">
        <f>$F191-J191</f>
        <v/>
      </c>
      <c r="M191" s="42">
        <f>Q190</f>
        <v/>
      </c>
      <c r="N191" s="42">
        <f>ROUND(M191*N$6/12,2)</f>
        <v/>
      </c>
      <c r="O191" s="42">
        <f>MIN(O$6,M191+N191)</f>
        <v/>
      </c>
      <c r="P191" s="42">
        <f>MAX(0,MIN(M191+N191-O191,L191))</f>
        <v/>
      </c>
      <c r="Q191" s="42">
        <f>ROUND(M191+N191-O191-P191,2)</f>
        <v/>
      </c>
      <c r="R191">
        <f>L191-P191</f>
        <v/>
      </c>
      <c r="S191" s="42">
        <f>W190</f>
        <v/>
      </c>
      <c r="T191" s="42">
        <f>ROUND(S191*T$6/12,2)</f>
        <v/>
      </c>
      <c r="U191" s="42">
        <f>MIN(U$6,S191+T191)</f>
        <v/>
      </c>
      <c r="V191" s="42">
        <f>MAX(0,MIN(S191+T191-U191,R191))</f>
        <v/>
      </c>
      <c r="W191" s="42">
        <f>ROUND(S191+T191-U191-V191,2)</f>
        <v/>
      </c>
      <c r="X191">
        <f>R191-V191</f>
        <v/>
      </c>
      <c r="Y191" s="42">
        <f>AC190</f>
        <v/>
      </c>
      <c r="Z191" s="42">
        <f>ROUND(Y191*Z$6/12,2)</f>
        <v/>
      </c>
      <c r="AA191" s="42">
        <f>MIN(AA$6,Y191+Z191)</f>
        <v/>
      </c>
      <c r="AB191" s="42">
        <f>MAX(0,MIN(Y191+Z191-AA191,X191))</f>
        <v/>
      </c>
      <c r="AC191" s="42">
        <f>ROUND(Y191+Z191-AA191-AB191,2)</f>
        <v/>
      </c>
      <c r="AD191">
        <f>X191-AB191</f>
        <v/>
      </c>
      <c r="AE191" s="42">
        <f>AI190</f>
        <v/>
      </c>
      <c r="AF191" s="42">
        <f>ROUND(AE191*AF$6/12,2)</f>
        <v/>
      </c>
      <c r="AG191" s="42">
        <f>MIN(AG$6,AE191+AF191)</f>
        <v/>
      </c>
      <c r="AH191" s="42">
        <f>MAX(0,MIN(AE191+AF191-AG191,AD191))</f>
        <v/>
      </c>
      <c r="AI191" s="42">
        <f>ROUND(AE191+AF191-AG191-AH191,2)</f>
        <v/>
      </c>
      <c r="AJ191">
        <f>AD191-AH191</f>
        <v/>
      </c>
      <c r="AK191" s="42">
        <f>AO190</f>
        <v/>
      </c>
      <c r="AL191" s="42">
        <f>ROUND(AK191*AL$6/12,2)</f>
        <v/>
      </c>
      <c r="AM191" s="42">
        <f>MIN(AM$6,AK191+AL191)</f>
        <v/>
      </c>
      <c r="AN191" s="42">
        <f>MAX(0,MIN(AK191+AL191-AM191,AJ191))</f>
        <v/>
      </c>
      <c r="AO191" s="42">
        <f>ROUND(AK191+AL191-AM191-AN191,2)</f>
        <v/>
      </c>
      <c r="AP191">
        <f>AJ191-AN191</f>
        <v/>
      </c>
      <c r="AQ191" s="42">
        <f>AU190</f>
        <v/>
      </c>
      <c r="AR191" s="42">
        <f>ROUND(AQ191*AR$6/12,2)</f>
        <v/>
      </c>
      <c r="AS191" s="42">
        <f>MIN(AS$6,AQ191+AR191)</f>
        <v/>
      </c>
      <c r="AT191" s="42">
        <f>MAX(0,MIN(AQ191+AR191-AS191,AP191))</f>
        <v/>
      </c>
      <c r="AU191" s="42">
        <f>ROUND(AQ191+AR191-AS191-AT191,2)</f>
        <v/>
      </c>
      <c r="AV191">
        <f>AP191-AT191</f>
        <v/>
      </c>
      <c r="AW191" s="42">
        <f>BA190</f>
        <v/>
      </c>
      <c r="AX191" s="42">
        <f>ROUND(AW191*AX$6/12,2)</f>
        <v/>
      </c>
      <c r="AY191" s="42">
        <f>MIN(AY$6,AW191+AX191)</f>
        <v/>
      </c>
      <c r="AZ191" s="42">
        <f>MAX(0,MIN(AW191+AX191-AY191,AV191))</f>
        <v/>
      </c>
      <c r="BA191" s="42">
        <f>ROUND(AW191+AX191-AY191-AZ191,2)</f>
        <v/>
      </c>
      <c r="BB191">
        <f>AV191-AZ191</f>
        <v/>
      </c>
      <c r="BC191" s="42">
        <f>BG190</f>
        <v/>
      </c>
      <c r="BD191" s="42">
        <f>ROUND(BC191*BD$6/12,2)</f>
        <v/>
      </c>
      <c r="BE191" s="42">
        <f>MIN(BE$6,BC191+BD191)</f>
        <v/>
      </c>
      <c r="BF191" s="42">
        <f>MAX(0,MIN(BC191+BD191-BE191,BB191))</f>
        <v/>
      </c>
      <c r="BG191" s="42">
        <f>ROUND(BC191+BD191-BE191-BF191,2)</f>
        <v/>
      </c>
      <c r="BH191">
        <f>BB191-BF191</f>
        <v/>
      </c>
      <c r="BI191" s="42">
        <f>BM190</f>
        <v/>
      </c>
      <c r="BJ191" s="42">
        <f>ROUND(BI191*BJ$6/12,2)</f>
        <v/>
      </c>
      <c r="BK191" s="42">
        <f>MIN(BK$6,BI191+BJ191)</f>
        <v/>
      </c>
      <c r="BL191" s="42">
        <f>MAX(0,MIN(BI191+BJ191-BK191,BH191))</f>
        <v/>
      </c>
      <c r="BM191" s="42">
        <f>ROUND(BI191+BJ191-BK191-BL191,2)</f>
        <v/>
      </c>
      <c r="BN191">
        <f>BH191-BL191</f>
        <v/>
      </c>
    </row>
    <row r="192">
      <c r="A192" s="39" t="n">
        <v>185</v>
      </c>
      <c r="B192" s="40">
        <f>EDATE('My Debts'!$C$6,A192-1)</f>
        <v/>
      </c>
      <c r="C192" s="41">
        <f>K192+Q192+W192+AC192+AI192+AO192+AU192+BA192+BG192+BM192</f>
        <v/>
      </c>
      <c r="D192" s="42">
        <f>I192+O192+U192+AA192+AG192+AM192+AS192+AY192+BE192+BK192+J192+P192+V192+AB192+AH192+AN192+AT192+AZ192+BF192+BL192</f>
        <v/>
      </c>
      <c r="E192" s="42">
        <f>H192+N192+T192+Z192+AF192+AL192+AR192+AX192+BD192+BJ192</f>
        <v/>
      </c>
      <c r="F192">
        <f>MAX(0,'My Debts'!$E$21-(I192+O192+U192+AA192+AG192+AM192+AS192+AY192+BE192+BK192))</f>
        <v/>
      </c>
      <c r="G192" s="42">
        <f>K191</f>
        <v/>
      </c>
      <c r="H192" s="42">
        <f>ROUND(G192*H$6/12,2)</f>
        <v/>
      </c>
      <c r="I192" s="42">
        <f>MIN(I$6,G192+H192)</f>
        <v/>
      </c>
      <c r="J192" s="42">
        <f>MAX(0,MIN(G192+H192-I192,$F192))</f>
        <v/>
      </c>
      <c r="K192" s="42">
        <f>ROUND(G192+H192-I192-J192,2)</f>
        <v/>
      </c>
      <c r="L192">
        <f>$F192-J192</f>
        <v/>
      </c>
      <c r="M192" s="42">
        <f>Q191</f>
        <v/>
      </c>
      <c r="N192" s="42">
        <f>ROUND(M192*N$6/12,2)</f>
        <v/>
      </c>
      <c r="O192" s="42">
        <f>MIN(O$6,M192+N192)</f>
        <v/>
      </c>
      <c r="P192" s="42">
        <f>MAX(0,MIN(M192+N192-O192,L192))</f>
        <v/>
      </c>
      <c r="Q192" s="42">
        <f>ROUND(M192+N192-O192-P192,2)</f>
        <v/>
      </c>
      <c r="R192">
        <f>L192-P192</f>
        <v/>
      </c>
      <c r="S192" s="42">
        <f>W191</f>
        <v/>
      </c>
      <c r="T192" s="42">
        <f>ROUND(S192*T$6/12,2)</f>
        <v/>
      </c>
      <c r="U192" s="42">
        <f>MIN(U$6,S192+T192)</f>
        <v/>
      </c>
      <c r="V192" s="42">
        <f>MAX(0,MIN(S192+T192-U192,R192))</f>
        <v/>
      </c>
      <c r="W192" s="42">
        <f>ROUND(S192+T192-U192-V192,2)</f>
        <v/>
      </c>
      <c r="X192">
        <f>R192-V192</f>
        <v/>
      </c>
      <c r="Y192" s="42">
        <f>AC191</f>
        <v/>
      </c>
      <c r="Z192" s="42">
        <f>ROUND(Y192*Z$6/12,2)</f>
        <v/>
      </c>
      <c r="AA192" s="42">
        <f>MIN(AA$6,Y192+Z192)</f>
        <v/>
      </c>
      <c r="AB192" s="42">
        <f>MAX(0,MIN(Y192+Z192-AA192,X192))</f>
        <v/>
      </c>
      <c r="AC192" s="42">
        <f>ROUND(Y192+Z192-AA192-AB192,2)</f>
        <v/>
      </c>
      <c r="AD192">
        <f>X192-AB192</f>
        <v/>
      </c>
      <c r="AE192" s="42">
        <f>AI191</f>
        <v/>
      </c>
      <c r="AF192" s="42">
        <f>ROUND(AE192*AF$6/12,2)</f>
        <v/>
      </c>
      <c r="AG192" s="42">
        <f>MIN(AG$6,AE192+AF192)</f>
        <v/>
      </c>
      <c r="AH192" s="42">
        <f>MAX(0,MIN(AE192+AF192-AG192,AD192))</f>
        <v/>
      </c>
      <c r="AI192" s="42">
        <f>ROUND(AE192+AF192-AG192-AH192,2)</f>
        <v/>
      </c>
      <c r="AJ192">
        <f>AD192-AH192</f>
        <v/>
      </c>
      <c r="AK192" s="42">
        <f>AO191</f>
        <v/>
      </c>
      <c r="AL192" s="42">
        <f>ROUND(AK192*AL$6/12,2)</f>
        <v/>
      </c>
      <c r="AM192" s="42">
        <f>MIN(AM$6,AK192+AL192)</f>
        <v/>
      </c>
      <c r="AN192" s="42">
        <f>MAX(0,MIN(AK192+AL192-AM192,AJ192))</f>
        <v/>
      </c>
      <c r="AO192" s="42">
        <f>ROUND(AK192+AL192-AM192-AN192,2)</f>
        <v/>
      </c>
      <c r="AP192">
        <f>AJ192-AN192</f>
        <v/>
      </c>
      <c r="AQ192" s="42">
        <f>AU191</f>
        <v/>
      </c>
      <c r="AR192" s="42">
        <f>ROUND(AQ192*AR$6/12,2)</f>
        <v/>
      </c>
      <c r="AS192" s="42">
        <f>MIN(AS$6,AQ192+AR192)</f>
        <v/>
      </c>
      <c r="AT192" s="42">
        <f>MAX(0,MIN(AQ192+AR192-AS192,AP192))</f>
        <v/>
      </c>
      <c r="AU192" s="42">
        <f>ROUND(AQ192+AR192-AS192-AT192,2)</f>
        <v/>
      </c>
      <c r="AV192">
        <f>AP192-AT192</f>
        <v/>
      </c>
      <c r="AW192" s="42">
        <f>BA191</f>
        <v/>
      </c>
      <c r="AX192" s="42">
        <f>ROUND(AW192*AX$6/12,2)</f>
        <v/>
      </c>
      <c r="AY192" s="42">
        <f>MIN(AY$6,AW192+AX192)</f>
        <v/>
      </c>
      <c r="AZ192" s="42">
        <f>MAX(0,MIN(AW192+AX192-AY192,AV192))</f>
        <v/>
      </c>
      <c r="BA192" s="42">
        <f>ROUND(AW192+AX192-AY192-AZ192,2)</f>
        <v/>
      </c>
      <c r="BB192">
        <f>AV192-AZ192</f>
        <v/>
      </c>
      <c r="BC192" s="42">
        <f>BG191</f>
        <v/>
      </c>
      <c r="BD192" s="42">
        <f>ROUND(BC192*BD$6/12,2)</f>
        <v/>
      </c>
      <c r="BE192" s="42">
        <f>MIN(BE$6,BC192+BD192)</f>
        <v/>
      </c>
      <c r="BF192" s="42">
        <f>MAX(0,MIN(BC192+BD192-BE192,BB192))</f>
        <v/>
      </c>
      <c r="BG192" s="42">
        <f>ROUND(BC192+BD192-BE192-BF192,2)</f>
        <v/>
      </c>
      <c r="BH192">
        <f>BB192-BF192</f>
        <v/>
      </c>
      <c r="BI192" s="42">
        <f>BM191</f>
        <v/>
      </c>
      <c r="BJ192" s="42">
        <f>ROUND(BI192*BJ$6/12,2)</f>
        <v/>
      </c>
      <c r="BK192" s="42">
        <f>MIN(BK$6,BI192+BJ192)</f>
        <v/>
      </c>
      <c r="BL192" s="42">
        <f>MAX(0,MIN(BI192+BJ192-BK192,BH192))</f>
        <v/>
      </c>
      <c r="BM192" s="42">
        <f>ROUND(BI192+BJ192-BK192-BL192,2)</f>
        <v/>
      </c>
      <c r="BN192">
        <f>BH192-BL192</f>
        <v/>
      </c>
    </row>
    <row r="193">
      <c r="A193" s="43" t="n">
        <v>186</v>
      </c>
      <c r="B193" s="44">
        <f>EDATE('My Debts'!$C$6,A193-1)</f>
        <v/>
      </c>
      <c r="C193" s="45">
        <f>K193+Q193+W193+AC193+AI193+AO193+AU193+BA193+BG193+BM193</f>
        <v/>
      </c>
      <c r="D193" s="46">
        <f>I193+O193+U193+AA193+AG193+AM193+AS193+AY193+BE193+BK193+J193+P193+V193+AB193+AH193+AN193+AT193+AZ193+BF193+BL193</f>
        <v/>
      </c>
      <c r="E193" s="46">
        <f>H193+N193+T193+Z193+AF193+AL193+AR193+AX193+BD193+BJ193</f>
        <v/>
      </c>
      <c r="F193">
        <f>MAX(0,'My Debts'!$E$21-(I193+O193+U193+AA193+AG193+AM193+AS193+AY193+BE193+BK193))</f>
        <v/>
      </c>
      <c r="G193" s="42">
        <f>K192</f>
        <v/>
      </c>
      <c r="H193" s="42">
        <f>ROUND(G193*H$6/12,2)</f>
        <v/>
      </c>
      <c r="I193" s="42">
        <f>MIN(I$6,G193+H193)</f>
        <v/>
      </c>
      <c r="J193" s="42">
        <f>MAX(0,MIN(G193+H193-I193,$F193))</f>
        <v/>
      </c>
      <c r="K193" s="42">
        <f>ROUND(G193+H193-I193-J193,2)</f>
        <v/>
      </c>
      <c r="L193">
        <f>$F193-J193</f>
        <v/>
      </c>
      <c r="M193" s="42">
        <f>Q192</f>
        <v/>
      </c>
      <c r="N193" s="42">
        <f>ROUND(M193*N$6/12,2)</f>
        <v/>
      </c>
      <c r="O193" s="42">
        <f>MIN(O$6,M193+N193)</f>
        <v/>
      </c>
      <c r="P193" s="42">
        <f>MAX(0,MIN(M193+N193-O193,L193))</f>
        <v/>
      </c>
      <c r="Q193" s="42">
        <f>ROUND(M193+N193-O193-P193,2)</f>
        <v/>
      </c>
      <c r="R193">
        <f>L193-P193</f>
        <v/>
      </c>
      <c r="S193" s="42">
        <f>W192</f>
        <v/>
      </c>
      <c r="T193" s="42">
        <f>ROUND(S193*T$6/12,2)</f>
        <v/>
      </c>
      <c r="U193" s="42">
        <f>MIN(U$6,S193+T193)</f>
        <v/>
      </c>
      <c r="V193" s="42">
        <f>MAX(0,MIN(S193+T193-U193,R193))</f>
        <v/>
      </c>
      <c r="W193" s="42">
        <f>ROUND(S193+T193-U193-V193,2)</f>
        <v/>
      </c>
      <c r="X193">
        <f>R193-V193</f>
        <v/>
      </c>
      <c r="Y193" s="42">
        <f>AC192</f>
        <v/>
      </c>
      <c r="Z193" s="42">
        <f>ROUND(Y193*Z$6/12,2)</f>
        <v/>
      </c>
      <c r="AA193" s="42">
        <f>MIN(AA$6,Y193+Z193)</f>
        <v/>
      </c>
      <c r="AB193" s="42">
        <f>MAX(0,MIN(Y193+Z193-AA193,X193))</f>
        <v/>
      </c>
      <c r="AC193" s="42">
        <f>ROUND(Y193+Z193-AA193-AB193,2)</f>
        <v/>
      </c>
      <c r="AD193">
        <f>X193-AB193</f>
        <v/>
      </c>
      <c r="AE193" s="42">
        <f>AI192</f>
        <v/>
      </c>
      <c r="AF193" s="42">
        <f>ROUND(AE193*AF$6/12,2)</f>
        <v/>
      </c>
      <c r="AG193" s="42">
        <f>MIN(AG$6,AE193+AF193)</f>
        <v/>
      </c>
      <c r="AH193" s="42">
        <f>MAX(0,MIN(AE193+AF193-AG193,AD193))</f>
        <v/>
      </c>
      <c r="AI193" s="42">
        <f>ROUND(AE193+AF193-AG193-AH193,2)</f>
        <v/>
      </c>
      <c r="AJ193">
        <f>AD193-AH193</f>
        <v/>
      </c>
      <c r="AK193" s="42">
        <f>AO192</f>
        <v/>
      </c>
      <c r="AL193" s="42">
        <f>ROUND(AK193*AL$6/12,2)</f>
        <v/>
      </c>
      <c r="AM193" s="42">
        <f>MIN(AM$6,AK193+AL193)</f>
        <v/>
      </c>
      <c r="AN193" s="42">
        <f>MAX(0,MIN(AK193+AL193-AM193,AJ193))</f>
        <v/>
      </c>
      <c r="AO193" s="42">
        <f>ROUND(AK193+AL193-AM193-AN193,2)</f>
        <v/>
      </c>
      <c r="AP193">
        <f>AJ193-AN193</f>
        <v/>
      </c>
      <c r="AQ193" s="42">
        <f>AU192</f>
        <v/>
      </c>
      <c r="AR193" s="42">
        <f>ROUND(AQ193*AR$6/12,2)</f>
        <v/>
      </c>
      <c r="AS193" s="42">
        <f>MIN(AS$6,AQ193+AR193)</f>
        <v/>
      </c>
      <c r="AT193" s="42">
        <f>MAX(0,MIN(AQ193+AR193-AS193,AP193))</f>
        <v/>
      </c>
      <c r="AU193" s="42">
        <f>ROUND(AQ193+AR193-AS193-AT193,2)</f>
        <v/>
      </c>
      <c r="AV193">
        <f>AP193-AT193</f>
        <v/>
      </c>
      <c r="AW193" s="42">
        <f>BA192</f>
        <v/>
      </c>
      <c r="AX193" s="42">
        <f>ROUND(AW193*AX$6/12,2)</f>
        <v/>
      </c>
      <c r="AY193" s="42">
        <f>MIN(AY$6,AW193+AX193)</f>
        <v/>
      </c>
      <c r="AZ193" s="42">
        <f>MAX(0,MIN(AW193+AX193-AY193,AV193))</f>
        <v/>
      </c>
      <c r="BA193" s="42">
        <f>ROUND(AW193+AX193-AY193-AZ193,2)</f>
        <v/>
      </c>
      <c r="BB193">
        <f>AV193-AZ193</f>
        <v/>
      </c>
      <c r="BC193" s="42">
        <f>BG192</f>
        <v/>
      </c>
      <c r="BD193" s="42">
        <f>ROUND(BC193*BD$6/12,2)</f>
        <v/>
      </c>
      <c r="BE193" s="42">
        <f>MIN(BE$6,BC193+BD193)</f>
        <v/>
      </c>
      <c r="BF193" s="42">
        <f>MAX(0,MIN(BC193+BD193-BE193,BB193))</f>
        <v/>
      </c>
      <c r="BG193" s="42">
        <f>ROUND(BC193+BD193-BE193-BF193,2)</f>
        <v/>
      </c>
      <c r="BH193">
        <f>BB193-BF193</f>
        <v/>
      </c>
      <c r="BI193" s="42">
        <f>BM192</f>
        <v/>
      </c>
      <c r="BJ193" s="42">
        <f>ROUND(BI193*BJ$6/12,2)</f>
        <v/>
      </c>
      <c r="BK193" s="42">
        <f>MIN(BK$6,BI193+BJ193)</f>
        <v/>
      </c>
      <c r="BL193" s="42">
        <f>MAX(0,MIN(BI193+BJ193-BK193,BH193))</f>
        <v/>
      </c>
      <c r="BM193" s="42">
        <f>ROUND(BI193+BJ193-BK193-BL193,2)</f>
        <v/>
      </c>
      <c r="BN193">
        <f>BH193-BL193</f>
        <v/>
      </c>
    </row>
    <row r="194">
      <c r="A194" s="39" t="n">
        <v>187</v>
      </c>
      <c r="B194" s="40">
        <f>EDATE('My Debts'!$C$6,A194-1)</f>
        <v/>
      </c>
      <c r="C194" s="41">
        <f>K194+Q194+W194+AC194+AI194+AO194+AU194+BA194+BG194+BM194</f>
        <v/>
      </c>
      <c r="D194" s="42">
        <f>I194+O194+U194+AA194+AG194+AM194+AS194+AY194+BE194+BK194+J194+P194+V194+AB194+AH194+AN194+AT194+AZ194+BF194+BL194</f>
        <v/>
      </c>
      <c r="E194" s="42">
        <f>H194+N194+T194+Z194+AF194+AL194+AR194+AX194+BD194+BJ194</f>
        <v/>
      </c>
      <c r="F194">
        <f>MAX(0,'My Debts'!$E$21-(I194+O194+U194+AA194+AG194+AM194+AS194+AY194+BE194+BK194))</f>
        <v/>
      </c>
      <c r="G194" s="42">
        <f>K193</f>
        <v/>
      </c>
      <c r="H194" s="42">
        <f>ROUND(G194*H$6/12,2)</f>
        <v/>
      </c>
      <c r="I194" s="42">
        <f>MIN(I$6,G194+H194)</f>
        <v/>
      </c>
      <c r="J194" s="42">
        <f>MAX(0,MIN(G194+H194-I194,$F194))</f>
        <v/>
      </c>
      <c r="K194" s="42">
        <f>ROUND(G194+H194-I194-J194,2)</f>
        <v/>
      </c>
      <c r="L194">
        <f>$F194-J194</f>
        <v/>
      </c>
      <c r="M194" s="42">
        <f>Q193</f>
        <v/>
      </c>
      <c r="N194" s="42">
        <f>ROUND(M194*N$6/12,2)</f>
        <v/>
      </c>
      <c r="O194" s="42">
        <f>MIN(O$6,M194+N194)</f>
        <v/>
      </c>
      <c r="P194" s="42">
        <f>MAX(0,MIN(M194+N194-O194,L194))</f>
        <v/>
      </c>
      <c r="Q194" s="42">
        <f>ROUND(M194+N194-O194-P194,2)</f>
        <v/>
      </c>
      <c r="R194">
        <f>L194-P194</f>
        <v/>
      </c>
      <c r="S194" s="42">
        <f>W193</f>
        <v/>
      </c>
      <c r="T194" s="42">
        <f>ROUND(S194*T$6/12,2)</f>
        <v/>
      </c>
      <c r="U194" s="42">
        <f>MIN(U$6,S194+T194)</f>
        <v/>
      </c>
      <c r="V194" s="42">
        <f>MAX(0,MIN(S194+T194-U194,R194))</f>
        <v/>
      </c>
      <c r="W194" s="42">
        <f>ROUND(S194+T194-U194-V194,2)</f>
        <v/>
      </c>
      <c r="X194">
        <f>R194-V194</f>
        <v/>
      </c>
      <c r="Y194" s="42">
        <f>AC193</f>
        <v/>
      </c>
      <c r="Z194" s="42">
        <f>ROUND(Y194*Z$6/12,2)</f>
        <v/>
      </c>
      <c r="AA194" s="42">
        <f>MIN(AA$6,Y194+Z194)</f>
        <v/>
      </c>
      <c r="AB194" s="42">
        <f>MAX(0,MIN(Y194+Z194-AA194,X194))</f>
        <v/>
      </c>
      <c r="AC194" s="42">
        <f>ROUND(Y194+Z194-AA194-AB194,2)</f>
        <v/>
      </c>
      <c r="AD194">
        <f>X194-AB194</f>
        <v/>
      </c>
      <c r="AE194" s="42">
        <f>AI193</f>
        <v/>
      </c>
      <c r="AF194" s="42">
        <f>ROUND(AE194*AF$6/12,2)</f>
        <v/>
      </c>
      <c r="AG194" s="42">
        <f>MIN(AG$6,AE194+AF194)</f>
        <v/>
      </c>
      <c r="AH194" s="42">
        <f>MAX(0,MIN(AE194+AF194-AG194,AD194))</f>
        <v/>
      </c>
      <c r="AI194" s="42">
        <f>ROUND(AE194+AF194-AG194-AH194,2)</f>
        <v/>
      </c>
      <c r="AJ194">
        <f>AD194-AH194</f>
        <v/>
      </c>
      <c r="AK194" s="42">
        <f>AO193</f>
        <v/>
      </c>
      <c r="AL194" s="42">
        <f>ROUND(AK194*AL$6/12,2)</f>
        <v/>
      </c>
      <c r="AM194" s="42">
        <f>MIN(AM$6,AK194+AL194)</f>
        <v/>
      </c>
      <c r="AN194" s="42">
        <f>MAX(0,MIN(AK194+AL194-AM194,AJ194))</f>
        <v/>
      </c>
      <c r="AO194" s="42">
        <f>ROUND(AK194+AL194-AM194-AN194,2)</f>
        <v/>
      </c>
      <c r="AP194">
        <f>AJ194-AN194</f>
        <v/>
      </c>
      <c r="AQ194" s="42">
        <f>AU193</f>
        <v/>
      </c>
      <c r="AR194" s="42">
        <f>ROUND(AQ194*AR$6/12,2)</f>
        <v/>
      </c>
      <c r="AS194" s="42">
        <f>MIN(AS$6,AQ194+AR194)</f>
        <v/>
      </c>
      <c r="AT194" s="42">
        <f>MAX(0,MIN(AQ194+AR194-AS194,AP194))</f>
        <v/>
      </c>
      <c r="AU194" s="42">
        <f>ROUND(AQ194+AR194-AS194-AT194,2)</f>
        <v/>
      </c>
      <c r="AV194">
        <f>AP194-AT194</f>
        <v/>
      </c>
      <c r="AW194" s="42">
        <f>BA193</f>
        <v/>
      </c>
      <c r="AX194" s="42">
        <f>ROUND(AW194*AX$6/12,2)</f>
        <v/>
      </c>
      <c r="AY194" s="42">
        <f>MIN(AY$6,AW194+AX194)</f>
        <v/>
      </c>
      <c r="AZ194" s="42">
        <f>MAX(0,MIN(AW194+AX194-AY194,AV194))</f>
        <v/>
      </c>
      <c r="BA194" s="42">
        <f>ROUND(AW194+AX194-AY194-AZ194,2)</f>
        <v/>
      </c>
      <c r="BB194">
        <f>AV194-AZ194</f>
        <v/>
      </c>
      <c r="BC194" s="42">
        <f>BG193</f>
        <v/>
      </c>
      <c r="BD194" s="42">
        <f>ROUND(BC194*BD$6/12,2)</f>
        <v/>
      </c>
      <c r="BE194" s="42">
        <f>MIN(BE$6,BC194+BD194)</f>
        <v/>
      </c>
      <c r="BF194" s="42">
        <f>MAX(0,MIN(BC194+BD194-BE194,BB194))</f>
        <v/>
      </c>
      <c r="BG194" s="42">
        <f>ROUND(BC194+BD194-BE194-BF194,2)</f>
        <v/>
      </c>
      <c r="BH194">
        <f>BB194-BF194</f>
        <v/>
      </c>
      <c r="BI194" s="42">
        <f>BM193</f>
        <v/>
      </c>
      <c r="BJ194" s="42">
        <f>ROUND(BI194*BJ$6/12,2)</f>
        <v/>
      </c>
      <c r="BK194" s="42">
        <f>MIN(BK$6,BI194+BJ194)</f>
        <v/>
      </c>
      <c r="BL194" s="42">
        <f>MAX(0,MIN(BI194+BJ194-BK194,BH194))</f>
        <v/>
      </c>
      <c r="BM194" s="42">
        <f>ROUND(BI194+BJ194-BK194-BL194,2)</f>
        <v/>
      </c>
      <c r="BN194">
        <f>BH194-BL194</f>
        <v/>
      </c>
    </row>
    <row r="195">
      <c r="A195" s="43" t="n">
        <v>188</v>
      </c>
      <c r="B195" s="44">
        <f>EDATE('My Debts'!$C$6,A195-1)</f>
        <v/>
      </c>
      <c r="C195" s="45">
        <f>K195+Q195+W195+AC195+AI195+AO195+AU195+BA195+BG195+BM195</f>
        <v/>
      </c>
      <c r="D195" s="46">
        <f>I195+O195+U195+AA195+AG195+AM195+AS195+AY195+BE195+BK195+J195+P195+V195+AB195+AH195+AN195+AT195+AZ195+BF195+BL195</f>
        <v/>
      </c>
      <c r="E195" s="46">
        <f>H195+N195+T195+Z195+AF195+AL195+AR195+AX195+BD195+BJ195</f>
        <v/>
      </c>
      <c r="F195">
        <f>MAX(0,'My Debts'!$E$21-(I195+O195+U195+AA195+AG195+AM195+AS195+AY195+BE195+BK195))</f>
        <v/>
      </c>
      <c r="G195" s="42">
        <f>K194</f>
        <v/>
      </c>
      <c r="H195" s="42">
        <f>ROUND(G195*H$6/12,2)</f>
        <v/>
      </c>
      <c r="I195" s="42">
        <f>MIN(I$6,G195+H195)</f>
        <v/>
      </c>
      <c r="J195" s="42">
        <f>MAX(0,MIN(G195+H195-I195,$F195))</f>
        <v/>
      </c>
      <c r="K195" s="42">
        <f>ROUND(G195+H195-I195-J195,2)</f>
        <v/>
      </c>
      <c r="L195">
        <f>$F195-J195</f>
        <v/>
      </c>
      <c r="M195" s="42">
        <f>Q194</f>
        <v/>
      </c>
      <c r="N195" s="42">
        <f>ROUND(M195*N$6/12,2)</f>
        <v/>
      </c>
      <c r="O195" s="42">
        <f>MIN(O$6,M195+N195)</f>
        <v/>
      </c>
      <c r="P195" s="42">
        <f>MAX(0,MIN(M195+N195-O195,L195))</f>
        <v/>
      </c>
      <c r="Q195" s="42">
        <f>ROUND(M195+N195-O195-P195,2)</f>
        <v/>
      </c>
      <c r="R195">
        <f>L195-P195</f>
        <v/>
      </c>
      <c r="S195" s="42">
        <f>W194</f>
        <v/>
      </c>
      <c r="T195" s="42">
        <f>ROUND(S195*T$6/12,2)</f>
        <v/>
      </c>
      <c r="U195" s="42">
        <f>MIN(U$6,S195+T195)</f>
        <v/>
      </c>
      <c r="V195" s="42">
        <f>MAX(0,MIN(S195+T195-U195,R195))</f>
        <v/>
      </c>
      <c r="W195" s="42">
        <f>ROUND(S195+T195-U195-V195,2)</f>
        <v/>
      </c>
      <c r="X195">
        <f>R195-V195</f>
        <v/>
      </c>
      <c r="Y195" s="42">
        <f>AC194</f>
        <v/>
      </c>
      <c r="Z195" s="42">
        <f>ROUND(Y195*Z$6/12,2)</f>
        <v/>
      </c>
      <c r="AA195" s="42">
        <f>MIN(AA$6,Y195+Z195)</f>
        <v/>
      </c>
      <c r="AB195" s="42">
        <f>MAX(0,MIN(Y195+Z195-AA195,X195))</f>
        <v/>
      </c>
      <c r="AC195" s="42">
        <f>ROUND(Y195+Z195-AA195-AB195,2)</f>
        <v/>
      </c>
      <c r="AD195">
        <f>X195-AB195</f>
        <v/>
      </c>
      <c r="AE195" s="42">
        <f>AI194</f>
        <v/>
      </c>
      <c r="AF195" s="42">
        <f>ROUND(AE195*AF$6/12,2)</f>
        <v/>
      </c>
      <c r="AG195" s="42">
        <f>MIN(AG$6,AE195+AF195)</f>
        <v/>
      </c>
      <c r="AH195" s="42">
        <f>MAX(0,MIN(AE195+AF195-AG195,AD195))</f>
        <v/>
      </c>
      <c r="AI195" s="42">
        <f>ROUND(AE195+AF195-AG195-AH195,2)</f>
        <v/>
      </c>
      <c r="AJ195">
        <f>AD195-AH195</f>
        <v/>
      </c>
      <c r="AK195" s="42">
        <f>AO194</f>
        <v/>
      </c>
      <c r="AL195" s="42">
        <f>ROUND(AK195*AL$6/12,2)</f>
        <v/>
      </c>
      <c r="AM195" s="42">
        <f>MIN(AM$6,AK195+AL195)</f>
        <v/>
      </c>
      <c r="AN195" s="42">
        <f>MAX(0,MIN(AK195+AL195-AM195,AJ195))</f>
        <v/>
      </c>
      <c r="AO195" s="42">
        <f>ROUND(AK195+AL195-AM195-AN195,2)</f>
        <v/>
      </c>
      <c r="AP195">
        <f>AJ195-AN195</f>
        <v/>
      </c>
      <c r="AQ195" s="42">
        <f>AU194</f>
        <v/>
      </c>
      <c r="AR195" s="42">
        <f>ROUND(AQ195*AR$6/12,2)</f>
        <v/>
      </c>
      <c r="AS195" s="42">
        <f>MIN(AS$6,AQ195+AR195)</f>
        <v/>
      </c>
      <c r="AT195" s="42">
        <f>MAX(0,MIN(AQ195+AR195-AS195,AP195))</f>
        <v/>
      </c>
      <c r="AU195" s="42">
        <f>ROUND(AQ195+AR195-AS195-AT195,2)</f>
        <v/>
      </c>
      <c r="AV195">
        <f>AP195-AT195</f>
        <v/>
      </c>
      <c r="AW195" s="42">
        <f>BA194</f>
        <v/>
      </c>
      <c r="AX195" s="42">
        <f>ROUND(AW195*AX$6/12,2)</f>
        <v/>
      </c>
      <c r="AY195" s="42">
        <f>MIN(AY$6,AW195+AX195)</f>
        <v/>
      </c>
      <c r="AZ195" s="42">
        <f>MAX(0,MIN(AW195+AX195-AY195,AV195))</f>
        <v/>
      </c>
      <c r="BA195" s="42">
        <f>ROUND(AW195+AX195-AY195-AZ195,2)</f>
        <v/>
      </c>
      <c r="BB195">
        <f>AV195-AZ195</f>
        <v/>
      </c>
      <c r="BC195" s="42">
        <f>BG194</f>
        <v/>
      </c>
      <c r="BD195" s="42">
        <f>ROUND(BC195*BD$6/12,2)</f>
        <v/>
      </c>
      <c r="BE195" s="42">
        <f>MIN(BE$6,BC195+BD195)</f>
        <v/>
      </c>
      <c r="BF195" s="42">
        <f>MAX(0,MIN(BC195+BD195-BE195,BB195))</f>
        <v/>
      </c>
      <c r="BG195" s="42">
        <f>ROUND(BC195+BD195-BE195-BF195,2)</f>
        <v/>
      </c>
      <c r="BH195">
        <f>BB195-BF195</f>
        <v/>
      </c>
      <c r="BI195" s="42">
        <f>BM194</f>
        <v/>
      </c>
      <c r="BJ195" s="42">
        <f>ROUND(BI195*BJ$6/12,2)</f>
        <v/>
      </c>
      <c r="BK195" s="42">
        <f>MIN(BK$6,BI195+BJ195)</f>
        <v/>
      </c>
      <c r="BL195" s="42">
        <f>MAX(0,MIN(BI195+BJ195-BK195,BH195))</f>
        <v/>
      </c>
      <c r="BM195" s="42">
        <f>ROUND(BI195+BJ195-BK195-BL195,2)</f>
        <v/>
      </c>
      <c r="BN195">
        <f>BH195-BL195</f>
        <v/>
      </c>
    </row>
    <row r="196">
      <c r="A196" s="39" t="n">
        <v>189</v>
      </c>
      <c r="B196" s="40">
        <f>EDATE('My Debts'!$C$6,A196-1)</f>
        <v/>
      </c>
      <c r="C196" s="41">
        <f>K196+Q196+W196+AC196+AI196+AO196+AU196+BA196+BG196+BM196</f>
        <v/>
      </c>
      <c r="D196" s="42">
        <f>I196+O196+U196+AA196+AG196+AM196+AS196+AY196+BE196+BK196+J196+P196+V196+AB196+AH196+AN196+AT196+AZ196+BF196+BL196</f>
        <v/>
      </c>
      <c r="E196" s="42">
        <f>H196+N196+T196+Z196+AF196+AL196+AR196+AX196+BD196+BJ196</f>
        <v/>
      </c>
      <c r="F196">
        <f>MAX(0,'My Debts'!$E$21-(I196+O196+U196+AA196+AG196+AM196+AS196+AY196+BE196+BK196))</f>
        <v/>
      </c>
      <c r="G196" s="42">
        <f>K195</f>
        <v/>
      </c>
      <c r="H196" s="42">
        <f>ROUND(G196*H$6/12,2)</f>
        <v/>
      </c>
      <c r="I196" s="42">
        <f>MIN(I$6,G196+H196)</f>
        <v/>
      </c>
      <c r="J196" s="42">
        <f>MAX(0,MIN(G196+H196-I196,$F196))</f>
        <v/>
      </c>
      <c r="K196" s="42">
        <f>ROUND(G196+H196-I196-J196,2)</f>
        <v/>
      </c>
      <c r="L196">
        <f>$F196-J196</f>
        <v/>
      </c>
      <c r="M196" s="42">
        <f>Q195</f>
        <v/>
      </c>
      <c r="N196" s="42">
        <f>ROUND(M196*N$6/12,2)</f>
        <v/>
      </c>
      <c r="O196" s="42">
        <f>MIN(O$6,M196+N196)</f>
        <v/>
      </c>
      <c r="P196" s="42">
        <f>MAX(0,MIN(M196+N196-O196,L196))</f>
        <v/>
      </c>
      <c r="Q196" s="42">
        <f>ROUND(M196+N196-O196-P196,2)</f>
        <v/>
      </c>
      <c r="R196">
        <f>L196-P196</f>
        <v/>
      </c>
      <c r="S196" s="42">
        <f>W195</f>
        <v/>
      </c>
      <c r="T196" s="42">
        <f>ROUND(S196*T$6/12,2)</f>
        <v/>
      </c>
      <c r="U196" s="42">
        <f>MIN(U$6,S196+T196)</f>
        <v/>
      </c>
      <c r="V196" s="42">
        <f>MAX(0,MIN(S196+T196-U196,R196))</f>
        <v/>
      </c>
      <c r="W196" s="42">
        <f>ROUND(S196+T196-U196-V196,2)</f>
        <v/>
      </c>
      <c r="X196">
        <f>R196-V196</f>
        <v/>
      </c>
      <c r="Y196" s="42">
        <f>AC195</f>
        <v/>
      </c>
      <c r="Z196" s="42">
        <f>ROUND(Y196*Z$6/12,2)</f>
        <v/>
      </c>
      <c r="AA196" s="42">
        <f>MIN(AA$6,Y196+Z196)</f>
        <v/>
      </c>
      <c r="AB196" s="42">
        <f>MAX(0,MIN(Y196+Z196-AA196,X196))</f>
        <v/>
      </c>
      <c r="AC196" s="42">
        <f>ROUND(Y196+Z196-AA196-AB196,2)</f>
        <v/>
      </c>
      <c r="AD196">
        <f>X196-AB196</f>
        <v/>
      </c>
      <c r="AE196" s="42">
        <f>AI195</f>
        <v/>
      </c>
      <c r="AF196" s="42">
        <f>ROUND(AE196*AF$6/12,2)</f>
        <v/>
      </c>
      <c r="AG196" s="42">
        <f>MIN(AG$6,AE196+AF196)</f>
        <v/>
      </c>
      <c r="AH196" s="42">
        <f>MAX(0,MIN(AE196+AF196-AG196,AD196))</f>
        <v/>
      </c>
      <c r="AI196" s="42">
        <f>ROUND(AE196+AF196-AG196-AH196,2)</f>
        <v/>
      </c>
      <c r="AJ196">
        <f>AD196-AH196</f>
        <v/>
      </c>
      <c r="AK196" s="42">
        <f>AO195</f>
        <v/>
      </c>
      <c r="AL196" s="42">
        <f>ROUND(AK196*AL$6/12,2)</f>
        <v/>
      </c>
      <c r="AM196" s="42">
        <f>MIN(AM$6,AK196+AL196)</f>
        <v/>
      </c>
      <c r="AN196" s="42">
        <f>MAX(0,MIN(AK196+AL196-AM196,AJ196))</f>
        <v/>
      </c>
      <c r="AO196" s="42">
        <f>ROUND(AK196+AL196-AM196-AN196,2)</f>
        <v/>
      </c>
      <c r="AP196">
        <f>AJ196-AN196</f>
        <v/>
      </c>
      <c r="AQ196" s="42">
        <f>AU195</f>
        <v/>
      </c>
      <c r="AR196" s="42">
        <f>ROUND(AQ196*AR$6/12,2)</f>
        <v/>
      </c>
      <c r="AS196" s="42">
        <f>MIN(AS$6,AQ196+AR196)</f>
        <v/>
      </c>
      <c r="AT196" s="42">
        <f>MAX(0,MIN(AQ196+AR196-AS196,AP196))</f>
        <v/>
      </c>
      <c r="AU196" s="42">
        <f>ROUND(AQ196+AR196-AS196-AT196,2)</f>
        <v/>
      </c>
      <c r="AV196">
        <f>AP196-AT196</f>
        <v/>
      </c>
      <c r="AW196" s="42">
        <f>BA195</f>
        <v/>
      </c>
      <c r="AX196" s="42">
        <f>ROUND(AW196*AX$6/12,2)</f>
        <v/>
      </c>
      <c r="AY196" s="42">
        <f>MIN(AY$6,AW196+AX196)</f>
        <v/>
      </c>
      <c r="AZ196" s="42">
        <f>MAX(0,MIN(AW196+AX196-AY196,AV196))</f>
        <v/>
      </c>
      <c r="BA196" s="42">
        <f>ROUND(AW196+AX196-AY196-AZ196,2)</f>
        <v/>
      </c>
      <c r="BB196">
        <f>AV196-AZ196</f>
        <v/>
      </c>
      <c r="BC196" s="42">
        <f>BG195</f>
        <v/>
      </c>
      <c r="BD196" s="42">
        <f>ROUND(BC196*BD$6/12,2)</f>
        <v/>
      </c>
      <c r="BE196" s="42">
        <f>MIN(BE$6,BC196+BD196)</f>
        <v/>
      </c>
      <c r="BF196" s="42">
        <f>MAX(0,MIN(BC196+BD196-BE196,BB196))</f>
        <v/>
      </c>
      <c r="BG196" s="42">
        <f>ROUND(BC196+BD196-BE196-BF196,2)</f>
        <v/>
      </c>
      <c r="BH196">
        <f>BB196-BF196</f>
        <v/>
      </c>
      <c r="BI196" s="42">
        <f>BM195</f>
        <v/>
      </c>
      <c r="BJ196" s="42">
        <f>ROUND(BI196*BJ$6/12,2)</f>
        <v/>
      </c>
      <c r="BK196" s="42">
        <f>MIN(BK$6,BI196+BJ196)</f>
        <v/>
      </c>
      <c r="BL196" s="42">
        <f>MAX(0,MIN(BI196+BJ196-BK196,BH196))</f>
        <v/>
      </c>
      <c r="BM196" s="42">
        <f>ROUND(BI196+BJ196-BK196-BL196,2)</f>
        <v/>
      </c>
      <c r="BN196">
        <f>BH196-BL196</f>
        <v/>
      </c>
    </row>
    <row r="197">
      <c r="A197" s="43" t="n">
        <v>190</v>
      </c>
      <c r="B197" s="44">
        <f>EDATE('My Debts'!$C$6,A197-1)</f>
        <v/>
      </c>
      <c r="C197" s="45">
        <f>K197+Q197+W197+AC197+AI197+AO197+AU197+BA197+BG197+BM197</f>
        <v/>
      </c>
      <c r="D197" s="46">
        <f>I197+O197+U197+AA197+AG197+AM197+AS197+AY197+BE197+BK197+J197+P197+V197+AB197+AH197+AN197+AT197+AZ197+BF197+BL197</f>
        <v/>
      </c>
      <c r="E197" s="46">
        <f>H197+N197+T197+Z197+AF197+AL197+AR197+AX197+BD197+BJ197</f>
        <v/>
      </c>
      <c r="F197">
        <f>MAX(0,'My Debts'!$E$21-(I197+O197+U197+AA197+AG197+AM197+AS197+AY197+BE197+BK197))</f>
        <v/>
      </c>
      <c r="G197" s="42">
        <f>K196</f>
        <v/>
      </c>
      <c r="H197" s="42">
        <f>ROUND(G197*H$6/12,2)</f>
        <v/>
      </c>
      <c r="I197" s="42">
        <f>MIN(I$6,G197+H197)</f>
        <v/>
      </c>
      <c r="J197" s="42">
        <f>MAX(0,MIN(G197+H197-I197,$F197))</f>
        <v/>
      </c>
      <c r="K197" s="42">
        <f>ROUND(G197+H197-I197-J197,2)</f>
        <v/>
      </c>
      <c r="L197">
        <f>$F197-J197</f>
        <v/>
      </c>
      <c r="M197" s="42">
        <f>Q196</f>
        <v/>
      </c>
      <c r="N197" s="42">
        <f>ROUND(M197*N$6/12,2)</f>
        <v/>
      </c>
      <c r="O197" s="42">
        <f>MIN(O$6,M197+N197)</f>
        <v/>
      </c>
      <c r="P197" s="42">
        <f>MAX(0,MIN(M197+N197-O197,L197))</f>
        <v/>
      </c>
      <c r="Q197" s="42">
        <f>ROUND(M197+N197-O197-P197,2)</f>
        <v/>
      </c>
      <c r="R197">
        <f>L197-P197</f>
        <v/>
      </c>
      <c r="S197" s="42">
        <f>W196</f>
        <v/>
      </c>
      <c r="T197" s="42">
        <f>ROUND(S197*T$6/12,2)</f>
        <v/>
      </c>
      <c r="U197" s="42">
        <f>MIN(U$6,S197+T197)</f>
        <v/>
      </c>
      <c r="V197" s="42">
        <f>MAX(0,MIN(S197+T197-U197,R197))</f>
        <v/>
      </c>
      <c r="W197" s="42">
        <f>ROUND(S197+T197-U197-V197,2)</f>
        <v/>
      </c>
      <c r="X197">
        <f>R197-V197</f>
        <v/>
      </c>
      <c r="Y197" s="42">
        <f>AC196</f>
        <v/>
      </c>
      <c r="Z197" s="42">
        <f>ROUND(Y197*Z$6/12,2)</f>
        <v/>
      </c>
      <c r="AA197" s="42">
        <f>MIN(AA$6,Y197+Z197)</f>
        <v/>
      </c>
      <c r="AB197" s="42">
        <f>MAX(0,MIN(Y197+Z197-AA197,X197))</f>
        <v/>
      </c>
      <c r="AC197" s="42">
        <f>ROUND(Y197+Z197-AA197-AB197,2)</f>
        <v/>
      </c>
      <c r="AD197">
        <f>X197-AB197</f>
        <v/>
      </c>
      <c r="AE197" s="42">
        <f>AI196</f>
        <v/>
      </c>
      <c r="AF197" s="42">
        <f>ROUND(AE197*AF$6/12,2)</f>
        <v/>
      </c>
      <c r="AG197" s="42">
        <f>MIN(AG$6,AE197+AF197)</f>
        <v/>
      </c>
      <c r="AH197" s="42">
        <f>MAX(0,MIN(AE197+AF197-AG197,AD197))</f>
        <v/>
      </c>
      <c r="AI197" s="42">
        <f>ROUND(AE197+AF197-AG197-AH197,2)</f>
        <v/>
      </c>
      <c r="AJ197">
        <f>AD197-AH197</f>
        <v/>
      </c>
      <c r="AK197" s="42">
        <f>AO196</f>
        <v/>
      </c>
      <c r="AL197" s="42">
        <f>ROUND(AK197*AL$6/12,2)</f>
        <v/>
      </c>
      <c r="AM197" s="42">
        <f>MIN(AM$6,AK197+AL197)</f>
        <v/>
      </c>
      <c r="AN197" s="42">
        <f>MAX(0,MIN(AK197+AL197-AM197,AJ197))</f>
        <v/>
      </c>
      <c r="AO197" s="42">
        <f>ROUND(AK197+AL197-AM197-AN197,2)</f>
        <v/>
      </c>
      <c r="AP197">
        <f>AJ197-AN197</f>
        <v/>
      </c>
      <c r="AQ197" s="42">
        <f>AU196</f>
        <v/>
      </c>
      <c r="AR197" s="42">
        <f>ROUND(AQ197*AR$6/12,2)</f>
        <v/>
      </c>
      <c r="AS197" s="42">
        <f>MIN(AS$6,AQ197+AR197)</f>
        <v/>
      </c>
      <c r="AT197" s="42">
        <f>MAX(0,MIN(AQ197+AR197-AS197,AP197))</f>
        <v/>
      </c>
      <c r="AU197" s="42">
        <f>ROUND(AQ197+AR197-AS197-AT197,2)</f>
        <v/>
      </c>
      <c r="AV197">
        <f>AP197-AT197</f>
        <v/>
      </c>
      <c r="AW197" s="42">
        <f>BA196</f>
        <v/>
      </c>
      <c r="AX197" s="42">
        <f>ROUND(AW197*AX$6/12,2)</f>
        <v/>
      </c>
      <c r="AY197" s="42">
        <f>MIN(AY$6,AW197+AX197)</f>
        <v/>
      </c>
      <c r="AZ197" s="42">
        <f>MAX(0,MIN(AW197+AX197-AY197,AV197))</f>
        <v/>
      </c>
      <c r="BA197" s="42">
        <f>ROUND(AW197+AX197-AY197-AZ197,2)</f>
        <v/>
      </c>
      <c r="BB197">
        <f>AV197-AZ197</f>
        <v/>
      </c>
      <c r="BC197" s="42">
        <f>BG196</f>
        <v/>
      </c>
      <c r="BD197" s="42">
        <f>ROUND(BC197*BD$6/12,2)</f>
        <v/>
      </c>
      <c r="BE197" s="42">
        <f>MIN(BE$6,BC197+BD197)</f>
        <v/>
      </c>
      <c r="BF197" s="42">
        <f>MAX(0,MIN(BC197+BD197-BE197,BB197))</f>
        <v/>
      </c>
      <c r="BG197" s="42">
        <f>ROUND(BC197+BD197-BE197-BF197,2)</f>
        <v/>
      </c>
      <c r="BH197">
        <f>BB197-BF197</f>
        <v/>
      </c>
      <c r="BI197" s="42">
        <f>BM196</f>
        <v/>
      </c>
      <c r="BJ197" s="42">
        <f>ROUND(BI197*BJ$6/12,2)</f>
        <v/>
      </c>
      <c r="BK197" s="42">
        <f>MIN(BK$6,BI197+BJ197)</f>
        <v/>
      </c>
      <c r="BL197" s="42">
        <f>MAX(0,MIN(BI197+BJ197-BK197,BH197))</f>
        <v/>
      </c>
      <c r="BM197" s="42">
        <f>ROUND(BI197+BJ197-BK197-BL197,2)</f>
        <v/>
      </c>
      <c r="BN197">
        <f>BH197-BL197</f>
        <v/>
      </c>
    </row>
    <row r="198">
      <c r="A198" s="39" t="n">
        <v>191</v>
      </c>
      <c r="B198" s="40">
        <f>EDATE('My Debts'!$C$6,A198-1)</f>
        <v/>
      </c>
      <c r="C198" s="41">
        <f>K198+Q198+W198+AC198+AI198+AO198+AU198+BA198+BG198+BM198</f>
        <v/>
      </c>
      <c r="D198" s="42">
        <f>I198+O198+U198+AA198+AG198+AM198+AS198+AY198+BE198+BK198+J198+P198+V198+AB198+AH198+AN198+AT198+AZ198+BF198+BL198</f>
        <v/>
      </c>
      <c r="E198" s="42">
        <f>H198+N198+T198+Z198+AF198+AL198+AR198+AX198+BD198+BJ198</f>
        <v/>
      </c>
      <c r="F198">
        <f>MAX(0,'My Debts'!$E$21-(I198+O198+U198+AA198+AG198+AM198+AS198+AY198+BE198+BK198))</f>
        <v/>
      </c>
      <c r="G198" s="42">
        <f>K197</f>
        <v/>
      </c>
      <c r="H198" s="42">
        <f>ROUND(G198*H$6/12,2)</f>
        <v/>
      </c>
      <c r="I198" s="42">
        <f>MIN(I$6,G198+H198)</f>
        <v/>
      </c>
      <c r="J198" s="42">
        <f>MAX(0,MIN(G198+H198-I198,$F198))</f>
        <v/>
      </c>
      <c r="K198" s="42">
        <f>ROUND(G198+H198-I198-J198,2)</f>
        <v/>
      </c>
      <c r="L198">
        <f>$F198-J198</f>
        <v/>
      </c>
      <c r="M198" s="42">
        <f>Q197</f>
        <v/>
      </c>
      <c r="N198" s="42">
        <f>ROUND(M198*N$6/12,2)</f>
        <v/>
      </c>
      <c r="O198" s="42">
        <f>MIN(O$6,M198+N198)</f>
        <v/>
      </c>
      <c r="P198" s="42">
        <f>MAX(0,MIN(M198+N198-O198,L198))</f>
        <v/>
      </c>
      <c r="Q198" s="42">
        <f>ROUND(M198+N198-O198-P198,2)</f>
        <v/>
      </c>
      <c r="R198">
        <f>L198-P198</f>
        <v/>
      </c>
      <c r="S198" s="42">
        <f>W197</f>
        <v/>
      </c>
      <c r="T198" s="42">
        <f>ROUND(S198*T$6/12,2)</f>
        <v/>
      </c>
      <c r="U198" s="42">
        <f>MIN(U$6,S198+T198)</f>
        <v/>
      </c>
      <c r="V198" s="42">
        <f>MAX(0,MIN(S198+T198-U198,R198))</f>
        <v/>
      </c>
      <c r="W198" s="42">
        <f>ROUND(S198+T198-U198-V198,2)</f>
        <v/>
      </c>
      <c r="X198">
        <f>R198-V198</f>
        <v/>
      </c>
      <c r="Y198" s="42">
        <f>AC197</f>
        <v/>
      </c>
      <c r="Z198" s="42">
        <f>ROUND(Y198*Z$6/12,2)</f>
        <v/>
      </c>
      <c r="AA198" s="42">
        <f>MIN(AA$6,Y198+Z198)</f>
        <v/>
      </c>
      <c r="AB198" s="42">
        <f>MAX(0,MIN(Y198+Z198-AA198,X198))</f>
        <v/>
      </c>
      <c r="AC198" s="42">
        <f>ROUND(Y198+Z198-AA198-AB198,2)</f>
        <v/>
      </c>
      <c r="AD198">
        <f>X198-AB198</f>
        <v/>
      </c>
      <c r="AE198" s="42">
        <f>AI197</f>
        <v/>
      </c>
      <c r="AF198" s="42">
        <f>ROUND(AE198*AF$6/12,2)</f>
        <v/>
      </c>
      <c r="AG198" s="42">
        <f>MIN(AG$6,AE198+AF198)</f>
        <v/>
      </c>
      <c r="AH198" s="42">
        <f>MAX(0,MIN(AE198+AF198-AG198,AD198))</f>
        <v/>
      </c>
      <c r="AI198" s="42">
        <f>ROUND(AE198+AF198-AG198-AH198,2)</f>
        <v/>
      </c>
      <c r="AJ198">
        <f>AD198-AH198</f>
        <v/>
      </c>
      <c r="AK198" s="42">
        <f>AO197</f>
        <v/>
      </c>
      <c r="AL198" s="42">
        <f>ROUND(AK198*AL$6/12,2)</f>
        <v/>
      </c>
      <c r="AM198" s="42">
        <f>MIN(AM$6,AK198+AL198)</f>
        <v/>
      </c>
      <c r="AN198" s="42">
        <f>MAX(0,MIN(AK198+AL198-AM198,AJ198))</f>
        <v/>
      </c>
      <c r="AO198" s="42">
        <f>ROUND(AK198+AL198-AM198-AN198,2)</f>
        <v/>
      </c>
      <c r="AP198">
        <f>AJ198-AN198</f>
        <v/>
      </c>
      <c r="AQ198" s="42">
        <f>AU197</f>
        <v/>
      </c>
      <c r="AR198" s="42">
        <f>ROUND(AQ198*AR$6/12,2)</f>
        <v/>
      </c>
      <c r="AS198" s="42">
        <f>MIN(AS$6,AQ198+AR198)</f>
        <v/>
      </c>
      <c r="AT198" s="42">
        <f>MAX(0,MIN(AQ198+AR198-AS198,AP198))</f>
        <v/>
      </c>
      <c r="AU198" s="42">
        <f>ROUND(AQ198+AR198-AS198-AT198,2)</f>
        <v/>
      </c>
      <c r="AV198">
        <f>AP198-AT198</f>
        <v/>
      </c>
      <c r="AW198" s="42">
        <f>BA197</f>
        <v/>
      </c>
      <c r="AX198" s="42">
        <f>ROUND(AW198*AX$6/12,2)</f>
        <v/>
      </c>
      <c r="AY198" s="42">
        <f>MIN(AY$6,AW198+AX198)</f>
        <v/>
      </c>
      <c r="AZ198" s="42">
        <f>MAX(0,MIN(AW198+AX198-AY198,AV198))</f>
        <v/>
      </c>
      <c r="BA198" s="42">
        <f>ROUND(AW198+AX198-AY198-AZ198,2)</f>
        <v/>
      </c>
      <c r="BB198">
        <f>AV198-AZ198</f>
        <v/>
      </c>
      <c r="BC198" s="42">
        <f>BG197</f>
        <v/>
      </c>
      <c r="BD198" s="42">
        <f>ROUND(BC198*BD$6/12,2)</f>
        <v/>
      </c>
      <c r="BE198" s="42">
        <f>MIN(BE$6,BC198+BD198)</f>
        <v/>
      </c>
      <c r="BF198" s="42">
        <f>MAX(0,MIN(BC198+BD198-BE198,BB198))</f>
        <v/>
      </c>
      <c r="BG198" s="42">
        <f>ROUND(BC198+BD198-BE198-BF198,2)</f>
        <v/>
      </c>
      <c r="BH198">
        <f>BB198-BF198</f>
        <v/>
      </c>
      <c r="BI198" s="42">
        <f>BM197</f>
        <v/>
      </c>
      <c r="BJ198" s="42">
        <f>ROUND(BI198*BJ$6/12,2)</f>
        <v/>
      </c>
      <c r="BK198" s="42">
        <f>MIN(BK$6,BI198+BJ198)</f>
        <v/>
      </c>
      <c r="BL198" s="42">
        <f>MAX(0,MIN(BI198+BJ198-BK198,BH198))</f>
        <v/>
      </c>
      <c r="BM198" s="42">
        <f>ROUND(BI198+BJ198-BK198-BL198,2)</f>
        <v/>
      </c>
      <c r="BN198">
        <f>BH198-BL198</f>
        <v/>
      </c>
    </row>
    <row r="199">
      <c r="A199" s="43" t="n">
        <v>192</v>
      </c>
      <c r="B199" s="44">
        <f>EDATE('My Debts'!$C$6,A199-1)</f>
        <v/>
      </c>
      <c r="C199" s="45">
        <f>K199+Q199+W199+AC199+AI199+AO199+AU199+BA199+BG199+BM199</f>
        <v/>
      </c>
      <c r="D199" s="46">
        <f>I199+O199+U199+AA199+AG199+AM199+AS199+AY199+BE199+BK199+J199+P199+V199+AB199+AH199+AN199+AT199+AZ199+BF199+BL199</f>
        <v/>
      </c>
      <c r="E199" s="46">
        <f>H199+N199+T199+Z199+AF199+AL199+AR199+AX199+BD199+BJ199</f>
        <v/>
      </c>
      <c r="F199">
        <f>MAX(0,'My Debts'!$E$21-(I199+O199+U199+AA199+AG199+AM199+AS199+AY199+BE199+BK199))</f>
        <v/>
      </c>
      <c r="G199" s="42">
        <f>K198</f>
        <v/>
      </c>
      <c r="H199" s="42">
        <f>ROUND(G199*H$6/12,2)</f>
        <v/>
      </c>
      <c r="I199" s="42">
        <f>MIN(I$6,G199+H199)</f>
        <v/>
      </c>
      <c r="J199" s="42">
        <f>MAX(0,MIN(G199+H199-I199,$F199))</f>
        <v/>
      </c>
      <c r="K199" s="42">
        <f>ROUND(G199+H199-I199-J199,2)</f>
        <v/>
      </c>
      <c r="L199">
        <f>$F199-J199</f>
        <v/>
      </c>
      <c r="M199" s="42">
        <f>Q198</f>
        <v/>
      </c>
      <c r="N199" s="42">
        <f>ROUND(M199*N$6/12,2)</f>
        <v/>
      </c>
      <c r="O199" s="42">
        <f>MIN(O$6,M199+N199)</f>
        <v/>
      </c>
      <c r="P199" s="42">
        <f>MAX(0,MIN(M199+N199-O199,L199))</f>
        <v/>
      </c>
      <c r="Q199" s="42">
        <f>ROUND(M199+N199-O199-P199,2)</f>
        <v/>
      </c>
      <c r="R199">
        <f>L199-P199</f>
        <v/>
      </c>
      <c r="S199" s="42">
        <f>W198</f>
        <v/>
      </c>
      <c r="T199" s="42">
        <f>ROUND(S199*T$6/12,2)</f>
        <v/>
      </c>
      <c r="U199" s="42">
        <f>MIN(U$6,S199+T199)</f>
        <v/>
      </c>
      <c r="V199" s="42">
        <f>MAX(0,MIN(S199+T199-U199,R199))</f>
        <v/>
      </c>
      <c r="W199" s="42">
        <f>ROUND(S199+T199-U199-V199,2)</f>
        <v/>
      </c>
      <c r="X199">
        <f>R199-V199</f>
        <v/>
      </c>
      <c r="Y199" s="42">
        <f>AC198</f>
        <v/>
      </c>
      <c r="Z199" s="42">
        <f>ROUND(Y199*Z$6/12,2)</f>
        <v/>
      </c>
      <c r="AA199" s="42">
        <f>MIN(AA$6,Y199+Z199)</f>
        <v/>
      </c>
      <c r="AB199" s="42">
        <f>MAX(0,MIN(Y199+Z199-AA199,X199))</f>
        <v/>
      </c>
      <c r="AC199" s="42">
        <f>ROUND(Y199+Z199-AA199-AB199,2)</f>
        <v/>
      </c>
      <c r="AD199">
        <f>X199-AB199</f>
        <v/>
      </c>
      <c r="AE199" s="42">
        <f>AI198</f>
        <v/>
      </c>
      <c r="AF199" s="42">
        <f>ROUND(AE199*AF$6/12,2)</f>
        <v/>
      </c>
      <c r="AG199" s="42">
        <f>MIN(AG$6,AE199+AF199)</f>
        <v/>
      </c>
      <c r="AH199" s="42">
        <f>MAX(0,MIN(AE199+AF199-AG199,AD199))</f>
        <v/>
      </c>
      <c r="AI199" s="42">
        <f>ROUND(AE199+AF199-AG199-AH199,2)</f>
        <v/>
      </c>
      <c r="AJ199">
        <f>AD199-AH199</f>
        <v/>
      </c>
      <c r="AK199" s="42">
        <f>AO198</f>
        <v/>
      </c>
      <c r="AL199" s="42">
        <f>ROUND(AK199*AL$6/12,2)</f>
        <v/>
      </c>
      <c r="AM199" s="42">
        <f>MIN(AM$6,AK199+AL199)</f>
        <v/>
      </c>
      <c r="AN199" s="42">
        <f>MAX(0,MIN(AK199+AL199-AM199,AJ199))</f>
        <v/>
      </c>
      <c r="AO199" s="42">
        <f>ROUND(AK199+AL199-AM199-AN199,2)</f>
        <v/>
      </c>
      <c r="AP199">
        <f>AJ199-AN199</f>
        <v/>
      </c>
      <c r="AQ199" s="42">
        <f>AU198</f>
        <v/>
      </c>
      <c r="AR199" s="42">
        <f>ROUND(AQ199*AR$6/12,2)</f>
        <v/>
      </c>
      <c r="AS199" s="42">
        <f>MIN(AS$6,AQ199+AR199)</f>
        <v/>
      </c>
      <c r="AT199" s="42">
        <f>MAX(0,MIN(AQ199+AR199-AS199,AP199))</f>
        <v/>
      </c>
      <c r="AU199" s="42">
        <f>ROUND(AQ199+AR199-AS199-AT199,2)</f>
        <v/>
      </c>
      <c r="AV199">
        <f>AP199-AT199</f>
        <v/>
      </c>
      <c r="AW199" s="42">
        <f>BA198</f>
        <v/>
      </c>
      <c r="AX199" s="42">
        <f>ROUND(AW199*AX$6/12,2)</f>
        <v/>
      </c>
      <c r="AY199" s="42">
        <f>MIN(AY$6,AW199+AX199)</f>
        <v/>
      </c>
      <c r="AZ199" s="42">
        <f>MAX(0,MIN(AW199+AX199-AY199,AV199))</f>
        <v/>
      </c>
      <c r="BA199" s="42">
        <f>ROUND(AW199+AX199-AY199-AZ199,2)</f>
        <v/>
      </c>
      <c r="BB199">
        <f>AV199-AZ199</f>
        <v/>
      </c>
      <c r="BC199" s="42">
        <f>BG198</f>
        <v/>
      </c>
      <c r="BD199" s="42">
        <f>ROUND(BC199*BD$6/12,2)</f>
        <v/>
      </c>
      <c r="BE199" s="42">
        <f>MIN(BE$6,BC199+BD199)</f>
        <v/>
      </c>
      <c r="BF199" s="42">
        <f>MAX(0,MIN(BC199+BD199-BE199,BB199))</f>
        <v/>
      </c>
      <c r="BG199" s="42">
        <f>ROUND(BC199+BD199-BE199-BF199,2)</f>
        <v/>
      </c>
      <c r="BH199">
        <f>BB199-BF199</f>
        <v/>
      </c>
      <c r="BI199" s="42">
        <f>BM198</f>
        <v/>
      </c>
      <c r="BJ199" s="42">
        <f>ROUND(BI199*BJ$6/12,2)</f>
        <v/>
      </c>
      <c r="BK199" s="42">
        <f>MIN(BK$6,BI199+BJ199)</f>
        <v/>
      </c>
      <c r="BL199" s="42">
        <f>MAX(0,MIN(BI199+BJ199-BK199,BH199))</f>
        <v/>
      </c>
      <c r="BM199" s="42">
        <f>ROUND(BI199+BJ199-BK199-BL199,2)</f>
        <v/>
      </c>
      <c r="BN199">
        <f>BH199-BL199</f>
        <v/>
      </c>
    </row>
    <row r="200">
      <c r="A200" s="39" t="n">
        <v>193</v>
      </c>
      <c r="B200" s="40">
        <f>EDATE('My Debts'!$C$6,A200-1)</f>
        <v/>
      </c>
      <c r="C200" s="41">
        <f>K200+Q200+W200+AC200+AI200+AO200+AU200+BA200+BG200+BM200</f>
        <v/>
      </c>
      <c r="D200" s="42">
        <f>I200+O200+U200+AA200+AG200+AM200+AS200+AY200+BE200+BK200+J200+P200+V200+AB200+AH200+AN200+AT200+AZ200+BF200+BL200</f>
        <v/>
      </c>
      <c r="E200" s="42">
        <f>H200+N200+T200+Z200+AF200+AL200+AR200+AX200+BD200+BJ200</f>
        <v/>
      </c>
      <c r="F200">
        <f>MAX(0,'My Debts'!$E$21-(I200+O200+U200+AA200+AG200+AM200+AS200+AY200+BE200+BK200))</f>
        <v/>
      </c>
      <c r="G200" s="42">
        <f>K199</f>
        <v/>
      </c>
      <c r="H200" s="42">
        <f>ROUND(G200*H$6/12,2)</f>
        <v/>
      </c>
      <c r="I200" s="42">
        <f>MIN(I$6,G200+H200)</f>
        <v/>
      </c>
      <c r="J200" s="42">
        <f>MAX(0,MIN(G200+H200-I200,$F200))</f>
        <v/>
      </c>
      <c r="K200" s="42">
        <f>ROUND(G200+H200-I200-J200,2)</f>
        <v/>
      </c>
      <c r="L200">
        <f>$F200-J200</f>
        <v/>
      </c>
      <c r="M200" s="42">
        <f>Q199</f>
        <v/>
      </c>
      <c r="N200" s="42">
        <f>ROUND(M200*N$6/12,2)</f>
        <v/>
      </c>
      <c r="O200" s="42">
        <f>MIN(O$6,M200+N200)</f>
        <v/>
      </c>
      <c r="P200" s="42">
        <f>MAX(0,MIN(M200+N200-O200,L200))</f>
        <v/>
      </c>
      <c r="Q200" s="42">
        <f>ROUND(M200+N200-O200-P200,2)</f>
        <v/>
      </c>
      <c r="R200">
        <f>L200-P200</f>
        <v/>
      </c>
      <c r="S200" s="42">
        <f>W199</f>
        <v/>
      </c>
      <c r="T200" s="42">
        <f>ROUND(S200*T$6/12,2)</f>
        <v/>
      </c>
      <c r="U200" s="42">
        <f>MIN(U$6,S200+T200)</f>
        <v/>
      </c>
      <c r="V200" s="42">
        <f>MAX(0,MIN(S200+T200-U200,R200))</f>
        <v/>
      </c>
      <c r="W200" s="42">
        <f>ROUND(S200+T200-U200-V200,2)</f>
        <v/>
      </c>
      <c r="X200">
        <f>R200-V200</f>
        <v/>
      </c>
      <c r="Y200" s="42">
        <f>AC199</f>
        <v/>
      </c>
      <c r="Z200" s="42">
        <f>ROUND(Y200*Z$6/12,2)</f>
        <v/>
      </c>
      <c r="AA200" s="42">
        <f>MIN(AA$6,Y200+Z200)</f>
        <v/>
      </c>
      <c r="AB200" s="42">
        <f>MAX(0,MIN(Y200+Z200-AA200,X200))</f>
        <v/>
      </c>
      <c r="AC200" s="42">
        <f>ROUND(Y200+Z200-AA200-AB200,2)</f>
        <v/>
      </c>
      <c r="AD200">
        <f>X200-AB200</f>
        <v/>
      </c>
      <c r="AE200" s="42">
        <f>AI199</f>
        <v/>
      </c>
      <c r="AF200" s="42">
        <f>ROUND(AE200*AF$6/12,2)</f>
        <v/>
      </c>
      <c r="AG200" s="42">
        <f>MIN(AG$6,AE200+AF200)</f>
        <v/>
      </c>
      <c r="AH200" s="42">
        <f>MAX(0,MIN(AE200+AF200-AG200,AD200))</f>
        <v/>
      </c>
      <c r="AI200" s="42">
        <f>ROUND(AE200+AF200-AG200-AH200,2)</f>
        <v/>
      </c>
      <c r="AJ200">
        <f>AD200-AH200</f>
        <v/>
      </c>
      <c r="AK200" s="42">
        <f>AO199</f>
        <v/>
      </c>
      <c r="AL200" s="42">
        <f>ROUND(AK200*AL$6/12,2)</f>
        <v/>
      </c>
      <c r="AM200" s="42">
        <f>MIN(AM$6,AK200+AL200)</f>
        <v/>
      </c>
      <c r="AN200" s="42">
        <f>MAX(0,MIN(AK200+AL200-AM200,AJ200))</f>
        <v/>
      </c>
      <c r="AO200" s="42">
        <f>ROUND(AK200+AL200-AM200-AN200,2)</f>
        <v/>
      </c>
      <c r="AP200">
        <f>AJ200-AN200</f>
        <v/>
      </c>
      <c r="AQ200" s="42">
        <f>AU199</f>
        <v/>
      </c>
      <c r="AR200" s="42">
        <f>ROUND(AQ200*AR$6/12,2)</f>
        <v/>
      </c>
      <c r="AS200" s="42">
        <f>MIN(AS$6,AQ200+AR200)</f>
        <v/>
      </c>
      <c r="AT200" s="42">
        <f>MAX(0,MIN(AQ200+AR200-AS200,AP200))</f>
        <v/>
      </c>
      <c r="AU200" s="42">
        <f>ROUND(AQ200+AR200-AS200-AT200,2)</f>
        <v/>
      </c>
      <c r="AV200">
        <f>AP200-AT200</f>
        <v/>
      </c>
      <c r="AW200" s="42">
        <f>BA199</f>
        <v/>
      </c>
      <c r="AX200" s="42">
        <f>ROUND(AW200*AX$6/12,2)</f>
        <v/>
      </c>
      <c r="AY200" s="42">
        <f>MIN(AY$6,AW200+AX200)</f>
        <v/>
      </c>
      <c r="AZ200" s="42">
        <f>MAX(0,MIN(AW200+AX200-AY200,AV200))</f>
        <v/>
      </c>
      <c r="BA200" s="42">
        <f>ROUND(AW200+AX200-AY200-AZ200,2)</f>
        <v/>
      </c>
      <c r="BB200">
        <f>AV200-AZ200</f>
        <v/>
      </c>
      <c r="BC200" s="42">
        <f>BG199</f>
        <v/>
      </c>
      <c r="BD200" s="42">
        <f>ROUND(BC200*BD$6/12,2)</f>
        <v/>
      </c>
      <c r="BE200" s="42">
        <f>MIN(BE$6,BC200+BD200)</f>
        <v/>
      </c>
      <c r="BF200" s="42">
        <f>MAX(0,MIN(BC200+BD200-BE200,BB200))</f>
        <v/>
      </c>
      <c r="BG200" s="42">
        <f>ROUND(BC200+BD200-BE200-BF200,2)</f>
        <v/>
      </c>
      <c r="BH200">
        <f>BB200-BF200</f>
        <v/>
      </c>
      <c r="BI200" s="42">
        <f>BM199</f>
        <v/>
      </c>
      <c r="BJ200" s="42">
        <f>ROUND(BI200*BJ$6/12,2)</f>
        <v/>
      </c>
      <c r="BK200" s="42">
        <f>MIN(BK$6,BI200+BJ200)</f>
        <v/>
      </c>
      <c r="BL200" s="42">
        <f>MAX(0,MIN(BI200+BJ200-BK200,BH200))</f>
        <v/>
      </c>
      <c r="BM200" s="42">
        <f>ROUND(BI200+BJ200-BK200-BL200,2)</f>
        <v/>
      </c>
      <c r="BN200">
        <f>BH200-BL200</f>
        <v/>
      </c>
    </row>
    <row r="201">
      <c r="A201" s="43" t="n">
        <v>194</v>
      </c>
      <c r="B201" s="44">
        <f>EDATE('My Debts'!$C$6,A201-1)</f>
        <v/>
      </c>
      <c r="C201" s="45">
        <f>K201+Q201+W201+AC201+AI201+AO201+AU201+BA201+BG201+BM201</f>
        <v/>
      </c>
      <c r="D201" s="46">
        <f>I201+O201+U201+AA201+AG201+AM201+AS201+AY201+BE201+BK201+J201+P201+V201+AB201+AH201+AN201+AT201+AZ201+BF201+BL201</f>
        <v/>
      </c>
      <c r="E201" s="46">
        <f>H201+N201+T201+Z201+AF201+AL201+AR201+AX201+BD201+BJ201</f>
        <v/>
      </c>
      <c r="F201">
        <f>MAX(0,'My Debts'!$E$21-(I201+O201+U201+AA201+AG201+AM201+AS201+AY201+BE201+BK201))</f>
        <v/>
      </c>
      <c r="G201" s="42">
        <f>K200</f>
        <v/>
      </c>
      <c r="H201" s="42">
        <f>ROUND(G201*H$6/12,2)</f>
        <v/>
      </c>
      <c r="I201" s="42">
        <f>MIN(I$6,G201+H201)</f>
        <v/>
      </c>
      <c r="J201" s="42">
        <f>MAX(0,MIN(G201+H201-I201,$F201))</f>
        <v/>
      </c>
      <c r="K201" s="42">
        <f>ROUND(G201+H201-I201-J201,2)</f>
        <v/>
      </c>
      <c r="L201">
        <f>$F201-J201</f>
        <v/>
      </c>
      <c r="M201" s="42">
        <f>Q200</f>
        <v/>
      </c>
      <c r="N201" s="42">
        <f>ROUND(M201*N$6/12,2)</f>
        <v/>
      </c>
      <c r="O201" s="42">
        <f>MIN(O$6,M201+N201)</f>
        <v/>
      </c>
      <c r="P201" s="42">
        <f>MAX(0,MIN(M201+N201-O201,L201))</f>
        <v/>
      </c>
      <c r="Q201" s="42">
        <f>ROUND(M201+N201-O201-P201,2)</f>
        <v/>
      </c>
      <c r="R201">
        <f>L201-P201</f>
        <v/>
      </c>
      <c r="S201" s="42">
        <f>W200</f>
        <v/>
      </c>
      <c r="T201" s="42">
        <f>ROUND(S201*T$6/12,2)</f>
        <v/>
      </c>
      <c r="U201" s="42">
        <f>MIN(U$6,S201+T201)</f>
        <v/>
      </c>
      <c r="V201" s="42">
        <f>MAX(0,MIN(S201+T201-U201,R201))</f>
        <v/>
      </c>
      <c r="W201" s="42">
        <f>ROUND(S201+T201-U201-V201,2)</f>
        <v/>
      </c>
      <c r="X201">
        <f>R201-V201</f>
        <v/>
      </c>
      <c r="Y201" s="42">
        <f>AC200</f>
        <v/>
      </c>
      <c r="Z201" s="42">
        <f>ROUND(Y201*Z$6/12,2)</f>
        <v/>
      </c>
      <c r="AA201" s="42">
        <f>MIN(AA$6,Y201+Z201)</f>
        <v/>
      </c>
      <c r="AB201" s="42">
        <f>MAX(0,MIN(Y201+Z201-AA201,X201))</f>
        <v/>
      </c>
      <c r="AC201" s="42">
        <f>ROUND(Y201+Z201-AA201-AB201,2)</f>
        <v/>
      </c>
      <c r="AD201">
        <f>X201-AB201</f>
        <v/>
      </c>
      <c r="AE201" s="42">
        <f>AI200</f>
        <v/>
      </c>
      <c r="AF201" s="42">
        <f>ROUND(AE201*AF$6/12,2)</f>
        <v/>
      </c>
      <c r="AG201" s="42">
        <f>MIN(AG$6,AE201+AF201)</f>
        <v/>
      </c>
      <c r="AH201" s="42">
        <f>MAX(0,MIN(AE201+AF201-AG201,AD201))</f>
        <v/>
      </c>
      <c r="AI201" s="42">
        <f>ROUND(AE201+AF201-AG201-AH201,2)</f>
        <v/>
      </c>
      <c r="AJ201">
        <f>AD201-AH201</f>
        <v/>
      </c>
      <c r="AK201" s="42">
        <f>AO200</f>
        <v/>
      </c>
      <c r="AL201" s="42">
        <f>ROUND(AK201*AL$6/12,2)</f>
        <v/>
      </c>
      <c r="AM201" s="42">
        <f>MIN(AM$6,AK201+AL201)</f>
        <v/>
      </c>
      <c r="AN201" s="42">
        <f>MAX(0,MIN(AK201+AL201-AM201,AJ201))</f>
        <v/>
      </c>
      <c r="AO201" s="42">
        <f>ROUND(AK201+AL201-AM201-AN201,2)</f>
        <v/>
      </c>
      <c r="AP201">
        <f>AJ201-AN201</f>
        <v/>
      </c>
      <c r="AQ201" s="42">
        <f>AU200</f>
        <v/>
      </c>
      <c r="AR201" s="42">
        <f>ROUND(AQ201*AR$6/12,2)</f>
        <v/>
      </c>
      <c r="AS201" s="42">
        <f>MIN(AS$6,AQ201+AR201)</f>
        <v/>
      </c>
      <c r="AT201" s="42">
        <f>MAX(0,MIN(AQ201+AR201-AS201,AP201))</f>
        <v/>
      </c>
      <c r="AU201" s="42">
        <f>ROUND(AQ201+AR201-AS201-AT201,2)</f>
        <v/>
      </c>
      <c r="AV201">
        <f>AP201-AT201</f>
        <v/>
      </c>
      <c r="AW201" s="42">
        <f>BA200</f>
        <v/>
      </c>
      <c r="AX201" s="42">
        <f>ROUND(AW201*AX$6/12,2)</f>
        <v/>
      </c>
      <c r="AY201" s="42">
        <f>MIN(AY$6,AW201+AX201)</f>
        <v/>
      </c>
      <c r="AZ201" s="42">
        <f>MAX(0,MIN(AW201+AX201-AY201,AV201))</f>
        <v/>
      </c>
      <c r="BA201" s="42">
        <f>ROUND(AW201+AX201-AY201-AZ201,2)</f>
        <v/>
      </c>
      <c r="BB201">
        <f>AV201-AZ201</f>
        <v/>
      </c>
      <c r="BC201" s="42">
        <f>BG200</f>
        <v/>
      </c>
      <c r="BD201" s="42">
        <f>ROUND(BC201*BD$6/12,2)</f>
        <v/>
      </c>
      <c r="BE201" s="42">
        <f>MIN(BE$6,BC201+BD201)</f>
        <v/>
      </c>
      <c r="BF201" s="42">
        <f>MAX(0,MIN(BC201+BD201-BE201,BB201))</f>
        <v/>
      </c>
      <c r="BG201" s="42">
        <f>ROUND(BC201+BD201-BE201-BF201,2)</f>
        <v/>
      </c>
      <c r="BH201">
        <f>BB201-BF201</f>
        <v/>
      </c>
      <c r="BI201" s="42">
        <f>BM200</f>
        <v/>
      </c>
      <c r="BJ201" s="42">
        <f>ROUND(BI201*BJ$6/12,2)</f>
        <v/>
      </c>
      <c r="BK201" s="42">
        <f>MIN(BK$6,BI201+BJ201)</f>
        <v/>
      </c>
      <c r="BL201" s="42">
        <f>MAX(0,MIN(BI201+BJ201-BK201,BH201))</f>
        <v/>
      </c>
      <c r="BM201" s="42">
        <f>ROUND(BI201+BJ201-BK201-BL201,2)</f>
        <v/>
      </c>
      <c r="BN201">
        <f>BH201-BL201</f>
        <v/>
      </c>
    </row>
    <row r="202">
      <c r="A202" s="39" t="n">
        <v>195</v>
      </c>
      <c r="B202" s="40">
        <f>EDATE('My Debts'!$C$6,A202-1)</f>
        <v/>
      </c>
      <c r="C202" s="41">
        <f>K202+Q202+W202+AC202+AI202+AO202+AU202+BA202+BG202+BM202</f>
        <v/>
      </c>
      <c r="D202" s="42">
        <f>I202+O202+U202+AA202+AG202+AM202+AS202+AY202+BE202+BK202+J202+P202+V202+AB202+AH202+AN202+AT202+AZ202+BF202+BL202</f>
        <v/>
      </c>
      <c r="E202" s="42">
        <f>H202+N202+T202+Z202+AF202+AL202+AR202+AX202+BD202+BJ202</f>
        <v/>
      </c>
      <c r="F202">
        <f>MAX(0,'My Debts'!$E$21-(I202+O202+U202+AA202+AG202+AM202+AS202+AY202+BE202+BK202))</f>
        <v/>
      </c>
      <c r="G202" s="42">
        <f>K201</f>
        <v/>
      </c>
      <c r="H202" s="42">
        <f>ROUND(G202*H$6/12,2)</f>
        <v/>
      </c>
      <c r="I202" s="42">
        <f>MIN(I$6,G202+H202)</f>
        <v/>
      </c>
      <c r="J202" s="42">
        <f>MAX(0,MIN(G202+H202-I202,$F202))</f>
        <v/>
      </c>
      <c r="K202" s="42">
        <f>ROUND(G202+H202-I202-J202,2)</f>
        <v/>
      </c>
      <c r="L202">
        <f>$F202-J202</f>
        <v/>
      </c>
      <c r="M202" s="42">
        <f>Q201</f>
        <v/>
      </c>
      <c r="N202" s="42">
        <f>ROUND(M202*N$6/12,2)</f>
        <v/>
      </c>
      <c r="O202" s="42">
        <f>MIN(O$6,M202+N202)</f>
        <v/>
      </c>
      <c r="P202" s="42">
        <f>MAX(0,MIN(M202+N202-O202,L202))</f>
        <v/>
      </c>
      <c r="Q202" s="42">
        <f>ROUND(M202+N202-O202-P202,2)</f>
        <v/>
      </c>
      <c r="R202">
        <f>L202-P202</f>
        <v/>
      </c>
      <c r="S202" s="42">
        <f>W201</f>
        <v/>
      </c>
      <c r="T202" s="42">
        <f>ROUND(S202*T$6/12,2)</f>
        <v/>
      </c>
      <c r="U202" s="42">
        <f>MIN(U$6,S202+T202)</f>
        <v/>
      </c>
      <c r="V202" s="42">
        <f>MAX(0,MIN(S202+T202-U202,R202))</f>
        <v/>
      </c>
      <c r="W202" s="42">
        <f>ROUND(S202+T202-U202-V202,2)</f>
        <v/>
      </c>
      <c r="X202">
        <f>R202-V202</f>
        <v/>
      </c>
      <c r="Y202" s="42">
        <f>AC201</f>
        <v/>
      </c>
      <c r="Z202" s="42">
        <f>ROUND(Y202*Z$6/12,2)</f>
        <v/>
      </c>
      <c r="AA202" s="42">
        <f>MIN(AA$6,Y202+Z202)</f>
        <v/>
      </c>
      <c r="AB202" s="42">
        <f>MAX(0,MIN(Y202+Z202-AA202,X202))</f>
        <v/>
      </c>
      <c r="AC202" s="42">
        <f>ROUND(Y202+Z202-AA202-AB202,2)</f>
        <v/>
      </c>
      <c r="AD202">
        <f>X202-AB202</f>
        <v/>
      </c>
      <c r="AE202" s="42">
        <f>AI201</f>
        <v/>
      </c>
      <c r="AF202" s="42">
        <f>ROUND(AE202*AF$6/12,2)</f>
        <v/>
      </c>
      <c r="AG202" s="42">
        <f>MIN(AG$6,AE202+AF202)</f>
        <v/>
      </c>
      <c r="AH202" s="42">
        <f>MAX(0,MIN(AE202+AF202-AG202,AD202))</f>
        <v/>
      </c>
      <c r="AI202" s="42">
        <f>ROUND(AE202+AF202-AG202-AH202,2)</f>
        <v/>
      </c>
      <c r="AJ202">
        <f>AD202-AH202</f>
        <v/>
      </c>
      <c r="AK202" s="42">
        <f>AO201</f>
        <v/>
      </c>
      <c r="AL202" s="42">
        <f>ROUND(AK202*AL$6/12,2)</f>
        <v/>
      </c>
      <c r="AM202" s="42">
        <f>MIN(AM$6,AK202+AL202)</f>
        <v/>
      </c>
      <c r="AN202" s="42">
        <f>MAX(0,MIN(AK202+AL202-AM202,AJ202))</f>
        <v/>
      </c>
      <c r="AO202" s="42">
        <f>ROUND(AK202+AL202-AM202-AN202,2)</f>
        <v/>
      </c>
      <c r="AP202">
        <f>AJ202-AN202</f>
        <v/>
      </c>
      <c r="AQ202" s="42">
        <f>AU201</f>
        <v/>
      </c>
      <c r="AR202" s="42">
        <f>ROUND(AQ202*AR$6/12,2)</f>
        <v/>
      </c>
      <c r="AS202" s="42">
        <f>MIN(AS$6,AQ202+AR202)</f>
        <v/>
      </c>
      <c r="AT202" s="42">
        <f>MAX(0,MIN(AQ202+AR202-AS202,AP202))</f>
        <v/>
      </c>
      <c r="AU202" s="42">
        <f>ROUND(AQ202+AR202-AS202-AT202,2)</f>
        <v/>
      </c>
      <c r="AV202">
        <f>AP202-AT202</f>
        <v/>
      </c>
      <c r="AW202" s="42">
        <f>BA201</f>
        <v/>
      </c>
      <c r="AX202" s="42">
        <f>ROUND(AW202*AX$6/12,2)</f>
        <v/>
      </c>
      <c r="AY202" s="42">
        <f>MIN(AY$6,AW202+AX202)</f>
        <v/>
      </c>
      <c r="AZ202" s="42">
        <f>MAX(0,MIN(AW202+AX202-AY202,AV202))</f>
        <v/>
      </c>
      <c r="BA202" s="42">
        <f>ROUND(AW202+AX202-AY202-AZ202,2)</f>
        <v/>
      </c>
      <c r="BB202">
        <f>AV202-AZ202</f>
        <v/>
      </c>
      <c r="BC202" s="42">
        <f>BG201</f>
        <v/>
      </c>
      <c r="BD202" s="42">
        <f>ROUND(BC202*BD$6/12,2)</f>
        <v/>
      </c>
      <c r="BE202" s="42">
        <f>MIN(BE$6,BC202+BD202)</f>
        <v/>
      </c>
      <c r="BF202" s="42">
        <f>MAX(0,MIN(BC202+BD202-BE202,BB202))</f>
        <v/>
      </c>
      <c r="BG202" s="42">
        <f>ROUND(BC202+BD202-BE202-BF202,2)</f>
        <v/>
      </c>
      <c r="BH202">
        <f>BB202-BF202</f>
        <v/>
      </c>
      <c r="BI202" s="42">
        <f>BM201</f>
        <v/>
      </c>
      <c r="BJ202" s="42">
        <f>ROUND(BI202*BJ$6/12,2)</f>
        <v/>
      </c>
      <c r="BK202" s="42">
        <f>MIN(BK$6,BI202+BJ202)</f>
        <v/>
      </c>
      <c r="BL202" s="42">
        <f>MAX(0,MIN(BI202+BJ202-BK202,BH202))</f>
        <v/>
      </c>
      <c r="BM202" s="42">
        <f>ROUND(BI202+BJ202-BK202-BL202,2)</f>
        <v/>
      </c>
      <c r="BN202">
        <f>BH202-BL202</f>
        <v/>
      </c>
    </row>
    <row r="203">
      <c r="A203" s="43" t="n">
        <v>196</v>
      </c>
      <c r="B203" s="44">
        <f>EDATE('My Debts'!$C$6,A203-1)</f>
        <v/>
      </c>
      <c r="C203" s="45">
        <f>K203+Q203+W203+AC203+AI203+AO203+AU203+BA203+BG203+BM203</f>
        <v/>
      </c>
      <c r="D203" s="46">
        <f>I203+O203+U203+AA203+AG203+AM203+AS203+AY203+BE203+BK203+J203+P203+V203+AB203+AH203+AN203+AT203+AZ203+BF203+BL203</f>
        <v/>
      </c>
      <c r="E203" s="46">
        <f>H203+N203+T203+Z203+AF203+AL203+AR203+AX203+BD203+BJ203</f>
        <v/>
      </c>
      <c r="F203">
        <f>MAX(0,'My Debts'!$E$21-(I203+O203+U203+AA203+AG203+AM203+AS203+AY203+BE203+BK203))</f>
        <v/>
      </c>
      <c r="G203" s="42">
        <f>K202</f>
        <v/>
      </c>
      <c r="H203" s="42">
        <f>ROUND(G203*H$6/12,2)</f>
        <v/>
      </c>
      <c r="I203" s="42">
        <f>MIN(I$6,G203+H203)</f>
        <v/>
      </c>
      <c r="J203" s="42">
        <f>MAX(0,MIN(G203+H203-I203,$F203))</f>
        <v/>
      </c>
      <c r="K203" s="42">
        <f>ROUND(G203+H203-I203-J203,2)</f>
        <v/>
      </c>
      <c r="L203">
        <f>$F203-J203</f>
        <v/>
      </c>
      <c r="M203" s="42">
        <f>Q202</f>
        <v/>
      </c>
      <c r="N203" s="42">
        <f>ROUND(M203*N$6/12,2)</f>
        <v/>
      </c>
      <c r="O203" s="42">
        <f>MIN(O$6,M203+N203)</f>
        <v/>
      </c>
      <c r="P203" s="42">
        <f>MAX(0,MIN(M203+N203-O203,L203))</f>
        <v/>
      </c>
      <c r="Q203" s="42">
        <f>ROUND(M203+N203-O203-P203,2)</f>
        <v/>
      </c>
      <c r="R203">
        <f>L203-P203</f>
        <v/>
      </c>
      <c r="S203" s="42">
        <f>W202</f>
        <v/>
      </c>
      <c r="T203" s="42">
        <f>ROUND(S203*T$6/12,2)</f>
        <v/>
      </c>
      <c r="U203" s="42">
        <f>MIN(U$6,S203+T203)</f>
        <v/>
      </c>
      <c r="V203" s="42">
        <f>MAX(0,MIN(S203+T203-U203,R203))</f>
        <v/>
      </c>
      <c r="W203" s="42">
        <f>ROUND(S203+T203-U203-V203,2)</f>
        <v/>
      </c>
      <c r="X203">
        <f>R203-V203</f>
        <v/>
      </c>
      <c r="Y203" s="42">
        <f>AC202</f>
        <v/>
      </c>
      <c r="Z203" s="42">
        <f>ROUND(Y203*Z$6/12,2)</f>
        <v/>
      </c>
      <c r="AA203" s="42">
        <f>MIN(AA$6,Y203+Z203)</f>
        <v/>
      </c>
      <c r="AB203" s="42">
        <f>MAX(0,MIN(Y203+Z203-AA203,X203))</f>
        <v/>
      </c>
      <c r="AC203" s="42">
        <f>ROUND(Y203+Z203-AA203-AB203,2)</f>
        <v/>
      </c>
      <c r="AD203">
        <f>X203-AB203</f>
        <v/>
      </c>
      <c r="AE203" s="42">
        <f>AI202</f>
        <v/>
      </c>
      <c r="AF203" s="42">
        <f>ROUND(AE203*AF$6/12,2)</f>
        <v/>
      </c>
      <c r="AG203" s="42">
        <f>MIN(AG$6,AE203+AF203)</f>
        <v/>
      </c>
      <c r="AH203" s="42">
        <f>MAX(0,MIN(AE203+AF203-AG203,AD203))</f>
        <v/>
      </c>
      <c r="AI203" s="42">
        <f>ROUND(AE203+AF203-AG203-AH203,2)</f>
        <v/>
      </c>
      <c r="AJ203">
        <f>AD203-AH203</f>
        <v/>
      </c>
      <c r="AK203" s="42">
        <f>AO202</f>
        <v/>
      </c>
      <c r="AL203" s="42">
        <f>ROUND(AK203*AL$6/12,2)</f>
        <v/>
      </c>
      <c r="AM203" s="42">
        <f>MIN(AM$6,AK203+AL203)</f>
        <v/>
      </c>
      <c r="AN203" s="42">
        <f>MAX(0,MIN(AK203+AL203-AM203,AJ203))</f>
        <v/>
      </c>
      <c r="AO203" s="42">
        <f>ROUND(AK203+AL203-AM203-AN203,2)</f>
        <v/>
      </c>
      <c r="AP203">
        <f>AJ203-AN203</f>
        <v/>
      </c>
      <c r="AQ203" s="42">
        <f>AU202</f>
        <v/>
      </c>
      <c r="AR203" s="42">
        <f>ROUND(AQ203*AR$6/12,2)</f>
        <v/>
      </c>
      <c r="AS203" s="42">
        <f>MIN(AS$6,AQ203+AR203)</f>
        <v/>
      </c>
      <c r="AT203" s="42">
        <f>MAX(0,MIN(AQ203+AR203-AS203,AP203))</f>
        <v/>
      </c>
      <c r="AU203" s="42">
        <f>ROUND(AQ203+AR203-AS203-AT203,2)</f>
        <v/>
      </c>
      <c r="AV203">
        <f>AP203-AT203</f>
        <v/>
      </c>
      <c r="AW203" s="42">
        <f>BA202</f>
        <v/>
      </c>
      <c r="AX203" s="42">
        <f>ROUND(AW203*AX$6/12,2)</f>
        <v/>
      </c>
      <c r="AY203" s="42">
        <f>MIN(AY$6,AW203+AX203)</f>
        <v/>
      </c>
      <c r="AZ203" s="42">
        <f>MAX(0,MIN(AW203+AX203-AY203,AV203))</f>
        <v/>
      </c>
      <c r="BA203" s="42">
        <f>ROUND(AW203+AX203-AY203-AZ203,2)</f>
        <v/>
      </c>
      <c r="BB203">
        <f>AV203-AZ203</f>
        <v/>
      </c>
      <c r="BC203" s="42">
        <f>BG202</f>
        <v/>
      </c>
      <c r="BD203" s="42">
        <f>ROUND(BC203*BD$6/12,2)</f>
        <v/>
      </c>
      <c r="BE203" s="42">
        <f>MIN(BE$6,BC203+BD203)</f>
        <v/>
      </c>
      <c r="BF203" s="42">
        <f>MAX(0,MIN(BC203+BD203-BE203,BB203))</f>
        <v/>
      </c>
      <c r="BG203" s="42">
        <f>ROUND(BC203+BD203-BE203-BF203,2)</f>
        <v/>
      </c>
      <c r="BH203">
        <f>BB203-BF203</f>
        <v/>
      </c>
      <c r="BI203" s="42">
        <f>BM202</f>
        <v/>
      </c>
      <c r="BJ203" s="42">
        <f>ROUND(BI203*BJ$6/12,2)</f>
        <v/>
      </c>
      <c r="BK203" s="42">
        <f>MIN(BK$6,BI203+BJ203)</f>
        <v/>
      </c>
      <c r="BL203" s="42">
        <f>MAX(0,MIN(BI203+BJ203-BK203,BH203))</f>
        <v/>
      </c>
      <c r="BM203" s="42">
        <f>ROUND(BI203+BJ203-BK203-BL203,2)</f>
        <v/>
      </c>
      <c r="BN203">
        <f>BH203-BL203</f>
        <v/>
      </c>
    </row>
    <row r="204">
      <c r="A204" s="39" t="n">
        <v>197</v>
      </c>
      <c r="B204" s="40">
        <f>EDATE('My Debts'!$C$6,A204-1)</f>
        <v/>
      </c>
      <c r="C204" s="41">
        <f>K204+Q204+W204+AC204+AI204+AO204+AU204+BA204+BG204+BM204</f>
        <v/>
      </c>
      <c r="D204" s="42">
        <f>I204+O204+U204+AA204+AG204+AM204+AS204+AY204+BE204+BK204+J204+P204+V204+AB204+AH204+AN204+AT204+AZ204+BF204+BL204</f>
        <v/>
      </c>
      <c r="E204" s="42">
        <f>H204+N204+T204+Z204+AF204+AL204+AR204+AX204+BD204+BJ204</f>
        <v/>
      </c>
      <c r="F204">
        <f>MAX(0,'My Debts'!$E$21-(I204+O204+U204+AA204+AG204+AM204+AS204+AY204+BE204+BK204))</f>
        <v/>
      </c>
      <c r="G204" s="42">
        <f>K203</f>
        <v/>
      </c>
      <c r="H204" s="42">
        <f>ROUND(G204*H$6/12,2)</f>
        <v/>
      </c>
      <c r="I204" s="42">
        <f>MIN(I$6,G204+H204)</f>
        <v/>
      </c>
      <c r="J204" s="42">
        <f>MAX(0,MIN(G204+H204-I204,$F204))</f>
        <v/>
      </c>
      <c r="K204" s="42">
        <f>ROUND(G204+H204-I204-J204,2)</f>
        <v/>
      </c>
      <c r="L204">
        <f>$F204-J204</f>
        <v/>
      </c>
      <c r="M204" s="42">
        <f>Q203</f>
        <v/>
      </c>
      <c r="N204" s="42">
        <f>ROUND(M204*N$6/12,2)</f>
        <v/>
      </c>
      <c r="O204" s="42">
        <f>MIN(O$6,M204+N204)</f>
        <v/>
      </c>
      <c r="P204" s="42">
        <f>MAX(0,MIN(M204+N204-O204,L204))</f>
        <v/>
      </c>
      <c r="Q204" s="42">
        <f>ROUND(M204+N204-O204-P204,2)</f>
        <v/>
      </c>
      <c r="R204">
        <f>L204-P204</f>
        <v/>
      </c>
      <c r="S204" s="42">
        <f>W203</f>
        <v/>
      </c>
      <c r="T204" s="42">
        <f>ROUND(S204*T$6/12,2)</f>
        <v/>
      </c>
      <c r="U204" s="42">
        <f>MIN(U$6,S204+T204)</f>
        <v/>
      </c>
      <c r="V204" s="42">
        <f>MAX(0,MIN(S204+T204-U204,R204))</f>
        <v/>
      </c>
      <c r="W204" s="42">
        <f>ROUND(S204+T204-U204-V204,2)</f>
        <v/>
      </c>
      <c r="X204">
        <f>R204-V204</f>
        <v/>
      </c>
      <c r="Y204" s="42">
        <f>AC203</f>
        <v/>
      </c>
      <c r="Z204" s="42">
        <f>ROUND(Y204*Z$6/12,2)</f>
        <v/>
      </c>
      <c r="AA204" s="42">
        <f>MIN(AA$6,Y204+Z204)</f>
        <v/>
      </c>
      <c r="AB204" s="42">
        <f>MAX(0,MIN(Y204+Z204-AA204,X204))</f>
        <v/>
      </c>
      <c r="AC204" s="42">
        <f>ROUND(Y204+Z204-AA204-AB204,2)</f>
        <v/>
      </c>
      <c r="AD204">
        <f>X204-AB204</f>
        <v/>
      </c>
      <c r="AE204" s="42">
        <f>AI203</f>
        <v/>
      </c>
      <c r="AF204" s="42">
        <f>ROUND(AE204*AF$6/12,2)</f>
        <v/>
      </c>
      <c r="AG204" s="42">
        <f>MIN(AG$6,AE204+AF204)</f>
        <v/>
      </c>
      <c r="AH204" s="42">
        <f>MAX(0,MIN(AE204+AF204-AG204,AD204))</f>
        <v/>
      </c>
      <c r="AI204" s="42">
        <f>ROUND(AE204+AF204-AG204-AH204,2)</f>
        <v/>
      </c>
      <c r="AJ204">
        <f>AD204-AH204</f>
        <v/>
      </c>
      <c r="AK204" s="42">
        <f>AO203</f>
        <v/>
      </c>
      <c r="AL204" s="42">
        <f>ROUND(AK204*AL$6/12,2)</f>
        <v/>
      </c>
      <c r="AM204" s="42">
        <f>MIN(AM$6,AK204+AL204)</f>
        <v/>
      </c>
      <c r="AN204" s="42">
        <f>MAX(0,MIN(AK204+AL204-AM204,AJ204))</f>
        <v/>
      </c>
      <c r="AO204" s="42">
        <f>ROUND(AK204+AL204-AM204-AN204,2)</f>
        <v/>
      </c>
      <c r="AP204">
        <f>AJ204-AN204</f>
        <v/>
      </c>
      <c r="AQ204" s="42">
        <f>AU203</f>
        <v/>
      </c>
      <c r="AR204" s="42">
        <f>ROUND(AQ204*AR$6/12,2)</f>
        <v/>
      </c>
      <c r="AS204" s="42">
        <f>MIN(AS$6,AQ204+AR204)</f>
        <v/>
      </c>
      <c r="AT204" s="42">
        <f>MAX(0,MIN(AQ204+AR204-AS204,AP204))</f>
        <v/>
      </c>
      <c r="AU204" s="42">
        <f>ROUND(AQ204+AR204-AS204-AT204,2)</f>
        <v/>
      </c>
      <c r="AV204">
        <f>AP204-AT204</f>
        <v/>
      </c>
      <c r="AW204" s="42">
        <f>BA203</f>
        <v/>
      </c>
      <c r="AX204" s="42">
        <f>ROUND(AW204*AX$6/12,2)</f>
        <v/>
      </c>
      <c r="AY204" s="42">
        <f>MIN(AY$6,AW204+AX204)</f>
        <v/>
      </c>
      <c r="AZ204" s="42">
        <f>MAX(0,MIN(AW204+AX204-AY204,AV204))</f>
        <v/>
      </c>
      <c r="BA204" s="42">
        <f>ROUND(AW204+AX204-AY204-AZ204,2)</f>
        <v/>
      </c>
      <c r="BB204">
        <f>AV204-AZ204</f>
        <v/>
      </c>
      <c r="BC204" s="42">
        <f>BG203</f>
        <v/>
      </c>
      <c r="BD204" s="42">
        <f>ROUND(BC204*BD$6/12,2)</f>
        <v/>
      </c>
      <c r="BE204" s="42">
        <f>MIN(BE$6,BC204+BD204)</f>
        <v/>
      </c>
      <c r="BF204" s="42">
        <f>MAX(0,MIN(BC204+BD204-BE204,BB204))</f>
        <v/>
      </c>
      <c r="BG204" s="42">
        <f>ROUND(BC204+BD204-BE204-BF204,2)</f>
        <v/>
      </c>
      <c r="BH204">
        <f>BB204-BF204</f>
        <v/>
      </c>
      <c r="BI204" s="42">
        <f>BM203</f>
        <v/>
      </c>
      <c r="BJ204" s="42">
        <f>ROUND(BI204*BJ$6/12,2)</f>
        <v/>
      </c>
      <c r="BK204" s="42">
        <f>MIN(BK$6,BI204+BJ204)</f>
        <v/>
      </c>
      <c r="BL204" s="42">
        <f>MAX(0,MIN(BI204+BJ204-BK204,BH204))</f>
        <v/>
      </c>
      <c r="BM204" s="42">
        <f>ROUND(BI204+BJ204-BK204-BL204,2)</f>
        <v/>
      </c>
      <c r="BN204">
        <f>BH204-BL204</f>
        <v/>
      </c>
    </row>
    <row r="205">
      <c r="A205" s="43" t="n">
        <v>198</v>
      </c>
      <c r="B205" s="44">
        <f>EDATE('My Debts'!$C$6,A205-1)</f>
        <v/>
      </c>
      <c r="C205" s="45">
        <f>K205+Q205+W205+AC205+AI205+AO205+AU205+BA205+BG205+BM205</f>
        <v/>
      </c>
      <c r="D205" s="46">
        <f>I205+O205+U205+AA205+AG205+AM205+AS205+AY205+BE205+BK205+J205+P205+V205+AB205+AH205+AN205+AT205+AZ205+BF205+BL205</f>
        <v/>
      </c>
      <c r="E205" s="46">
        <f>H205+N205+T205+Z205+AF205+AL205+AR205+AX205+BD205+BJ205</f>
        <v/>
      </c>
      <c r="F205">
        <f>MAX(0,'My Debts'!$E$21-(I205+O205+U205+AA205+AG205+AM205+AS205+AY205+BE205+BK205))</f>
        <v/>
      </c>
      <c r="G205" s="42">
        <f>K204</f>
        <v/>
      </c>
      <c r="H205" s="42">
        <f>ROUND(G205*H$6/12,2)</f>
        <v/>
      </c>
      <c r="I205" s="42">
        <f>MIN(I$6,G205+H205)</f>
        <v/>
      </c>
      <c r="J205" s="42">
        <f>MAX(0,MIN(G205+H205-I205,$F205))</f>
        <v/>
      </c>
      <c r="K205" s="42">
        <f>ROUND(G205+H205-I205-J205,2)</f>
        <v/>
      </c>
      <c r="L205">
        <f>$F205-J205</f>
        <v/>
      </c>
      <c r="M205" s="42">
        <f>Q204</f>
        <v/>
      </c>
      <c r="N205" s="42">
        <f>ROUND(M205*N$6/12,2)</f>
        <v/>
      </c>
      <c r="O205" s="42">
        <f>MIN(O$6,M205+N205)</f>
        <v/>
      </c>
      <c r="P205" s="42">
        <f>MAX(0,MIN(M205+N205-O205,L205))</f>
        <v/>
      </c>
      <c r="Q205" s="42">
        <f>ROUND(M205+N205-O205-P205,2)</f>
        <v/>
      </c>
      <c r="R205">
        <f>L205-P205</f>
        <v/>
      </c>
      <c r="S205" s="42">
        <f>W204</f>
        <v/>
      </c>
      <c r="T205" s="42">
        <f>ROUND(S205*T$6/12,2)</f>
        <v/>
      </c>
      <c r="U205" s="42">
        <f>MIN(U$6,S205+T205)</f>
        <v/>
      </c>
      <c r="V205" s="42">
        <f>MAX(0,MIN(S205+T205-U205,R205))</f>
        <v/>
      </c>
      <c r="W205" s="42">
        <f>ROUND(S205+T205-U205-V205,2)</f>
        <v/>
      </c>
      <c r="X205">
        <f>R205-V205</f>
        <v/>
      </c>
      <c r="Y205" s="42">
        <f>AC204</f>
        <v/>
      </c>
      <c r="Z205" s="42">
        <f>ROUND(Y205*Z$6/12,2)</f>
        <v/>
      </c>
      <c r="AA205" s="42">
        <f>MIN(AA$6,Y205+Z205)</f>
        <v/>
      </c>
      <c r="AB205" s="42">
        <f>MAX(0,MIN(Y205+Z205-AA205,X205))</f>
        <v/>
      </c>
      <c r="AC205" s="42">
        <f>ROUND(Y205+Z205-AA205-AB205,2)</f>
        <v/>
      </c>
      <c r="AD205">
        <f>X205-AB205</f>
        <v/>
      </c>
      <c r="AE205" s="42">
        <f>AI204</f>
        <v/>
      </c>
      <c r="AF205" s="42">
        <f>ROUND(AE205*AF$6/12,2)</f>
        <v/>
      </c>
      <c r="AG205" s="42">
        <f>MIN(AG$6,AE205+AF205)</f>
        <v/>
      </c>
      <c r="AH205" s="42">
        <f>MAX(0,MIN(AE205+AF205-AG205,AD205))</f>
        <v/>
      </c>
      <c r="AI205" s="42">
        <f>ROUND(AE205+AF205-AG205-AH205,2)</f>
        <v/>
      </c>
      <c r="AJ205">
        <f>AD205-AH205</f>
        <v/>
      </c>
      <c r="AK205" s="42">
        <f>AO204</f>
        <v/>
      </c>
      <c r="AL205" s="42">
        <f>ROUND(AK205*AL$6/12,2)</f>
        <v/>
      </c>
      <c r="AM205" s="42">
        <f>MIN(AM$6,AK205+AL205)</f>
        <v/>
      </c>
      <c r="AN205" s="42">
        <f>MAX(0,MIN(AK205+AL205-AM205,AJ205))</f>
        <v/>
      </c>
      <c r="AO205" s="42">
        <f>ROUND(AK205+AL205-AM205-AN205,2)</f>
        <v/>
      </c>
      <c r="AP205">
        <f>AJ205-AN205</f>
        <v/>
      </c>
      <c r="AQ205" s="42">
        <f>AU204</f>
        <v/>
      </c>
      <c r="AR205" s="42">
        <f>ROUND(AQ205*AR$6/12,2)</f>
        <v/>
      </c>
      <c r="AS205" s="42">
        <f>MIN(AS$6,AQ205+AR205)</f>
        <v/>
      </c>
      <c r="AT205" s="42">
        <f>MAX(0,MIN(AQ205+AR205-AS205,AP205))</f>
        <v/>
      </c>
      <c r="AU205" s="42">
        <f>ROUND(AQ205+AR205-AS205-AT205,2)</f>
        <v/>
      </c>
      <c r="AV205">
        <f>AP205-AT205</f>
        <v/>
      </c>
      <c r="AW205" s="42">
        <f>BA204</f>
        <v/>
      </c>
      <c r="AX205" s="42">
        <f>ROUND(AW205*AX$6/12,2)</f>
        <v/>
      </c>
      <c r="AY205" s="42">
        <f>MIN(AY$6,AW205+AX205)</f>
        <v/>
      </c>
      <c r="AZ205" s="42">
        <f>MAX(0,MIN(AW205+AX205-AY205,AV205))</f>
        <v/>
      </c>
      <c r="BA205" s="42">
        <f>ROUND(AW205+AX205-AY205-AZ205,2)</f>
        <v/>
      </c>
      <c r="BB205">
        <f>AV205-AZ205</f>
        <v/>
      </c>
      <c r="BC205" s="42">
        <f>BG204</f>
        <v/>
      </c>
      <c r="BD205" s="42">
        <f>ROUND(BC205*BD$6/12,2)</f>
        <v/>
      </c>
      <c r="BE205" s="42">
        <f>MIN(BE$6,BC205+BD205)</f>
        <v/>
      </c>
      <c r="BF205" s="42">
        <f>MAX(0,MIN(BC205+BD205-BE205,BB205))</f>
        <v/>
      </c>
      <c r="BG205" s="42">
        <f>ROUND(BC205+BD205-BE205-BF205,2)</f>
        <v/>
      </c>
      <c r="BH205">
        <f>BB205-BF205</f>
        <v/>
      </c>
      <c r="BI205" s="42">
        <f>BM204</f>
        <v/>
      </c>
      <c r="BJ205" s="42">
        <f>ROUND(BI205*BJ$6/12,2)</f>
        <v/>
      </c>
      <c r="BK205" s="42">
        <f>MIN(BK$6,BI205+BJ205)</f>
        <v/>
      </c>
      <c r="BL205" s="42">
        <f>MAX(0,MIN(BI205+BJ205-BK205,BH205))</f>
        <v/>
      </c>
      <c r="BM205" s="42">
        <f>ROUND(BI205+BJ205-BK205-BL205,2)</f>
        <v/>
      </c>
      <c r="BN205">
        <f>BH205-BL205</f>
        <v/>
      </c>
    </row>
    <row r="206">
      <c r="A206" s="39" t="n">
        <v>199</v>
      </c>
      <c r="B206" s="40">
        <f>EDATE('My Debts'!$C$6,A206-1)</f>
        <v/>
      </c>
      <c r="C206" s="41">
        <f>K206+Q206+W206+AC206+AI206+AO206+AU206+BA206+BG206+BM206</f>
        <v/>
      </c>
      <c r="D206" s="42">
        <f>I206+O206+U206+AA206+AG206+AM206+AS206+AY206+BE206+BK206+J206+P206+V206+AB206+AH206+AN206+AT206+AZ206+BF206+BL206</f>
        <v/>
      </c>
      <c r="E206" s="42">
        <f>H206+N206+T206+Z206+AF206+AL206+AR206+AX206+BD206+BJ206</f>
        <v/>
      </c>
      <c r="F206">
        <f>MAX(0,'My Debts'!$E$21-(I206+O206+U206+AA206+AG206+AM206+AS206+AY206+BE206+BK206))</f>
        <v/>
      </c>
      <c r="G206" s="42">
        <f>K205</f>
        <v/>
      </c>
      <c r="H206" s="42">
        <f>ROUND(G206*H$6/12,2)</f>
        <v/>
      </c>
      <c r="I206" s="42">
        <f>MIN(I$6,G206+H206)</f>
        <v/>
      </c>
      <c r="J206" s="42">
        <f>MAX(0,MIN(G206+H206-I206,$F206))</f>
        <v/>
      </c>
      <c r="K206" s="42">
        <f>ROUND(G206+H206-I206-J206,2)</f>
        <v/>
      </c>
      <c r="L206">
        <f>$F206-J206</f>
        <v/>
      </c>
      <c r="M206" s="42">
        <f>Q205</f>
        <v/>
      </c>
      <c r="N206" s="42">
        <f>ROUND(M206*N$6/12,2)</f>
        <v/>
      </c>
      <c r="O206" s="42">
        <f>MIN(O$6,M206+N206)</f>
        <v/>
      </c>
      <c r="P206" s="42">
        <f>MAX(0,MIN(M206+N206-O206,L206))</f>
        <v/>
      </c>
      <c r="Q206" s="42">
        <f>ROUND(M206+N206-O206-P206,2)</f>
        <v/>
      </c>
      <c r="R206">
        <f>L206-P206</f>
        <v/>
      </c>
      <c r="S206" s="42">
        <f>W205</f>
        <v/>
      </c>
      <c r="T206" s="42">
        <f>ROUND(S206*T$6/12,2)</f>
        <v/>
      </c>
      <c r="U206" s="42">
        <f>MIN(U$6,S206+T206)</f>
        <v/>
      </c>
      <c r="V206" s="42">
        <f>MAX(0,MIN(S206+T206-U206,R206))</f>
        <v/>
      </c>
      <c r="W206" s="42">
        <f>ROUND(S206+T206-U206-V206,2)</f>
        <v/>
      </c>
      <c r="X206">
        <f>R206-V206</f>
        <v/>
      </c>
      <c r="Y206" s="42">
        <f>AC205</f>
        <v/>
      </c>
      <c r="Z206" s="42">
        <f>ROUND(Y206*Z$6/12,2)</f>
        <v/>
      </c>
      <c r="AA206" s="42">
        <f>MIN(AA$6,Y206+Z206)</f>
        <v/>
      </c>
      <c r="AB206" s="42">
        <f>MAX(0,MIN(Y206+Z206-AA206,X206))</f>
        <v/>
      </c>
      <c r="AC206" s="42">
        <f>ROUND(Y206+Z206-AA206-AB206,2)</f>
        <v/>
      </c>
      <c r="AD206">
        <f>X206-AB206</f>
        <v/>
      </c>
      <c r="AE206" s="42">
        <f>AI205</f>
        <v/>
      </c>
      <c r="AF206" s="42">
        <f>ROUND(AE206*AF$6/12,2)</f>
        <v/>
      </c>
      <c r="AG206" s="42">
        <f>MIN(AG$6,AE206+AF206)</f>
        <v/>
      </c>
      <c r="AH206" s="42">
        <f>MAX(0,MIN(AE206+AF206-AG206,AD206))</f>
        <v/>
      </c>
      <c r="AI206" s="42">
        <f>ROUND(AE206+AF206-AG206-AH206,2)</f>
        <v/>
      </c>
      <c r="AJ206">
        <f>AD206-AH206</f>
        <v/>
      </c>
      <c r="AK206" s="42">
        <f>AO205</f>
        <v/>
      </c>
      <c r="AL206" s="42">
        <f>ROUND(AK206*AL$6/12,2)</f>
        <v/>
      </c>
      <c r="AM206" s="42">
        <f>MIN(AM$6,AK206+AL206)</f>
        <v/>
      </c>
      <c r="AN206" s="42">
        <f>MAX(0,MIN(AK206+AL206-AM206,AJ206))</f>
        <v/>
      </c>
      <c r="AO206" s="42">
        <f>ROUND(AK206+AL206-AM206-AN206,2)</f>
        <v/>
      </c>
      <c r="AP206">
        <f>AJ206-AN206</f>
        <v/>
      </c>
      <c r="AQ206" s="42">
        <f>AU205</f>
        <v/>
      </c>
      <c r="AR206" s="42">
        <f>ROUND(AQ206*AR$6/12,2)</f>
        <v/>
      </c>
      <c r="AS206" s="42">
        <f>MIN(AS$6,AQ206+AR206)</f>
        <v/>
      </c>
      <c r="AT206" s="42">
        <f>MAX(0,MIN(AQ206+AR206-AS206,AP206))</f>
        <v/>
      </c>
      <c r="AU206" s="42">
        <f>ROUND(AQ206+AR206-AS206-AT206,2)</f>
        <v/>
      </c>
      <c r="AV206">
        <f>AP206-AT206</f>
        <v/>
      </c>
      <c r="AW206" s="42">
        <f>BA205</f>
        <v/>
      </c>
      <c r="AX206" s="42">
        <f>ROUND(AW206*AX$6/12,2)</f>
        <v/>
      </c>
      <c r="AY206" s="42">
        <f>MIN(AY$6,AW206+AX206)</f>
        <v/>
      </c>
      <c r="AZ206" s="42">
        <f>MAX(0,MIN(AW206+AX206-AY206,AV206))</f>
        <v/>
      </c>
      <c r="BA206" s="42">
        <f>ROUND(AW206+AX206-AY206-AZ206,2)</f>
        <v/>
      </c>
      <c r="BB206">
        <f>AV206-AZ206</f>
        <v/>
      </c>
      <c r="BC206" s="42">
        <f>BG205</f>
        <v/>
      </c>
      <c r="BD206" s="42">
        <f>ROUND(BC206*BD$6/12,2)</f>
        <v/>
      </c>
      <c r="BE206" s="42">
        <f>MIN(BE$6,BC206+BD206)</f>
        <v/>
      </c>
      <c r="BF206" s="42">
        <f>MAX(0,MIN(BC206+BD206-BE206,BB206))</f>
        <v/>
      </c>
      <c r="BG206" s="42">
        <f>ROUND(BC206+BD206-BE206-BF206,2)</f>
        <v/>
      </c>
      <c r="BH206">
        <f>BB206-BF206</f>
        <v/>
      </c>
      <c r="BI206" s="42">
        <f>BM205</f>
        <v/>
      </c>
      <c r="BJ206" s="42">
        <f>ROUND(BI206*BJ$6/12,2)</f>
        <v/>
      </c>
      <c r="BK206" s="42">
        <f>MIN(BK$6,BI206+BJ206)</f>
        <v/>
      </c>
      <c r="BL206" s="42">
        <f>MAX(0,MIN(BI206+BJ206-BK206,BH206))</f>
        <v/>
      </c>
      <c r="BM206" s="42">
        <f>ROUND(BI206+BJ206-BK206-BL206,2)</f>
        <v/>
      </c>
      <c r="BN206">
        <f>BH206-BL206</f>
        <v/>
      </c>
    </row>
    <row r="207">
      <c r="A207" s="43" t="n">
        <v>200</v>
      </c>
      <c r="B207" s="44">
        <f>EDATE('My Debts'!$C$6,A207-1)</f>
        <v/>
      </c>
      <c r="C207" s="45">
        <f>K207+Q207+W207+AC207+AI207+AO207+AU207+BA207+BG207+BM207</f>
        <v/>
      </c>
      <c r="D207" s="46">
        <f>I207+O207+U207+AA207+AG207+AM207+AS207+AY207+BE207+BK207+J207+P207+V207+AB207+AH207+AN207+AT207+AZ207+BF207+BL207</f>
        <v/>
      </c>
      <c r="E207" s="46">
        <f>H207+N207+T207+Z207+AF207+AL207+AR207+AX207+BD207+BJ207</f>
        <v/>
      </c>
      <c r="F207">
        <f>MAX(0,'My Debts'!$E$21-(I207+O207+U207+AA207+AG207+AM207+AS207+AY207+BE207+BK207))</f>
        <v/>
      </c>
      <c r="G207" s="42">
        <f>K206</f>
        <v/>
      </c>
      <c r="H207" s="42">
        <f>ROUND(G207*H$6/12,2)</f>
        <v/>
      </c>
      <c r="I207" s="42">
        <f>MIN(I$6,G207+H207)</f>
        <v/>
      </c>
      <c r="J207" s="42">
        <f>MAX(0,MIN(G207+H207-I207,$F207))</f>
        <v/>
      </c>
      <c r="K207" s="42">
        <f>ROUND(G207+H207-I207-J207,2)</f>
        <v/>
      </c>
      <c r="L207">
        <f>$F207-J207</f>
        <v/>
      </c>
      <c r="M207" s="42">
        <f>Q206</f>
        <v/>
      </c>
      <c r="N207" s="42">
        <f>ROUND(M207*N$6/12,2)</f>
        <v/>
      </c>
      <c r="O207" s="42">
        <f>MIN(O$6,M207+N207)</f>
        <v/>
      </c>
      <c r="P207" s="42">
        <f>MAX(0,MIN(M207+N207-O207,L207))</f>
        <v/>
      </c>
      <c r="Q207" s="42">
        <f>ROUND(M207+N207-O207-P207,2)</f>
        <v/>
      </c>
      <c r="R207">
        <f>L207-P207</f>
        <v/>
      </c>
      <c r="S207" s="42">
        <f>W206</f>
        <v/>
      </c>
      <c r="T207" s="42">
        <f>ROUND(S207*T$6/12,2)</f>
        <v/>
      </c>
      <c r="U207" s="42">
        <f>MIN(U$6,S207+T207)</f>
        <v/>
      </c>
      <c r="V207" s="42">
        <f>MAX(0,MIN(S207+T207-U207,R207))</f>
        <v/>
      </c>
      <c r="W207" s="42">
        <f>ROUND(S207+T207-U207-V207,2)</f>
        <v/>
      </c>
      <c r="X207">
        <f>R207-V207</f>
        <v/>
      </c>
      <c r="Y207" s="42">
        <f>AC206</f>
        <v/>
      </c>
      <c r="Z207" s="42">
        <f>ROUND(Y207*Z$6/12,2)</f>
        <v/>
      </c>
      <c r="AA207" s="42">
        <f>MIN(AA$6,Y207+Z207)</f>
        <v/>
      </c>
      <c r="AB207" s="42">
        <f>MAX(0,MIN(Y207+Z207-AA207,X207))</f>
        <v/>
      </c>
      <c r="AC207" s="42">
        <f>ROUND(Y207+Z207-AA207-AB207,2)</f>
        <v/>
      </c>
      <c r="AD207">
        <f>X207-AB207</f>
        <v/>
      </c>
      <c r="AE207" s="42">
        <f>AI206</f>
        <v/>
      </c>
      <c r="AF207" s="42">
        <f>ROUND(AE207*AF$6/12,2)</f>
        <v/>
      </c>
      <c r="AG207" s="42">
        <f>MIN(AG$6,AE207+AF207)</f>
        <v/>
      </c>
      <c r="AH207" s="42">
        <f>MAX(0,MIN(AE207+AF207-AG207,AD207))</f>
        <v/>
      </c>
      <c r="AI207" s="42">
        <f>ROUND(AE207+AF207-AG207-AH207,2)</f>
        <v/>
      </c>
      <c r="AJ207">
        <f>AD207-AH207</f>
        <v/>
      </c>
      <c r="AK207" s="42">
        <f>AO206</f>
        <v/>
      </c>
      <c r="AL207" s="42">
        <f>ROUND(AK207*AL$6/12,2)</f>
        <v/>
      </c>
      <c r="AM207" s="42">
        <f>MIN(AM$6,AK207+AL207)</f>
        <v/>
      </c>
      <c r="AN207" s="42">
        <f>MAX(0,MIN(AK207+AL207-AM207,AJ207))</f>
        <v/>
      </c>
      <c r="AO207" s="42">
        <f>ROUND(AK207+AL207-AM207-AN207,2)</f>
        <v/>
      </c>
      <c r="AP207">
        <f>AJ207-AN207</f>
        <v/>
      </c>
      <c r="AQ207" s="42">
        <f>AU206</f>
        <v/>
      </c>
      <c r="AR207" s="42">
        <f>ROUND(AQ207*AR$6/12,2)</f>
        <v/>
      </c>
      <c r="AS207" s="42">
        <f>MIN(AS$6,AQ207+AR207)</f>
        <v/>
      </c>
      <c r="AT207" s="42">
        <f>MAX(0,MIN(AQ207+AR207-AS207,AP207))</f>
        <v/>
      </c>
      <c r="AU207" s="42">
        <f>ROUND(AQ207+AR207-AS207-AT207,2)</f>
        <v/>
      </c>
      <c r="AV207">
        <f>AP207-AT207</f>
        <v/>
      </c>
      <c r="AW207" s="42">
        <f>BA206</f>
        <v/>
      </c>
      <c r="AX207" s="42">
        <f>ROUND(AW207*AX$6/12,2)</f>
        <v/>
      </c>
      <c r="AY207" s="42">
        <f>MIN(AY$6,AW207+AX207)</f>
        <v/>
      </c>
      <c r="AZ207" s="42">
        <f>MAX(0,MIN(AW207+AX207-AY207,AV207))</f>
        <v/>
      </c>
      <c r="BA207" s="42">
        <f>ROUND(AW207+AX207-AY207-AZ207,2)</f>
        <v/>
      </c>
      <c r="BB207">
        <f>AV207-AZ207</f>
        <v/>
      </c>
      <c r="BC207" s="42">
        <f>BG206</f>
        <v/>
      </c>
      <c r="BD207" s="42">
        <f>ROUND(BC207*BD$6/12,2)</f>
        <v/>
      </c>
      <c r="BE207" s="42">
        <f>MIN(BE$6,BC207+BD207)</f>
        <v/>
      </c>
      <c r="BF207" s="42">
        <f>MAX(0,MIN(BC207+BD207-BE207,BB207))</f>
        <v/>
      </c>
      <c r="BG207" s="42">
        <f>ROUND(BC207+BD207-BE207-BF207,2)</f>
        <v/>
      </c>
      <c r="BH207">
        <f>BB207-BF207</f>
        <v/>
      </c>
      <c r="BI207" s="42">
        <f>BM206</f>
        <v/>
      </c>
      <c r="BJ207" s="42">
        <f>ROUND(BI207*BJ$6/12,2)</f>
        <v/>
      </c>
      <c r="BK207" s="42">
        <f>MIN(BK$6,BI207+BJ207)</f>
        <v/>
      </c>
      <c r="BL207" s="42">
        <f>MAX(0,MIN(BI207+BJ207-BK207,BH207))</f>
        <v/>
      </c>
      <c r="BM207" s="42">
        <f>ROUND(BI207+BJ207-BK207-BL207,2)</f>
        <v/>
      </c>
      <c r="BN207">
        <f>BH207-BL207</f>
        <v/>
      </c>
    </row>
    <row r="208">
      <c r="A208" s="39" t="n">
        <v>201</v>
      </c>
      <c r="B208" s="40">
        <f>EDATE('My Debts'!$C$6,A208-1)</f>
        <v/>
      </c>
      <c r="C208" s="41">
        <f>K208+Q208+W208+AC208+AI208+AO208+AU208+BA208+BG208+BM208</f>
        <v/>
      </c>
      <c r="D208" s="42">
        <f>I208+O208+U208+AA208+AG208+AM208+AS208+AY208+BE208+BK208+J208+P208+V208+AB208+AH208+AN208+AT208+AZ208+BF208+BL208</f>
        <v/>
      </c>
      <c r="E208" s="42">
        <f>H208+N208+T208+Z208+AF208+AL208+AR208+AX208+BD208+BJ208</f>
        <v/>
      </c>
      <c r="F208">
        <f>MAX(0,'My Debts'!$E$21-(I208+O208+U208+AA208+AG208+AM208+AS208+AY208+BE208+BK208))</f>
        <v/>
      </c>
      <c r="G208" s="42">
        <f>K207</f>
        <v/>
      </c>
      <c r="H208" s="42">
        <f>ROUND(G208*H$6/12,2)</f>
        <v/>
      </c>
      <c r="I208" s="42">
        <f>MIN(I$6,G208+H208)</f>
        <v/>
      </c>
      <c r="J208" s="42">
        <f>MAX(0,MIN(G208+H208-I208,$F208))</f>
        <v/>
      </c>
      <c r="K208" s="42">
        <f>ROUND(G208+H208-I208-J208,2)</f>
        <v/>
      </c>
      <c r="L208">
        <f>$F208-J208</f>
        <v/>
      </c>
      <c r="M208" s="42">
        <f>Q207</f>
        <v/>
      </c>
      <c r="N208" s="42">
        <f>ROUND(M208*N$6/12,2)</f>
        <v/>
      </c>
      <c r="O208" s="42">
        <f>MIN(O$6,M208+N208)</f>
        <v/>
      </c>
      <c r="P208" s="42">
        <f>MAX(0,MIN(M208+N208-O208,L208))</f>
        <v/>
      </c>
      <c r="Q208" s="42">
        <f>ROUND(M208+N208-O208-P208,2)</f>
        <v/>
      </c>
      <c r="R208">
        <f>L208-P208</f>
        <v/>
      </c>
      <c r="S208" s="42">
        <f>W207</f>
        <v/>
      </c>
      <c r="T208" s="42">
        <f>ROUND(S208*T$6/12,2)</f>
        <v/>
      </c>
      <c r="U208" s="42">
        <f>MIN(U$6,S208+T208)</f>
        <v/>
      </c>
      <c r="V208" s="42">
        <f>MAX(0,MIN(S208+T208-U208,R208))</f>
        <v/>
      </c>
      <c r="W208" s="42">
        <f>ROUND(S208+T208-U208-V208,2)</f>
        <v/>
      </c>
      <c r="X208">
        <f>R208-V208</f>
        <v/>
      </c>
      <c r="Y208" s="42">
        <f>AC207</f>
        <v/>
      </c>
      <c r="Z208" s="42">
        <f>ROUND(Y208*Z$6/12,2)</f>
        <v/>
      </c>
      <c r="AA208" s="42">
        <f>MIN(AA$6,Y208+Z208)</f>
        <v/>
      </c>
      <c r="AB208" s="42">
        <f>MAX(0,MIN(Y208+Z208-AA208,X208))</f>
        <v/>
      </c>
      <c r="AC208" s="42">
        <f>ROUND(Y208+Z208-AA208-AB208,2)</f>
        <v/>
      </c>
      <c r="AD208">
        <f>X208-AB208</f>
        <v/>
      </c>
      <c r="AE208" s="42">
        <f>AI207</f>
        <v/>
      </c>
      <c r="AF208" s="42">
        <f>ROUND(AE208*AF$6/12,2)</f>
        <v/>
      </c>
      <c r="AG208" s="42">
        <f>MIN(AG$6,AE208+AF208)</f>
        <v/>
      </c>
      <c r="AH208" s="42">
        <f>MAX(0,MIN(AE208+AF208-AG208,AD208))</f>
        <v/>
      </c>
      <c r="AI208" s="42">
        <f>ROUND(AE208+AF208-AG208-AH208,2)</f>
        <v/>
      </c>
      <c r="AJ208">
        <f>AD208-AH208</f>
        <v/>
      </c>
      <c r="AK208" s="42">
        <f>AO207</f>
        <v/>
      </c>
      <c r="AL208" s="42">
        <f>ROUND(AK208*AL$6/12,2)</f>
        <v/>
      </c>
      <c r="AM208" s="42">
        <f>MIN(AM$6,AK208+AL208)</f>
        <v/>
      </c>
      <c r="AN208" s="42">
        <f>MAX(0,MIN(AK208+AL208-AM208,AJ208))</f>
        <v/>
      </c>
      <c r="AO208" s="42">
        <f>ROUND(AK208+AL208-AM208-AN208,2)</f>
        <v/>
      </c>
      <c r="AP208">
        <f>AJ208-AN208</f>
        <v/>
      </c>
      <c r="AQ208" s="42">
        <f>AU207</f>
        <v/>
      </c>
      <c r="AR208" s="42">
        <f>ROUND(AQ208*AR$6/12,2)</f>
        <v/>
      </c>
      <c r="AS208" s="42">
        <f>MIN(AS$6,AQ208+AR208)</f>
        <v/>
      </c>
      <c r="AT208" s="42">
        <f>MAX(0,MIN(AQ208+AR208-AS208,AP208))</f>
        <v/>
      </c>
      <c r="AU208" s="42">
        <f>ROUND(AQ208+AR208-AS208-AT208,2)</f>
        <v/>
      </c>
      <c r="AV208">
        <f>AP208-AT208</f>
        <v/>
      </c>
      <c r="AW208" s="42">
        <f>BA207</f>
        <v/>
      </c>
      <c r="AX208" s="42">
        <f>ROUND(AW208*AX$6/12,2)</f>
        <v/>
      </c>
      <c r="AY208" s="42">
        <f>MIN(AY$6,AW208+AX208)</f>
        <v/>
      </c>
      <c r="AZ208" s="42">
        <f>MAX(0,MIN(AW208+AX208-AY208,AV208))</f>
        <v/>
      </c>
      <c r="BA208" s="42">
        <f>ROUND(AW208+AX208-AY208-AZ208,2)</f>
        <v/>
      </c>
      <c r="BB208">
        <f>AV208-AZ208</f>
        <v/>
      </c>
      <c r="BC208" s="42">
        <f>BG207</f>
        <v/>
      </c>
      <c r="BD208" s="42">
        <f>ROUND(BC208*BD$6/12,2)</f>
        <v/>
      </c>
      <c r="BE208" s="42">
        <f>MIN(BE$6,BC208+BD208)</f>
        <v/>
      </c>
      <c r="BF208" s="42">
        <f>MAX(0,MIN(BC208+BD208-BE208,BB208))</f>
        <v/>
      </c>
      <c r="BG208" s="42">
        <f>ROUND(BC208+BD208-BE208-BF208,2)</f>
        <v/>
      </c>
      <c r="BH208">
        <f>BB208-BF208</f>
        <v/>
      </c>
      <c r="BI208" s="42">
        <f>BM207</f>
        <v/>
      </c>
      <c r="BJ208" s="42">
        <f>ROUND(BI208*BJ$6/12,2)</f>
        <v/>
      </c>
      <c r="BK208" s="42">
        <f>MIN(BK$6,BI208+BJ208)</f>
        <v/>
      </c>
      <c r="BL208" s="42">
        <f>MAX(0,MIN(BI208+BJ208-BK208,BH208))</f>
        <v/>
      </c>
      <c r="BM208" s="42">
        <f>ROUND(BI208+BJ208-BK208-BL208,2)</f>
        <v/>
      </c>
      <c r="BN208">
        <f>BH208-BL208</f>
        <v/>
      </c>
    </row>
    <row r="209">
      <c r="A209" s="43" t="n">
        <v>202</v>
      </c>
      <c r="B209" s="44">
        <f>EDATE('My Debts'!$C$6,A209-1)</f>
        <v/>
      </c>
      <c r="C209" s="45">
        <f>K209+Q209+W209+AC209+AI209+AO209+AU209+BA209+BG209+BM209</f>
        <v/>
      </c>
      <c r="D209" s="46">
        <f>I209+O209+U209+AA209+AG209+AM209+AS209+AY209+BE209+BK209+J209+P209+V209+AB209+AH209+AN209+AT209+AZ209+BF209+BL209</f>
        <v/>
      </c>
      <c r="E209" s="46">
        <f>H209+N209+T209+Z209+AF209+AL209+AR209+AX209+BD209+BJ209</f>
        <v/>
      </c>
      <c r="F209">
        <f>MAX(0,'My Debts'!$E$21-(I209+O209+U209+AA209+AG209+AM209+AS209+AY209+BE209+BK209))</f>
        <v/>
      </c>
      <c r="G209" s="42">
        <f>K208</f>
        <v/>
      </c>
      <c r="H209" s="42">
        <f>ROUND(G209*H$6/12,2)</f>
        <v/>
      </c>
      <c r="I209" s="42">
        <f>MIN(I$6,G209+H209)</f>
        <v/>
      </c>
      <c r="J209" s="42">
        <f>MAX(0,MIN(G209+H209-I209,$F209))</f>
        <v/>
      </c>
      <c r="K209" s="42">
        <f>ROUND(G209+H209-I209-J209,2)</f>
        <v/>
      </c>
      <c r="L209">
        <f>$F209-J209</f>
        <v/>
      </c>
      <c r="M209" s="42">
        <f>Q208</f>
        <v/>
      </c>
      <c r="N209" s="42">
        <f>ROUND(M209*N$6/12,2)</f>
        <v/>
      </c>
      <c r="O209" s="42">
        <f>MIN(O$6,M209+N209)</f>
        <v/>
      </c>
      <c r="P209" s="42">
        <f>MAX(0,MIN(M209+N209-O209,L209))</f>
        <v/>
      </c>
      <c r="Q209" s="42">
        <f>ROUND(M209+N209-O209-P209,2)</f>
        <v/>
      </c>
      <c r="R209">
        <f>L209-P209</f>
        <v/>
      </c>
      <c r="S209" s="42">
        <f>W208</f>
        <v/>
      </c>
      <c r="T209" s="42">
        <f>ROUND(S209*T$6/12,2)</f>
        <v/>
      </c>
      <c r="U209" s="42">
        <f>MIN(U$6,S209+T209)</f>
        <v/>
      </c>
      <c r="V209" s="42">
        <f>MAX(0,MIN(S209+T209-U209,R209))</f>
        <v/>
      </c>
      <c r="W209" s="42">
        <f>ROUND(S209+T209-U209-V209,2)</f>
        <v/>
      </c>
      <c r="X209">
        <f>R209-V209</f>
        <v/>
      </c>
      <c r="Y209" s="42">
        <f>AC208</f>
        <v/>
      </c>
      <c r="Z209" s="42">
        <f>ROUND(Y209*Z$6/12,2)</f>
        <v/>
      </c>
      <c r="AA209" s="42">
        <f>MIN(AA$6,Y209+Z209)</f>
        <v/>
      </c>
      <c r="AB209" s="42">
        <f>MAX(0,MIN(Y209+Z209-AA209,X209))</f>
        <v/>
      </c>
      <c r="AC209" s="42">
        <f>ROUND(Y209+Z209-AA209-AB209,2)</f>
        <v/>
      </c>
      <c r="AD209">
        <f>X209-AB209</f>
        <v/>
      </c>
      <c r="AE209" s="42">
        <f>AI208</f>
        <v/>
      </c>
      <c r="AF209" s="42">
        <f>ROUND(AE209*AF$6/12,2)</f>
        <v/>
      </c>
      <c r="AG209" s="42">
        <f>MIN(AG$6,AE209+AF209)</f>
        <v/>
      </c>
      <c r="AH209" s="42">
        <f>MAX(0,MIN(AE209+AF209-AG209,AD209))</f>
        <v/>
      </c>
      <c r="AI209" s="42">
        <f>ROUND(AE209+AF209-AG209-AH209,2)</f>
        <v/>
      </c>
      <c r="AJ209">
        <f>AD209-AH209</f>
        <v/>
      </c>
      <c r="AK209" s="42">
        <f>AO208</f>
        <v/>
      </c>
      <c r="AL209" s="42">
        <f>ROUND(AK209*AL$6/12,2)</f>
        <v/>
      </c>
      <c r="AM209" s="42">
        <f>MIN(AM$6,AK209+AL209)</f>
        <v/>
      </c>
      <c r="AN209" s="42">
        <f>MAX(0,MIN(AK209+AL209-AM209,AJ209))</f>
        <v/>
      </c>
      <c r="AO209" s="42">
        <f>ROUND(AK209+AL209-AM209-AN209,2)</f>
        <v/>
      </c>
      <c r="AP209">
        <f>AJ209-AN209</f>
        <v/>
      </c>
      <c r="AQ209" s="42">
        <f>AU208</f>
        <v/>
      </c>
      <c r="AR209" s="42">
        <f>ROUND(AQ209*AR$6/12,2)</f>
        <v/>
      </c>
      <c r="AS209" s="42">
        <f>MIN(AS$6,AQ209+AR209)</f>
        <v/>
      </c>
      <c r="AT209" s="42">
        <f>MAX(0,MIN(AQ209+AR209-AS209,AP209))</f>
        <v/>
      </c>
      <c r="AU209" s="42">
        <f>ROUND(AQ209+AR209-AS209-AT209,2)</f>
        <v/>
      </c>
      <c r="AV209">
        <f>AP209-AT209</f>
        <v/>
      </c>
      <c r="AW209" s="42">
        <f>BA208</f>
        <v/>
      </c>
      <c r="AX209" s="42">
        <f>ROUND(AW209*AX$6/12,2)</f>
        <v/>
      </c>
      <c r="AY209" s="42">
        <f>MIN(AY$6,AW209+AX209)</f>
        <v/>
      </c>
      <c r="AZ209" s="42">
        <f>MAX(0,MIN(AW209+AX209-AY209,AV209))</f>
        <v/>
      </c>
      <c r="BA209" s="42">
        <f>ROUND(AW209+AX209-AY209-AZ209,2)</f>
        <v/>
      </c>
      <c r="BB209">
        <f>AV209-AZ209</f>
        <v/>
      </c>
      <c r="BC209" s="42">
        <f>BG208</f>
        <v/>
      </c>
      <c r="BD209" s="42">
        <f>ROUND(BC209*BD$6/12,2)</f>
        <v/>
      </c>
      <c r="BE209" s="42">
        <f>MIN(BE$6,BC209+BD209)</f>
        <v/>
      </c>
      <c r="BF209" s="42">
        <f>MAX(0,MIN(BC209+BD209-BE209,BB209))</f>
        <v/>
      </c>
      <c r="BG209" s="42">
        <f>ROUND(BC209+BD209-BE209-BF209,2)</f>
        <v/>
      </c>
      <c r="BH209">
        <f>BB209-BF209</f>
        <v/>
      </c>
      <c r="BI209" s="42">
        <f>BM208</f>
        <v/>
      </c>
      <c r="BJ209" s="42">
        <f>ROUND(BI209*BJ$6/12,2)</f>
        <v/>
      </c>
      <c r="BK209" s="42">
        <f>MIN(BK$6,BI209+BJ209)</f>
        <v/>
      </c>
      <c r="BL209" s="42">
        <f>MAX(0,MIN(BI209+BJ209-BK209,BH209))</f>
        <v/>
      </c>
      <c r="BM209" s="42">
        <f>ROUND(BI209+BJ209-BK209-BL209,2)</f>
        <v/>
      </c>
      <c r="BN209">
        <f>BH209-BL209</f>
        <v/>
      </c>
    </row>
    <row r="210">
      <c r="A210" s="39" t="n">
        <v>203</v>
      </c>
      <c r="B210" s="40">
        <f>EDATE('My Debts'!$C$6,A210-1)</f>
        <v/>
      </c>
      <c r="C210" s="41">
        <f>K210+Q210+W210+AC210+AI210+AO210+AU210+BA210+BG210+BM210</f>
        <v/>
      </c>
      <c r="D210" s="42">
        <f>I210+O210+U210+AA210+AG210+AM210+AS210+AY210+BE210+BK210+J210+P210+V210+AB210+AH210+AN210+AT210+AZ210+BF210+BL210</f>
        <v/>
      </c>
      <c r="E210" s="42">
        <f>H210+N210+T210+Z210+AF210+AL210+AR210+AX210+BD210+BJ210</f>
        <v/>
      </c>
      <c r="F210">
        <f>MAX(0,'My Debts'!$E$21-(I210+O210+U210+AA210+AG210+AM210+AS210+AY210+BE210+BK210))</f>
        <v/>
      </c>
      <c r="G210" s="42">
        <f>K209</f>
        <v/>
      </c>
      <c r="H210" s="42">
        <f>ROUND(G210*H$6/12,2)</f>
        <v/>
      </c>
      <c r="I210" s="42">
        <f>MIN(I$6,G210+H210)</f>
        <v/>
      </c>
      <c r="J210" s="42">
        <f>MAX(0,MIN(G210+H210-I210,$F210))</f>
        <v/>
      </c>
      <c r="K210" s="42">
        <f>ROUND(G210+H210-I210-J210,2)</f>
        <v/>
      </c>
      <c r="L210">
        <f>$F210-J210</f>
        <v/>
      </c>
      <c r="M210" s="42">
        <f>Q209</f>
        <v/>
      </c>
      <c r="N210" s="42">
        <f>ROUND(M210*N$6/12,2)</f>
        <v/>
      </c>
      <c r="O210" s="42">
        <f>MIN(O$6,M210+N210)</f>
        <v/>
      </c>
      <c r="P210" s="42">
        <f>MAX(0,MIN(M210+N210-O210,L210))</f>
        <v/>
      </c>
      <c r="Q210" s="42">
        <f>ROUND(M210+N210-O210-P210,2)</f>
        <v/>
      </c>
      <c r="R210">
        <f>L210-P210</f>
        <v/>
      </c>
      <c r="S210" s="42">
        <f>W209</f>
        <v/>
      </c>
      <c r="T210" s="42">
        <f>ROUND(S210*T$6/12,2)</f>
        <v/>
      </c>
      <c r="U210" s="42">
        <f>MIN(U$6,S210+T210)</f>
        <v/>
      </c>
      <c r="V210" s="42">
        <f>MAX(0,MIN(S210+T210-U210,R210))</f>
        <v/>
      </c>
      <c r="W210" s="42">
        <f>ROUND(S210+T210-U210-V210,2)</f>
        <v/>
      </c>
      <c r="X210">
        <f>R210-V210</f>
        <v/>
      </c>
      <c r="Y210" s="42">
        <f>AC209</f>
        <v/>
      </c>
      <c r="Z210" s="42">
        <f>ROUND(Y210*Z$6/12,2)</f>
        <v/>
      </c>
      <c r="AA210" s="42">
        <f>MIN(AA$6,Y210+Z210)</f>
        <v/>
      </c>
      <c r="AB210" s="42">
        <f>MAX(0,MIN(Y210+Z210-AA210,X210))</f>
        <v/>
      </c>
      <c r="AC210" s="42">
        <f>ROUND(Y210+Z210-AA210-AB210,2)</f>
        <v/>
      </c>
      <c r="AD210">
        <f>X210-AB210</f>
        <v/>
      </c>
      <c r="AE210" s="42">
        <f>AI209</f>
        <v/>
      </c>
      <c r="AF210" s="42">
        <f>ROUND(AE210*AF$6/12,2)</f>
        <v/>
      </c>
      <c r="AG210" s="42">
        <f>MIN(AG$6,AE210+AF210)</f>
        <v/>
      </c>
      <c r="AH210" s="42">
        <f>MAX(0,MIN(AE210+AF210-AG210,AD210))</f>
        <v/>
      </c>
      <c r="AI210" s="42">
        <f>ROUND(AE210+AF210-AG210-AH210,2)</f>
        <v/>
      </c>
      <c r="AJ210">
        <f>AD210-AH210</f>
        <v/>
      </c>
      <c r="AK210" s="42">
        <f>AO209</f>
        <v/>
      </c>
      <c r="AL210" s="42">
        <f>ROUND(AK210*AL$6/12,2)</f>
        <v/>
      </c>
      <c r="AM210" s="42">
        <f>MIN(AM$6,AK210+AL210)</f>
        <v/>
      </c>
      <c r="AN210" s="42">
        <f>MAX(0,MIN(AK210+AL210-AM210,AJ210))</f>
        <v/>
      </c>
      <c r="AO210" s="42">
        <f>ROUND(AK210+AL210-AM210-AN210,2)</f>
        <v/>
      </c>
      <c r="AP210">
        <f>AJ210-AN210</f>
        <v/>
      </c>
      <c r="AQ210" s="42">
        <f>AU209</f>
        <v/>
      </c>
      <c r="AR210" s="42">
        <f>ROUND(AQ210*AR$6/12,2)</f>
        <v/>
      </c>
      <c r="AS210" s="42">
        <f>MIN(AS$6,AQ210+AR210)</f>
        <v/>
      </c>
      <c r="AT210" s="42">
        <f>MAX(0,MIN(AQ210+AR210-AS210,AP210))</f>
        <v/>
      </c>
      <c r="AU210" s="42">
        <f>ROUND(AQ210+AR210-AS210-AT210,2)</f>
        <v/>
      </c>
      <c r="AV210">
        <f>AP210-AT210</f>
        <v/>
      </c>
      <c r="AW210" s="42">
        <f>BA209</f>
        <v/>
      </c>
      <c r="AX210" s="42">
        <f>ROUND(AW210*AX$6/12,2)</f>
        <v/>
      </c>
      <c r="AY210" s="42">
        <f>MIN(AY$6,AW210+AX210)</f>
        <v/>
      </c>
      <c r="AZ210" s="42">
        <f>MAX(0,MIN(AW210+AX210-AY210,AV210))</f>
        <v/>
      </c>
      <c r="BA210" s="42">
        <f>ROUND(AW210+AX210-AY210-AZ210,2)</f>
        <v/>
      </c>
      <c r="BB210">
        <f>AV210-AZ210</f>
        <v/>
      </c>
      <c r="BC210" s="42">
        <f>BG209</f>
        <v/>
      </c>
      <c r="BD210" s="42">
        <f>ROUND(BC210*BD$6/12,2)</f>
        <v/>
      </c>
      <c r="BE210" s="42">
        <f>MIN(BE$6,BC210+BD210)</f>
        <v/>
      </c>
      <c r="BF210" s="42">
        <f>MAX(0,MIN(BC210+BD210-BE210,BB210))</f>
        <v/>
      </c>
      <c r="BG210" s="42">
        <f>ROUND(BC210+BD210-BE210-BF210,2)</f>
        <v/>
      </c>
      <c r="BH210">
        <f>BB210-BF210</f>
        <v/>
      </c>
      <c r="BI210" s="42">
        <f>BM209</f>
        <v/>
      </c>
      <c r="BJ210" s="42">
        <f>ROUND(BI210*BJ$6/12,2)</f>
        <v/>
      </c>
      <c r="BK210" s="42">
        <f>MIN(BK$6,BI210+BJ210)</f>
        <v/>
      </c>
      <c r="BL210" s="42">
        <f>MAX(0,MIN(BI210+BJ210-BK210,BH210))</f>
        <v/>
      </c>
      <c r="BM210" s="42">
        <f>ROUND(BI210+BJ210-BK210-BL210,2)</f>
        <v/>
      </c>
      <c r="BN210">
        <f>BH210-BL210</f>
        <v/>
      </c>
    </row>
    <row r="211">
      <c r="A211" s="43" t="n">
        <v>204</v>
      </c>
      <c r="B211" s="44">
        <f>EDATE('My Debts'!$C$6,A211-1)</f>
        <v/>
      </c>
      <c r="C211" s="45">
        <f>K211+Q211+W211+AC211+AI211+AO211+AU211+BA211+BG211+BM211</f>
        <v/>
      </c>
      <c r="D211" s="46">
        <f>I211+O211+U211+AA211+AG211+AM211+AS211+AY211+BE211+BK211+J211+P211+V211+AB211+AH211+AN211+AT211+AZ211+BF211+BL211</f>
        <v/>
      </c>
      <c r="E211" s="46">
        <f>H211+N211+T211+Z211+AF211+AL211+AR211+AX211+BD211+BJ211</f>
        <v/>
      </c>
      <c r="F211">
        <f>MAX(0,'My Debts'!$E$21-(I211+O211+U211+AA211+AG211+AM211+AS211+AY211+BE211+BK211))</f>
        <v/>
      </c>
      <c r="G211" s="42">
        <f>K210</f>
        <v/>
      </c>
      <c r="H211" s="42">
        <f>ROUND(G211*H$6/12,2)</f>
        <v/>
      </c>
      <c r="I211" s="42">
        <f>MIN(I$6,G211+H211)</f>
        <v/>
      </c>
      <c r="J211" s="42">
        <f>MAX(0,MIN(G211+H211-I211,$F211))</f>
        <v/>
      </c>
      <c r="K211" s="42">
        <f>ROUND(G211+H211-I211-J211,2)</f>
        <v/>
      </c>
      <c r="L211">
        <f>$F211-J211</f>
        <v/>
      </c>
      <c r="M211" s="42">
        <f>Q210</f>
        <v/>
      </c>
      <c r="N211" s="42">
        <f>ROUND(M211*N$6/12,2)</f>
        <v/>
      </c>
      <c r="O211" s="42">
        <f>MIN(O$6,M211+N211)</f>
        <v/>
      </c>
      <c r="P211" s="42">
        <f>MAX(0,MIN(M211+N211-O211,L211))</f>
        <v/>
      </c>
      <c r="Q211" s="42">
        <f>ROUND(M211+N211-O211-P211,2)</f>
        <v/>
      </c>
      <c r="R211">
        <f>L211-P211</f>
        <v/>
      </c>
      <c r="S211" s="42">
        <f>W210</f>
        <v/>
      </c>
      <c r="T211" s="42">
        <f>ROUND(S211*T$6/12,2)</f>
        <v/>
      </c>
      <c r="U211" s="42">
        <f>MIN(U$6,S211+T211)</f>
        <v/>
      </c>
      <c r="V211" s="42">
        <f>MAX(0,MIN(S211+T211-U211,R211))</f>
        <v/>
      </c>
      <c r="W211" s="42">
        <f>ROUND(S211+T211-U211-V211,2)</f>
        <v/>
      </c>
      <c r="X211">
        <f>R211-V211</f>
        <v/>
      </c>
      <c r="Y211" s="42">
        <f>AC210</f>
        <v/>
      </c>
      <c r="Z211" s="42">
        <f>ROUND(Y211*Z$6/12,2)</f>
        <v/>
      </c>
      <c r="AA211" s="42">
        <f>MIN(AA$6,Y211+Z211)</f>
        <v/>
      </c>
      <c r="AB211" s="42">
        <f>MAX(0,MIN(Y211+Z211-AA211,X211))</f>
        <v/>
      </c>
      <c r="AC211" s="42">
        <f>ROUND(Y211+Z211-AA211-AB211,2)</f>
        <v/>
      </c>
      <c r="AD211">
        <f>X211-AB211</f>
        <v/>
      </c>
      <c r="AE211" s="42">
        <f>AI210</f>
        <v/>
      </c>
      <c r="AF211" s="42">
        <f>ROUND(AE211*AF$6/12,2)</f>
        <v/>
      </c>
      <c r="AG211" s="42">
        <f>MIN(AG$6,AE211+AF211)</f>
        <v/>
      </c>
      <c r="AH211" s="42">
        <f>MAX(0,MIN(AE211+AF211-AG211,AD211))</f>
        <v/>
      </c>
      <c r="AI211" s="42">
        <f>ROUND(AE211+AF211-AG211-AH211,2)</f>
        <v/>
      </c>
      <c r="AJ211">
        <f>AD211-AH211</f>
        <v/>
      </c>
      <c r="AK211" s="42">
        <f>AO210</f>
        <v/>
      </c>
      <c r="AL211" s="42">
        <f>ROUND(AK211*AL$6/12,2)</f>
        <v/>
      </c>
      <c r="AM211" s="42">
        <f>MIN(AM$6,AK211+AL211)</f>
        <v/>
      </c>
      <c r="AN211" s="42">
        <f>MAX(0,MIN(AK211+AL211-AM211,AJ211))</f>
        <v/>
      </c>
      <c r="AO211" s="42">
        <f>ROUND(AK211+AL211-AM211-AN211,2)</f>
        <v/>
      </c>
      <c r="AP211">
        <f>AJ211-AN211</f>
        <v/>
      </c>
      <c r="AQ211" s="42">
        <f>AU210</f>
        <v/>
      </c>
      <c r="AR211" s="42">
        <f>ROUND(AQ211*AR$6/12,2)</f>
        <v/>
      </c>
      <c r="AS211" s="42">
        <f>MIN(AS$6,AQ211+AR211)</f>
        <v/>
      </c>
      <c r="AT211" s="42">
        <f>MAX(0,MIN(AQ211+AR211-AS211,AP211))</f>
        <v/>
      </c>
      <c r="AU211" s="42">
        <f>ROUND(AQ211+AR211-AS211-AT211,2)</f>
        <v/>
      </c>
      <c r="AV211">
        <f>AP211-AT211</f>
        <v/>
      </c>
      <c r="AW211" s="42">
        <f>BA210</f>
        <v/>
      </c>
      <c r="AX211" s="42">
        <f>ROUND(AW211*AX$6/12,2)</f>
        <v/>
      </c>
      <c r="AY211" s="42">
        <f>MIN(AY$6,AW211+AX211)</f>
        <v/>
      </c>
      <c r="AZ211" s="42">
        <f>MAX(0,MIN(AW211+AX211-AY211,AV211))</f>
        <v/>
      </c>
      <c r="BA211" s="42">
        <f>ROUND(AW211+AX211-AY211-AZ211,2)</f>
        <v/>
      </c>
      <c r="BB211">
        <f>AV211-AZ211</f>
        <v/>
      </c>
      <c r="BC211" s="42">
        <f>BG210</f>
        <v/>
      </c>
      <c r="BD211" s="42">
        <f>ROUND(BC211*BD$6/12,2)</f>
        <v/>
      </c>
      <c r="BE211" s="42">
        <f>MIN(BE$6,BC211+BD211)</f>
        <v/>
      </c>
      <c r="BF211" s="42">
        <f>MAX(0,MIN(BC211+BD211-BE211,BB211))</f>
        <v/>
      </c>
      <c r="BG211" s="42">
        <f>ROUND(BC211+BD211-BE211-BF211,2)</f>
        <v/>
      </c>
      <c r="BH211">
        <f>BB211-BF211</f>
        <v/>
      </c>
      <c r="BI211" s="42">
        <f>BM210</f>
        <v/>
      </c>
      <c r="BJ211" s="42">
        <f>ROUND(BI211*BJ$6/12,2)</f>
        <v/>
      </c>
      <c r="BK211" s="42">
        <f>MIN(BK$6,BI211+BJ211)</f>
        <v/>
      </c>
      <c r="BL211" s="42">
        <f>MAX(0,MIN(BI211+BJ211-BK211,BH211))</f>
        <v/>
      </c>
      <c r="BM211" s="42">
        <f>ROUND(BI211+BJ211-BK211-BL211,2)</f>
        <v/>
      </c>
      <c r="BN211">
        <f>BH211-BL211</f>
        <v/>
      </c>
    </row>
    <row r="212">
      <c r="A212" s="39" t="n">
        <v>205</v>
      </c>
      <c r="B212" s="40">
        <f>EDATE('My Debts'!$C$6,A212-1)</f>
        <v/>
      </c>
      <c r="C212" s="41">
        <f>K212+Q212+W212+AC212+AI212+AO212+AU212+BA212+BG212+BM212</f>
        <v/>
      </c>
      <c r="D212" s="42">
        <f>I212+O212+U212+AA212+AG212+AM212+AS212+AY212+BE212+BK212+J212+P212+V212+AB212+AH212+AN212+AT212+AZ212+BF212+BL212</f>
        <v/>
      </c>
      <c r="E212" s="42">
        <f>H212+N212+T212+Z212+AF212+AL212+AR212+AX212+BD212+BJ212</f>
        <v/>
      </c>
      <c r="F212">
        <f>MAX(0,'My Debts'!$E$21-(I212+O212+U212+AA212+AG212+AM212+AS212+AY212+BE212+BK212))</f>
        <v/>
      </c>
      <c r="G212" s="42">
        <f>K211</f>
        <v/>
      </c>
      <c r="H212" s="42">
        <f>ROUND(G212*H$6/12,2)</f>
        <v/>
      </c>
      <c r="I212" s="42">
        <f>MIN(I$6,G212+H212)</f>
        <v/>
      </c>
      <c r="J212" s="42">
        <f>MAX(0,MIN(G212+H212-I212,$F212))</f>
        <v/>
      </c>
      <c r="K212" s="42">
        <f>ROUND(G212+H212-I212-J212,2)</f>
        <v/>
      </c>
      <c r="L212">
        <f>$F212-J212</f>
        <v/>
      </c>
      <c r="M212" s="42">
        <f>Q211</f>
        <v/>
      </c>
      <c r="N212" s="42">
        <f>ROUND(M212*N$6/12,2)</f>
        <v/>
      </c>
      <c r="O212" s="42">
        <f>MIN(O$6,M212+N212)</f>
        <v/>
      </c>
      <c r="P212" s="42">
        <f>MAX(0,MIN(M212+N212-O212,L212))</f>
        <v/>
      </c>
      <c r="Q212" s="42">
        <f>ROUND(M212+N212-O212-P212,2)</f>
        <v/>
      </c>
      <c r="R212">
        <f>L212-P212</f>
        <v/>
      </c>
      <c r="S212" s="42">
        <f>W211</f>
        <v/>
      </c>
      <c r="T212" s="42">
        <f>ROUND(S212*T$6/12,2)</f>
        <v/>
      </c>
      <c r="U212" s="42">
        <f>MIN(U$6,S212+T212)</f>
        <v/>
      </c>
      <c r="V212" s="42">
        <f>MAX(0,MIN(S212+T212-U212,R212))</f>
        <v/>
      </c>
      <c r="W212" s="42">
        <f>ROUND(S212+T212-U212-V212,2)</f>
        <v/>
      </c>
      <c r="X212">
        <f>R212-V212</f>
        <v/>
      </c>
      <c r="Y212" s="42">
        <f>AC211</f>
        <v/>
      </c>
      <c r="Z212" s="42">
        <f>ROUND(Y212*Z$6/12,2)</f>
        <v/>
      </c>
      <c r="AA212" s="42">
        <f>MIN(AA$6,Y212+Z212)</f>
        <v/>
      </c>
      <c r="AB212" s="42">
        <f>MAX(0,MIN(Y212+Z212-AA212,X212))</f>
        <v/>
      </c>
      <c r="AC212" s="42">
        <f>ROUND(Y212+Z212-AA212-AB212,2)</f>
        <v/>
      </c>
      <c r="AD212">
        <f>X212-AB212</f>
        <v/>
      </c>
      <c r="AE212" s="42">
        <f>AI211</f>
        <v/>
      </c>
      <c r="AF212" s="42">
        <f>ROUND(AE212*AF$6/12,2)</f>
        <v/>
      </c>
      <c r="AG212" s="42">
        <f>MIN(AG$6,AE212+AF212)</f>
        <v/>
      </c>
      <c r="AH212" s="42">
        <f>MAX(0,MIN(AE212+AF212-AG212,AD212))</f>
        <v/>
      </c>
      <c r="AI212" s="42">
        <f>ROUND(AE212+AF212-AG212-AH212,2)</f>
        <v/>
      </c>
      <c r="AJ212">
        <f>AD212-AH212</f>
        <v/>
      </c>
      <c r="AK212" s="42">
        <f>AO211</f>
        <v/>
      </c>
      <c r="AL212" s="42">
        <f>ROUND(AK212*AL$6/12,2)</f>
        <v/>
      </c>
      <c r="AM212" s="42">
        <f>MIN(AM$6,AK212+AL212)</f>
        <v/>
      </c>
      <c r="AN212" s="42">
        <f>MAX(0,MIN(AK212+AL212-AM212,AJ212))</f>
        <v/>
      </c>
      <c r="AO212" s="42">
        <f>ROUND(AK212+AL212-AM212-AN212,2)</f>
        <v/>
      </c>
      <c r="AP212">
        <f>AJ212-AN212</f>
        <v/>
      </c>
      <c r="AQ212" s="42">
        <f>AU211</f>
        <v/>
      </c>
      <c r="AR212" s="42">
        <f>ROUND(AQ212*AR$6/12,2)</f>
        <v/>
      </c>
      <c r="AS212" s="42">
        <f>MIN(AS$6,AQ212+AR212)</f>
        <v/>
      </c>
      <c r="AT212" s="42">
        <f>MAX(0,MIN(AQ212+AR212-AS212,AP212))</f>
        <v/>
      </c>
      <c r="AU212" s="42">
        <f>ROUND(AQ212+AR212-AS212-AT212,2)</f>
        <v/>
      </c>
      <c r="AV212">
        <f>AP212-AT212</f>
        <v/>
      </c>
      <c r="AW212" s="42">
        <f>BA211</f>
        <v/>
      </c>
      <c r="AX212" s="42">
        <f>ROUND(AW212*AX$6/12,2)</f>
        <v/>
      </c>
      <c r="AY212" s="42">
        <f>MIN(AY$6,AW212+AX212)</f>
        <v/>
      </c>
      <c r="AZ212" s="42">
        <f>MAX(0,MIN(AW212+AX212-AY212,AV212))</f>
        <v/>
      </c>
      <c r="BA212" s="42">
        <f>ROUND(AW212+AX212-AY212-AZ212,2)</f>
        <v/>
      </c>
      <c r="BB212">
        <f>AV212-AZ212</f>
        <v/>
      </c>
      <c r="BC212" s="42">
        <f>BG211</f>
        <v/>
      </c>
      <c r="BD212" s="42">
        <f>ROUND(BC212*BD$6/12,2)</f>
        <v/>
      </c>
      <c r="BE212" s="42">
        <f>MIN(BE$6,BC212+BD212)</f>
        <v/>
      </c>
      <c r="BF212" s="42">
        <f>MAX(0,MIN(BC212+BD212-BE212,BB212))</f>
        <v/>
      </c>
      <c r="BG212" s="42">
        <f>ROUND(BC212+BD212-BE212-BF212,2)</f>
        <v/>
      </c>
      <c r="BH212">
        <f>BB212-BF212</f>
        <v/>
      </c>
      <c r="BI212" s="42">
        <f>BM211</f>
        <v/>
      </c>
      <c r="BJ212" s="42">
        <f>ROUND(BI212*BJ$6/12,2)</f>
        <v/>
      </c>
      <c r="BK212" s="42">
        <f>MIN(BK$6,BI212+BJ212)</f>
        <v/>
      </c>
      <c r="BL212" s="42">
        <f>MAX(0,MIN(BI212+BJ212-BK212,BH212))</f>
        <v/>
      </c>
      <c r="BM212" s="42">
        <f>ROUND(BI212+BJ212-BK212-BL212,2)</f>
        <v/>
      </c>
      <c r="BN212">
        <f>BH212-BL212</f>
        <v/>
      </c>
    </row>
    <row r="213">
      <c r="A213" s="43" t="n">
        <v>206</v>
      </c>
      <c r="B213" s="44">
        <f>EDATE('My Debts'!$C$6,A213-1)</f>
        <v/>
      </c>
      <c r="C213" s="45">
        <f>K213+Q213+W213+AC213+AI213+AO213+AU213+BA213+BG213+BM213</f>
        <v/>
      </c>
      <c r="D213" s="46">
        <f>I213+O213+U213+AA213+AG213+AM213+AS213+AY213+BE213+BK213+J213+P213+V213+AB213+AH213+AN213+AT213+AZ213+BF213+BL213</f>
        <v/>
      </c>
      <c r="E213" s="46">
        <f>H213+N213+T213+Z213+AF213+AL213+AR213+AX213+BD213+BJ213</f>
        <v/>
      </c>
      <c r="F213">
        <f>MAX(0,'My Debts'!$E$21-(I213+O213+U213+AA213+AG213+AM213+AS213+AY213+BE213+BK213))</f>
        <v/>
      </c>
      <c r="G213" s="42">
        <f>K212</f>
        <v/>
      </c>
      <c r="H213" s="42">
        <f>ROUND(G213*H$6/12,2)</f>
        <v/>
      </c>
      <c r="I213" s="42">
        <f>MIN(I$6,G213+H213)</f>
        <v/>
      </c>
      <c r="J213" s="42">
        <f>MAX(0,MIN(G213+H213-I213,$F213))</f>
        <v/>
      </c>
      <c r="K213" s="42">
        <f>ROUND(G213+H213-I213-J213,2)</f>
        <v/>
      </c>
      <c r="L213">
        <f>$F213-J213</f>
        <v/>
      </c>
      <c r="M213" s="42">
        <f>Q212</f>
        <v/>
      </c>
      <c r="N213" s="42">
        <f>ROUND(M213*N$6/12,2)</f>
        <v/>
      </c>
      <c r="O213" s="42">
        <f>MIN(O$6,M213+N213)</f>
        <v/>
      </c>
      <c r="P213" s="42">
        <f>MAX(0,MIN(M213+N213-O213,L213))</f>
        <v/>
      </c>
      <c r="Q213" s="42">
        <f>ROUND(M213+N213-O213-P213,2)</f>
        <v/>
      </c>
      <c r="R213">
        <f>L213-P213</f>
        <v/>
      </c>
      <c r="S213" s="42">
        <f>W212</f>
        <v/>
      </c>
      <c r="T213" s="42">
        <f>ROUND(S213*T$6/12,2)</f>
        <v/>
      </c>
      <c r="U213" s="42">
        <f>MIN(U$6,S213+T213)</f>
        <v/>
      </c>
      <c r="V213" s="42">
        <f>MAX(0,MIN(S213+T213-U213,R213))</f>
        <v/>
      </c>
      <c r="W213" s="42">
        <f>ROUND(S213+T213-U213-V213,2)</f>
        <v/>
      </c>
      <c r="X213">
        <f>R213-V213</f>
        <v/>
      </c>
      <c r="Y213" s="42">
        <f>AC212</f>
        <v/>
      </c>
      <c r="Z213" s="42">
        <f>ROUND(Y213*Z$6/12,2)</f>
        <v/>
      </c>
      <c r="AA213" s="42">
        <f>MIN(AA$6,Y213+Z213)</f>
        <v/>
      </c>
      <c r="AB213" s="42">
        <f>MAX(0,MIN(Y213+Z213-AA213,X213))</f>
        <v/>
      </c>
      <c r="AC213" s="42">
        <f>ROUND(Y213+Z213-AA213-AB213,2)</f>
        <v/>
      </c>
      <c r="AD213">
        <f>X213-AB213</f>
        <v/>
      </c>
      <c r="AE213" s="42">
        <f>AI212</f>
        <v/>
      </c>
      <c r="AF213" s="42">
        <f>ROUND(AE213*AF$6/12,2)</f>
        <v/>
      </c>
      <c r="AG213" s="42">
        <f>MIN(AG$6,AE213+AF213)</f>
        <v/>
      </c>
      <c r="AH213" s="42">
        <f>MAX(0,MIN(AE213+AF213-AG213,AD213))</f>
        <v/>
      </c>
      <c r="AI213" s="42">
        <f>ROUND(AE213+AF213-AG213-AH213,2)</f>
        <v/>
      </c>
      <c r="AJ213">
        <f>AD213-AH213</f>
        <v/>
      </c>
      <c r="AK213" s="42">
        <f>AO212</f>
        <v/>
      </c>
      <c r="AL213" s="42">
        <f>ROUND(AK213*AL$6/12,2)</f>
        <v/>
      </c>
      <c r="AM213" s="42">
        <f>MIN(AM$6,AK213+AL213)</f>
        <v/>
      </c>
      <c r="AN213" s="42">
        <f>MAX(0,MIN(AK213+AL213-AM213,AJ213))</f>
        <v/>
      </c>
      <c r="AO213" s="42">
        <f>ROUND(AK213+AL213-AM213-AN213,2)</f>
        <v/>
      </c>
      <c r="AP213">
        <f>AJ213-AN213</f>
        <v/>
      </c>
      <c r="AQ213" s="42">
        <f>AU212</f>
        <v/>
      </c>
      <c r="AR213" s="42">
        <f>ROUND(AQ213*AR$6/12,2)</f>
        <v/>
      </c>
      <c r="AS213" s="42">
        <f>MIN(AS$6,AQ213+AR213)</f>
        <v/>
      </c>
      <c r="AT213" s="42">
        <f>MAX(0,MIN(AQ213+AR213-AS213,AP213))</f>
        <v/>
      </c>
      <c r="AU213" s="42">
        <f>ROUND(AQ213+AR213-AS213-AT213,2)</f>
        <v/>
      </c>
      <c r="AV213">
        <f>AP213-AT213</f>
        <v/>
      </c>
      <c r="AW213" s="42">
        <f>BA212</f>
        <v/>
      </c>
      <c r="AX213" s="42">
        <f>ROUND(AW213*AX$6/12,2)</f>
        <v/>
      </c>
      <c r="AY213" s="42">
        <f>MIN(AY$6,AW213+AX213)</f>
        <v/>
      </c>
      <c r="AZ213" s="42">
        <f>MAX(0,MIN(AW213+AX213-AY213,AV213))</f>
        <v/>
      </c>
      <c r="BA213" s="42">
        <f>ROUND(AW213+AX213-AY213-AZ213,2)</f>
        <v/>
      </c>
      <c r="BB213">
        <f>AV213-AZ213</f>
        <v/>
      </c>
      <c r="BC213" s="42">
        <f>BG212</f>
        <v/>
      </c>
      <c r="BD213" s="42">
        <f>ROUND(BC213*BD$6/12,2)</f>
        <v/>
      </c>
      <c r="BE213" s="42">
        <f>MIN(BE$6,BC213+BD213)</f>
        <v/>
      </c>
      <c r="BF213" s="42">
        <f>MAX(0,MIN(BC213+BD213-BE213,BB213))</f>
        <v/>
      </c>
      <c r="BG213" s="42">
        <f>ROUND(BC213+BD213-BE213-BF213,2)</f>
        <v/>
      </c>
      <c r="BH213">
        <f>BB213-BF213</f>
        <v/>
      </c>
      <c r="BI213" s="42">
        <f>BM212</f>
        <v/>
      </c>
      <c r="BJ213" s="42">
        <f>ROUND(BI213*BJ$6/12,2)</f>
        <v/>
      </c>
      <c r="BK213" s="42">
        <f>MIN(BK$6,BI213+BJ213)</f>
        <v/>
      </c>
      <c r="BL213" s="42">
        <f>MAX(0,MIN(BI213+BJ213-BK213,BH213))</f>
        <v/>
      </c>
      <c r="BM213" s="42">
        <f>ROUND(BI213+BJ213-BK213-BL213,2)</f>
        <v/>
      </c>
      <c r="BN213">
        <f>BH213-BL213</f>
        <v/>
      </c>
    </row>
    <row r="214">
      <c r="A214" s="39" t="n">
        <v>207</v>
      </c>
      <c r="B214" s="40">
        <f>EDATE('My Debts'!$C$6,A214-1)</f>
        <v/>
      </c>
      <c r="C214" s="41">
        <f>K214+Q214+W214+AC214+AI214+AO214+AU214+BA214+BG214+BM214</f>
        <v/>
      </c>
      <c r="D214" s="42">
        <f>I214+O214+U214+AA214+AG214+AM214+AS214+AY214+BE214+BK214+J214+P214+V214+AB214+AH214+AN214+AT214+AZ214+BF214+BL214</f>
        <v/>
      </c>
      <c r="E214" s="42">
        <f>H214+N214+T214+Z214+AF214+AL214+AR214+AX214+BD214+BJ214</f>
        <v/>
      </c>
      <c r="F214">
        <f>MAX(0,'My Debts'!$E$21-(I214+O214+U214+AA214+AG214+AM214+AS214+AY214+BE214+BK214))</f>
        <v/>
      </c>
      <c r="G214" s="42">
        <f>K213</f>
        <v/>
      </c>
      <c r="H214" s="42">
        <f>ROUND(G214*H$6/12,2)</f>
        <v/>
      </c>
      <c r="I214" s="42">
        <f>MIN(I$6,G214+H214)</f>
        <v/>
      </c>
      <c r="J214" s="42">
        <f>MAX(0,MIN(G214+H214-I214,$F214))</f>
        <v/>
      </c>
      <c r="K214" s="42">
        <f>ROUND(G214+H214-I214-J214,2)</f>
        <v/>
      </c>
      <c r="L214">
        <f>$F214-J214</f>
        <v/>
      </c>
      <c r="M214" s="42">
        <f>Q213</f>
        <v/>
      </c>
      <c r="N214" s="42">
        <f>ROUND(M214*N$6/12,2)</f>
        <v/>
      </c>
      <c r="O214" s="42">
        <f>MIN(O$6,M214+N214)</f>
        <v/>
      </c>
      <c r="P214" s="42">
        <f>MAX(0,MIN(M214+N214-O214,L214))</f>
        <v/>
      </c>
      <c r="Q214" s="42">
        <f>ROUND(M214+N214-O214-P214,2)</f>
        <v/>
      </c>
      <c r="R214">
        <f>L214-P214</f>
        <v/>
      </c>
      <c r="S214" s="42">
        <f>W213</f>
        <v/>
      </c>
      <c r="T214" s="42">
        <f>ROUND(S214*T$6/12,2)</f>
        <v/>
      </c>
      <c r="U214" s="42">
        <f>MIN(U$6,S214+T214)</f>
        <v/>
      </c>
      <c r="V214" s="42">
        <f>MAX(0,MIN(S214+T214-U214,R214))</f>
        <v/>
      </c>
      <c r="W214" s="42">
        <f>ROUND(S214+T214-U214-V214,2)</f>
        <v/>
      </c>
      <c r="X214">
        <f>R214-V214</f>
        <v/>
      </c>
      <c r="Y214" s="42">
        <f>AC213</f>
        <v/>
      </c>
      <c r="Z214" s="42">
        <f>ROUND(Y214*Z$6/12,2)</f>
        <v/>
      </c>
      <c r="AA214" s="42">
        <f>MIN(AA$6,Y214+Z214)</f>
        <v/>
      </c>
      <c r="AB214" s="42">
        <f>MAX(0,MIN(Y214+Z214-AA214,X214))</f>
        <v/>
      </c>
      <c r="AC214" s="42">
        <f>ROUND(Y214+Z214-AA214-AB214,2)</f>
        <v/>
      </c>
      <c r="AD214">
        <f>X214-AB214</f>
        <v/>
      </c>
      <c r="AE214" s="42">
        <f>AI213</f>
        <v/>
      </c>
      <c r="AF214" s="42">
        <f>ROUND(AE214*AF$6/12,2)</f>
        <v/>
      </c>
      <c r="AG214" s="42">
        <f>MIN(AG$6,AE214+AF214)</f>
        <v/>
      </c>
      <c r="AH214" s="42">
        <f>MAX(0,MIN(AE214+AF214-AG214,AD214))</f>
        <v/>
      </c>
      <c r="AI214" s="42">
        <f>ROUND(AE214+AF214-AG214-AH214,2)</f>
        <v/>
      </c>
      <c r="AJ214">
        <f>AD214-AH214</f>
        <v/>
      </c>
      <c r="AK214" s="42">
        <f>AO213</f>
        <v/>
      </c>
      <c r="AL214" s="42">
        <f>ROUND(AK214*AL$6/12,2)</f>
        <v/>
      </c>
      <c r="AM214" s="42">
        <f>MIN(AM$6,AK214+AL214)</f>
        <v/>
      </c>
      <c r="AN214" s="42">
        <f>MAX(0,MIN(AK214+AL214-AM214,AJ214))</f>
        <v/>
      </c>
      <c r="AO214" s="42">
        <f>ROUND(AK214+AL214-AM214-AN214,2)</f>
        <v/>
      </c>
      <c r="AP214">
        <f>AJ214-AN214</f>
        <v/>
      </c>
      <c r="AQ214" s="42">
        <f>AU213</f>
        <v/>
      </c>
      <c r="AR214" s="42">
        <f>ROUND(AQ214*AR$6/12,2)</f>
        <v/>
      </c>
      <c r="AS214" s="42">
        <f>MIN(AS$6,AQ214+AR214)</f>
        <v/>
      </c>
      <c r="AT214" s="42">
        <f>MAX(0,MIN(AQ214+AR214-AS214,AP214))</f>
        <v/>
      </c>
      <c r="AU214" s="42">
        <f>ROUND(AQ214+AR214-AS214-AT214,2)</f>
        <v/>
      </c>
      <c r="AV214">
        <f>AP214-AT214</f>
        <v/>
      </c>
      <c r="AW214" s="42">
        <f>BA213</f>
        <v/>
      </c>
      <c r="AX214" s="42">
        <f>ROUND(AW214*AX$6/12,2)</f>
        <v/>
      </c>
      <c r="AY214" s="42">
        <f>MIN(AY$6,AW214+AX214)</f>
        <v/>
      </c>
      <c r="AZ214" s="42">
        <f>MAX(0,MIN(AW214+AX214-AY214,AV214))</f>
        <v/>
      </c>
      <c r="BA214" s="42">
        <f>ROUND(AW214+AX214-AY214-AZ214,2)</f>
        <v/>
      </c>
      <c r="BB214">
        <f>AV214-AZ214</f>
        <v/>
      </c>
      <c r="BC214" s="42">
        <f>BG213</f>
        <v/>
      </c>
      <c r="BD214" s="42">
        <f>ROUND(BC214*BD$6/12,2)</f>
        <v/>
      </c>
      <c r="BE214" s="42">
        <f>MIN(BE$6,BC214+BD214)</f>
        <v/>
      </c>
      <c r="BF214" s="42">
        <f>MAX(0,MIN(BC214+BD214-BE214,BB214))</f>
        <v/>
      </c>
      <c r="BG214" s="42">
        <f>ROUND(BC214+BD214-BE214-BF214,2)</f>
        <v/>
      </c>
      <c r="BH214">
        <f>BB214-BF214</f>
        <v/>
      </c>
      <c r="BI214" s="42">
        <f>BM213</f>
        <v/>
      </c>
      <c r="BJ214" s="42">
        <f>ROUND(BI214*BJ$6/12,2)</f>
        <v/>
      </c>
      <c r="BK214" s="42">
        <f>MIN(BK$6,BI214+BJ214)</f>
        <v/>
      </c>
      <c r="BL214" s="42">
        <f>MAX(0,MIN(BI214+BJ214-BK214,BH214))</f>
        <v/>
      </c>
      <c r="BM214" s="42">
        <f>ROUND(BI214+BJ214-BK214-BL214,2)</f>
        <v/>
      </c>
      <c r="BN214">
        <f>BH214-BL214</f>
        <v/>
      </c>
    </row>
    <row r="215">
      <c r="A215" s="43" t="n">
        <v>208</v>
      </c>
      <c r="B215" s="44">
        <f>EDATE('My Debts'!$C$6,A215-1)</f>
        <v/>
      </c>
      <c r="C215" s="45">
        <f>K215+Q215+W215+AC215+AI215+AO215+AU215+BA215+BG215+BM215</f>
        <v/>
      </c>
      <c r="D215" s="46">
        <f>I215+O215+U215+AA215+AG215+AM215+AS215+AY215+BE215+BK215+J215+P215+V215+AB215+AH215+AN215+AT215+AZ215+BF215+BL215</f>
        <v/>
      </c>
      <c r="E215" s="46">
        <f>H215+N215+T215+Z215+AF215+AL215+AR215+AX215+BD215+BJ215</f>
        <v/>
      </c>
      <c r="F215">
        <f>MAX(0,'My Debts'!$E$21-(I215+O215+U215+AA215+AG215+AM215+AS215+AY215+BE215+BK215))</f>
        <v/>
      </c>
      <c r="G215" s="42">
        <f>K214</f>
        <v/>
      </c>
      <c r="H215" s="42">
        <f>ROUND(G215*H$6/12,2)</f>
        <v/>
      </c>
      <c r="I215" s="42">
        <f>MIN(I$6,G215+H215)</f>
        <v/>
      </c>
      <c r="J215" s="42">
        <f>MAX(0,MIN(G215+H215-I215,$F215))</f>
        <v/>
      </c>
      <c r="K215" s="42">
        <f>ROUND(G215+H215-I215-J215,2)</f>
        <v/>
      </c>
      <c r="L215">
        <f>$F215-J215</f>
        <v/>
      </c>
      <c r="M215" s="42">
        <f>Q214</f>
        <v/>
      </c>
      <c r="N215" s="42">
        <f>ROUND(M215*N$6/12,2)</f>
        <v/>
      </c>
      <c r="O215" s="42">
        <f>MIN(O$6,M215+N215)</f>
        <v/>
      </c>
      <c r="P215" s="42">
        <f>MAX(0,MIN(M215+N215-O215,L215))</f>
        <v/>
      </c>
      <c r="Q215" s="42">
        <f>ROUND(M215+N215-O215-P215,2)</f>
        <v/>
      </c>
      <c r="R215">
        <f>L215-P215</f>
        <v/>
      </c>
      <c r="S215" s="42">
        <f>W214</f>
        <v/>
      </c>
      <c r="T215" s="42">
        <f>ROUND(S215*T$6/12,2)</f>
        <v/>
      </c>
      <c r="U215" s="42">
        <f>MIN(U$6,S215+T215)</f>
        <v/>
      </c>
      <c r="V215" s="42">
        <f>MAX(0,MIN(S215+T215-U215,R215))</f>
        <v/>
      </c>
      <c r="W215" s="42">
        <f>ROUND(S215+T215-U215-V215,2)</f>
        <v/>
      </c>
      <c r="X215">
        <f>R215-V215</f>
        <v/>
      </c>
      <c r="Y215" s="42">
        <f>AC214</f>
        <v/>
      </c>
      <c r="Z215" s="42">
        <f>ROUND(Y215*Z$6/12,2)</f>
        <v/>
      </c>
      <c r="AA215" s="42">
        <f>MIN(AA$6,Y215+Z215)</f>
        <v/>
      </c>
      <c r="AB215" s="42">
        <f>MAX(0,MIN(Y215+Z215-AA215,X215))</f>
        <v/>
      </c>
      <c r="AC215" s="42">
        <f>ROUND(Y215+Z215-AA215-AB215,2)</f>
        <v/>
      </c>
      <c r="AD215">
        <f>X215-AB215</f>
        <v/>
      </c>
      <c r="AE215" s="42">
        <f>AI214</f>
        <v/>
      </c>
      <c r="AF215" s="42">
        <f>ROUND(AE215*AF$6/12,2)</f>
        <v/>
      </c>
      <c r="AG215" s="42">
        <f>MIN(AG$6,AE215+AF215)</f>
        <v/>
      </c>
      <c r="AH215" s="42">
        <f>MAX(0,MIN(AE215+AF215-AG215,AD215))</f>
        <v/>
      </c>
      <c r="AI215" s="42">
        <f>ROUND(AE215+AF215-AG215-AH215,2)</f>
        <v/>
      </c>
      <c r="AJ215">
        <f>AD215-AH215</f>
        <v/>
      </c>
      <c r="AK215" s="42">
        <f>AO214</f>
        <v/>
      </c>
      <c r="AL215" s="42">
        <f>ROUND(AK215*AL$6/12,2)</f>
        <v/>
      </c>
      <c r="AM215" s="42">
        <f>MIN(AM$6,AK215+AL215)</f>
        <v/>
      </c>
      <c r="AN215" s="42">
        <f>MAX(0,MIN(AK215+AL215-AM215,AJ215))</f>
        <v/>
      </c>
      <c r="AO215" s="42">
        <f>ROUND(AK215+AL215-AM215-AN215,2)</f>
        <v/>
      </c>
      <c r="AP215">
        <f>AJ215-AN215</f>
        <v/>
      </c>
      <c r="AQ215" s="42">
        <f>AU214</f>
        <v/>
      </c>
      <c r="AR215" s="42">
        <f>ROUND(AQ215*AR$6/12,2)</f>
        <v/>
      </c>
      <c r="AS215" s="42">
        <f>MIN(AS$6,AQ215+AR215)</f>
        <v/>
      </c>
      <c r="AT215" s="42">
        <f>MAX(0,MIN(AQ215+AR215-AS215,AP215))</f>
        <v/>
      </c>
      <c r="AU215" s="42">
        <f>ROUND(AQ215+AR215-AS215-AT215,2)</f>
        <v/>
      </c>
      <c r="AV215">
        <f>AP215-AT215</f>
        <v/>
      </c>
      <c r="AW215" s="42">
        <f>BA214</f>
        <v/>
      </c>
      <c r="AX215" s="42">
        <f>ROUND(AW215*AX$6/12,2)</f>
        <v/>
      </c>
      <c r="AY215" s="42">
        <f>MIN(AY$6,AW215+AX215)</f>
        <v/>
      </c>
      <c r="AZ215" s="42">
        <f>MAX(0,MIN(AW215+AX215-AY215,AV215))</f>
        <v/>
      </c>
      <c r="BA215" s="42">
        <f>ROUND(AW215+AX215-AY215-AZ215,2)</f>
        <v/>
      </c>
      <c r="BB215">
        <f>AV215-AZ215</f>
        <v/>
      </c>
      <c r="BC215" s="42">
        <f>BG214</f>
        <v/>
      </c>
      <c r="BD215" s="42">
        <f>ROUND(BC215*BD$6/12,2)</f>
        <v/>
      </c>
      <c r="BE215" s="42">
        <f>MIN(BE$6,BC215+BD215)</f>
        <v/>
      </c>
      <c r="BF215" s="42">
        <f>MAX(0,MIN(BC215+BD215-BE215,BB215))</f>
        <v/>
      </c>
      <c r="BG215" s="42">
        <f>ROUND(BC215+BD215-BE215-BF215,2)</f>
        <v/>
      </c>
      <c r="BH215">
        <f>BB215-BF215</f>
        <v/>
      </c>
      <c r="BI215" s="42">
        <f>BM214</f>
        <v/>
      </c>
      <c r="BJ215" s="42">
        <f>ROUND(BI215*BJ$6/12,2)</f>
        <v/>
      </c>
      <c r="BK215" s="42">
        <f>MIN(BK$6,BI215+BJ215)</f>
        <v/>
      </c>
      <c r="BL215" s="42">
        <f>MAX(0,MIN(BI215+BJ215-BK215,BH215))</f>
        <v/>
      </c>
      <c r="BM215" s="42">
        <f>ROUND(BI215+BJ215-BK215-BL215,2)</f>
        <v/>
      </c>
      <c r="BN215">
        <f>BH215-BL215</f>
        <v/>
      </c>
    </row>
    <row r="216">
      <c r="A216" s="39" t="n">
        <v>209</v>
      </c>
      <c r="B216" s="40">
        <f>EDATE('My Debts'!$C$6,A216-1)</f>
        <v/>
      </c>
      <c r="C216" s="41">
        <f>K216+Q216+W216+AC216+AI216+AO216+AU216+BA216+BG216+BM216</f>
        <v/>
      </c>
      <c r="D216" s="42">
        <f>I216+O216+U216+AA216+AG216+AM216+AS216+AY216+BE216+BK216+J216+P216+V216+AB216+AH216+AN216+AT216+AZ216+BF216+BL216</f>
        <v/>
      </c>
      <c r="E216" s="42">
        <f>H216+N216+T216+Z216+AF216+AL216+AR216+AX216+BD216+BJ216</f>
        <v/>
      </c>
      <c r="F216">
        <f>MAX(0,'My Debts'!$E$21-(I216+O216+U216+AA216+AG216+AM216+AS216+AY216+BE216+BK216))</f>
        <v/>
      </c>
      <c r="G216" s="42">
        <f>K215</f>
        <v/>
      </c>
      <c r="H216" s="42">
        <f>ROUND(G216*H$6/12,2)</f>
        <v/>
      </c>
      <c r="I216" s="42">
        <f>MIN(I$6,G216+H216)</f>
        <v/>
      </c>
      <c r="J216" s="42">
        <f>MAX(0,MIN(G216+H216-I216,$F216))</f>
        <v/>
      </c>
      <c r="K216" s="42">
        <f>ROUND(G216+H216-I216-J216,2)</f>
        <v/>
      </c>
      <c r="L216">
        <f>$F216-J216</f>
        <v/>
      </c>
      <c r="M216" s="42">
        <f>Q215</f>
        <v/>
      </c>
      <c r="N216" s="42">
        <f>ROUND(M216*N$6/12,2)</f>
        <v/>
      </c>
      <c r="O216" s="42">
        <f>MIN(O$6,M216+N216)</f>
        <v/>
      </c>
      <c r="P216" s="42">
        <f>MAX(0,MIN(M216+N216-O216,L216))</f>
        <v/>
      </c>
      <c r="Q216" s="42">
        <f>ROUND(M216+N216-O216-P216,2)</f>
        <v/>
      </c>
      <c r="R216">
        <f>L216-P216</f>
        <v/>
      </c>
      <c r="S216" s="42">
        <f>W215</f>
        <v/>
      </c>
      <c r="T216" s="42">
        <f>ROUND(S216*T$6/12,2)</f>
        <v/>
      </c>
      <c r="U216" s="42">
        <f>MIN(U$6,S216+T216)</f>
        <v/>
      </c>
      <c r="V216" s="42">
        <f>MAX(0,MIN(S216+T216-U216,R216))</f>
        <v/>
      </c>
      <c r="W216" s="42">
        <f>ROUND(S216+T216-U216-V216,2)</f>
        <v/>
      </c>
      <c r="X216">
        <f>R216-V216</f>
        <v/>
      </c>
      <c r="Y216" s="42">
        <f>AC215</f>
        <v/>
      </c>
      <c r="Z216" s="42">
        <f>ROUND(Y216*Z$6/12,2)</f>
        <v/>
      </c>
      <c r="AA216" s="42">
        <f>MIN(AA$6,Y216+Z216)</f>
        <v/>
      </c>
      <c r="AB216" s="42">
        <f>MAX(0,MIN(Y216+Z216-AA216,X216))</f>
        <v/>
      </c>
      <c r="AC216" s="42">
        <f>ROUND(Y216+Z216-AA216-AB216,2)</f>
        <v/>
      </c>
      <c r="AD216">
        <f>X216-AB216</f>
        <v/>
      </c>
      <c r="AE216" s="42">
        <f>AI215</f>
        <v/>
      </c>
      <c r="AF216" s="42">
        <f>ROUND(AE216*AF$6/12,2)</f>
        <v/>
      </c>
      <c r="AG216" s="42">
        <f>MIN(AG$6,AE216+AF216)</f>
        <v/>
      </c>
      <c r="AH216" s="42">
        <f>MAX(0,MIN(AE216+AF216-AG216,AD216))</f>
        <v/>
      </c>
      <c r="AI216" s="42">
        <f>ROUND(AE216+AF216-AG216-AH216,2)</f>
        <v/>
      </c>
      <c r="AJ216">
        <f>AD216-AH216</f>
        <v/>
      </c>
      <c r="AK216" s="42">
        <f>AO215</f>
        <v/>
      </c>
      <c r="AL216" s="42">
        <f>ROUND(AK216*AL$6/12,2)</f>
        <v/>
      </c>
      <c r="AM216" s="42">
        <f>MIN(AM$6,AK216+AL216)</f>
        <v/>
      </c>
      <c r="AN216" s="42">
        <f>MAX(0,MIN(AK216+AL216-AM216,AJ216))</f>
        <v/>
      </c>
      <c r="AO216" s="42">
        <f>ROUND(AK216+AL216-AM216-AN216,2)</f>
        <v/>
      </c>
      <c r="AP216">
        <f>AJ216-AN216</f>
        <v/>
      </c>
      <c r="AQ216" s="42">
        <f>AU215</f>
        <v/>
      </c>
      <c r="AR216" s="42">
        <f>ROUND(AQ216*AR$6/12,2)</f>
        <v/>
      </c>
      <c r="AS216" s="42">
        <f>MIN(AS$6,AQ216+AR216)</f>
        <v/>
      </c>
      <c r="AT216" s="42">
        <f>MAX(0,MIN(AQ216+AR216-AS216,AP216))</f>
        <v/>
      </c>
      <c r="AU216" s="42">
        <f>ROUND(AQ216+AR216-AS216-AT216,2)</f>
        <v/>
      </c>
      <c r="AV216">
        <f>AP216-AT216</f>
        <v/>
      </c>
      <c r="AW216" s="42">
        <f>BA215</f>
        <v/>
      </c>
      <c r="AX216" s="42">
        <f>ROUND(AW216*AX$6/12,2)</f>
        <v/>
      </c>
      <c r="AY216" s="42">
        <f>MIN(AY$6,AW216+AX216)</f>
        <v/>
      </c>
      <c r="AZ216" s="42">
        <f>MAX(0,MIN(AW216+AX216-AY216,AV216))</f>
        <v/>
      </c>
      <c r="BA216" s="42">
        <f>ROUND(AW216+AX216-AY216-AZ216,2)</f>
        <v/>
      </c>
      <c r="BB216">
        <f>AV216-AZ216</f>
        <v/>
      </c>
      <c r="BC216" s="42">
        <f>BG215</f>
        <v/>
      </c>
      <c r="BD216" s="42">
        <f>ROUND(BC216*BD$6/12,2)</f>
        <v/>
      </c>
      <c r="BE216" s="42">
        <f>MIN(BE$6,BC216+BD216)</f>
        <v/>
      </c>
      <c r="BF216" s="42">
        <f>MAX(0,MIN(BC216+BD216-BE216,BB216))</f>
        <v/>
      </c>
      <c r="BG216" s="42">
        <f>ROUND(BC216+BD216-BE216-BF216,2)</f>
        <v/>
      </c>
      <c r="BH216">
        <f>BB216-BF216</f>
        <v/>
      </c>
      <c r="BI216" s="42">
        <f>BM215</f>
        <v/>
      </c>
      <c r="BJ216" s="42">
        <f>ROUND(BI216*BJ$6/12,2)</f>
        <v/>
      </c>
      <c r="BK216" s="42">
        <f>MIN(BK$6,BI216+BJ216)</f>
        <v/>
      </c>
      <c r="BL216" s="42">
        <f>MAX(0,MIN(BI216+BJ216-BK216,BH216))</f>
        <v/>
      </c>
      <c r="BM216" s="42">
        <f>ROUND(BI216+BJ216-BK216-BL216,2)</f>
        <v/>
      </c>
      <c r="BN216">
        <f>BH216-BL216</f>
        <v/>
      </c>
    </row>
    <row r="217">
      <c r="A217" s="43" t="n">
        <v>210</v>
      </c>
      <c r="B217" s="44">
        <f>EDATE('My Debts'!$C$6,A217-1)</f>
        <v/>
      </c>
      <c r="C217" s="45">
        <f>K217+Q217+W217+AC217+AI217+AO217+AU217+BA217+BG217+BM217</f>
        <v/>
      </c>
      <c r="D217" s="46">
        <f>I217+O217+U217+AA217+AG217+AM217+AS217+AY217+BE217+BK217+J217+P217+V217+AB217+AH217+AN217+AT217+AZ217+BF217+BL217</f>
        <v/>
      </c>
      <c r="E217" s="46">
        <f>H217+N217+T217+Z217+AF217+AL217+AR217+AX217+BD217+BJ217</f>
        <v/>
      </c>
      <c r="F217">
        <f>MAX(0,'My Debts'!$E$21-(I217+O217+U217+AA217+AG217+AM217+AS217+AY217+BE217+BK217))</f>
        <v/>
      </c>
      <c r="G217" s="42">
        <f>K216</f>
        <v/>
      </c>
      <c r="H217" s="42">
        <f>ROUND(G217*H$6/12,2)</f>
        <v/>
      </c>
      <c r="I217" s="42">
        <f>MIN(I$6,G217+H217)</f>
        <v/>
      </c>
      <c r="J217" s="42">
        <f>MAX(0,MIN(G217+H217-I217,$F217))</f>
        <v/>
      </c>
      <c r="K217" s="42">
        <f>ROUND(G217+H217-I217-J217,2)</f>
        <v/>
      </c>
      <c r="L217">
        <f>$F217-J217</f>
        <v/>
      </c>
      <c r="M217" s="42">
        <f>Q216</f>
        <v/>
      </c>
      <c r="N217" s="42">
        <f>ROUND(M217*N$6/12,2)</f>
        <v/>
      </c>
      <c r="O217" s="42">
        <f>MIN(O$6,M217+N217)</f>
        <v/>
      </c>
      <c r="P217" s="42">
        <f>MAX(0,MIN(M217+N217-O217,L217))</f>
        <v/>
      </c>
      <c r="Q217" s="42">
        <f>ROUND(M217+N217-O217-P217,2)</f>
        <v/>
      </c>
      <c r="R217">
        <f>L217-P217</f>
        <v/>
      </c>
      <c r="S217" s="42">
        <f>W216</f>
        <v/>
      </c>
      <c r="T217" s="42">
        <f>ROUND(S217*T$6/12,2)</f>
        <v/>
      </c>
      <c r="U217" s="42">
        <f>MIN(U$6,S217+T217)</f>
        <v/>
      </c>
      <c r="V217" s="42">
        <f>MAX(0,MIN(S217+T217-U217,R217))</f>
        <v/>
      </c>
      <c r="W217" s="42">
        <f>ROUND(S217+T217-U217-V217,2)</f>
        <v/>
      </c>
      <c r="X217">
        <f>R217-V217</f>
        <v/>
      </c>
      <c r="Y217" s="42">
        <f>AC216</f>
        <v/>
      </c>
      <c r="Z217" s="42">
        <f>ROUND(Y217*Z$6/12,2)</f>
        <v/>
      </c>
      <c r="AA217" s="42">
        <f>MIN(AA$6,Y217+Z217)</f>
        <v/>
      </c>
      <c r="AB217" s="42">
        <f>MAX(0,MIN(Y217+Z217-AA217,X217))</f>
        <v/>
      </c>
      <c r="AC217" s="42">
        <f>ROUND(Y217+Z217-AA217-AB217,2)</f>
        <v/>
      </c>
      <c r="AD217">
        <f>X217-AB217</f>
        <v/>
      </c>
      <c r="AE217" s="42">
        <f>AI216</f>
        <v/>
      </c>
      <c r="AF217" s="42">
        <f>ROUND(AE217*AF$6/12,2)</f>
        <v/>
      </c>
      <c r="AG217" s="42">
        <f>MIN(AG$6,AE217+AF217)</f>
        <v/>
      </c>
      <c r="AH217" s="42">
        <f>MAX(0,MIN(AE217+AF217-AG217,AD217))</f>
        <v/>
      </c>
      <c r="AI217" s="42">
        <f>ROUND(AE217+AF217-AG217-AH217,2)</f>
        <v/>
      </c>
      <c r="AJ217">
        <f>AD217-AH217</f>
        <v/>
      </c>
      <c r="AK217" s="42">
        <f>AO216</f>
        <v/>
      </c>
      <c r="AL217" s="42">
        <f>ROUND(AK217*AL$6/12,2)</f>
        <v/>
      </c>
      <c r="AM217" s="42">
        <f>MIN(AM$6,AK217+AL217)</f>
        <v/>
      </c>
      <c r="AN217" s="42">
        <f>MAX(0,MIN(AK217+AL217-AM217,AJ217))</f>
        <v/>
      </c>
      <c r="AO217" s="42">
        <f>ROUND(AK217+AL217-AM217-AN217,2)</f>
        <v/>
      </c>
      <c r="AP217">
        <f>AJ217-AN217</f>
        <v/>
      </c>
      <c r="AQ217" s="42">
        <f>AU216</f>
        <v/>
      </c>
      <c r="AR217" s="42">
        <f>ROUND(AQ217*AR$6/12,2)</f>
        <v/>
      </c>
      <c r="AS217" s="42">
        <f>MIN(AS$6,AQ217+AR217)</f>
        <v/>
      </c>
      <c r="AT217" s="42">
        <f>MAX(0,MIN(AQ217+AR217-AS217,AP217))</f>
        <v/>
      </c>
      <c r="AU217" s="42">
        <f>ROUND(AQ217+AR217-AS217-AT217,2)</f>
        <v/>
      </c>
      <c r="AV217">
        <f>AP217-AT217</f>
        <v/>
      </c>
      <c r="AW217" s="42">
        <f>BA216</f>
        <v/>
      </c>
      <c r="AX217" s="42">
        <f>ROUND(AW217*AX$6/12,2)</f>
        <v/>
      </c>
      <c r="AY217" s="42">
        <f>MIN(AY$6,AW217+AX217)</f>
        <v/>
      </c>
      <c r="AZ217" s="42">
        <f>MAX(0,MIN(AW217+AX217-AY217,AV217))</f>
        <v/>
      </c>
      <c r="BA217" s="42">
        <f>ROUND(AW217+AX217-AY217-AZ217,2)</f>
        <v/>
      </c>
      <c r="BB217">
        <f>AV217-AZ217</f>
        <v/>
      </c>
      <c r="BC217" s="42">
        <f>BG216</f>
        <v/>
      </c>
      <c r="BD217" s="42">
        <f>ROUND(BC217*BD$6/12,2)</f>
        <v/>
      </c>
      <c r="BE217" s="42">
        <f>MIN(BE$6,BC217+BD217)</f>
        <v/>
      </c>
      <c r="BF217" s="42">
        <f>MAX(0,MIN(BC217+BD217-BE217,BB217))</f>
        <v/>
      </c>
      <c r="BG217" s="42">
        <f>ROUND(BC217+BD217-BE217-BF217,2)</f>
        <v/>
      </c>
      <c r="BH217">
        <f>BB217-BF217</f>
        <v/>
      </c>
      <c r="BI217" s="42">
        <f>BM216</f>
        <v/>
      </c>
      <c r="BJ217" s="42">
        <f>ROUND(BI217*BJ$6/12,2)</f>
        <v/>
      </c>
      <c r="BK217" s="42">
        <f>MIN(BK$6,BI217+BJ217)</f>
        <v/>
      </c>
      <c r="BL217" s="42">
        <f>MAX(0,MIN(BI217+BJ217-BK217,BH217))</f>
        <v/>
      </c>
      <c r="BM217" s="42">
        <f>ROUND(BI217+BJ217-BK217-BL217,2)</f>
        <v/>
      </c>
      <c r="BN217">
        <f>BH217-BL217</f>
        <v/>
      </c>
    </row>
    <row r="218">
      <c r="A218" s="39" t="n">
        <v>211</v>
      </c>
      <c r="B218" s="40">
        <f>EDATE('My Debts'!$C$6,A218-1)</f>
        <v/>
      </c>
      <c r="C218" s="41">
        <f>K218+Q218+W218+AC218+AI218+AO218+AU218+BA218+BG218+BM218</f>
        <v/>
      </c>
      <c r="D218" s="42">
        <f>I218+O218+U218+AA218+AG218+AM218+AS218+AY218+BE218+BK218+J218+P218+V218+AB218+AH218+AN218+AT218+AZ218+BF218+BL218</f>
        <v/>
      </c>
      <c r="E218" s="42">
        <f>H218+N218+T218+Z218+AF218+AL218+AR218+AX218+BD218+BJ218</f>
        <v/>
      </c>
      <c r="F218">
        <f>MAX(0,'My Debts'!$E$21-(I218+O218+U218+AA218+AG218+AM218+AS218+AY218+BE218+BK218))</f>
        <v/>
      </c>
      <c r="G218" s="42">
        <f>K217</f>
        <v/>
      </c>
      <c r="H218" s="42">
        <f>ROUND(G218*H$6/12,2)</f>
        <v/>
      </c>
      <c r="I218" s="42">
        <f>MIN(I$6,G218+H218)</f>
        <v/>
      </c>
      <c r="J218" s="42">
        <f>MAX(0,MIN(G218+H218-I218,$F218))</f>
        <v/>
      </c>
      <c r="K218" s="42">
        <f>ROUND(G218+H218-I218-J218,2)</f>
        <v/>
      </c>
      <c r="L218">
        <f>$F218-J218</f>
        <v/>
      </c>
      <c r="M218" s="42">
        <f>Q217</f>
        <v/>
      </c>
      <c r="N218" s="42">
        <f>ROUND(M218*N$6/12,2)</f>
        <v/>
      </c>
      <c r="O218" s="42">
        <f>MIN(O$6,M218+N218)</f>
        <v/>
      </c>
      <c r="P218" s="42">
        <f>MAX(0,MIN(M218+N218-O218,L218))</f>
        <v/>
      </c>
      <c r="Q218" s="42">
        <f>ROUND(M218+N218-O218-P218,2)</f>
        <v/>
      </c>
      <c r="R218">
        <f>L218-P218</f>
        <v/>
      </c>
      <c r="S218" s="42">
        <f>W217</f>
        <v/>
      </c>
      <c r="T218" s="42">
        <f>ROUND(S218*T$6/12,2)</f>
        <v/>
      </c>
      <c r="U218" s="42">
        <f>MIN(U$6,S218+T218)</f>
        <v/>
      </c>
      <c r="V218" s="42">
        <f>MAX(0,MIN(S218+T218-U218,R218))</f>
        <v/>
      </c>
      <c r="W218" s="42">
        <f>ROUND(S218+T218-U218-V218,2)</f>
        <v/>
      </c>
      <c r="X218">
        <f>R218-V218</f>
        <v/>
      </c>
      <c r="Y218" s="42">
        <f>AC217</f>
        <v/>
      </c>
      <c r="Z218" s="42">
        <f>ROUND(Y218*Z$6/12,2)</f>
        <v/>
      </c>
      <c r="AA218" s="42">
        <f>MIN(AA$6,Y218+Z218)</f>
        <v/>
      </c>
      <c r="AB218" s="42">
        <f>MAX(0,MIN(Y218+Z218-AA218,X218))</f>
        <v/>
      </c>
      <c r="AC218" s="42">
        <f>ROUND(Y218+Z218-AA218-AB218,2)</f>
        <v/>
      </c>
      <c r="AD218">
        <f>X218-AB218</f>
        <v/>
      </c>
      <c r="AE218" s="42">
        <f>AI217</f>
        <v/>
      </c>
      <c r="AF218" s="42">
        <f>ROUND(AE218*AF$6/12,2)</f>
        <v/>
      </c>
      <c r="AG218" s="42">
        <f>MIN(AG$6,AE218+AF218)</f>
        <v/>
      </c>
      <c r="AH218" s="42">
        <f>MAX(0,MIN(AE218+AF218-AG218,AD218))</f>
        <v/>
      </c>
      <c r="AI218" s="42">
        <f>ROUND(AE218+AF218-AG218-AH218,2)</f>
        <v/>
      </c>
      <c r="AJ218">
        <f>AD218-AH218</f>
        <v/>
      </c>
      <c r="AK218" s="42">
        <f>AO217</f>
        <v/>
      </c>
      <c r="AL218" s="42">
        <f>ROUND(AK218*AL$6/12,2)</f>
        <v/>
      </c>
      <c r="AM218" s="42">
        <f>MIN(AM$6,AK218+AL218)</f>
        <v/>
      </c>
      <c r="AN218" s="42">
        <f>MAX(0,MIN(AK218+AL218-AM218,AJ218))</f>
        <v/>
      </c>
      <c r="AO218" s="42">
        <f>ROUND(AK218+AL218-AM218-AN218,2)</f>
        <v/>
      </c>
      <c r="AP218">
        <f>AJ218-AN218</f>
        <v/>
      </c>
      <c r="AQ218" s="42">
        <f>AU217</f>
        <v/>
      </c>
      <c r="AR218" s="42">
        <f>ROUND(AQ218*AR$6/12,2)</f>
        <v/>
      </c>
      <c r="AS218" s="42">
        <f>MIN(AS$6,AQ218+AR218)</f>
        <v/>
      </c>
      <c r="AT218" s="42">
        <f>MAX(0,MIN(AQ218+AR218-AS218,AP218))</f>
        <v/>
      </c>
      <c r="AU218" s="42">
        <f>ROUND(AQ218+AR218-AS218-AT218,2)</f>
        <v/>
      </c>
      <c r="AV218">
        <f>AP218-AT218</f>
        <v/>
      </c>
      <c r="AW218" s="42">
        <f>BA217</f>
        <v/>
      </c>
      <c r="AX218" s="42">
        <f>ROUND(AW218*AX$6/12,2)</f>
        <v/>
      </c>
      <c r="AY218" s="42">
        <f>MIN(AY$6,AW218+AX218)</f>
        <v/>
      </c>
      <c r="AZ218" s="42">
        <f>MAX(0,MIN(AW218+AX218-AY218,AV218))</f>
        <v/>
      </c>
      <c r="BA218" s="42">
        <f>ROUND(AW218+AX218-AY218-AZ218,2)</f>
        <v/>
      </c>
      <c r="BB218">
        <f>AV218-AZ218</f>
        <v/>
      </c>
      <c r="BC218" s="42">
        <f>BG217</f>
        <v/>
      </c>
      <c r="BD218" s="42">
        <f>ROUND(BC218*BD$6/12,2)</f>
        <v/>
      </c>
      <c r="BE218" s="42">
        <f>MIN(BE$6,BC218+BD218)</f>
        <v/>
      </c>
      <c r="BF218" s="42">
        <f>MAX(0,MIN(BC218+BD218-BE218,BB218))</f>
        <v/>
      </c>
      <c r="BG218" s="42">
        <f>ROUND(BC218+BD218-BE218-BF218,2)</f>
        <v/>
      </c>
      <c r="BH218">
        <f>BB218-BF218</f>
        <v/>
      </c>
      <c r="BI218" s="42">
        <f>BM217</f>
        <v/>
      </c>
      <c r="BJ218" s="42">
        <f>ROUND(BI218*BJ$6/12,2)</f>
        <v/>
      </c>
      <c r="BK218" s="42">
        <f>MIN(BK$6,BI218+BJ218)</f>
        <v/>
      </c>
      <c r="BL218" s="42">
        <f>MAX(0,MIN(BI218+BJ218-BK218,BH218))</f>
        <v/>
      </c>
      <c r="BM218" s="42">
        <f>ROUND(BI218+BJ218-BK218-BL218,2)</f>
        <v/>
      </c>
      <c r="BN218">
        <f>BH218-BL218</f>
        <v/>
      </c>
    </row>
    <row r="219">
      <c r="A219" s="43" t="n">
        <v>212</v>
      </c>
      <c r="B219" s="44">
        <f>EDATE('My Debts'!$C$6,A219-1)</f>
        <v/>
      </c>
      <c r="C219" s="45">
        <f>K219+Q219+W219+AC219+AI219+AO219+AU219+BA219+BG219+BM219</f>
        <v/>
      </c>
      <c r="D219" s="46">
        <f>I219+O219+U219+AA219+AG219+AM219+AS219+AY219+BE219+BK219+J219+P219+V219+AB219+AH219+AN219+AT219+AZ219+BF219+BL219</f>
        <v/>
      </c>
      <c r="E219" s="46">
        <f>H219+N219+T219+Z219+AF219+AL219+AR219+AX219+BD219+BJ219</f>
        <v/>
      </c>
      <c r="F219">
        <f>MAX(0,'My Debts'!$E$21-(I219+O219+U219+AA219+AG219+AM219+AS219+AY219+BE219+BK219))</f>
        <v/>
      </c>
      <c r="G219" s="42">
        <f>K218</f>
        <v/>
      </c>
      <c r="H219" s="42">
        <f>ROUND(G219*H$6/12,2)</f>
        <v/>
      </c>
      <c r="I219" s="42">
        <f>MIN(I$6,G219+H219)</f>
        <v/>
      </c>
      <c r="J219" s="42">
        <f>MAX(0,MIN(G219+H219-I219,$F219))</f>
        <v/>
      </c>
      <c r="K219" s="42">
        <f>ROUND(G219+H219-I219-J219,2)</f>
        <v/>
      </c>
      <c r="L219">
        <f>$F219-J219</f>
        <v/>
      </c>
      <c r="M219" s="42">
        <f>Q218</f>
        <v/>
      </c>
      <c r="N219" s="42">
        <f>ROUND(M219*N$6/12,2)</f>
        <v/>
      </c>
      <c r="O219" s="42">
        <f>MIN(O$6,M219+N219)</f>
        <v/>
      </c>
      <c r="P219" s="42">
        <f>MAX(0,MIN(M219+N219-O219,L219))</f>
        <v/>
      </c>
      <c r="Q219" s="42">
        <f>ROUND(M219+N219-O219-P219,2)</f>
        <v/>
      </c>
      <c r="R219">
        <f>L219-P219</f>
        <v/>
      </c>
      <c r="S219" s="42">
        <f>W218</f>
        <v/>
      </c>
      <c r="T219" s="42">
        <f>ROUND(S219*T$6/12,2)</f>
        <v/>
      </c>
      <c r="U219" s="42">
        <f>MIN(U$6,S219+T219)</f>
        <v/>
      </c>
      <c r="V219" s="42">
        <f>MAX(0,MIN(S219+T219-U219,R219))</f>
        <v/>
      </c>
      <c r="W219" s="42">
        <f>ROUND(S219+T219-U219-V219,2)</f>
        <v/>
      </c>
      <c r="X219">
        <f>R219-V219</f>
        <v/>
      </c>
      <c r="Y219" s="42">
        <f>AC218</f>
        <v/>
      </c>
      <c r="Z219" s="42">
        <f>ROUND(Y219*Z$6/12,2)</f>
        <v/>
      </c>
      <c r="AA219" s="42">
        <f>MIN(AA$6,Y219+Z219)</f>
        <v/>
      </c>
      <c r="AB219" s="42">
        <f>MAX(0,MIN(Y219+Z219-AA219,X219))</f>
        <v/>
      </c>
      <c r="AC219" s="42">
        <f>ROUND(Y219+Z219-AA219-AB219,2)</f>
        <v/>
      </c>
      <c r="AD219">
        <f>X219-AB219</f>
        <v/>
      </c>
      <c r="AE219" s="42">
        <f>AI218</f>
        <v/>
      </c>
      <c r="AF219" s="42">
        <f>ROUND(AE219*AF$6/12,2)</f>
        <v/>
      </c>
      <c r="AG219" s="42">
        <f>MIN(AG$6,AE219+AF219)</f>
        <v/>
      </c>
      <c r="AH219" s="42">
        <f>MAX(0,MIN(AE219+AF219-AG219,AD219))</f>
        <v/>
      </c>
      <c r="AI219" s="42">
        <f>ROUND(AE219+AF219-AG219-AH219,2)</f>
        <v/>
      </c>
      <c r="AJ219">
        <f>AD219-AH219</f>
        <v/>
      </c>
      <c r="AK219" s="42">
        <f>AO218</f>
        <v/>
      </c>
      <c r="AL219" s="42">
        <f>ROUND(AK219*AL$6/12,2)</f>
        <v/>
      </c>
      <c r="AM219" s="42">
        <f>MIN(AM$6,AK219+AL219)</f>
        <v/>
      </c>
      <c r="AN219" s="42">
        <f>MAX(0,MIN(AK219+AL219-AM219,AJ219))</f>
        <v/>
      </c>
      <c r="AO219" s="42">
        <f>ROUND(AK219+AL219-AM219-AN219,2)</f>
        <v/>
      </c>
      <c r="AP219">
        <f>AJ219-AN219</f>
        <v/>
      </c>
      <c r="AQ219" s="42">
        <f>AU218</f>
        <v/>
      </c>
      <c r="AR219" s="42">
        <f>ROUND(AQ219*AR$6/12,2)</f>
        <v/>
      </c>
      <c r="AS219" s="42">
        <f>MIN(AS$6,AQ219+AR219)</f>
        <v/>
      </c>
      <c r="AT219" s="42">
        <f>MAX(0,MIN(AQ219+AR219-AS219,AP219))</f>
        <v/>
      </c>
      <c r="AU219" s="42">
        <f>ROUND(AQ219+AR219-AS219-AT219,2)</f>
        <v/>
      </c>
      <c r="AV219">
        <f>AP219-AT219</f>
        <v/>
      </c>
      <c r="AW219" s="42">
        <f>BA218</f>
        <v/>
      </c>
      <c r="AX219" s="42">
        <f>ROUND(AW219*AX$6/12,2)</f>
        <v/>
      </c>
      <c r="AY219" s="42">
        <f>MIN(AY$6,AW219+AX219)</f>
        <v/>
      </c>
      <c r="AZ219" s="42">
        <f>MAX(0,MIN(AW219+AX219-AY219,AV219))</f>
        <v/>
      </c>
      <c r="BA219" s="42">
        <f>ROUND(AW219+AX219-AY219-AZ219,2)</f>
        <v/>
      </c>
      <c r="BB219">
        <f>AV219-AZ219</f>
        <v/>
      </c>
      <c r="BC219" s="42">
        <f>BG218</f>
        <v/>
      </c>
      <c r="BD219" s="42">
        <f>ROUND(BC219*BD$6/12,2)</f>
        <v/>
      </c>
      <c r="BE219" s="42">
        <f>MIN(BE$6,BC219+BD219)</f>
        <v/>
      </c>
      <c r="BF219" s="42">
        <f>MAX(0,MIN(BC219+BD219-BE219,BB219))</f>
        <v/>
      </c>
      <c r="BG219" s="42">
        <f>ROUND(BC219+BD219-BE219-BF219,2)</f>
        <v/>
      </c>
      <c r="BH219">
        <f>BB219-BF219</f>
        <v/>
      </c>
      <c r="BI219" s="42">
        <f>BM218</f>
        <v/>
      </c>
      <c r="BJ219" s="42">
        <f>ROUND(BI219*BJ$6/12,2)</f>
        <v/>
      </c>
      <c r="BK219" s="42">
        <f>MIN(BK$6,BI219+BJ219)</f>
        <v/>
      </c>
      <c r="BL219" s="42">
        <f>MAX(0,MIN(BI219+BJ219-BK219,BH219))</f>
        <v/>
      </c>
      <c r="BM219" s="42">
        <f>ROUND(BI219+BJ219-BK219-BL219,2)</f>
        <v/>
      </c>
      <c r="BN219">
        <f>BH219-BL219</f>
        <v/>
      </c>
    </row>
    <row r="220">
      <c r="A220" s="39" t="n">
        <v>213</v>
      </c>
      <c r="B220" s="40">
        <f>EDATE('My Debts'!$C$6,A220-1)</f>
        <v/>
      </c>
      <c r="C220" s="41">
        <f>K220+Q220+W220+AC220+AI220+AO220+AU220+BA220+BG220+BM220</f>
        <v/>
      </c>
      <c r="D220" s="42">
        <f>I220+O220+U220+AA220+AG220+AM220+AS220+AY220+BE220+BK220+J220+P220+V220+AB220+AH220+AN220+AT220+AZ220+BF220+BL220</f>
        <v/>
      </c>
      <c r="E220" s="42">
        <f>H220+N220+T220+Z220+AF220+AL220+AR220+AX220+BD220+BJ220</f>
        <v/>
      </c>
      <c r="F220">
        <f>MAX(0,'My Debts'!$E$21-(I220+O220+U220+AA220+AG220+AM220+AS220+AY220+BE220+BK220))</f>
        <v/>
      </c>
      <c r="G220" s="42">
        <f>K219</f>
        <v/>
      </c>
      <c r="H220" s="42">
        <f>ROUND(G220*H$6/12,2)</f>
        <v/>
      </c>
      <c r="I220" s="42">
        <f>MIN(I$6,G220+H220)</f>
        <v/>
      </c>
      <c r="J220" s="42">
        <f>MAX(0,MIN(G220+H220-I220,$F220))</f>
        <v/>
      </c>
      <c r="K220" s="42">
        <f>ROUND(G220+H220-I220-J220,2)</f>
        <v/>
      </c>
      <c r="L220">
        <f>$F220-J220</f>
        <v/>
      </c>
      <c r="M220" s="42">
        <f>Q219</f>
        <v/>
      </c>
      <c r="N220" s="42">
        <f>ROUND(M220*N$6/12,2)</f>
        <v/>
      </c>
      <c r="O220" s="42">
        <f>MIN(O$6,M220+N220)</f>
        <v/>
      </c>
      <c r="P220" s="42">
        <f>MAX(0,MIN(M220+N220-O220,L220))</f>
        <v/>
      </c>
      <c r="Q220" s="42">
        <f>ROUND(M220+N220-O220-P220,2)</f>
        <v/>
      </c>
      <c r="R220">
        <f>L220-P220</f>
        <v/>
      </c>
      <c r="S220" s="42">
        <f>W219</f>
        <v/>
      </c>
      <c r="T220" s="42">
        <f>ROUND(S220*T$6/12,2)</f>
        <v/>
      </c>
      <c r="U220" s="42">
        <f>MIN(U$6,S220+T220)</f>
        <v/>
      </c>
      <c r="V220" s="42">
        <f>MAX(0,MIN(S220+T220-U220,R220))</f>
        <v/>
      </c>
      <c r="W220" s="42">
        <f>ROUND(S220+T220-U220-V220,2)</f>
        <v/>
      </c>
      <c r="X220">
        <f>R220-V220</f>
        <v/>
      </c>
      <c r="Y220" s="42">
        <f>AC219</f>
        <v/>
      </c>
      <c r="Z220" s="42">
        <f>ROUND(Y220*Z$6/12,2)</f>
        <v/>
      </c>
      <c r="AA220" s="42">
        <f>MIN(AA$6,Y220+Z220)</f>
        <v/>
      </c>
      <c r="AB220" s="42">
        <f>MAX(0,MIN(Y220+Z220-AA220,X220))</f>
        <v/>
      </c>
      <c r="AC220" s="42">
        <f>ROUND(Y220+Z220-AA220-AB220,2)</f>
        <v/>
      </c>
      <c r="AD220">
        <f>X220-AB220</f>
        <v/>
      </c>
      <c r="AE220" s="42">
        <f>AI219</f>
        <v/>
      </c>
      <c r="AF220" s="42">
        <f>ROUND(AE220*AF$6/12,2)</f>
        <v/>
      </c>
      <c r="AG220" s="42">
        <f>MIN(AG$6,AE220+AF220)</f>
        <v/>
      </c>
      <c r="AH220" s="42">
        <f>MAX(0,MIN(AE220+AF220-AG220,AD220))</f>
        <v/>
      </c>
      <c r="AI220" s="42">
        <f>ROUND(AE220+AF220-AG220-AH220,2)</f>
        <v/>
      </c>
      <c r="AJ220">
        <f>AD220-AH220</f>
        <v/>
      </c>
      <c r="AK220" s="42">
        <f>AO219</f>
        <v/>
      </c>
      <c r="AL220" s="42">
        <f>ROUND(AK220*AL$6/12,2)</f>
        <v/>
      </c>
      <c r="AM220" s="42">
        <f>MIN(AM$6,AK220+AL220)</f>
        <v/>
      </c>
      <c r="AN220" s="42">
        <f>MAX(0,MIN(AK220+AL220-AM220,AJ220))</f>
        <v/>
      </c>
      <c r="AO220" s="42">
        <f>ROUND(AK220+AL220-AM220-AN220,2)</f>
        <v/>
      </c>
      <c r="AP220">
        <f>AJ220-AN220</f>
        <v/>
      </c>
      <c r="AQ220" s="42">
        <f>AU219</f>
        <v/>
      </c>
      <c r="AR220" s="42">
        <f>ROUND(AQ220*AR$6/12,2)</f>
        <v/>
      </c>
      <c r="AS220" s="42">
        <f>MIN(AS$6,AQ220+AR220)</f>
        <v/>
      </c>
      <c r="AT220" s="42">
        <f>MAX(0,MIN(AQ220+AR220-AS220,AP220))</f>
        <v/>
      </c>
      <c r="AU220" s="42">
        <f>ROUND(AQ220+AR220-AS220-AT220,2)</f>
        <v/>
      </c>
      <c r="AV220">
        <f>AP220-AT220</f>
        <v/>
      </c>
      <c r="AW220" s="42">
        <f>BA219</f>
        <v/>
      </c>
      <c r="AX220" s="42">
        <f>ROUND(AW220*AX$6/12,2)</f>
        <v/>
      </c>
      <c r="AY220" s="42">
        <f>MIN(AY$6,AW220+AX220)</f>
        <v/>
      </c>
      <c r="AZ220" s="42">
        <f>MAX(0,MIN(AW220+AX220-AY220,AV220))</f>
        <v/>
      </c>
      <c r="BA220" s="42">
        <f>ROUND(AW220+AX220-AY220-AZ220,2)</f>
        <v/>
      </c>
      <c r="BB220">
        <f>AV220-AZ220</f>
        <v/>
      </c>
      <c r="BC220" s="42">
        <f>BG219</f>
        <v/>
      </c>
      <c r="BD220" s="42">
        <f>ROUND(BC220*BD$6/12,2)</f>
        <v/>
      </c>
      <c r="BE220" s="42">
        <f>MIN(BE$6,BC220+BD220)</f>
        <v/>
      </c>
      <c r="BF220" s="42">
        <f>MAX(0,MIN(BC220+BD220-BE220,BB220))</f>
        <v/>
      </c>
      <c r="BG220" s="42">
        <f>ROUND(BC220+BD220-BE220-BF220,2)</f>
        <v/>
      </c>
      <c r="BH220">
        <f>BB220-BF220</f>
        <v/>
      </c>
      <c r="BI220" s="42">
        <f>BM219</f>
        <v/>
      </c>
      <c r="BJ220" s="42">
        <f>ROUND(BI220*BJ$6/12,2)</f>
        <v/>
      </c>
      <c r="BK220" s="42">
        <f>MIN(BK$6,BI220+BJ220)</f>
        <v/>
      </c>
      <c r="BL220" s="42">
        <f>MAX(0,MIN(BI220+BJ220-BK220,BH220))</f>
        <v/>
      </c>
      <c r="BM220" s="42">
        <f>ROUND(BI220+BJ220-BK220-BL220,2)</f>
        <v/>
      </c>
      <c r="BN220">
        <f>BH220-BL220</f>
        <v/>
      </c>
    </row>
    <row r="221">
      <c r="A221" s="43" t="n">
        <v>214</v>
      </c>
      <c r="B221" s="44">
        <f>EDATE('My Debts'!$C$6,A221-1)</f>
        <v/>
      </c>
      <c r="C221" s="45">
        <f>K221+Q221+W221+AC221+AI221+AO221+AU221+BA221+BG221+BM221</f>
        <v/>
      </c>
      <c r="D221" s="46">
        <f>I221+O221+U221+AA221+AG221+AM221+AS221+AY221+BE221+BK221+J221+P221+V221+AB221+AH221+AN221+AT221+AZ221+BF221+BL221</f>
        <v/>
      </c>
      <c r="E221" s="46">
        <f>H221+N221+T221+Z221+AF221+AL221+AR221+AX221+BD221+BJ221</f>
        <v/>
      </c>
      <c r="F221">
        <f>MAX(0,'My Debts'!$E$21-(I221+O221+U221+AA221+AG221+AM221+AS221+AY221+BE221+BK221))</f>
        <v/>
      </c>
      <c r="G221" s="42">
        <f>K220</f>
        <v/>
      </c>
      <c r="H221" s="42">
        <f>ROUND(G221*H$6/12,2)</f>
        <v/>
      </c>
      <c r="I221" s="42">
        <f>MIN(I$6,G221+H221)</f>
        <v/>
      </c>
      <c r="J221" s="42">
        <f>MAX(0,MIN(G221+H221-I221,$F221))</f>
        <v/>
      </c>
      <c r="K221" s="42">
        <f>ROUND(G221+H221-I221-J221,2)</f>
        <v/>
      </c>
      <c r="L221">
        <f>$F221-J221</f>
        <v/>
      </c>
      <c r="M221" s="42">
        <f>Q220</f>
        <v/>
      </c>
      <c r="N221" s="42">
        <f>ROUND(M221*N$6/12,2)</f>
        <v/>
      </c>
      <c r="O221" s="42">
        <f>MIN(O$6,M221+N221)</f>
        <v/>
      </c>
      <c r="P221" s="42">
        <f>MAX(0,MIN(M221+N221-O221,L221))</f>
        <v/>
      </c>
      <c r="Q221" s="42">
        <f>ROUND(M221+N221-O221-P221,2)</f>
        <v/>
      </c>
      <c r="R221">
        <f>L221-P221</f>
        <v/>
      </c>
      <c r="S221" s="42">
        <f>W220</f>
        <v/>
      </c>
      <c r="T221" s="42">
        <f>ROUND(S221*T$6/12,2)</f>
        <v/>
      </c>
      <c r="U221" s="42">
        <f>MIN(U$6,S221+T221)</f>
        <v/>
      </c>
      <c r="V221" s="42">
        <f>MAX(0,MIN(S221+T221-U221,R221))</f>
        <v/>
      </c>
      <c r="W221" s="42">
        <f>ROUND(S221+T221-U221-V221,2)</f>
        <v/>
      </c>
      <c r="X221">
        <f>R221-V221</f>
        <v/>
      </c>
      <c r="Y221" s="42">
        <f>AC220</f>
        <v/>
      </c>
      <c r="Z221" s="42">
        <f>ROUND(Y221*Z$6/12,2)</f>
        <v/>
      </c>
      <c r="AA221" s="42">
        <f>MIN(AA$6,Y221+Z221)</f>
        <v/>
      </c>
      <c r="AB221" s="42">
        <f>MAX(0,MIN(Y221+Z221-AA221,X221))</f>
        <v/>
      </c>
      <c r="AC221" s="42">
        <f>ROUND(Y221+Z221-AA221-AB221,2)</f>
        <v/>
      </c>
      <c r="AD221">
        <f>X221-AB221</f>
        <v/>
      </c>
      <c r="AE221" s="42">
        <f>AI220</f>
        <v/>
      </c>
      <c r="AF221" s="42">
        <f>ROUND(AE221*AF$6/12,2)</f>
        <v/>
      </c>
      <c r="AG221" s="42">
        <f>MIN(AG$6,AE221+AF221)</f>
        <v/>
      </c>
      <c r="AH221" s="42">
        <f>MAX(0,MIN(AE221+AF221-AG221,AD221))</f>
        <v/>
      </c>
      <c r="AI221" s="42">
        <f>ROUND(AE221+AF221-AG221-AH221,2)</f>
        <v/>
      </c>
      <c r="AJ221">
        <f>AD221-AH221</f>
        <v/>
      </c>
      <c r="AK221" s="42">
        <f>AO220</f>
        <v/>
      </c>
      <c r="AL221" s="42">
        <f>ROUND(AK221*AL$6/12,2)</f>
        <v/>
      </c>
      <c r="AM221" s="42">
        <f>MIN(AM$6,AK221+AL221)</f>
        <v/>
      </c>
      <c r="AN221" s="42">
        <f>MAX(0,MIN(AK221+AL221-AM221,AJ221))</f>
        <v/>
      </c>
      <c r="AO221" s="42">
        <f>ROUND(AK221+AL221-AM221-AN221,2)</f>
        <v/>
      </c>
      <c r="AP221">
        <f>AJ221-AN221</f>
        <v/>
      </c>
      <c r="AQ221" s="42">
        <f>AU220</f>
        <v/>
      </c>
      <c r="AR221" s="42">
        <f>ROUND(AQ221*AR$6/12,2)</f>
        <v/>
      </c>
      <c r="AS221" s="42">
        <f>MIN(AS$6,AQ221+AR221)</f>
        <v/>
      </c>
      <c r="AT221" s="42">
        <f>MAX(0,MIN(AQ221+AR221-AS221,AP221))</f>
        <v/>
      </c>
      <c r="AU221" s="42">
        <f>ROUND(AQ221+AR221-AS221-AT221,2)</f>
        <v/>
      </c>
      <c r="AV221">
        <f>AP221-AT221</f>
        <v/>
      </c>
      <c r="AW221" s="42">
        <f>BA220</f>
        <v/>
      </c>
      <c r="AX221" s="42">
        <f>ROUND(AW221*AX$6/12,2)</f>
        <v/>
      </c>
      <c r="AY221" s="42">
        <f>MIN(AY$6,AW221+AX221)</f>
        <v/>
      </c>
      <c r="AZ221" s="42">
        <f>MAX(0,MIN(AW221+AX221-AY221,AV221))</f>
        <v/>
      </c>
      <c r="BA221" s="42">
        <f>ROUND(AW221+AX221-AY221-AZ221,2)</f>
        <v/>
      </c>
      <c r="BB221">
        <f>AV221-AZ221</f>
        <v/>
      </c>
      <c r="BC221" s="42">
        <f>BG220</f>
        <v/>
      </c>
      <c r="BD221" s="42">
        <f>ROUND(BC221*BD$6/12,2)</f>
        <v/>
      </c>
      <c r="BE221" s="42">
        <f>MIN(BE$6,BC221+BD221)</f>
        <v/>
      </c>
      <c r="BF221" s="42">
        <f>MAX(0,MIN(BC221+BD221-BE221,BB221))</f>
        <v/>
      </c>
      <c r="BG221" s="42">
        <f>ROUND(BC221+BD221-BE221-BF221,2)</f>
        <v/>
      </c>
      <c r="BH221">
        <f>BB221-BF221</f>
        <v/>
      </c>
      <c r="BI221" s="42">
        <f>BM220</f>
        <v/>
      </c>
      <c r="BJ221" s="42">
        <f>ROUND(BI221*BJ$6/12,2)</f>
        <v/>
      </c>
      <c r="BK221" s="42">
        <f>MIN(BK$6,BI221+BJ221)</f>
        <v/>
      </c>
      <c r="BL221" s="42">
        <f>MAX(0,MIN(BI221+BJ221-BK221,BH221))</f>
        <v/>
      </c>
      <c r="BM221" s="42">
        <f>ROUND(BI221+BJ221-BK221-BL221,2)</f>
        <v/>
      </c>
      <c r="BN221">
        <f>BH221-BL221</f>
        <v/>
      </c>
    </row>
    <row r="222">
      <c r="A222" s="39" t="n">
        <v>215</v>
      </c>
      <c r="B222" s="40">
        <f>EDATE('My Debts'!$C$6,A222-1)</f>
        <v/>
      </c>
      <c r="C222" s="41">
        <f>K222+Q222+W222+AC222+AI222+AO222+AU222+BA222+BG222+BM222</f>
        <v/>
      </c>
      <c r="D222" s="42">
        <f>I222+O222+U222+AA222+AG222+AM222+AS222+AY222+BE222+BK222+J222+P222+V222+AB222+AH222+AN222+AT222+AZ222+BF222+BL222</f>
        <v/>
      </c>
      <c r="E222" s="42">
        <f>H222+N222+T222+Z222+AF222+AL222+AR222+AX222+BD222+BJ222</f>
        <v/>
      </c>
      <c r="F222">
        <f>MAX(0,'My Debts'!$E$21-(I222+O222+U222+AA222+AG222+AM222+AS222+AY222+BE222+BK222))</f>
        <v/>
      </c>
      <c r="G222" s="42">
        <f>K221</f>
        <v/>
      </c>
      <c r="H222" s="42">
        <f>ROUND(G222*H$6/12,2)</f>
        <v/>
      </c>
      <c r="I222" s="42">
        <f>MIN(I$6,G222+H222)</f>
        <v/>
      </c>
      <c r="J222" s="42">
        <f>MAX(0,MIN(G222+H222-I222,$F222))</f>
        <v/>
      </c>
      <c r="K222" s="42">
        <f>ROUND(G222+H222-I222-J222,2)</f>
        <v/>
      </c>
      <c r="L222">
        <f>$F222-J222</f>
        <v/>
      </c>
      <c r="M222" s="42">
        <f>Q221</f>
        <v/>
      </c>
      <c r="N222" s="42">
        <f>ROUND(M222*N$6/12,2)</f>
        <v/>
      </c>
      <c r="O222" s="42">
        <f>MIN(O$6,M222+N222)</f>
        <v/>
      </c>
      <c r="P222" s="42">
        <f>MAX(0,MIN(M222+N222-O222,L222))</f>
        <v/>
      </c>
      <c r="Q222" s="42">
        <f>ROUND(M222+N222-O222-P222,2)</f>
        <v/>
      </c>
      <c r="R222">
        <f>L222-P222</f>
        <v/>
      </c>
      <c r="S222" s="42">
        <f>W221</f>
        <v/>
      </c>
      <c r="T222" s="42">
        <f>ROUND(S222*T$6/12,2)</f>
        <v/>
      </c>
      <c r="U222" s="42">
        <f>MIN(U$6,S222+T222)</f>
        <v/>
      </c>
      <c r="V222" s="42">
        <f>MAX(0,MIN(S222+T222-U222,R222))</f>
        <v/>
      </c>
      <c r="W222" s="42">
        <f>ROUND(S222+T222-U222-V222,2)</f>
        <v/>
      </c>
      <c r="X222">
        <f>R222-V222</f>
        <v/>
      </c>
      <c r="Y222" s="42">
        <f>AC221</f>
        <v/>
      </c>
      <c r="Z222" s="42">
        <f>ROUND(Y222*Z$6/12,2)</f>
        <v/>
      </c>
      <c r="AA222" s="42">
        <f>MIN(AA$6,Y222+Z222)</f>
        <v/>
      </c>
      <c r="AB222" s="42">
        <f>MAX(0,MIN(Y222+Z222-AA222,X222))</f>
        <v/>
      </c>
      <c r="AC222" s="42">
        <f>ROUND(Y222+Z222-AA222-AB222,2)</f>
        <v/>
      </c>
      <c r="AD222">
        <f>X222-AB222</f>
        <v/>
      </c>
      <c r="AE222" s="42">
        <f>AI221</f>
        <v/>
      </c>
      <c r="AF222" s="42">
        <f>ROUND(AE222*AF$6/12,2)</f>
        <v/>
      </c>
      <c r="AG222" s="42">
        <f>MIN(AG$6,AE222+AF222)</f>
        <v/>
      </c>
      <c r="AH222" s="42">
        <f>MAX(0,MIN(AE222+AF222-AG222,AD222))</f>
        <v/>
      </c>
      <c r="AI222" s="42">
        <f>ROUND(AE222+AF222-AG222-AH222,2)</f>
        <v/>
      </c>
      <c r="AJ222">
        <f>AD222-AH222</f>
        <v/>
      </c>
      <c r="AK222" s="42">
        <f>AO221</f>
        <v/>
      </c>
      <c r="AL222" s="42">
        <f>ROUND(AK222*AL$6/12,2)</f>
        <v/>
      </c>
      <c r="AM222" s="42">
        <f>MIN(AM$6,AK222+AL222)</f>
        <v/>
      </c>
      <c r="AN222" s="42">
        <f>MAX(0,MIN(AK222+AL222-AM222,AJ222))</f>
        <v/>
      </c>
      <c r="AO222" s="42">
        <f>ROUND(AK222+AL222-AM222-AN222,2)</f>
        <v/>
      </c>
      <c r="AP222">
        <f>AJ222-AN222</f>
        <v/>
      </c>
      <c r="AQ222" s="42">
        <f>AU221</f>
        <v/>
      </c>
      <c r="AR222" s="42">
        <f>ROUND(AQ222*AR$6/12,2)</f>
        <v/>
      </c>
      <c r="AS222" s="42">
        <f>MIN(AS$6,AQ222+AR222)</f>
        <v/>
      </c>
      <c r="AT222" s="42">
        <f>MAX(0,MIN(AQ222+AR222-AS222,AP222))</f>
        <v/>
      </c>
      <c r="AU222" s="42">
        <f>ROUND(AQ222+AR222-AS222-AT222,2)</f>
        <v/>
      </c>
      <c r="AV222">
        <f>AP222-AT222</f>
        <v/>
      </c>
      <c r="AW222" s="42">
        <f>BA221</f>
        <v/>
      </c>
      <c r="AX222" s="42">
        <f>ROUND(AW222*AX$6/12,2)</f>
        <v/>
      </c>
      <c r="AY222" s="42">
        <f>MIN(AY$6,AW222+AX222)</f>
        <v/>
      </c>
      <c r="AZ222" s="42">
        <f>MAX(0,MIN(AW222+AX222-AY222,AV222))</f>
        <v/>
      </c>
      <c r="BA222" s="42">
        <f>ROUND(AW222+AX222-AY222-AZ222,2)</f>
        <v/>
      </c>
      <c r="BB222">
        <f>AV222-AZ222</f>
        <v/>
      </c>
      <c r="BC222" s="42">
        <f>BG221</f>
        <v/>
      </c>
      <c r="BD222" s="42">
        <f>ROUND(BC222*BD$6/12,2)</f>
        <v/>
      </c>
      <c r="BE222" s="42">
        <f>MIN(BE$6,BC222+BD222)</f>
        <v/>
      </c>
      <c r="BF222" s="42">
        <f>MAX(0,MIN(BC222+BD222-BE222,BB222))</f>
        <v/>
      </c>
      <c r="BG222" s="42">
        <f>ROUND(BC222+BD222-BE222-BF222,2)</f>
        <v/>
      </c>
      <c r="BH222">
        <f>BB222-BF222</f>
        <v/>
      </c>
      <c r="BI222" s="42">
        <f>BM221</f>
        <v/>
      </c>
      <c r="BJ222" s="42">
        <f>ROUND(BI222*BJ$6/12,2)</f>
        <v/>
      </c>
      <c r="BK222" s="42">
        <f>MIN(BK$6,BI222+BJ222)</f>
        <v/>
      </c>
      <c r="BL222" s="42">
        <f>MAX(0,MIN(BI222+BJ222-BK222,BH222))</f>
        <v/>
      </c>
      <c r="BM222" s="42">
        <f>ROUND(BI222+BJ222-BK222-BL222,2)</f>
        <v/>
      </c>
      <c r="BN222">
        <f>BH222-BL222</f>
        <v/>
      </c>
    </row>
    <row r="223">
      <c r="A223" s="43" t="n">
        <v>216</v>
      </c>
      <c r="B223" s="44">
        <f>EDATE('My Debts'!$C$6,A223-1)</f>
        <v/>
      </c>
      <c r="C223" s="45">
        <f>K223+Q223+W223+AC223+AI223+AO223+AU223+BA223+BG223+BM223</f>
        <v/>
      </c>
      <c r="D223" s="46">
        <f>I223+O223+U223+AA223+AG223+AM223+AS223+AY223+BE223+BK223+J223+P223+V223+AB223+AH223+AN223+AT223+AZ223+BF223+BL223</f>
        <v/>
      </c>
      <c r="E223" s="46">
        <f>H223+N223+T223+Z223+AF223+AL223+AR223+AX223+BD223+BJ223</f>
        <v/>
      </c>
      <c r="F223">
        <f>MAX(0,'My Debts'!$E$21-(I223+O223+U223+AA223+AG223+AM223+AS223+AY223+BE223+BK223))</f>
        <v/>
      </c>
      <c r="G223" s="42">
        <f>K222</f>
        <v/>
      </c>
      <c r="H223" s="42">
        <f>ROUND(G223*H$6/12,2)</f>
        <v/>
      </c>
      <c r="I223" s="42">
        <f>MIN(I$6,G223+H223)</f>
        <v/>
      </c>
      <c r="J223" s="42">
        <f>MAX(0,MIN(G223+H223-I223,$F223))</f>
        <v/>
      </c>
      <c r="K223" s="42">
        <f>ROUND(G223+H223-I223-J223,2)</f>
        <v/>
      </c>
      <c r="L223">
        <f>$F223-J223</f>
        <v/>
      </c>
      <c r="M223" s="42">
        <f>Q222</f>
        <v/>
      </c>
      <c r="N223" s="42">
        <f>ROUND(M223*N$6/12,2)</f>
        <v/>
      </c>
      <c r="O223" s="42">
        <f>MIN(O$6,M223+N223)</f>
        <v/>
      </c>
      <c r="P223" s="42">
        <f>MAX(0,MIN(M223+N223-O223,L223))</f>
        <v/>
      </c>
      <c r="Q223" s="42">
        <f>ROUND(M223+N223-O223-P223,2)</f>
        <v/>
      </c>
      <c r="R223">
        <f>L223-P223</f>
        <v/>
      </c>
      <c r="S223" s="42">
        <f>W222</f>
        <v/>
      </c>
      <c r="T223" s="42">
        <f>ROUND(S223*T$6/12,2)</f>
        <v/>
      </c>
      <c r="U223" s="42">
        <f>MIN(U$6,S223+T223)</f>
        <v/>
      </c>
      <c r="V223" s="42">
        <f>MAX(0,MIN(S223+T223-U223,R223))</f>
        <v/>
      </c>
      <c r="W223" s="42">
        <f>ROUND(S223+T223-U223-V223,2)</f>
        <v/>
      </c>
      <c r="X223">
        <f>R223-V223</f>
        <v/>
      </c>
      <c r="Y223" s="42">
        <f>AC222</f>
        <v/>
      </c>
      <c r="Z223" s="42">
        <f>ROUND(Y223*Z$6/12,2)</f>
        <v/>
      </c>
      <c r="AA223" s="42">
        <f>MIN(AA$6,Y223+Z223)</f>
        <v/>
      </c>
      <c r="AB223" s="42">
        <f>MAX(0,MIN(Y223+Z223-AA223,X223))</f>
        <v/>
      </c>
      <c r="AC223" s="42">
        <f>ROUND(Y223+Z223-AA223-AB223,2)</f>
        <v/>
      </c>
      <c r="AD223">
        <f>X223-AB223</f>
        <v/>
      </c>
      <c r="AE223" s="42">
        <f>AI222</f>
        <v/>
      </c>
      <c r="AF223" s="42">
        <f>ROUND(AE223*AF$6/12,2)</f>
        <v/>
      </c>
      <c r="AG223" s="42">
        <f>MIN(AG$6,AE223+AF223)</f>
        <v/>
      </c>
      <c r="AH223" s="42">
        <f>MAX(0,MIN(AE223+AF223-AG223,AD223))</f>
        <v/>
      </c>
      <c r="AI223" s="42">
        <f>ROUND(AE223+AF223-AG223-AH223,2)</f>
        <v/>
      </c>
      <c r="AJ223">
        <f>AD223-AH223</f>
        <v/>
      </c>
      <c r="AK223" s="42">
        <f>AO222</f>
        <v/>
      </c>
      <c r="AL223" s="42">
        <f>ROUND(AK223*AL$6/12,2)</f>
        <v/>
      </c>
      <c r="AM223" s="42">
        <f>MIN(AM$6,AK223+AL223)</f>
        <v/>
      </c>
      <c r="AN223" s="42">
        <f>MAX(0,MIN(AK223+AL223-AM223,AJ223))</f>
        <v/>
      </c>
      <c r="AO223" s="42">
        <f>ROUND(AK223+AL223-AM223-AN223,2)</f>
        <v/>
      </c>
      <c r="AP223">
        <f>AJ223-AN223</f>
        <v/>
      </c>
      <c r="AQ223" s="42">
        <f>AU222</f>
        <v/>
      </c>
      <c r="AR223" s="42">
        <f>ROUND(AQ223*AR$6/12,2)</f>
        <v/>
      </c>
      <c r="AS223" s="42">
        <f>MIN(AS$6,AQ223+AR223)</f>
        <v/>
      </c>
      <c r="AT223" s="42">
        <f>MAX(0,MIN(AQ223+AR223-AS223,AP223))</f>
        <v/>
      </c>
      <c r="AU223" s="42">
        <f>ROUND(AQ223+AR223-AS223-AT223,2)</f>
        <v/>
      </c>
      <c r="AV223">
        <f>AP223-AT223</f>
        <v/>
      </c>
      <c r="AW223" s="42">
        <f>BA222</f>
        <v/>
      </c>
      <c r="AX223" s="42">
        <f>ROUND(AW223*AX$6/12,2)</f>
        <v/>
      </c>
      <c r="AY223" s="42">
        <f>MIN(AY$6,AW223+AX223)</f>
        <v/>
      </c>
      <c r="AZ223" s="42">
        <f>MAX(0,MIN(AW223+AX223-AY223,AV223))</f>
        <v/>
      </c>
      <c r="BA223" s="42">
        <f>ROUND(AW223+AX223-AY223-AZ223,2)</f>
        <v/>
      </c>
      <c r="BB223">
        <f>AV223-AZ223</f>
        <v/>
      </c>
      <c r="BC223" s="42">
        <f>BG222</f>
        <v/>
      </c>
      <c r="BD223" s="42">
        <f>ROUND(BC223*BD$6/12,2)</f>
        <v/>
      </c>
      <c r="BE223" s="42">
        <f>MIN(BE$6,BC223+BD223)</f>
        <v/>
      </c>
      <c r="BF223" s="42">
        <f>MAX(0,MIN(BC223+BD223-BE223,BB223))</f>
        <v/>
      </c>
      <c r="BG223" s="42">
        <f>ROUND(BC223+BD223-BE223-BF223,2)</f>
        <v/>
      </c>
      <c r="BH223">
        <f>BB223-BF223</f>
        <v/>
      </c>
      <c r="BI223" s="42">
        <f>BM222</f>
        <v/>
      </c>
      <c r="BJ223" s="42">
        <f>ROUND(BI223*BJ$6/12,2)</f>
        <v/>
      </c>
      <c r="BK223" s="42">
        <f>MIN(BK$6,BI223+BJ223)</f>
        <v/>
      </c>
      <c r="BL223" s="42">
        <f>MAX(0,MIN(BI223+BJ223-BK223,BH223))</f>
        <v/>
      </c>
      <c r="BM223" s="42">
        <f>ROUND(BI223+BJ223-BK223-BL223,2)</f>
        <v/>
      </c>
      <c r="BN223">
        <f>BH223-BL223</f>
        <v/>
      </c>
    </row>
    <row r="224">
      <c r="A224" s="39" t="n">
        <v>217</v>
      </c>
      <c r="B224" s="40">
        <f>EDATE('My Debts'!$C$6,A224-1)</f>
        <v/>
      </c>
      <c r="C224" s="41">
        <f>K224+Q224+W224+AC224+AI224+AO224+AU224+BA224+BG224+BM224</f>
        <v/>
      </c>
      <c r="D224" s="42">
        <f>I224+O224+U224+AA224+AG224+AM224+AS224+AY224+BE224+BK224+J224+P224+V224+AB224+AH224+AN224+AT224+AZ224+BF224+BL224</f>
        <v/>
      </c>
      <c r="E224" s="42">
        <f>H224+N224+T224+Z224+AF224+AL224+AR224+AX224+BD224+BJ224</f>
        <v/>
      </c>
      <c r="F224">
        <f>MAX(0,'My Debts'!$E$21-(I224+O224+U224+AA224+AG224+AM224+AS224+AY224+BE224+BK224))</f>
        <v/>
      </c>
      <c r="G224" s="42">
        <f>K223</f>
        <v/>
      </c>
      <c r="H224" s="42">
        <f>ROUND(G224*H$6/12,2)</f>
        <v/>
      </c>
      <c r="I224" s="42">
        <f>MIN(I$6,G224+H224)</f>
        <v/>
      </c>
      <c r="J224" s="42">
        <f>MAX(0,MIN(G224+H224-I224,$F224))</f>
        <v/>
      </c>
      <c r="K224" s="42">
        <f>ROUND(G224+H224-I224-J224,2)</f>
        <v/>
      </c>
      <c r="L224">
        <f>$F224-J224</f>
        <v/>
      </c>
      <c r="M224" s="42">
        <f>Q223</f>
        <v/>
      </c>
      <c r="N224" s="42">
        <f>ROUND(M224*N$6/12,2)</f>
        <v/>
      </c>
      <c r="O224" s="42">
        <f>MIN(O$6,M224+N224)</f>
        <v/>
      </c>
      <c r="P224" s="42">
        <f>MAX(0,MIN(M224+N224-O224,L224))</f>
        <v/>
      </c>
      <c r="Q224" s="42">
        <f>ROUND(M224+N224-O224-P224,2)</f>
        <v/>
      </c>
      <c r="R224">
        <f>L224-P224</f>
        <v/>
      </c>
      <c r="S224" s="42">
        <f>W223</f>
        <v/>
      </c>
      <c r="T224" s="42">
        <f>ROUND(S224*T$6/12,2)</f>
        <v/>
      </c>
      <c r="U224" s="42">
        <f>MIN(U$6,S224+T224)</f>
        <v/>
      </c>
      <c r="V224" s="42">
        <f>MAX(0,MIN(S224+T224-U224,R224))</f>
        <v/>
      </c>
      <c r="W224" s="42">
        <f>ROUND(S224+T224-U224-V224,2)</f>
        <v/>
      </c>
      <c r="X224">
        <f>R224-V224</f>
        <v/>
      </c>
      <c r="Y224" s="42">
        <f>AC223</f>
        <v/>
      </c>
      <c r="Z224" s="42">
        <f>ROUND(Y224*Z$6/12,2)</f>
        <v/>
      </c>
      <c r="AA224" s="42">
        <f>MIN(AA$6,Y224+Z224)</f>
        <v/>
      </c>
      <c r="AB224" s="42">
        <f>MAX(0,MIN(Y224+Z224-AA224,X224))</f>
        <v/>
      </c>
      <c r="AC224" s="42">
        <f>ROUND(Y224+Z224-AA224-AB224,2)</f>
        <v/>
      </c>
      <c r="AD224">
        <f>X224-AB224</f>
        <v/>
      </c>
      <c r="AE224" s="42">
        <f>AI223</f>
        <v/>
      </c>
      <c r="AF224" s="42">
        <f>ROUND(AE224*AF$6/12,2)</f>
        <v/>
      </c>
      <c r="AG224" s="42">
        <f>MIN(AG$6,AE224+AF224)</f>
        <v/>
      </c>
      <c r="AH224" s="42">
        <f>MAX(0,MIN(AE224+AF224-AG224,AD224))</f>
        <v/>
      </c>
      <c r="AI224" s="42">
        <f>ROUND(AE224+AF224-AG224-AH224,2)</f>
        <v/>
      </c>
      <c r="AJ224">
        <f>AD224-AH224</f>
        <v/>
      </c>
      <c r="AK224" s="42">
        <f>AO223</f>
        <v/>
      </c>
      <c r="AL224" s="42">
        <f>ROUND(AK224*AL$6/12,2)</f>
        <v/>
      </c>
      <c r="AM224" s="42">
        <f>MIN(AM$6,AK224+AL224)</f>
        <v/>
      </c>
      <c r="AN224" s="42">
        <f>MAX(0,MIN(AK224+AL224-AM224,AJ224))</f>
        <v/>
      </c>
      <c r="AO224" s="42">
        <f>ROUND(AK224+AL224-AM224-AN224,2)</f>
        <v/>
      </c>
      <c r="AP224">
        <f>AJ224-AN224</f>
        <v/>
      </c>
      <c r="AQ224" s="42">
        <f>AU223</f>
        <v/>
      </c>
      <c r="AR224" s="42">
        <f>ROUND(AQ224*AR$6/12,2)</f>
        <v/>
      </c>
      <c r="AS224" s="42">
        <f>MIN(AS$6,AQ224+AR224)</f>
        <v/>
      </c>
      <c r="AT224" s="42">
        <f>MAX(0,MIN(AQ224+AR224-AS224,AP224))</f>
        <v/>
      </c>
      <c r="AU224" s="42">
        <f>ROUND(AQ224+AR224-AS224-AT224,2)</f>
        <v/>
      </c>
      <c r="AV224">
        <f>AP224-AT224</f>
        <v/>
      </c>
      <c r="AW224" s="42">
        <f>BA223</f>
        <v/>
      </c>
      <c r="AX224" s="42">
        <f>ROUND(AW224*AX$6/12,2)</f>
        <v/>
      </c>
      <c r="AY224" s="42">
        <f>MIN(AY$6,AW224+AX224)</f>
        <v/>
      </c>
      <c r="AZ224" s="42">
        <f>MAX(0,MIN(AW224+AX224-AY224,AV224))</f>
        <v/>
      </c>
      <c r="BA224" s="42">
        <f>ROUND(AW224+AX224-AY224-AZ224,2)</f>
        <v/>
      </c>
      <c r="BB224">
        <f>AV224-AZ224</f>
        <v/>
      </c>
      <c r="BC224" s="42">
        <f>BG223</f>
        <v/>
      </c>
      <c r="BD224" s="42">
        <f>ROUND(BC224*BD$6/12,2)</f>
        <v/>
      </c>
      <c r="BE224" s="42">
        <f>MIN(BE$6,BC224+BD224)</f>
        <v/>
      </c>
      <c r="BF224" s="42">
        <f>MAX(0,MIN(BC224+BD224-BE224,BB224))</f>
        <v/>
      </c>
      <c r="BG224" s="42">
        <f>ROUND(BC224+BD224-BE224-BF224,2)</f>
        <v/>
      </c>
      <c r="BH224">
        <f>BB224-BF224</f>
        <v/>
      </c>
      <c r="BI224" s="42">
        <f>BM223</f>
        <v/>
      </c>
      <c r="BJ224" s="42">
        <f>ROUND(BI224*BJ$6/12,2)</f>
        <v/>
      </c>
      <c r="BK224" s="42">
        <f>MIN(BK$6,BI224+BJ224)</f>
        <v/>
      </c>
      <c r="BL224" s="42">
        <f>MAX(0,MIN(BI224+BJ224-BK224,BH224))</f>
        <v/>
      </c>
      <c r="BM224" s="42">
        <f>ROUND(BI224+BJ224-BK224-BL224,2)</f>
        <v/>
      </c>
      <c r="BN224">
        <f>BH224-BL224</f>
        <v/>
      </c>
    </row>
    <row r="225">
      <c r="A225" s="43" t="n">
        <v>218</v>
      </c>
      <c r="B225" s="44">
        <f>EDATE('My Debts'!$C$6,A225-1)</f>
        <v/>
      </c>
      <c r="C225" s="45">
        <f>K225+Q225+W225+AC225+AI225+AO225+AU225+BA225+BG225+BM225</f>
        <v/>
      </c>
      <c r="D225" s="46">
        <f>I225+O225+U225+AA225+AG225+AM225+AS225+AY225+BE225+BK225+J225+P225+V225+AB225+AH225+AN225+AT225+AZ225+BF225+BL225</f>
        <v/>
      </c>
      <c r="E225" s="46">
        <f>H225+N225+T225+Z225+AF225+AL225+AR225+AX225+BD225+BJ225</f>
        <v/>
      </c>
      <c r="F225">
        <f>MAX(0,'My Debts'!$E$21-(I225+O225+U225+AA225+AG225+AM225+AS225+AY225+BE225+BK225))</f>
        <v/>
      </c>
      <c r="G225" s="42">
        <f>K224</f>
        <v/>
      </c>
      <c r="H225" s="42">
        <f>ROUND(G225*H$6/12,2)</f>
        <v/>
      </c>
      <c r="I225" s="42">
        <f>MIN(I$6,G225+H225)</f>
        <v/>
      </c>
      <c r="J225" s="42">
        <f>MAX(0,MIN(G225+H225-I225,$F225))</f>
        <v/>
      </c>
      <c r="K225" s="42">
        <f>ROUND(G225+H225-I225-J225,2)</f>
        <v/>
      </c>
      <c r="L225">
        <f>$F225-J225</f>
        <v/>
      </c>
      <c r="M225" s="42">
        <f>Q224</f>
        <v/>
      </c>
      <c r="N225" s="42">
        <f>ROUND(M225*N$6/12,2)</f>
        <v/>
      </c>
      <c r="O225" s="42">
        <f>MIN(O$6,M225+N225)</f>
        <v/>
      </c>
      <c r="P225" s="42">
        <f>MAX(0,MIN(M225+N225-O225,L225))</f>
        <v/>
      </c>
      <c r="Q225" s="42">
        <f>ROUND(M225+N225-O225-P225,2)</f>
        <v/>
      </c>
      <c r="R225">
        <f>L225-P225</f>
        <v/>
      </c>
      <c r="S225" s="42">
        <f>W224</f>
        <v/>
      </c>
      <c r="T225" s="42">
        <f>ROUND(S225*T$6/12,2)</f>
        <v/>
      </c>
      <c r="U225" s="42">
        <f>MIN(U$6,S225+T225)</f>
        <v/>
      </c>
      <c r="V225" s="42">
        <f>MAX(0,MIN(S225+T225-U225,R225))</f>
        <v/>
      </c>
      <c r="W225" s="42">
        <f>ROUND(S225+T225-U225-V225,2)</f>
        <v/>
      </c>
      <c r="X225">
        <f>R225-V225</f>
        <v/>
      </c>
      <c r="Y225" s="42">
        <f>AC224</f>
        <v/>
      </c>
      <c r="Z225" s="42">
        <f>ROUND(Y225*Z$6/12,2)</f>
        <v/>
      </c>
      <c r="AA225" s="42">
        <f>MIN(AA$6,Y225+Z225)</f>
        <v/>
      </c>
      <c r="AB225" s="42">
        <f>MAX(0,MIN(Y225+Z225-AA225,X225))</f>
        <v/>
      </c>
      <c r="AC225" s="42">
        <f>ROUND(Y225+Z225-AA225-AB225,2)</f>
        <v/>
      </c>
      <c r="AD225">
        <f>X225-AB225</f>
        <v/>
      </c>
      <c r="AE225" s="42">
        <f>AI224</f>
        <v/>
      </c>
      <c r="AF225" s="42">
        <f>ROUND(AE225*AF$6/12,2)</f>
        <v/>
      </c>
      <c r="AG225" s="42">
        <f>MIN(AG$6,AE225+AF225)</f>
        <v/>
      </c>
      <c r="AH225" s="42">
        <f>MAX(0,MIN(AE225+AF225-AG225,AD225))</f>
        <v/>
      </c>
      <c r="AI225" s="42">
        <f>ROUND(AE225+AF225-AG225-AH225,2)</f>
        <v/>
      </c>
      <c r="AJ225">
        <f>AD225-AH225</f>
        <v/>
      </c>
      <c r="AK225" s="42">
        <f>AO224</f>
        <v/>
      </c>
      <c r="AL225" s="42">
        <f>ROUND(AK225*AL$6/12,2)</f>
        <v/>
      </c>
      <c r="AM225" s="42">
        <f>MIN(AM$6,AK225+AL225)</f>
        <v/>
      </c>
      <c r="AN225" s="42">
        <f>MAX(0,MIN(AK225+AL225-AM225,AJ225))</f>
        <v/>
      </c>
      <c r="AO225" s="42">
        <f>ROUND(AK225+AL225-AM225-AN225,2)</f>
        <v/>
      </c>
      <c r="AP225">
        <f>AJ225-AN225</f>
        <v/>
      </c>
      <c r="AQ225" s="42">
        <f>AU224</f>
        <v/>
      </c>
      <c r="AR225" s="42">
        <f>ROUND(AQ225*AR$6/12,2)</f>
        <v/>
      </c>
      <c r="AS225" s="42">
        <f>MIN(AS$6,AQ225+AR225)</f>
        <v/>
      </c>
      <c r="AT225" s="42">
        <f>MAX(0,MIN(AQ225+AR225-AS225,AP225))</f>
        <v/>
      </c>
      <c r="AU225" s="42">
        <f>ROUND(AQ225+AR225-AS225-AT225,2)</f>
        <v/>
      </c>
      <c r="AV225">
        <f>AP225-AT225</f>
        <v/>
      </c>
      <c r="AW225" s="42">
        <f>BA224</f>
        <v/>
      </c>
      <c r="AX225" s="42">
        <f>ROUND(AW225*AX$6/12,2)</f>
        <v/>
      </c>
      <c r="AY225" s="42">
        <f>MIN(AY$6,AW225+AX225)</f>
        <v/>
      </c>
      <c r="AZ225" s="42">
        <f>MAX(0,MIN(AW225+AX225-AY225,AV225))</f>
        <v/>
      </c>
      <c r="BA225" s="42">
        <f>ROUND(AW225+AX225-AY225-AZ225,2)</f>
        <v/>
      </c>
      <c r="BB225">
        <f>AV225-AZ225</f>
        <v/>
      </c>
      <c r="BC225" s="42">
        <f>BG224</f>
        <v/>
      </c>
      <c r="BD225" s="42">
        <f>ROUND(BC225*BD$6/12,2)</f>
        <v/>
      </c>
      <c r="BE225" s="42">
        <f>MIN(BE$6,BC225+BD225)</f>
        <v/>
      </c>
      <c r="BF225" s="42">
        <f>MAX(0,MIN(BC225+BD225-BE225,BB225))</f>
        <v/>
      </c>
      <c r="BG225" s="42">
        <f>ROUND(BC225+BD225-BE225-BF225,2)</f>
        <v/>
      </c>
      <c r="BH225">
        <f>BB225-BF225</f>
        <v/>
      </c>
      <c r="BI225" s="42">
        <f>BM224</f>
        <v/>
      </c>
      <c r="BJ225" s="42">
        <f>ROUND(BI225*BJ$6/12,2)</f>
        <v/>
      </c>
      <c r="BK225" s="42">
        <f>MIN(BK$6,BI225+BJ225)</f>
        <v/>
      </c>
      <c r="BL225" s="42">
        <f>MAX(0,MIN(BI225+BJ225-BK225,BH225))</f>
        <v/>
      </c>
      <c r="BM225" s="42">
        <f>ROUND(BI225+BJ225-BK225-BL225,2)</f>
        <v/>
      </c>
      <c r="BN225">
        <f>BH225-BL225</f>
        <v/>
      </c>
    </row>
    <row r="226">
      <c r="A226" s="39" t="n">
        <v>219</v>
      </c>
      <c r="B226" s="40">
        <f>EDATE('My Debts'!$C$6,A226-1)</f>
        <v/>
      </c>
      <c r="C226" s="41">
        <f>K226+Q226+W226+AC226+AI226+AO226+AU226+BA226+BG226+BM226</f>
        <v/>
      </c>
      <c r="D226" s="42">
        <f>I226+O226+U226+AA226+AG226+AM226+AS226+AY226+BE226+BK226+J226+P226+V226+AB226+AH226+AN226+AT226+AZ226+BF226+BL226</f>
        <v/>
      </c>
      <c r="E226" s="42">
        <f>H226+N226+T226+Z226+AF226+AL226+AR226+AX226+BD226+BJ226</f>
        <v/>
      </c>
      <c r="F226">
        <f>MAX(0,'My Debts'!$E$21-(I226+O226+U226+AA226+AG226+AM226+AS226+AY226+BE226+BK226))</f>
        <v/>
      </c>
      <c r="G226" s="42">
        <f>K225</f>
        <v/>
      </c>
      <c r="H226" s="42">
        <f>ROUND(G226*H$6/12,2)</f>
        <v/>
      </c>
      <c r="I226" s="42">
        <f>MIN(I$6,G226+H226)</f>
        <v/>
      </c>
      <c r="J226" s="42">
        <f>MAX(0,MIN(G226+H226-I226,$F226))</f>
        <v/>
      </c>
      <c r="K226" s="42">
        <f>ROUND(G226+H226-I226-J226,2)</f>
        <v/>
      </c>
      <c r="L226">
        <f>$F226-J226</f>
        <v/>
      </c>
      <c r="M226" s="42">
        <f>Q225</f>
        <v/>
      </c>
      <c r="N226" s="42">
        <f>ROUND(M226*N$6/12,2)</f>
        <v/>
      </c>
      <c r="O226" s="42">
        <f>MIN(O$6,M226+N226)</f>
        <v/>
      </c>
      <c r="P226" s="42">
        <f>MAX(0,MIN(M226+N226-O226,L226))</f>
        <v/>
      </c>
      <c r="Q226" s="42">
        <f>ROUND(M226+N226-O226-P226,2)</f>
        <v/>
      </c>
      <c r="R226">
        <f>L226-P226</f>
        <v/>
      </c>
      <c r="S226" s="42">
        <f>W225</f>
        <v/>
      </c>
      <c r="T226" s="42">
        <f>ROUND(S226*T$6/12,2)</f>
        <v/>
      </c>
      <c r="U226" s="42">
        <f>MIN(U$6,S226+T226)</f>
        <v/>
      </c>
      <c r="V226" s="42">
        <f>MAX(0,MIN(S226+T226-U226,R226))</f>
        <v/>
      </c>
      <c r="W226" s="42">
        <f>ROUND(S226+T226-U226-V226,2)</f>
        <v/>
      </c>
      <c r="X226">
        <f>R226-V226</f>
        <v/>
      </c>
      <c r="Y226" s="42">
        <f>AC225</f>
        <v/>
      </c>
      <c r="Z226" s="42">
        <f>ROUND(Y226*Z$6/12,2)</f>
        <v/>
      </c>
      <c r="AA226" s="42">
        <f>MIN(AA$6,Y226+Z226)</f>
        <v/>
      </c>
      <c r="AB226" s="42">
        <f>MAX(0,MIN(Y226+Z226-AA226,X226))</f>
        <v/>
      </c>
      <c r="AC226" s="42">
        <f>ROUND(Y226+Z226-AA226-AB226,2)</f>
        <v/>
      </c>
      <c r="AD226">
        <f>X226-AB226</f>
        <v/>
      </c>
      <c r="AE226" s="42">
        <f>AI225</f>
        <v/>
      </c>
      <c r="AF226" s="42">
        <f>ROUND(AE226*AF$6/12,2)</f>
        <v/>
      </c>
      <c r="AG226" s="42">
        <f>MIN(AG$6,AE226+AF226)</f>
        <v/>
      </c>
      <c r="AH226" s="42">
        <f>MAX(0,MIN(AE226+AF226-AG226,AD226))</f>
        <v/>
      </c>
      <c r="AI226" s="42">
        <f>ROUND(AE226+AF226-AG226-AH226,2)</f>
        <v/>
      </c>
      <c r="AJ226">
        <f>AD226-AH226</f>
        <v/>
      </c>
      <c r="AK226" s="42">
        <f>AO225</f>
        <v/>
      </c>
      <c r="AL226" s="42">
        <f>ROUND(AK226*AL$6/12,2)</f>
        <v/>
      </c>
      <c r="AM226" s="42">
        <f>MIN(AM$6,AK226+AL226)</f>
        <v/>
      </c>
      <c r="AN226" s="42">
        <f>MAX(0,MIN(AK226+AL226-AM226,AJ226))</f>
        <v/>
      </c>
      <c r="AO226" s="42">
        <f>ROUND(AK226+AL226-AM226-AN226,2)</f>
        <v/>
      </c>
      <c r="AP226">
        <f>AJ226-AN226</f>
        <v/>
      </c>
      <c r="AQ226" s="42">
        <f>AU225</f>
        <v/>
      </c>
      <c r="AR226" s="42">
        <f>ROUND(AQ226*AR$6/12,2)</f>
        <v/>
      </c>
      <c r="AS226" s="42">
        <f>MIN(AS$6,AQ226+AR226)</f>
        <v/>
      </c>
      <c r="AT226" s="42">
        <f>MAX(0,MIN(AQ226+AR226-AS226,AP226))</f>
        <v/>
      </c>
      <c r="AU226" s="42">
        <f>ROUND(AQ226+AR226-AS226-AT226,2)</f>
        <v/>
      </c>
      <c r="AV226">
        <f>AP226-AT226</f>
        <v/>
      </c>
      <c r="AW226" s="42">
        <f>BA225</f>
        <v/>
      </c>
      <c r="AX226" s="42">
        <f>ROUND(AW226*AX$6/12,2)</f>
        <v/>
      </c>
      <c r="AY226" s="42">
        <f>MIN(AY$6,AW226+AX226)</f>
        <v/>
      </c>
      <c r="AZ226" s="42">
        <f>MAX(0,MIN(AW226+AX226-AY226,AV226))</f>
        <v/>
      </c>
      <c r="BA226" s="42">
        <f>ROUND(AW226+AX226-AY226-AZ226,2)</f>
        <v/>
      </c>
      <c r="BB226">
        <f>AV226-AZ226</f>
        <v/>
      </c>
      <c r="BC226" s="42">
        <f>BG225</f>
        <v/>
      </c>
      <c r="BD226" s="42">
        <f>ROUND(BC226*BD$6/12,2)</f>
        <v/>
      </c>
      <c r="BE226" s="42">
        <f>MIN(BE$6,BC226+BD226)</f>
        <v/>
      </c>
      <c r="BF226" s="42">
        <f>MAX(0,MIN(BC226+BD226-BE226,BB226))</f>
        <v/>
      </c>
      <c r="BG226" s="42">
        <f>ROUND(BC226+BD226-BE226-BF226,2)</f>
        <v/>
      </c>
      <c r="BH226">
        <f>BB226-BF226</f>
        <v/>
      </c>
      <c r="BI226" s="42">
        <f>BM225</f>
        <v/>
      </c>
      <c r="BJ226" s="42">
        <f>ROUND(BI226*BJ$6/12,2)</f>
        <v/>
      </c>
      <c r="BK226" s="42">
        <f>MIN(BK$6,BI226+BJ226)</f>
        <v/>
      </c>
      <c r="BL226" s="42">
        <f>MAX(0,MIN(BI226+BJ226-BK226,BH226))</f>
        <v/>
      </c>
      <c r="BM226" s="42">
        <f>ROUND(BI226+BJ226-BK226-BL226,2)</f>
        <v/>
      </c>
      <c r="BN226">
        <f>BH226-BL226</f>
        <v/>
      </c>
    </row>
    <row r="227">
      <c r="A227" s="43" t="n">
        <v>220</v>
      </c>
      <c r="B227" s="44">
        <f>EDATE('My Debts'!$C$6,A227-1)</f>
        <v/>
      </c>
      <c r="C227" s="45">
        <f>K227+Q227+W227+AC227+AI227+AO227+AU227+BA227+BG227+BM227</f>
        <v/>
      </c>
      <c r="D227" s="46">
        <f>I227+O227+U227+AA227+AG227+AM227+AS227+AY227+BE227+BK227+J227+P227+V227+AB227+AH227+AN227+AT227+AZ227+BF227+BL227</f>
        <v/>
      </c>
      <c r="E227" s="46">
        <f>H227+N227+T227+Z227+AF227+AL227+AR227+AX227+BD227+BJ227</f>
        <v/>
      </c>
      <c r="F227">
        <f>MAX(0,'My Debts'!$E$21-(I227+O227+U227+AA227+AG227+AM227+AS227+AY227+BE227+BK227))</f>
        <v/>
      </c>
      <c r="G227" s="42">
        <f>K226</f>
        <v/>
      </c>
      <c r="H227" s="42">
        <f>ROUND(G227*H$6/12,2)</f>
        <v/>
      </c>
      <c r="I227" s="42">
        <f>MIN(I$6,G227+H227)</f>
        <v/>
      </c>
      <c r="J227" s="42">
        <f>MAX(0,MIN(G227+H227-I227,$F227))</f>
        <v/>
      </c>
      <c r="K227" s="42">
        <f>ROUND(G227+H227-I227-J227,2)</f>
        <v/>
      </c>
      <c r="L227">
        <f>$F227-J227</f>
        <v/>
      </c>
      <c r="M227" s="42">
        <f>Q226</f>
        <v/>
      </c>
      <c r="N227" s="42">
        <f>ROUND(M227*N$6/12,2)</f>
        <v/>
      </c>
      <c r="O227" s="42">
        <f>MIN(O$6,M227+N227)</f>
        <v/>
      </c>
      <c r="P227" s="42">
        <f>MAX(0,MIN(M227+N227-O227,L227))</f>
        <v/>
      </c>
      <c r="Q227" s="42">
        <f>ROUND(M227+N227-O227-P227,2)</f>
        <v/>
      </c>
      <c r="R227">
        <f>L227-P227</f>
        <v/>
      </c>
      <c r="S227" s="42">
        <f>W226</f>
        <v/>
      </c>
      <c r="T227" s="42">
        <f>ROUND(S227*T$6/12,2)</f>
        <v/>
      </c>
      <c r="U227" s="42">
        <f>MIN(U$6,S227+T227)</f>
        <v/>
      </c>
      <c r="V227" s="42">
        <f>MAX(0,MIN(S227+T227-U227,R227))</f>
        <v/>
      </c>
      <c r="W227" s="42">
        <f>ROUND(S227+T227-U227-V227,2)</f>
        <v/>
      </c>
      <c r="X227">
        <f>R227-V227</f>
        <v/>
      </c>
      <c r="Y227" s="42">
        <f>AC226</f>
        <v/>
      </c>
      <c r="Z227" s="42">
        <f>ROUND(Y227*Z$6/12,2)</f>
        <v/>
      </c>
      <c r="AA227" s="42">
        <f>MIN(AA$6,Y227+Z227)</f>
        <v/>
      </c>
      <c r="AB227" s="42">
        <f>MAX(0,MIN(Y227+Z227-AA227,X227))</f>
        <v/>
      </c>
      <c r="AC227" s="42">
        <f>ROUND(Y227+Z227-AA227-AB227,2)</f>
        <v/>
      </c>
      <c r="AD227">
        <f>X227-AB227</f>
        <v/>
      </c>
      <c r="AE227" s="42">
        <f>AI226</f>
        <v/>
      </c>
      <c r="AF227" s="42">
        <f>ROUND(AE227*AF$6/12,2)</f>
        <v/>
      </c>
      <c r="AG227" s="42">
        <f>MIN(AG$6,AE227+AF227)</f>
        <v/>
      </c>
      <c r="AH227" s="42">
        <f>MAX(0,MIN(AE227+AF227-AG227,AD227))</f>
        <v/>
      </c>
      <c r="AI227" s="42">
        <f>ROUND(AE227+AF227-AG227-AH227,2)</f>
        <v/>
      </c>
      <c r="AJ227">
        <f>AD227-AH227</f>
        <v/>
      </c>
      <c r="AK227" s="42">
        <f>AO226</f>
        <v/>
      </c>
      <c r="AL227" s="42">
        <f>ROUND(AK227*AL$6/12,2)</f>
        <v/>
      </c>
      <c r="AM227" s="42">
        <f>MIN(AM$6,AK227+AL227)</f>
        <v/>
      </c>
      <c r="AN227" s="42">
        <f>MAX(0,MIN(AK227+AL227-AM227,AJ227))</f>
        <v/>
      </c>
      <c r="AO227" s="42">
        <f>ROUND(AK227+AL227-AM227-AN227,2)</f>
        <v/>
      </c>
      <c r="AP227">
        <f>AJ227-AN227</f>
        <v/>
      </c>
      <c r="AQ227" s="42">
        <f>AU226</f>
        <v/>
      </c>
      <c r="AR227" s="42">
        <f>ROUND(AQ227*AR$6/12,2)</f>
        <v/>
      </c>
      <c r="AS227" s="42">
        <f>MIN(AS$6,AQ227+AR227)</f>
        <v/>
      </c>
      <c r="AT227" s="42">
        <f>MAX(0,MIN(AQ227+AR227-AS227,AP227))</f>
        <v/>
      </c>
      <c r="AU227" s="42">
        <f>ROUND(AQ227+AR227-AS227-AT227,2)</f>
        <v/>
      </c>
      <c r="AV227">
        <f>AP227-AT227</f>
        <v/>
      </c>
      <c r="AW227" s="42">
        <f>BA226</f>
        <v/>
      </c>
      <c r="AX227" s="42">
        <f>ROUND(AW227*AX$6/12,2)</f>
        <v/>
      </c>
      <c r="AY227" s="42">
        <f>MIN(AY$6,AW227+AX227)</f>
        <v/>
      </c>
      <c r="AZ227" s="42">
        <f>MAX(0,MIN(AW227+AX227-AY227,AV227))</f>
        <v/>
      </c>
      <c r="BA227" s="42">
        <f>ROUND(AW227+AX227-AY227-AZ227,2)</f>
        <v/>
      </c>
      <c r="BB227">
        <f>AV227-AZ227</f>
        <v/>
      </c>
      <c r="BC227" s="42">
        <f>BG226</f>
        <v/>
      </c>
      <c r="BD227" s="42">
        <f>ROUND(BC227*BD$6/12,2)</f>
        <v/>
      </c>
      <c r="BE227" s="42">
        <f>MIN(BE$6,BC227+BD227)</f>
        <v/>
      </c>
      <c r="BF227" s="42">
        <f>MAX(0,MIN(BC227+BD227-BE227,BB227))</f>
        <v/>
      </c>
      <c r="BG227" s="42">
        <f>ROUND(BC227+BD227-BE227-BF227,2)</f>
        <v/>
      </c>
      <c r="BH227">
        <f>BB227-BF227</f>
        <v/>
      </c>
      <c r="BI227" s="42">
        <f>BM226</f>
        <v/>
      </c>
      <c r="BJ227" s="42">
        <f>ROUND(BI227*BJ$6/12,2)</f>
        <v/>
      </c>
      <c r="BK227" s="42">
        <f>MIN(BK$6,BI227+BJ227)</f>
        <v/>
      </c>
      <c r="BL227" s="42">
        <f>MAX(0,MIN(BI227+BJ227-BK227,BH227))</f>
        <v/>
      </c>
      <c r="BM227" s="42">
        <f>ROUND(BI227+BJ227-BK227-BL227,2)</f>
        <v/>
      </c>
      <c r="BN227">
        <f>BH227-BL227</f>
        <v/>
      </c>
    </row>
    <row r="228">
      <c r="A228" s="39" t="n">
        <v>221</v>
      </c>
      <c r="B228" s="40">
        <f>EDATE('My Debts'!$C$6,A228-1)</f>
        <v/>
      </c>
      <c r="C228" s="41">
        <f>K228+Q228+W228+AC228+AI228+AO228+AU228+BA228+BG228+BM228</f>
        <v/>
      </c>
      <c r="D228" s="42">
        <f>I228+O228+U228+AA228+AG228+AM228+AS228+AY228+BE228+BK228+J228+P228+V228+AB228+AH228+AN228+AT228+AZ228+BF228+BL228</f>
        <v/>
      </c>
      <c r="E228" s="42">
        <f>H228+N228+T228+Z228+AF228+AL228+AR228+AX228+BD228+BJ228</f>
        <v/>
      </c>
      <c r="F228">
        <f>MAX(0,'My Debts'!$E$21-(I228+O228+U228+AA228+AG228+AM228+AS228+AY228+BE228+BK228))</f>
        <v/>
      </c>
      <c r="G228" s="42">
        <f>K227</f>
        <v/>
      </c>
      <c r="H228" s="42">
        <f>ROUND(G228*H$6/12,2)</f>
        <v/>
      </c>
      <c r="I228" s="42">
        <f>MIN(I$6,G228+H228)</f>
        <v/>
      </c>
      <c r="J228" s="42">
        <f>MAX(0,MIN(G228+H228-I228,$F228))</f>
        <v/>
      </c>
      <c r="K228" s="42">
        <f>ROUND(G228+H228-I228-J228,2)</f>
        <v/>
      </c>
      <c r="L228">
        <f>$F228-J228</f>
        <v/>
      </c>
      <c r="M228" s="42">
        <f>Q227</f>
        <v/>
      </c>
      <c r="N228" s="42">
        <f>ROUND(M228*N$6/12,2)</f>
        <v/>
      </c>
      <c r="O228" s="42">
        <f>MIN(O$6,M228+N228)</f>
        <v/>
      </c>
      <c r="P228" s="42">
        <f>MAX(0,MIN(M228+N228-O228,L228))</f>
        <v/>
      </c>
      <c r="Q228" s="42">
        <f>ROUND(M228+N228-O228-P228,2)</f>
        <v/>
      </c>
      <c r="R228">
        <f>L228-P228</f>
        <v/>
      </c>
      <c r="S228" s="42">
        <f>W227</f>
        <v/>
      </c>
      <c r="T228" s="42">
        <f>ROUND(S228*T$6/12,2)</f>
        <v/>
      </c>
      <c r="U228" s="42">
        <f>MIN(U$6,S228+T228)</f>
        <v/>
      </c>
      <c r="V228" s="42">
        <f>MAX(0,MIN(S228+T228-U228,R228))</f>
        <v/>
      </c>
      <c r="W228" s="42">
        <f>ROUND(S228+T228-U228-V228,2)</f>
        <v/>
      </c>
      <c r="X228">
        <f>R228-V228</f>
        <v/>
      </c>
      <c r="Y228" s="42">
        <f>AC227</f>
        <v/>
      </c>
      <c r="Z228" s="42">
        <f>ROUND(Y228*Z$6/12,2)</f>
        <v/>
      </c>
      <c r="AA228" s="42">
        <f>MIN(AA$6,Y228+Z228)</f>
        <v/>
      </c>
      <c r="AB228" s="42">
        <f>MAX(0,MIN(Y228+Z228-AA228,X228))</f>
        <v/>
      </c>
      <c r="AC228" s="42">
        <f>ROUND(Y228+Z228-AA228-AB228,2)</f>
        <v/>
      </c>
      <c r="AD228">
        <f>X228-AB228</f>
        <v/>
      </c>
      <c r="AE228" s="42">
        <f>AI227</f>
        <v/>
      </c>
      <c r="AF228" s="42">
        <f>ROUND(AE228*AF$6/12,2)</f>
        <v/>
      </c>
      <c r="AG228" s="42">
        <f>MIN(AG$6,AE228+AF228)</f>
        <v/>
      </c>
      <c r="AH228" s="42">
        <f>MAX(0,MIN(AE228+AF228-AG228,AD228))</f>
        <v/>
      </c>
      <c r="AI228" s="42">
        <f>ROUND(AE228+AF228-AG228-AH228,2)</f>
        <v/>
      </c>
      <c r="AJ228">
        <f>AD228-AH228</f>
        <v/>
      </c>
      <c r="AK228" s="42">
        <f>AO227</f>
        <v/>
      </c>
      <c r="AL228" s="42">
        <f>ROUND(AK228*AL$6/12,2)</f>
        <v/>
      </c>
      <c r="AM228" s="42">
        <f>MIN(AM$6,AK228+AL228)</f>
        <v/>
      </c>
      <c r="AN228" s="42">
        <f>MAX(0,MIN(AK228+AL228-AM228,AJ228))</f>
        <v/>
      </c>
      <c r="AO228" s="42">
        <f>ROUND(AK228+AL228-AM228-AN228,2)</f>
        <v/>
      </c>
      <c r="AP228">
        <f>AJ228-AN228</f>
        <v/>
      </c>
      <c r="AQ228" s="42">
        <f>AU227</f>
        <v/>
      </c>
      <c r="AR228" s="42">
        <f>ROUND(AQ228*AR$6/12,2)</f>
        <v/>
      </c>
      <c r="AS228" s="42">
        <f>MIN(AS$6,AQ228+AR228)</f>
        <v/>
      </c>
      <c r="AT228" s="42">
        <f>MAX(0,MIN(AQ228+AR228-AS228,AP228))</f>
        <v/>
      </c>
      <c r="AU228" s="42">
        <f>ROUND(AQ228+AR228-AS228-AT228,2)</f>
        <v/>
      </c>
      <c r="AV228">
        <f>AP228-AT228</f>
        <v/>
      </c>
      <c r="AW228" s="42">
        <f>BA227</f>
        <v/>
      </c>
      <c r="AX228" s="42">
        <f>ROUND(AW228*AX$6/12,2)</f>
        <v/>
      </c>
      <c r="AY228" s="42">
        <f>MIN(AY$6,AW228+AX228)</f>
        <v/>
      </c>
      <c r="AZ228" s="42">
        <f>MAX(0,MIN(AW228+AX228-AY228,AV228))</f>
        <v/>
      </c>
      <c r="BA228" s="42">
        <f>ROUND(AW228+AX228-AY228-AZ228,2)</f>
        <v/>
      </c>
      <c r="BB228">
        <f>AV228-AZ228</f>
        <v/>
      </c>
      <c r="BC228" s="42">
        <f>BG227</f>
        <v/>
      </c>
      <c r="BD228" s="42">
        <f>ROUND(BC228*BD$6/12,2)</f>
        <v/>
      </c>
      <c r="BE228" s="42">
        <f>MIN(BE$6,BC228+BD228)</f>
        <v/>
      </c>
      <c r="BF228" s="42">
        <f>MAX(0,MIN(BC228+BD228-BE228,BB228))</f>
        <v/>
      </c>
      <c r="BG228" s="42">
        <f>ROUND(BC228+BD228-BE228-BF228,2)</f>
        <v/>
      </c>
      <c r="BH228">
        <f>BB228-BF228</f>
        <v/>
      </c>
      <c r="BI228" s="42">
        <f>BM227</f>
        <v/>
      </c>
      <c r="BJ228" s="42">
        <f>ROUND(BI228*BJ$6/12,2)</f>
        <v/>
      </c>
      <c r="BK228" s="42">
        <f>MIN(BK$6,BI228+BJ228)</f>
        <v/>
      </c>
      <c r="BL228" s="42">
        <f>MAX(0,MIN(BI228+BJ228-BK228,BH228))</f>
        <v/>
      </c>
      <c r="BM228" s="42">
        <f>ROUND(BI228+BJ228-BK228-BL228,2)</f>
        <v/>
      </c>
      <c r="BN228">
        <f>BH228-BL228</f>
        <v/>
      </c>
    </row>
    <row r="229">
      <c r="A229" s="43" t="n">
        <v>222</v>
      </c>
      <c r="B229" s="44">
        <f>EDATE('My Debts'!$C$6,A229-1)</f>
        <v/>
      </c>
      <c r="C229" s="45">
        <f>K229+Q229+W229+AC229+AI229+AO229+AU229+BA229+BG229+BM229</f>
        <v/>
      </c>
      <c r="D229" s="46">
        <f>I229+O229+U229+AA229+AG229+AM229+AS229+AY229+BE229+BK229+J229+P229+V229+AB229+AH229+AN229+AT229+AZ229+BF229+BL229</f>
        <v/>
      </c>
      <c r="E229" s="46">
        <f>H229+N229+T229+Z229+AF229+AL229+AR229+AX229+BD229+BJ229</f>
        <v/>
      </c>
      <c r="F229">
        <f>MAX(0,'My Debts'!$E$21-(I229+O229+U229+AA229+AG229+AM229+AS229+AY229+BE229+BK229))</f>
        <v/>
      </c>
      <c r="G229" s="42">
        <f>K228</f>
        <v/>
      </c>
      <c r="H229" s="42">
        <f>ROUND(G229*H$6/12,2)</f>
        <v/>
      </c>
      <c r="I229" s="42">
        <f>MIN(I$6,G229+H229)</f>
        <v/>
      </c>
      <c r="J229" s="42">
        <f>MAX(0,MIN(G229+H229-I229,$F229))</f>
        <v/>
      </c>
      <c r="K229" s="42">
        <f>ROUND(G229+H229-I229-J229,2)</f>
        <v/>
      </c>
      <c r="L229">
        <f>$F229-J229</f>
        <v/>
      </c>
      <c r="M229" s="42">
        <f>Q228</f>
        <v/>
      </c>
      <c r="N229" s="42">
        <f>ROUND(M229*N$6/12,2)</f>
        <v/>
      </c>
      <c r="O229" s="42">
        <f>MIN(O$6,M229+N229)</f>
        <v/>
      </c>
      <c r="P229" s="42">
        <f>MAX(0,MIN(M229+N229-O229,L229))</f>
        <v/>
      </c>
      <c r="Q229" s="42">
        <f>ROUND(M229+N229-O229-P229,2)</f>
        <v/>
      </c>
      <c r="R229">
        <f>L229-P229</f>
        <v/>
      </c>
      <c r="S229" s="42">
        <f>W228</f>
        <v/>
      </c>
      <c r="T229" s="42">
        <f>ROUND(S229*T$6/12,2)</f>
        <v/>
      </c>
      <c r="U229" s="42">
        <f>MIN(U$6,S229+T229)</f>
        <v/>
      </c>
      <c r="V229" s="42">
        <f>MAX(0,MIN(S229+T229-U229,R229))</f>
        <v/>
      </c>
      <c r="W229" s="42">
        <f>ROUND(S229+T229-U229-V229,2)</f>
        <v/>
      </c>
      <c r="X229">
        <f>R229-V229</f>
        <v/>
      </c>
      <c r="Y229" s="42">
        <f>AC228</f>
        <v/>
      </c>
      <c r="Z229" s="42">
        <f>ROUND(Y229*Z$6/12,2)</f>
        <v/>
      </c>
      <c r="AA229" s="42">
        <f>MIN(AA$6,Y229+Z229)</f>
        <v/>
      </c>
      <c r="AB229" s="42">
        <f>MAX(0,MIN(Y229+Z229-AA229,X229))</f>
        <v/>
      </c>
      <c r="AC229" s="42">
        <f>ROUND(Y229+Z229-AA229-AB229,2)</f>
        <v/>
      </c>
      <c r="AD229">
        <f>X229-AB229</f>
        <v/>
      </c>
      <c r="AE229" s="42">
        <f>AI228</f>
        <v/>
      </c>
      <c r="AF229" s="42">
        <f>ROUND(AE229*AF$6/12,2)</f>
        <v/>
      </c>
      <c r="AG229" s="42">
        <f>MIN(AG$6,AE229+AF229)</f>
        <v/>
      </c>
      <c r="AH229" s="42">
        <f>MAX(0,MIN(AE229+AF229-AG229,AD229))</f>
        <v/>
      </c>
      <c r="AI229" s="42">
        <f>ROUND(AE229+AF229-AG229-AH229,2)</f>
        <v/>
      </c>
      <c r="AJ229">
        <f>AD229-AH229</f>
        <v/>
      </c>
      <c r="AK229" s="42">
        <f>AO228</f>
        <v/>
      </c>
      <c r="AL229" s="42">
        <f>ROUND(AK229*AL$6/12,2)</f>
        <v/>
      </c>
      <c r="AM229" s="42">
        <f>MIN(AM$6,AK229+AL229)</f>
        <v/>
      </c>
      <c r="AN229" s="42">
        <f>MAX(0,MIN(AK229+AL229-AM229,AJ229))</f>
        <v/>
      </c>
      <c r="AO229" s="42">
        <f>ROUND(AK229+AL229-AM229-AN229,2)</f>
        <v/>
      </c>
      <c r="AP229">
        <f>AJ229-AN229</f>
        <v/>
      </c>
      <c r="AQ229" s="42">
        <f>AU228</f>
        <v/>
      </c>
      <c r="AR229" s="42">
        <f>ROUND(AQ229*AR$6/12,2)</f>
        <v/>
      </c>
      <c r="AS229" s="42">
        <f>MIN(AS$6,AQ229+AR229)</f>
        <v/>
      </c>
      <c r="AT229" s="42">
        <f>MAX(0,MIN(AQ229+AR229-AS229,AP229))</f>
        <v/>
      </c>
      <c r="AU229" s="42">
        <f>ROUND(AQ229+AR229-AS229-AT229,2)</f>
        <v/>
      </c>
      <c r="AV229">
        <f>AP229-AT229</f>
        <v/>
      </c>
      <c r="AW229" s="42">
        <f>BA228</f>
        <v/>
      </c>
      <c r="AX229" s="42">
        <f>ROUND(AW229*AX$6/12,2)</f>
        <v/>
      </c>
      <c r="AY229" s="42">
        <f>MIN(AY$6,AW229+AX229)</f>
        <v/>
      </c>
      <c r="AZ229" s="42">
        <f>MAX(0,MIN(AW229+AX229-AY229,AV229))</f>
        <v/>
      </c>
      <c r="BA229" s="42">
        <f>ROUND(AW229+AX229-AY229-AZ229,2)</f>
        <v/>
      </c>
      <c r="BB229">
        <f>AV229-AZ229</f>
        <v/>
      </c>
      <c r="BC229" s="42">
        <f>BG228</f>
        <v/>
      </c>
      <c r="BD229" s="42">
        <f>ROUND(BC229*BD$6/12,2)</f>
        <v/>
      </c>
      <c r="BE229" s="42">
        <f>MIN(BE$6,BC229+BD229)</f>
        <v/>
      </c>
      <c r="BF229" s="42">
        <f>MAX(0,MIN(BC229+BD229-BE229,BB229))</f>
        <v/>
      </c>
      <c r="BG229" s="42">
        <f>ROUND(BC229+BD229-BE229-BF229,2)</f>
        <v/>
      </c>
      <c r="BH229">
        <f>BB229-BF229</f>
        <v/>
      </c>
      <c r="BI229" s="42">
        <f>BM228</f>
        <v/>
      </c>
      <c r="BJ229" s="42">
        <f>ROUND(BI229*BJ$6/12,2)</f>
        <v/>
      </c>
      <c r="BK229" s="42">
        <f>MIN(BK$6,BI229+BJ229)</f>
        <v/>
      </c>
      <c r="BL229" s="42">
        <f>MAX(0,MIN(BI229+BJ229-BK229,BH229))</f>
        <v/>
      </c>
      <c r="BM229" s="42">
        <f>ROUND(BI229+BJ229-BK229-BL229,2)</f>
        <v/>
      </c>
      <c r="BN229">
        <f>BH229-BL229</f>
        <v/>
      </c>
    </row>
    <row r="230">
      <c r="A230" s="39" t="n">
        <v>223</v>
      </c>
      <c r="B230" s="40">
        <f>EDATE('My Debts'!$C$6,A230-1)</f>
        <v/>
      </c>
      <c r="C230" s="41">
        <f>K230+Q230+W230+AC230+AI230+AO230+AU230+BA230+BG230+BM230</f>
        <v/>
      </c>
      <c r="D230" s="42">
        <f>I230+O230+U230+AA230+AG230+AM230+AS230+AY230+BE230+BK230+J230+P230+V230+AB230+AH230+AN230+AT230+AZ230+BF230+BL230</f>
        <v/>
      </c>
      <c r="E230" s="42">
        <f>H230+N230+T230+Z230+AF230+AL230+AR230+AX230+BD230+BJ230</f>
        <v/>
      </c>
      <c r="F230">
        <f>MAX(0,'My Debts'!$E$21-(I230+O230+U230+AA230+AG230+AM230+AS230+AY230+BE230+BK230))</f>
        <v/>
      </c>
      <c r="G230" s="42">
        <f>K229</f>
        <v/>
      </c>
      <c r="H230" s="42">
        <f>ROUND(G230*H$6/12,2)</f>
        <v/>
      </c>
      <c r="I230" s="42">
        <f>MIN(I$6,G230+H230)</f>
        <v/>
      </c>
      <c r="J230" s="42">
        <f>MAX(0,MIN(G230+H230-I230,$F230))</f>
        <v/>
      </c>
      <c r="K230" s="42">
        <f>ROUND(G230+H230-I230-J230,2)</f>
        <v/>
      </c>
      <c r="L230">
        <f>$F230-J230</f>
        <v/>
      </c>
      <c r="M230" s="42">
        <f>Q229</f>
        <v/>
      </c>
      <c r="N230" s="42">
        <f>ROUND(M230*N$6/12,2)</f>
        <v/>
      </c>
      <c r="O230" s="42">
        <f>MIN(O$6,M230+N230)</f>
        <v/>
      </c>
      <c r="P230" s="42">
        <f>MAX(0,MIN(M230+N230-O230,L230))</f>
        <v/>
      </c>
      <c r="Q230" s="42">
        <f>ROUND(M230+N230-O230-P230,2)</f>
        <v/>
      </c>
      <c r="R230">
        <f>L230-P230</f>
        <v/>
      </c>
      <c r="S230" s="42">
        <f>W229</f>
        <v/>
      </c>
      <c r="T230" s="42">
        <f>ROUND(S230*T$6/12,2)</f>
        <v/>
      </c>
      <c r="U230" s="42">
        <f>MIN(U$6,S230+T230)</f>
        <v/>
      </c>
      <c r="V230" s="42">
        <f>MAX(0,MIN(S230+T230-U230,R230))</f>
        <v/>
      </c>
      <c r="W230" s="42">
        <f>ROUND(S230+T230-U230-V230,2)</f>
        <v/>
      </c>
      <c r="X230">
        <f>R230-V230</f>
        <v/>
      </c>
      <c r="Y230" s="42">
        <f>AC229</f>
        <v/>
      </c>
      <c r="Z230" s="42">
        <f>ROUND(Y230*Z$6/12,2)</f>
        <v/>
      </c>
      <c r="AA230" s="42">
        <f>MIN(AA$6,Y230+Z230)</f>
        <v/>
      </c>
      <c r="AB230" s="42">
        <f>MAX(0,MIN(Y230+Z230-AA230,X230))</f>
        <v/>
      </c>
      <c r="AC230" s="42">
        <f>ROUND(Y230+Z230-AA230-AB230,2)</f>
        <v/>
      </c>
      <c r="AD230">
        <f>X230-AB230</f>
        <v/>
      </c>
      <c r="AE230" s="42">
        <f>AI229</f>
        <v/>
      </c>
      <c r="AF230" s="42">
        <f>ROUND(AE230*AF$6/12,2)</f>
        <v/>
      </c>
      <c r="AG230" s="42">
        <f>MIN(AG$6,AE230+AF230)</f>
        <v/>
      </c>
      <c r="AH230" s="42">
        <f>MAX(0,MIN(AE230+AF230-AG230,AD230))</f>
        <v/>
      </c>
      <c r="AI230" s="42">
        <f>ROUND(AE230+AF230-AG230-AH230,2)</f>
        <v/>
      </c>
      <c r="AJ230">
        <f>AD230-AH230</f>
        <v/>
      </c>
      <c r="AK230" s="42">
        <f>AO229</f>
        <v/>
      </c>
      <c r="AL230" s="42">
        <f>ROUND(AK230*AL$6/12,2)</f>
        <v/>
      </c>
      <c r="AM230" s="42">
        <f>MIN(AM$6,AK230+AL230)</f>
        <v/>
      </c>
      <c r="AN230" s="42">
        <f>MAX(0,MIN(AK230+AL230-AM230,AJ230))</f>
        <v/>
      </c>
      <c r="AO230" s="42">
        <f>ROUND(AK230+AL230-AM230-AN230,2)</f>
        <v/>
      </c>
      <c r="AP230">
        <f>AJ230-AN230</f>
        <v/>
      </c>
      <c r="AQ230" s="42">
        <f>AU229</f>
        <v/>
      </c>
      <c r="AR230" s="42">
        <f>ROUND(AQ230*AR$6/12,2)</f>
        <v/>
      </c>
      <c r="AS230" s="42">
        <f>MIN(AS$6,AQ230+AR230)</f>
        <v/>
      </c>
      <c r="AT230" s="42">
        <f>MAX(0,MIN(AQ230+AR230-AS230,AP230))</f>
        <v/>
      </c>
      <c r="AU230" s="42">
        <f>ROUND(AQ230+AR230-AS230-AT230,2)</f>
        <v/>
      </c>
      <c r="AV230">
        <f>AP230-AT230</f>
        <v/>
      </c>
      <c r="AW230" s="42">
        <f>BA229</f>
        <v/>
      </c>
      <c r="AX230" s="42">
        <f>ROUND(AW230*AX$6/12,2)</f>
        <v/>
      </c>
      <c r="AY230" s="42">
        <f>MIN(AY$6,AW230+AX230)</f>
        <v/>
      </c>
      <c r="AZ230" s="42">
        <f>MAX(0,MIN(AW230+AX230-AY230,AV230))</f>
        <v/>
      </c>
      <c r="BA230" s="42">
        <f>ROUND(AW230+AX230-AY230-AZ230,2)</f>
        <v/>
      </c>
      <c r="BB230">
        <f>AV230-AZ230</f>
        <v/>
      </c>
      <c r="BC230" s="42">
        <f>BG229</f>
        <v/>
      </c>
      <c r="BD230" s="42">
        <f>ROUND(BC230*BD$6/12,2)</f>
        <v/>
      </c>
      <c r="BE230" s="42">
        <f>MIN(BE$6,BC230+BD230)</f>
        <v/>
      </c>
      <c r="BF230" s="42">
        <f>MAX(0,MIN(BC230+BD230-BE230,BB230))</f>
        <v/>
      </c>
      <c r="BG230" s="42">
        <f>ROUND(BC230+BD230-BE230-BF230,2)</f>
        <v/>
      </c>
      <c r="BH230">
        <f>BB230-BF230</f>
        <v/>
      </c>
      <c r="BI230" s="42">
        <f>BM229</f>
        <v/>
      </c>
      <c r="BJ230" s="42">
        <f>ROUND(BI230*BJ$6/12,2)</f>
        <v/>
      </c>
      <c r="BK230" s="42">
        <f>MIN(BK$6,BI230+BJ230)</f>
        <v/>
      </c>
      <c r="BL230" s="42">
        <f>MAX(0,MIN(BI230+BJ230-BK230,BH230))</f>
        <v/>
      </c>
      <c r="BM230" s="42">
        <f>ROUND(BI230+BJ230-BK230-BL230,2)</f>
        <v/>
      </c>
      <c r="BN230">
        <f>BH230-BL230</f>
        <v/>
      </c>
    </row>
    <row r="231">
      <c r="A231" s="43" t="n">
        <v>224</v>
      </c>
      <c r="B231" s="44">
        <f>EDATE('My Debts'!$C$6,A231-1)</f>
        <v/>
      </c>
      <c r="C231" s="45">
        <f>K231+Q231+W231+AC231+AI231+AO231+AU231+BA231+BG231+BM231</f>
        <v/>
      </c>
      <c r="D231" s="46">
        <f>I231+O231+U231+AA231+AG231+AM231+AS231+AY231+BE231+BK231+J231+P231+V231+AB231+AH231+AN231+AT231+AZ231+BF231+BL231</f>
        <v/>
      </c>
      <c r="E231" s="46">
        <f>H231+N231+T231+Z231+AF231+AL231+AR231+AX231+BD231+BJ231</f>
        <v/>
      </c>
      <c r="F231">
        <f>MAX(0,'My Debts'!$E$21-(I231+O231+U231+AA231+AG231+AM231+AS231+AY231+BE231+BK231))</f>
        <v/>
      </c>
      <c r="G231" s="42">
        <f>K230</f>
        <v/>
      </c>
      <c r="H231" s="42">
        <f>ROUND(G231*H$6/12,2)</f>
        <v/>
      </c>
      <c r="I231" s="42">
        <f>MIN(I$6,G231+H231)</f>
        <v/>
      </c>
      <c r="J231" s="42">
        <f>MAX(0,MIN(G231+H231-I231,$F231))</f>
        <v/>
      </c>
      <c r="K231" s="42">
        <f>ROUND(G231+H231-I231-J231,2)</f>
        <v/>
      </c>
      <c r="L231">
        <f>$F231-J231</f>
        <v/>
      </c>
      <c r="M231" s="42">
        <f>Q230</f>
        <v/>
      </c>
      <c r="N231" s="42">
        <f>ROUND(M231*N$6/12,2)</f>
        <v/>
      </c>
      <c r="O231" s="42">
        <f>MIN(O$6,M231+N231)</f>
        <v/>
      </c>
      <c r="P231" s="42">
        <f>MAX(0,MIN(M231+N231-O231,L231))</f>
        <v/>
      </c>
      <c r="Q231" s="42">
        <f>ROUND(M231+N231-O231-P231,2)</f>
        <v/>
      </c>
      <c r="R231">
        <f>L231-P231</f>
        <v/>
      </c>
      <c r="S231" s="42">
        <f>W230</f>
        <v/>
      </c>
      <c r="T231" s="42">
        <f>ROUND(S231*T$6/12,2)</f>
        <v/>
      </c>
      <c r="U231" s="42">
        <f>MIN(U$6,S231+T231)</f>
        <v/>
      </c>
      <c r="V231" s="42">
        <f>MAX(0,MIN(S231+T231-U231,R231))</f>
        <v/>
      </c>
      <c r="W231" s="42">
        <f>ROUND(S231+T231-U231-V231,2)</f>
        <v/>
      </c>
      <c r="X231">
        <f>R231-V231</f>
        <v/>
      </c>
      <c r="Y231" s="42">
        <f>AC230</f>
        <v/>
      </c>
      <c r="Z231" s="42">
        <f>ROUND(Y231*Z$6/12,2)</f>
        <v/>
      </c>
      <c r="AA231" s="42">
        <f>MIN(AA$6,Y231+Z231)</f>
        <v/>
      </c>
      <c r="AB231" s="42">
        <f>MAX(0,MIN(Y231+Z231-AA231,X231))</f>
        <v/>
      </c>
      <c r="AC231" s="42">
        <f>ROUND(Y231+Z231-AA231-AB231,2)</f>
        <v/>
      </c>
      <c r="AD231">
        <f>X231-AB231</f>
        <v/>
      </c>
      <c r="AE231" s="42">
        <f>AI230</f>
        <v/>
      </c>
      <c r="AF231" s="42">
        <f>ROUND(AE231*AF$6/12,2)</f>
        <v/>
      </c>
      <c r="AG231" s="42">
        <f>MIN(AG$6,AE231+AF231)</f>
        <v/>
      </c>
      <c r="AH231" s="42">
        <f>MAX(0,MIN(AE231+AF231-AG231,AD231))</f>
        <v/>
      </c>
      <c r="AI231" s="42">
        <f>ROUND(AE231+AF231-AG231-AH231,2)</f>
        <v/>
      </c>
      <c r="AJ231">
        <f>AD231-AH231</f>
        <v/>
      </c>
      <c r="AK231" s="42">
        <f>AO230</f>
        <v/>
      </c>
      <c r="AL231" s="42">
        <f>ROUND(AK231*AL$6/12,2)</f>
        <v/>
      </c>
      <c r="AM231" s="42">
        <f>MIN(AM$6,AK231+AL231)</f>
        <v/>
      </c>
      <c r="AN231" s="42">
        <f>MAX(0,MIN(AK231+AL231-AM231,AJ231))</f>
        <v/>
      </c>
      <c r="AO231" s="42">
        <f>ROUND(AK231+AL231-AM231-AN231,2)</f>
        <v/>
      </c>
      <c r="AP231">
        <f>AJ231-AN231</f>
        <v/>
      </c>
      <c r="AQ231" s="42">
        <f>AU230</f>
        <v/>
      </c>
      <c r="AR231" s="42">
        <f>ROUND(AQ231*AR$6/12,2)</f>
        <v/>
      </c>
      <c r="AS231" s="42">
        <f>MIN(AS$6,AQ231+AR231)</f>
        <v/>
      </c>
      <c r="AT231" s="42">
        <f>MAX(0,MIN(AQ231+AR231-AS231,AP231))</f>
        <v/>
      </c>
      <c r="AU231" s="42">
        <f>ROUND(AQ231+AR231-AS231-AT231,2)</f>
        <v/>
      </c>
      <c r="AV231">
        <f>AP231-AT231</f>
        <v/>
      </c>
      <c r="AW231" s="42">
        <f>BA230</f>
        <v/>
      </c>
      <c r="AX231" s="42">
        <f>ROUND(AW231*AX$6/12,2)</f>
        <v/>
      </c>
      <c r="AY231" s="42">
        <f>MIN(AY$6,AW231+AX231)</f>
        <v/>
      </c>
      <c r="AZ231" s="42">
        <f>MAX(0,MIN(AW231+AX231-AY231,AV231))</f>
        <v/>
      </c>
      <c r="BA231" s="42">
        <f>ROUND(AW231+AX231-AY231-AZ231,2)</f>
        <v/>
      </c>
      <c r="BB231">
        <f>AV231-AZ231</f>
        <v/>
      </c>
      <c r="BC231" s="42">
        <f>BG230</f>
        <v/>
      </c>
      <c r="BD231" s="42">
        <f>ROUND(BC231*BD$6/12,2)</f>
        <v/>
      </c>
      <c r="BE231" s="42">
        <f>MIN(BE$6,BC231+BD231)</f>
        <v/>
      </c>
      <c r="BF231" s="42">
        <f>MAX(0,MIN(BC231+BD231-BE231,BB231))</f>
        <v/>
      </c>
      <c r="BG231" s="42">
        <f>ROUND(BC231+BD231-BE231-BF231,2)</f>
        <v/>
      </c>
      <c r="BH231">
        <f>BB231-BF231</f>
        <v/>
      </c>
      <c r="BI231" s="42">
        <f>BM230</f>
        <v/>
      </c>
      <c r="BJ231" s="42">
        <f>ROUND(BI231*BJ$6/12,2)</f>
        <v/>
      </c>
      <c r="BK231" s="42">
        <f>MIN(BK$6,BI231+BJ231)</f>
        <v/>
      </c>
      <c r="BL231" s="42">
        <f>MAX(0,MIN(BI231+BJ231-BK231,BH231))</f>
        <v/>
      </c>
      <c r="BM231" s="42">
        <f>ROUND(BI231+BJ231-BK231-BL231,2)</f>
        <v/>
      </c>
      <c r="BN231">
        <f>BH231-BL231</f>
        <v/>
      </c>
    </row>
    <row r="232">
      <c r="A232" s="39" t="n">
        <v>225</v>
      </c>
      <c r="B232" s="40">
        <f>EDATE('My Debts'!$C$6,A232-1)</f>
        <v/>
      </c>
      <c r="C232" s="41">
        <f>K232+Q232+W232+AC232+AI232+AO232+AU232+BA232+BG232+BM232</f>
        <v/>
      </c>
      <c r="D232" s="42">
        <f>I232+O232+U232+AA232+AG232+AM232+AS232+AY232+BE232+BK232+J232+P232+V232+AB232+AH232+AN232+AT232+AZ232+BF232+BL232</f>
        <v/>
      </c>
      <c r="E232" s="42">
        <f>H232+N232+T232+Z232+AF232+AL232+AR232+AX232+BD232+BJ232</f>
        <v/>
      </c>
      <c r="F232">
        <f>MAX(0,'My Debts'!$E$21-(I232+O232+U232+AA232+AG232+AM232+AS232+AY232+BE232+BK232))</f>
        <v/>
      </c>
      <c r="G232" s="42">
        <f>K231</f>
        <v/>
      </c>
      <c r="H232" s="42">
        <f>ROUND(G232*H$6/12,2)</f>
        <v/>
      </c>
      <c r="I232" s="42">
        <f>MIN(I$6,G232+H232)</f>
        <v/>
      </c>
      <c r="J232" s="42">
        <f>MAX(0,MIN(G232+H232-I232,$F232))</f>
        <v/>
      </c>
      <c r="K232" s="42">
        <f>ROUND(G232+H232-I232-J232,2)</f>
        <v/>
      </c>
      <c r="L232">
        <f>$F232-J232</f>
        <v/>
      </c>
      <c r="M232" s="42">
        <f>Q231</f>
        <v/>
      </c>
      <c r="N232" s="42">
        <f>ROUND(M232*N$6/12,2)</f>
        <v/>
      </c>
      <c r="O232" s="42">
        <f>MIN(O$6,M232+N232)</f>
        <v/>
      </c>
      <c r="P232" s="42">
        <f>MAX(0,MIN(M232+N232-O232,L232))</f>
        <v/>
      </c>
      <c r="Q232" s="42">
        <f>ROUND(M232+N232-O232-P232,2)</f>
        <v/>
      </c>
      <c r="R232">
        <f>L232-P232</f>
        <v/>
      </c>
      <c r="S232" s="42">
        <f>W231</f>
        <v/>
      </c>
      <c r="T232" s="42">
        <f>ROUND(S232*T$6/12,2)</f>
        <v/>
      </c>
      <c r="U232" s="42">
        <f>MIN(U$6,S232+T232)</f>
        <v/>
      </c>
      <c r="V232" s="42">
        <f>MAX(0,MIN(S232+T232-U232,R232))</f>
        <v/>
      </c>
      <c r="W232" s="42">
        <f>ROUND(S232+T232-U232-V232,2)</f>
        <v/>
      </c>
      <c r="X232">
        <f>R232-V232</f>
        <v/>
      </c>
      <c r="Y232" s="42">
        <f>AC231</f>
        <v/>
      </c>
      <c r="Z232" s="42">
        <f>ROUND(Y232*Z$6/12,2)</f>
        <v/>
      </c>
      <c r="AA232" s="42">
        <f>MIN(AA$6,Y232+Z232)</f>
        <v/>
      </c>
      <c r="AB232" s="42">
        <f>MAX(0,MIN(Y232+Z232-AA232,X232))</f>
        <v/>
      </c>
      <c r="AC232" s="42">
        <f>ROUND(Y232+Z232-AA232-AB232,2)</f>
        <v/>
      </c>
      <c r="AD232">
        <f>X232-AB232</f>
        <v/>
      </c>
      <c r="AE232" s="42">
        <f>AI231</f>
        <v/>
      </c>
      <c r="AF232" s="42">
        <f>ROUND(AE232*AF$6/12,2)</f>
        <v/>
      </c>
      <c r="AG232" s="42">
        <f>MIN(AG$6,AE232+AF232)</f>
        <v/>
      </c>
      <c r="AH232" s="42">
        <f>MAX(0,MIN(AE232+AF232-AG232,AD232))</f>
        <v/>
      </c>
      <c r="AI232" s="42">
        <f>ROUND(AE232+AF232-AG232-AH232,2)</f>
        <v/>
      </c>
      <c r="AJ232">
        <f>AD232-AH232</f>
        <v/>
      </c>
      <c r="AK232" s="42">
        <f>AO231</f>
        <v/>
      </c>
      <c r="AL232" s="42">
        <f>ROUND(AK232*AL$6/12,2)</f>
        <v/>
      </c>
      <c r="AM232" s="42">
        <f>MIN(AM$6,AK232+AL232)</f>
        <v/>
      </c>
      <c r="AN232" s="42">
        <f>MAX(0,MIN(AK232+AL232-AM232,AJ232))</f>
        <v/>
      </c>
      <c r="AO232" s="42">
        <f>ROUND(AK232+AL232-AM232-AN232,2)</f>
        <v/>
      </c>
      <c r="AP232">
        <f>AJ232-AN232</f>
        <v/>
      </c>
      <c r="AQ232" s="42">
        <f>AU231</f>
        <v/>
      </c>
      <c r="AR232" s="42">
        <f>ROUND(AQ232*AR$6/12,2)</f>
        <v/>
      </c>
      <c r="AS232" s="42">
        <f>MIN(AS$6,AQ232+AR232)</f>
        <v/>
      </c>
      <c r="AT232" s="42">
        <f>MAX(0,MIN(AQ232+AR232-AS232,AP232))</f>
        <v/>
      </c>
      <c r="AU232" s="42">
        <f>ROUND(AQ232+AR232-AS232-AT232,2)</f>
        <v/>
      </c>
      <c r="AV232">
        <f>AP232-AT232</f>
        <v/>
      </c>
      <c r="AW232" s="42">
        <f>BA231</f>
        <v/>
      </c>
      <c r="AX232" s="42">
        <f>ROUND(AW232*AX$6/12,2)</f>
        <v/>
      </c>
      <c r="AY232" s="42">
        <f>MIN(AY$6,AW232+AX232)</f>
        <v/>
      </c>
      <c r="AZ232" s="42">
        <f>MAX(0,MIN(AW232+AX232-AY232,AV232))</f>
        <v/>
      </c>
      <c r="BA232" s="42">
        <f>ROUND(AW232+AX232-AY232-AZ232,2)</f>
        <v/>
      </c>
      <c r="BB232">
        <f>AV232-AZ232</f>
        <v/>
      </c>
      <c r="BC232" s="42">
        <f>BG231</f>
        <v/>
      </c>
      <c r="BD232" s="42">
        <f>ROUND(BC232*BD$6/12,2)</f>
        <v/>
      </c>
      <c r="BE232" s="42">
        <f>MIN(BE$6,BC232+BD232)</f>
        <v/>
      </c>
      <c r="BF232" s="42">
        <f>MAX(0,MIN(BC232+BD232-BE232,BB232))</f>
        <v/>
      </c>
      <c r="BG232" s="42">
        <f>ROUND(BC232+BD232-BE232-BF232,2)</f>
        <v/>
      </c>
      <c r="BH232">
        <f>BB232-BF232</f>
        <v/>
      </c>
      <c r="BI232" s="42">
        <f>BM231</f>
        <v/>
      </c>
      <c r="BJ232" s="42">
        <f>ROUND(BI232*BJ$6/12,2)</f>
        <v/>
      </c>
      <c r="BK232" s="42">
        <f>MIN(BK$6,BI232+BJ232)</f>
        <v/>
      </c>
      <c r="BL232" s="42">
        <f>MAX(0,MIN(BI232+BJ232-BK232,BH232))</f>
        <v/>
      </c>
      <c r="BM232" s="42">
        <f>ROUND(BI232+BJ232-BK232-BL232,2)</f>
        <v/>
      </c>
      <c r="BN232">
        <f>BH232-BL232</f>
        <v/>
      </c>
    </row>
    <row r="233">
      <c r="A233" s="43" t="n">
        <v>226</v>
      </c>
      <c r="B233" s="44">
        <f>EDATE('My Debts'!$C$6,A233-1)</f>
        <v/>
      </c>
      <c r="C233" s="45">
        <f>K233+Q233+W233+AC233+AI233+AO233+AU233+BA233+BG233+BM233</f>
        <v/>
      </c>
      <c r="D233" s="46">
        <f>I233+O233+U233+AA233+AG233+AM233+AS233+AY233+BE233+BK233+J233+P233+V233+AB233+AH233+AN233+AT233+AZ233+BF233+BL233</f>
        <v/>
      </c>
      <c r="E233" s="46">
        <f>H233+N233+T233+Z233+AF233+AL233+AR233+AX233+BD233+BJ233</f>
        <v/>
      </c>
      <c r="F233">
        <f>MAX(0,'My Debts'!$E$21-(I233+O233+U233+AA233+AG233+AM233+AS233+AY233+BE233+BK233))</f>
        <v/>
      </c>
      <c r="G233" s="42">
        <f>K232</f>
        <v/>
      </c>
      <c r="H233" s="42">
        <f>ROUND(G233*H$6/12,2)</f>
        <v/>
      </c>
      <c r="I233" s="42">
        <f>MIN(I$6,G233+H233)</f>
        <v/>
      </c>
      <c r="J233" s="42">
        <f>MAX(0,MIN(G233+H233-I233,$F233))</f>
        <v/>
      </c>
      <c r="K233" s="42">
        <f>ROUND(G233+H233-I233-J233,2)</f>
        <v/>
      </c>
      <c r="L233">
        <f>$F233-J233</f>
        <v/>
      </c>
      <c r="M233" s="42">
        <f>Q232</f>
        <v/>
      </c>
      <c r="N233" s="42">
        <f>ROUND(M233*N$6/12,2)</f>
        <v/>
      </c>
      <c r="O233" s="42">
        <f>MIN(O$6,M233+N233)</f>
        <v/>
      </c>
      <c r="P233" s="42">
        <f>MAX(0,MIN(M233+N233-O233,L233))</f>
        <v/>
      </c>
      <c r="Q233" s="42">
        <f>ROUND(M233+N233-O233-P233,2)</f>
        <v/>
      </c>
      <c r="R233">
        <f>L233-P233</f>
        <v/>
      </c>
      <c r="S233" s="42">
        <f>W232</f>
        <v/>
      </c>
      <c r="T233" s="42">
        <f>ROUND(S233*T$6/12,2)</f>
        <v/>
      </c>
      <c r="U233" s="42">
        <f>MIN(U$6,S233+T233)</f>
        <v/>
      </c>
      <c r="V233" s="42">
        <f>MAX(0,MIN(S233+T233-U233,R233))</f>
        <v/>
      </c>
      <c r="W233" s="42">
        <f>ROUND(S233+T233-U233-V233,2)</f>
        <v/>
      </c>
      <c r="X233">
        <f>R233-V233</f>
        <v/>
      </c>
      <c r="Y233" s="42">
        <f>AC232</f>
        <v/>
      </c>
      <c r="Z233" s="42">
        <f>ROUND(Y233*Z$6/12,2)</f>
        <v/>
      </c>
      <c r="AA233" s="42">
        <f>MIN(AA$6,Y233+Z233)</f>
        <v/>
      </c>
      <c r="AB233" s="42">
        <f>MAX(0,MIN(Y233+Z233-AA233,X233))</f>
        <v/>
      </c>
      <c r="AC233" s="42">
        <f>ROUND(Y233+Z233-AA233-AB233,2)</f>
        <v/>
      </c>
      <c r="AD233">
        <f>X233-AB233</f>
        <v/>
      </c>
      <c r="AE233" s="42">
        <f>AI232</f>
        <v/>
      </c>
      <c r="AF233" s="42">
        <f>ROUND(AE233*AF$6/12,2)</f>
        <v/>
      </c>
      <c r="AG233" s="42">
        <f>MIN(AG$6,AE233+AF233)</f>
        <v/>
      </c>
      <c r="AH233" s="42">
        <f>MAX(0,MIN(AE233+AF233-AG233,AD233))</f>
        <v/>
      </c>
      <c r="AI233" s="42">
        <f>ROUND(AE233+AF233-AG233-AH233,2)</f>
        <v/>
      </c>
      <c r="AJ233">
        <f>AD233-AH233</f>
        <v/>
      </c>
      <c r="AK233" s="42">
        <f>AO232</f>
        <v/>
      </c>
      <c r="AL233" s="42">
        <f>ROUND(AK233*AL$6/12,2)</f>
        <v/>
      </c>
      <c r="AM233" s="42">
        <f>MIN(AM$6,AK233+AL233)</f>
        <v/>
      </c>
      <c r="AN233" s="42">
        <f>MAX(0,MIN(AK233+AL233-AM233,AJ233))</f>
        <v/>
      </c>
      <c r="AO233" s="42">
        <f>ROUND(AK233+AL233-AM233-AN233,2)</f>
        <v/>
      </c>
      <c r="AP233">
        <f>AJ233-AN233</f>
        <v/>
      </c>
      <c r="AQ233" s="42">
        <f>AU232</f>
        <v/>
      </c>
      <c r="AR233" s="42">
        <f>ROUND(AQ233*AR$6/12,2)</f>
        <v/>
      </c>
      <c r="AS233" s="42">
        <f>MIN(AS$6,AQ233+AR233)</f>
        <v/>
      </c>
      <c r="AT233" s="42">
        <f>MAX(0,MIN(AQ233+AR233-AS233,AP233))</f>
        <v/>
      </c>
      <c r="AU233" s="42">
        <f>ROUND(AQ233+AR233-AS233-AT233,2)</f>
        <v/>
      </c>
      <c r="AV233">
        <f>AP233-AT233</f>
        <v/>
      </c>
      <c r="AW233" s="42">
        <f>BA232</f>
        <v/>
      </c>
      <c r="AX233" s="42">
        <f>ROUND(AW233*AX$6/12,2)</f>
        <v/>
      </c>
      <c r="AY233" s="42">
        <f>MIN(AY$6,AW233+AX233)</f>
        <v/>
      </c>
      <c r="AZ233" s="42">
        <f>MAX(0,MIN(AW233+AX233-AY233,AV233))</f>
        <v/>
      </c>
      <c r="BA233" s="42">
        <f>ROUND(AW233+AX233-AY233-AZ233,2)</f>
        <v/>
      </c>
      <c r="BB233">
        <f>AV233-AZ233</f>
        <v/>
      </c>
      <c r="BC233" s="42">
        <f>BG232</f>
        <v/>
      </c>
      <c r="BD233" s="42">
        <f>ROUND(BC233*BD$6/12,2)</f>
        <v/>
      </c>
      <c r="BE233" s="42">
        <f>MIN(BE$6,BC233+BD233)</f>
        <v/>
      </c>
      <c r="BF233" s="42">
        <f>MAX(0,MIN(BC233+BD233-BE233,BB233))</f>
        <v/>
      </c>
      <c r="BG233" s="42">
        <f>ROUND(BC233+BD233-BE233-BF233,2)</f>
        <v/>
      </c>
      <c r="BH233">
        <f>BB233-BF233</f>
        <v/>
      </c>
      <c r="BI233" s="42">
        <f>BM232</f>
        <v/>
      </c>
      <c r="BJ233" s="42">
        <f>ROUND(BI233*BJ$6/12,2)</f>
        <v/>
      </c>
      <c r="BK233" s="42">
        <f>MIN(BK$6,BI233+BJ233)</f>
        <v/>
      </c>
      <c r="BL233" s="42">
        <f>MAX(0,MIN(BI233+BJ233-BK233,BH233))</f>
        <v/>
      </c>
      <c r="BM233" s="42">
        <f>ROUND(BI233+BJ233-BK233-BL233,2)</f>
        <v/>
      </c>
      <c r="BN233">
        <f>BH233-BL233</f>
        <v/>
      </c>
    </row>
    <row r="234">
      <c r="A234" s="39" t="n">
        <v>227</v>
      </c>
      <c r="B234" s="40">
        <f>EDATE('My Debts'!$C$6,A234-1)</f>
        <v/>
      </c>
      <c r="C234" s="41">
        <f>K234+Q234+W234+AC234+AI234+AO234+AU234+BA234+BG234+BM234</f>
        <v/>
      </c>
      <c r="D234" s="42">
        <f>I234+O234+U234+AA234+AG234+AM234+AS234+AY234+BE234+BK234+J234+P234+V234+AB234+AH234+AN234+AT234+AZ234+BF234+BL234</f>
        <v/>
      </c>
      <c r="E234" s="42">
        <f>H234+N234+T234+Z234+AF234+AL234+AR234+AX234+BD234+BJ234</f>
        <v/>
      </c>
      <c r="F234">
        <f>MAX(0,'My Debts'!$E$21-(I234+O234+U234+AA234+AG234+AM234+AS234+AY234+BE234+BK234))</f>
        <v/>
      </c>
      <c r="G234" s="42">
        <f>K233</f>
        <v/>
      </c>
      <c r="H234" s="42">
        <f>ROUND(G234*H$6/12,2)</f>
        <v/>
      </c>
      <c r="I234" s="42">
        <f>MIN(I$6,G234+H234)</f>
        <v/>
      </c>
      <c r="J234" s="42">
        <f>MAX(0,MIN(G234+H234-I234,$F234))</f>
        <v/>
      </c>
      <c r="K234" s="42">
        <f>ROUND(G234+H234-I234-J234,2)</f>
        <v/>
      </c>
      <c r="L234">
        <f>$F234-J234</f>
        <v/>
      </c>
      <c r="M234" s="42">
        <f>Q233</f>
        <v/>
      </c>
      <c r="N234" s="42">
        <f>ROUND(M234*N$6/12,2)</f>
        <v/>
      </c>
      <c r="O234" s="42">
        <f>MIN(O$6,M234+N234)</f>
        <v/>
      </c>
      <c r="P234" s="42">
        <f>MAX(0,MIN(M234+N234-O234,L234))</f>
        <v/>
      </c>
      <c r="Q234" s="42">
        <f>ROUND(M234+N234-O234-P234,2)</f>
        <v/>
      </c>
      <c r="R234">
        <f>L234-P234</f>
        <v/>
      </c>
      <c r="S234" s="42">
        <f>W233</f>
        <v/>
      </c>
      <c r="T234" s="42">
        <f>ROUND(S234*T$6/12,2)</f>
        <v/>
      </c>
      <c r="U234" s="42">
        <f>MIN(U$6,S234+T234)</f>
        <v/>
      </c>
      <c r="V234" s="42">
        <f>MAX(0,MIN(S234+T234-U234,R234))</f>
        <v/>
      </c>
      <c r="W234" s="42">
        <f>ROUND(S234+T234-U234-V234,2)</f>
        <v/>
      </c>
      <c r="X234">
        <f>R234-V234</f>
        <v/>
      </c>
      <c r="Y234" s="42">
        <f>AC233</f>
        <v/>
      </c>
      <c r="Z234" s="42">
        <f>ROUND(Y234*Z$6/12,2)</f>
        <v/>
      </c>
      <c r="AA234" s="42">
        <f>MIN(AA$6,Y234+Z234)</f>
        <v/>
      </c>
      <c r="AB234" s="42">
        <f>MAX(0,MIN(Y234+Z234-AA234,X234))</f>
        <v/>
      </c>
      <c r="AC234" s="42">
        <f>ROUND(Y234+Z234-AA234-AB234,2)</f>
        <v/>
      </c>
      <c r="AD234">
        <f>X234-AB234</f>
        <v/>
      </c>
      <c r="AE234" s="42">
        <f>AI233</f>
        <v/>
      </c>
      <c r="AF234" s="42">
        <f>ROUND(AE234*AF$6/12,2)</f>
        <v/>
      </c>
      <c r="AG234" s="42">
        <f>MIN(AG$6,AE234+AF234)</f>
        <v/>
      </c>
      <c r="AH234" s="42">
        <f>MAX(0,MIN(AE234+AF234-AG234,AD234))</f>
        <v/>
      </c>
      <c r="AI234" s="42">
        <f>ROUND(AE234+AF234-AG234-AH234,2)</f>
        <v/>
      </c>
      <c r="AJ234">
        <f>AD234-AH234</f>
        <v/>
      </c>
      <c r="AK234" s="42">
        <f>AO233</f>
        <v/>
      </c>
      <c r="AL234" s="42">
        <f>ROUND(AK234*AL$6/12,2)</f>
        <v/>
      </c>
      <c r="AM234" s="42">
        <f>MIN(AM$6,AK234+AL234)</f>
        <v/>
      </c>
      <c r="AN234" s="42">
        <f>MAX(0,MIN(AK234+AL234-AM234,AJ234))</f>
        <v/>
      </c>
      <c r="AO234" s="42">
        <f>ROUND(AK234+AL234-AM234-AN234,2)</f>
        <v/>
      </c>
      <c r="AP234">
        <f>AJ234-AN234</f>
        <v/>
      </c>
      <c r="AQ234" s="42">
        <f>AU233</f>
        <v/>
      </c>
      <c r="AR234" s="42">
        <f>ROUND(AQ234*AR$6/12,2)</f>
        <v/>
      </c>
      <c r="AS234" s="42">
        <f>MIN(AS$6,AQ234+AR234)</f>
        <v/>
      </c>
      <c r="AT234" s="42">
        <f>MAX(0,MIN(AQ234+AR234-AS234,AP234))</f>
        <v/>
      </c>
      <c r="AU234" s="42">
        <f>ROUND(AQ234+AR234-AS234-AT234,2)</f>
        <v/>
      </c>
      <c r="AV234">
        <f>AP234-AT234</f>
        <v/>
      </c>
      <c r="AW234" s="42">
        <f>BA233</f>
        <v/>
      </c>
      <c r="AX234" s="42">
        <f>ROUND(AW234*AX$6/12,2)</f>
        <v/>
      </c>
      <c r="AY234" s="42">
        <f>MIN(AY$6,AW234+AX234)</f>
        <v/>
      </c>
      <c r="AZ234" s="42">
        <f>MAX(0,MIN(AW234+AX234-AY234,AV234))</f>
        <v/>
      </c>
      <c r="BA234" s="42">
        <f>ROUND(AW234+AX234-AY234-AZ234,2)</f>
        <v/>
      </c>
      <c r="BB234">
        <f>AV234-AZ234</f>
        <v/>
      </c>
      <c r="BC234" s="42">
        <f>BG233</f>
        <v/>
      </c>
      <c r="BD234" s="42">
        <f>ROUND(BC234*BD$6/12,2)</f>
        <v/>
      </c>
      <c r="BE234" s="42">
        <f>MIN(BE$6,BC234+BD234)</f>
        <v/>
      </c>
      <c r="BF234" s="42">
        <f>MAX(0,MIN(BC234+BD234-BE234,BB234))</f>
        <v/>
      </c>
      <c r="BG234" s="42">
        <f>ROUND(BC234+BD234-BE234-BF234,2)</f>
        <v/>
      </c>
      <c r="BH234">
        <f>BB234-BF234</f>
        <v/>
      </c>
      <c r="BI234" s="42">
        <f>BM233</f>
        <v/>
      </c>
      <c r="BJ234" s="42">
        <f>ROUND(BI234*BJ$6/12,2)</f>
        <v/>
      </c>
      <c r="BK234" s="42">
        <f>MIN(BK$6,BI234+BJ234)</f>
        <v/>
      </c>
      <c r="BL234" s="42">
        <f>MAX(0,MIN(BI234+BJ234-BK234,BH234))</f>
        <v/>
      </c>
      <c r="BM234" s="42">
        <f>ROUND(BI234+BJ234-BK234-BL234,2)</f>
        <v/>
      </c>
      <c r="BN234">
        <f>BH234-BL234</f>
        <v/>
      </c>
    </row>
    <row r="235">
      <c r="A235" s="43" t="n">
        <v>228</v>
      </c>
      <c r="B235" s="44">
        <f>EDATE('My Debts'!$C$6,A235-1)</f>
        <v/>
      </c>
      <c r="C235" s="45">
        <f>K235+Q235+W235+AC235+AI235+AO235+AU235+BA235+BG235+BM235</f>
        <v/>
      </c>
      <c r="D235" s="46">
        <f>I235+O235+U235+AA235+AG235+AM235+AS235+AY235+BE235+BK235+J235+P235+V235+AB235+AH235+AN235+AT235+AZ235+BF235+BL235</f>
        <v/>
      </c>
      <c r="E235" s="46">
        <f>H235+N235+T235+Z235+AF235+AL235+AR235+AX235+BD235+BJ235</f>
        <v/>
      </c>
      <c r="F235">
        <f>MAX(0,'My Debts'!$E$21-(I235+O235+U235+AA235+AG235+AM235+AS235+AY235+BE235+BK235))</f>
        <v/>
      </c>
      <c r="G235" s="42">
        <f>K234</f>
        <v/>
      </c>
      <c r="H235" s="42">
        <f>ROUND(G235*H$6/12,2)</f>
        <v/>
      </c>
      <c r="I235" s="42">
        <f>MIN(I$6,G235+H235)</f>
        <v/>
      </c>
      <c r="J235" s="42">
        <f>MAX(0,MIN(G235+H235-I235,$F235))</f>
        <v/>
      </c>
      <c r="K235" s="42">
        <f>ROUND(G235+H235-I235-J235,2)</f>
        <v/>
      </c>
      <c r="L235">
        <f>$F235-J235</f>
        <v/>
      </c>
      <c r="M235" s="42">
        <f>Q234</f>
        <v/>
      </c>
      <c r="N235" s="42">
        <f>ROUND(M235*N$6/12,2)</f>
        <v/>
      </c>
      <c r="O235" s="42">
        <f>MIN(O$6,M235+N235)</f>
        <v/>
      </c>
      <c r="P235" s="42">
        <f>MAX(0,MIN(M235+N235-O235,L235))</f>
        <v/>
      </c>
      <c r="Q235" s="42">
        <f>ROUND(M235+N235-O235-P235,2)</f>
        <v/>
      </c>
      <c r="R235">
        <f>L235-P235</f>
        <v/>
      </c>
      <c r="S235" s="42">
        <f>W234</f>
        <v/>
      </c>
      <c r="T235" s="42">
        <f>ROUND(S235*T$6/12,2)</f>
        <v/>
      </c>
      <c r="U235" s="42">
        <f>MIN(U$6,S235+T235)</f>
        <v/>
      </c>
      <c r="V235" s="42">
        <f>MAX(0,MIN(S235+T235-U235,R235))</f>
        <v/>
      </c>
      <c r="W235" s="42">
        <f>ROUND(S235+T235-U235-V235,2)</f>
        <v/>
      </c>
      <c r="X235">
        <f>R235-V235</f>
        <v/>
      </c>
      <c r="Y235" s="42">
        <f>AC234</f>
        <v/>
      </c>
      <c r="Z235" s="42">
        <f>ROUND(Y235*Z$6/12,2)</f>
        <v/>
      </c>
      <c r="AA235" s="42">
        <f>MIN(AA$6,Y235+Z235)</f>
        <v/>
      </c>
      <c r="AB235" s="42">
        <f>MAX(0,MIN(Y235+Z235-AA235,X235))</f>
        <v/>
      </c>
      <c r="AC235" s="42">
        <f>ROUND(Y235+Z235-AA235-AB235,2)</f>
        <v/>
      </c>
      <c r="AD235">
        <f>X235-AB235</f>
        <v/>
      </c>
      <c r="AE235" s="42">
        <f>AI234</f>
        <v/>
      </c>
      <c r="AF235" s="42">
        <f>ROUND(AE235*AF$6/12,2)</f>
        <v/>
      </c>
      <c r="AG235" s="42">
        <f>MIN(AG$6,AE235+AF235)</f>
        <v/>
      </c>
      <c r="AH235" s="42">
        <f>MAX(0,MIN(AE235+AF235-AG235,AD235))</f>
        <v/>
      </c>
      <c r="AI235" s="42">
        <f>ROUND(AE235+AF235-AG235-AH235,2)</f>
        <v/>
      </c>
      <c r="AJ235">
        <f>AD235-AH235</f>
        <v/>
      </c>
      <c r="AK235" s="42">
        <f>AO234</f>
        <v/>
      </c>
      <c r="AL235" s="42">
        <f>ROUND(AK235*AL$6/12,2)</f>
        <v/>
      </c>
      <c r="AM235" s="42">
        <f>MIN(AM$6,AK235+AL235)</f>
        <v/>
      </c>
      <c r="AN235" s="42">
        <f>MAX(0,MIN(AK235+AL235-AM235,AJ235))</f>
        <v/>
      </c>
      <c r="AO235" s="42">
        <f>ROUND(AK235+AL235-AM235-AN235,2)</f>
        <v/>
      </c>
      <c r="AP235">
        <f>AJ235-AN235</f>
        <v/>
      </c>
      <c r="AQ235" s="42">
        <f>AU234</f>
        <v/>
      </c>
      <c r="AR235" s="42">
        <f>ROUND(AQ235*AR$6/12,2)</f>
        <v/>
      </c>
      <c r="AS235" s="42">
        <f>MIN(AS$6,AQ235+AR235)</f>
        <v/>
      </c>
      <c r="AT235" s="42">
        <f>MAX(0,MIN(AQ235+AR235-AS235,AP235))</f>
        <v/>
      </c>
      <c r="AU235" s="42">
        <f>ROUND(AQ235+AR235-AS235-AT235,2)</f>
        <v/>
      </c>
      <c r="AV235">
        <f>AP235-AT235</f>
        <v/>
      </c>
      <c r="AW235" s="42">
        <f>BA234</f>
        <v/>
      </c>
      <c r="AX235" s="42">
        <f>ROUND(AW235*AX$6/12,2)</f>
        <v/>
      </c>
      <c r="AY235" s="42">
        <f>MIN(AY$6,AW235+AX235)</f>
        <v/>
      </c>
      <c r="AZ235" s="42">
        <f>MAX(0,MIN(AW235+AX235-AY235,AV235))</f>
        <v/>
      </c>
      <c r="BA235" s="42">
        <f>ROUND(AW235+AX235-AY235-AZ235,2)</f>
        <v/>
      </c>
      <c r="BB235">
        <f>AV235-AZ235</f>
        <v/>
      </c>
      <c r="BC235" s="42">
        <f>BG234</f>
        <v/>
      </c>
      <c r="BD235" s="42">
        <f>ROUND(BC235*BD$6/12,2)</f>
        <v/>
      </c>
      <c r="BE235" s="42">
        <f>MIN(BE$6,BC235+BD235)</f>
        <v/>
      </c>
      <c r="BF235" s="42">
        <f>MAX(0,MIN(BC235+BD235-BE235,BB235))</f>
        <v/>
      </c>
      <c r="BG235" s="42">
        <f>ROUND(BC235+BD235-BE235-BF235,2)</f>
        <v/>
      </c>
      <c r="BH235">
        <f>BB235-BF235</f>
        <v/>
      </c>
      <c r="BI235" s="42">
        <f>BM234</f>
        <v/>
      </c>
      <c r="BJ235" s="42">
        <f>ROUND(BI235*BJ$6/12,2)</f>
        <v/>
      </c>
      <c r="BK235" s="42">
        <f>MIN(BK$6,BI235+BJ235)</f>
        <v/>
      </c>
      <c r="BL235" s="42">
        <f>MAX(0,MIN(BI235+BJ235-BK235,BH235))</f>
        <v/>
      </c>
      <c r="BM235" s="42">
        <f>ROUND(BI235+BJ235-BK235-BL235,2)</f>
        <v/>
      </c>
      <c r="BN235">
        <f>BH235-BL235</f>
        <v/>
      </c>
    </row>
    <row r="236">
      <c r="A236" s="39" t="n">
        <v>229</v>
      </c>
      <c r="B236" s="40">
        <f>EDATE('My Debts'!$C$6,A236-1)</f>
        <v/>
      </c>
      <c r="C236" s="41">
        <f>K236+Q236+W236+AC236+AI236+AO236+AU236+BA236+BG236+BM236</f>
        <v/>
      </c>
      <c r="D236" s="42">
        <f>I236+O236+U236+AA236+AG236+AM236+AS236+AY236+BE236+BK236+J236+P236+V236+AB236+AH236+AN236+AT236+AZ236+BF236+BL236</f>
        <v/>
      </c>
      <c r="E236" s="42">
        <f>H236+N236+T236+Z236+AF236+AL236+AR236+AX236+BD236+BJ236</f>
        <v/>
      </c>
      <c r="F236">
        <f>MAX(0,'My Debts'!$E$21-(I236+O236+U236+AA236+AG236+AM236+AS236+AY236+BE236+BK236))</f>
        <v/>
      </c>
      <c r="G236" s="42">
        <f>K235</f>
        <v/>
      </c>
      <c r="H236" s="42">
        <f>ROUND(G236*H$6/12,2)</f>
        <v/>
      </c>
      <c r="I236" s="42">
        <f>MIN(I$6,G236+H236)</f>
        <v/>
      </c>
      <c r="J236" s="42">
        <f>MAX(0,MIN(G236+H236-I236,$F236))</f>
        <v/>
      </c>
      <c r="K236" s="42">
        <f>ROUND(G236+H236-I236-J236,2)</f>
        <v/>
      </c>
      <c r="L236">
        <f>$F236-J236</f>
        <v/>
      </c>
      <c r="M236" s="42">
        <f>Q235</f>
        <v/>
      </c>
      <c r="N236" s="42">
        <f>ROUND(M236*N$6/12,2)</f>
        <v/>
      </c>
      <c r="O236" s="42">
        <f>MIN(O$6,M236+N236)</f>
        <v/>
      </c>
      <c r="P236" s="42">
        <f>MAX(0,MIN(M236+N236-O236,L236))</f>
        <v/>
      </c>
      <c r="Q236" s="42">
        <f>ROUND(M236+N236-O236-P236,2)</f>
        <v/>
      </c>
      <c r="R236">
        <f>L236-P236</f>
        <v/>
      </c>
      <c r="S236" s="42">
        <f>W235</f>
        <v/>
      </c>
      <c r="T236" s="42">
        <f>ROUND(S236*T$6/12,2)</f>
        <v/>
      </c>
      <c r="U236" s="42">
        <f>MIN(U$6,S236+T236)</f>
        <v/>
      </c>
      <c r="V236" s="42">
        <f>MAX(0,MIN(S236+T236-U236,R236))</f>
        <v/>
      </c>
      <c r="W236" s="42">
        <f>ROUND(S236+T236-U236-V236,2)</f>
        <v/>
      </c>
      <c r="X236">
        <f>R236-V236</f>
        <v/>
      </c>
      <c r="Y236" s="42">
        <f>AC235</f>
        <v/>
      </c>
      <c r="Z236" s="42">
        <f>ROUND(Y236*Z$6/12,2)</f>
        <v/>
      </c>
      <c r="AA236" s="42">
        <f>MIN(AA$6,Y236+Z236)</f>
        <v/>
      </c>
      <c r="AB236" s="42">
        <f>MAX(0,MIN(Y236+Z236-AA236,X236))</f>
        <v/>
      </c>
      <c r="AC236" s="42">
        <f>ROUND(Y236+Z236-AA236-AB236,2)</f>
        <v/>
      </c>
      <c r="AD236">
        <f>X236-AB236</f>
        <v/>
      </c>
      <c r="AE236" s="42">
        <f>AI235</f>
        <v/>
      </c>
      <c r="AF236" s="42">
        <f>ROUND(AE236*AF$6/12,2)</f>
        <v/>
      </c>
      <c r="AG236" s="42">
        <f>MIN(AG$6,AE236+AF236)</f>
        <v/>
      </c>
      <c r="AH236" s="42">
        <f>MAX(0,MIN(AE236+AF236-AG236,AD236))</f>
        <v/>
      </c>
      <c r="AI236" s="42">
        <f>ROUND(AE236+AF236-AG236-AH236,2)</f>
        <v/>
      </c>
      <c r="AJ236">
        <f>AD236-AH236</f>
        <v/>
      </c>
      <c r="AK236" s="42">
        <f>AO235</f>
        <v/>
      </c>
      <c r="AL236" s="42">
        <f>ROUND(AK236*AL$6/12,2)</f>
        <v/>
      </c>
      <c r="AM236" s="42">
        <f>MIN(AM$6,AK236+AL236)</f>
        <v/>
      </c>
      <c r="AN236" s="42">
        <f>MAX(0,MIN(AK236+AL236-AM236,AJ236))</f>
        <v/>
      </c>
      <c r="AO236" s="42">
        <f>ROUND(AK236+AL236-AM236-AN236,2)</f>
        <v/>
      </c>
      <c r="AP236">
        <f>AJ236-AN236</f>
        <v/>
      </c>
      <c r="AQ236" s="42">
        <f>AU235</f>
        <v/>
      </c>
      <c r="AR236" s="42">
        <f>ROUND(AQ236*AR$6/12,2)</f>
        <v/>
      </c>
      <c r="AS236" s="42">
        <f>MIN(AS$6,AQ236+AR236)</f>
        <v/>
      </c>
      <c r="AT236" s="42">
        <f>MAX(0,MIN(AQ236+AR236-AS236,AP236))</f>
        <v/>
      </c>
      <c r="AU236" s="42">
        <f>ROUND(AQ236+AR236-AS236-AT236,2)</f>
        <v/>
      </c>
      <c r="AV236">
        <f>AP236-AT236</f>
        <v/>
      </c>
      <c r="AW236" s="42">
        <f>BA235</f>
        <v/>
      </c>
      <c r="AX236" s="42">
        <f>ROUND(AW236*AX$6/12,2)</f>
        <v/>
      </c>
      <c r="AY236" s="42">
        <f>MIN(AY$6,AW236+AX236)</f>
        <v/>
      </c>
      <c r="AZ236" s="42">
        <f>MAX(0,MIN(AW236+AX236-AY236,AV236))</f>
        <v/>
      </c>
      <c r="BA236" s="42">
        <f>ROUND(AW236+AX236-AY236-AZ236,2)</f>
        <v/>
      </c>
      <c r="BB236">
        <f>AV236-AZ236</f>
        <v/>
      </c>
      <c r="BC236" s="42">
        <f>BG235</f>
        <v/>
      </c>
      <c r="BD236" s="42">
        <f>ROUND(BC236*BD$6/12,2)</f>
        <v/>
      </c>
      <c r="BE236" s="42">
        <f>MIN(BE$6,BC236+BD236)</f>
        <v/>
      </c>
      <c r="BF236" s="42">
        <f>MAX(0,MIN(BC236+BD236-BE236,BB236))</f>
        <v/>
      </c>
      <c r="BG236" s="42">
        <f>ROUND(BC236+BD236-BE236-BF236,2)</f>
        <v/>
      </c>
      <c r="BH236">
        <f>BB236-BF236</f>
        <v/>
      </c>
      <c r="BI236" s="42">
        <f>BM235</f>
        <v/>
      </c>
      <c r="BJ236" s="42">
        <f>ROUND(BI236*BJ$6/12,2)</f>
        <v/>
      </c>
      <c r="BK236" s="42">
        <f>MIN(BK$6,BI236+BJ236)</f>
        <v/>
      </c>
      <c r="BL236" s="42">
        <f>MAX(0,MIN(BI236+BJ236-BK236,BH236))</f>
        <v/>
      </c>
      <c r="BM236" s="42">
        <f>ROUND(BI236+BJ236-BK236-BL236,2)</f>
        <v/>
      </c>
      <c r="BN236">
        <f>BH236-BL236</f>
        <v/>
      </c>
    </row>
    <row r="237">
      <c r="A237" s="43" t="n">
        <v>230</v>
      </c>
      <c r="B237" s="44">
        <f>EDATE('My Debts'!$C$6,A237-1)</f>
        <v/>
      </c>
      <c r="C237" s="45">
        <f>K237+Q237+W237+AC237+AI237+AO237+AU237+BA237+BG237+BM237</f>
        <v/>
      </c>
      <c r="D237" s="46">
        <f>I237+O237+U237+AA237+AG237+AM237+AS237+AY237+BE237+BK237+J237+P237+V237+AB237+AH237+AN237+AT237+AZ237+BF237+BL237</f>
        <v/>
      </c>
      <c r="E237" s="46">
        <f>H237+N237+T237+Z237+AF237+AL237+AR237+AX237+BD237+BJ237</f>
        <v/>
      </c>
      <c r="F237">
        <f>MAX(0,'My Debts'!$E$21-(I237+O237+U237+AA237+AG237+AM237+AS237+AY237+BE237+BK237))</f>
        <v/>
      </c>
      <c r="G237" s="42">
        <f>K236</f>
        <v/>
      </c>
      <c r="H237" s="42">
        <f>ROUND(G237*H$6/12,2)</f>
        <v/>
      </c>
      <c r="I237" s="42">
        <f>MIN(I$6,G237+H237)</f>
        <v/>
      </c>
      <c r="J237" s="42">
        <f>MAX(0,MIN(G237+H237-I237,$F237))</f>
        <v/>
      </c>
      <c r="K237" s="42">
        <f>ROUND(G237+H237-I237-J237,2)</f>
        <v/>
      </c>
      <c r="L237">
        <f>$F237-J237</f>
        <v/>
      </c>
      <c r="M237" s="42">
        <f>Q236</f>
        <v/>
      </c>
      <c r="N237" s="42">
        <f>ROUND(M237*N$6/12,2)</f>
        <v/>
      </c>
      <c r="O237" s="42">
        <f>MIN(O$6,M237+N237)</f>
        <v/>
      </c>
      <c r="P237" s="42">
        <f>MAX(0,MIN(M237+N237-O237,L237))</f>
        <v/>
      </c>
      <c r="Q237" s="42">
        <f>ROUND(M237+N237-O237-P237,2)</f>
        <v/>
      </c>
      <c r="R237">
        <f>L237-P237</f>
        <v/>
      </c>
      <c r="S237" s="42">
        <f>W236</f>
        <v/>
      </c>
      <c r="T237" s="42">
        <f>ROUND(S237*T$6/12,2)</f>
        <v/>
      </c>
      <c r="U237" s="42">
        <f>MIN(U$6,S237+T237)</f>
        <v/>
      </c>
      <c r="V237" s="42">
        <f>MAX(0,MIN(S237+T237-U237,R237))</f>
        <v/>
      </c>
      <c r="W237" s="42">
        <f>ROUND(S237+T237-U237-V237,2)</f>
        <v/>
      </c>
      <c r="X237">
        <f>R237-V237</f>
        <v/>
      </c>
      <c r="Y237" s="42">
        <f>AC236</f>
        <v/>
      </c>
      <c r="Z237" s="42">
        <f>ROUND(Y237*Z$6/12,2)</f>
        <v/>
      </c>
      <c r="AA237" s="42">
        <f>MIN(AA$6,Y237+Z237)</f>
        <v/>
      </c>
      <c r="AB237" s="42">
        <f>MAX(0,MIN(Y237+Z237-AA237,X237))</f>
        <v/>
      </c>
      <c r="AC237" s="42">
        <f>ROUND(Y237+Z237-AA237-AB237,2)</f>
        <v/>
      </c>
      <c r="AD237">
        <f>X237-AB237</f>
        <v/>
      </c>
      <c r="AE237" s="42">
        <f>AI236</f>
        <v/>
      </c>
      <c r="AF237" s="42">
        <f>ROUND(AE237*AF$6/12,2)</f>
        <v/>
      </c>
      <c r="AG237" s="42">
        <f>MIN(AG$6,AE237+AF237)</f>
        <v/>
      </c>
      <c r="AH237" s="42">
        <f>MAX(0,MIN(AE237+AF237-AG237,AD237))</f>
        <v/>
      </c>
      <c r="AI237" s="42">
        <f>ROUND(AE237+AF237-AG237-AH237,2)</f>
        <v/>
      </c>
      <c r="AJ237">
        <f>AD237-AH237</f>
        <v/>
      </c>
      <c r="AK237" s="42">
        <f>AO236</f>
        <v/>
      </c>
      <c r="AL237" s="42">
        <f>ROUND(AK237*AL$6/12,2)</f>
        <v/>
      </c>
      <c r="AM237" s="42">
        <f>MIN(AM$6,AK237+AL237)</f>
        <v/>
      </c>
      <c r="AN237" s="42">
        <f>MAX(0,MIN(AK237+AL237-AM237,AJ237))</f>
        <v/>
      </c>
      <c r="AO237" s="42">
        <f>ROUND(AK237+AL237-AM237-AN237,2)</f>
        <v/>
      </c>
      <c r="AP237">
        <f>AJ237-AN237</f>
        <v/>
      </c>
      <c r="AQ237" s="42">
        <f>AU236</f>
        <v/>
      </c>
      <c r="AR237" s="42">
        <f>ROUND(AQ237*AR$6/12,2)</f>
        <v/>
      </c>
      <c r="AS237" s="42">
        <f>MIN(AS$6,AQ237+AR237)</f>
        <v/>
      </c>
      <c r="AT237" s="42">
        <f>MAX(0,MIN(AQ237+AR237-AS237,AP237))</f>
        <v/>
      </c>
      <c r="AU237" s="42">
        <f>ROUND(AQ237+AR237-AS237-AT237,2)</f>
        <v/>
      </c>
      <c r="AV237">
        <f>AP237-AT237</f>
        <v/>
      </c>
      <c r="AW237" s="42">
        <f>BA236</f>
        <v/>
      </c>
      <c r="AX237" s="42">
        <f>ROUND(AW237*AX$6/12,2)</f>
        <v/>
      </c>
      <c r="AY237" s="42">
        <f>MIN(AY$6,AW237+AX237)</f>
        <v/>
      </c>
      <c r="AZ237" s="42">
        <f>MAX(0,MIN(AW237+AX237-AY237,AV237))</f>
        <v/>
      </c>
      <c r="BA237" s="42">
        <f>ROUND(AW237+AX237-AY237-AZ237,2)</f>
        <v/>
      </c>
      <c r="BB237">
        <f>AV237-AZ237</f>
        <v/>
      </c>
      <c r="BC237" s="42">
        <f>BG236</f>
        <v/>
      </c>
      <c r="BD237" s="42">
        <f>ROUND(BC237*BD$6/12,2)</f>
        <v/>
      </c>
      <c r="BE237" s="42">
        <f>MIN(BE$6,BC237+BD237)</f>
        <v/>
      </c>
      <c r="BF237" s="42">
        <f>MAX(0,MIN(BC237+BD237-BE237,BB237))</f>
        <v/>
      </c>
      <c r="BG237" s="42">
        <f>ROUND(BC237+BD237-BE237-BF237,2)</f>
        <v/>
      </c>
      <c r="BH237">
        <f>BB237-BF237</f>
        <v/>
      </c>
      <c r="BI237" s="42">
        <f>BM236</f>
        <v/>
      </c>
      <c r="BJ237" s="42">
        <f>ROUND(BI237*BJ$6/12,2)</f>
        <v/>
      </c>
      <c r="BK237" s="42">
        <f>MIN(BK$6,BI237+BJ237)</f>
        <v/>
      </c>
      <c r="BL237" s="42">
        <f>MAX(0,MIN(BI237+BJ237-BK237,BH237))</f>
        <v/>
      </c>
      <c r="BM237" s="42">
        <f>ROUND(BI237+BJ237-BK237-BL237,2)</f>
        <v/>
      </c>
      <c r="BN237">
        <f>BH237-BL237</f>
        <v/>
      </c>
    </row>
    <row r="238">
      <c r="A238" s="39" t="n">
        <v>231</v>
      </c>
      <c r="B238" s="40">
        <f>EDATE('My Debts'!$C$6,A238-1)</f>
        <v/>
      </c>
      <c r="C238" s="41">
        <f>K238+Q238+W238+AC238+AI238+AO238+AU238+BA238+BG238+BM238</f>
        <v/>
      </c>
      <c r="D238" s="42">
        <f>I238+O238+U238+AA238+AG238+AM238+AS238+AY238+BE238+BK238+J238+P238+V238+AB238+AH238+AN238+AT238+AZ238+BF238+BL238</f>
        <v/>
      </c>
      <c r="E238" s="42">
        <f>H238+N238+T238+Z238+AF238+AL238+AR238+AX238+BD238+BJ238</f>
        <v/>
      </c>
      <c r="F238">
        <f>MAX(0,'My Debts'!$E$21-(I238+O238+U238+AA238+AG238+AM238+AS238+AY238+BE238+BK238))</f>
        <v/>
      </c>
      <c r="G238" s="42">
        <f>K237</f>
        <v/>
      </c>
      <c r="H238" s="42">
        <f>ROUND(G238*H$6/12,2)</f>
        <v/>
      </c>
      <c r="I238" s="42">
        <f>MIN(I$6,G238+H238)</f>
        <v/>
      </c>
      <c r="J238" s="42">
        <f>MAX(0,MIN(G238+H238-I238,$F238))</f>
        <v/>
      </c>
      <c r="K238" s="42">
        <f>ROUND(G238+H238-I238-J238,2)</f>
        <v/>
      </c>
      <c r="L238">
        <f>$F238-J238</f>
        <v/>
      </c>
      <c r="M238" s="42">
        <f>Q237</f>
        <v/>
      </c>
      <c r="N238" s="42">
        <f>ROUND(M238*N$6/12,2)</f>
        <v/>
      </c>
      <c r="O238" s="42">
        <f>MIN(O$6,M238+N238)</f>
        <v/>
      </c>
      <c r="P238" s="42">
        <f>MAX(0,MIN(M238+N238-O238,L238))</f>
        <v/>
      </c>
      <c r="Q238" s="42">
        <f>ROUND(M238+N238-O238-P238,2)</f>
        <v/>
      </c>
      <c r="R238">
        <f>L238-P238</f>
        <v/>
      </c>
      <c r="S238" s="42">
        <f>W237</f>
        <v/>
      </c>
      <c r="T238" s="42">
        <f>ROUND(S238*T$6/12,2)</f>
        <v/>
      </c>
      <c r="U238" s="42">
        <f>MIN(U$6,S238+T238)</f>
        <v/>
      </c>
      <c r="V238" s="42">
        <f>MAX(0,MIN(S238+T238-U238,R238))</f>
        <v/>
      </c>
      <c r="W238" s="42">
        <f>ROUND(S238+T238-U238-V238,2)</f>
        <v/>
      </c>
      <c r="X238">
        <f>R238-V238</f>
        <v/>
      </c>
      <c r="Y238" s="42">
        <f>AC237</f>
        <v/>
      </c>
      <c r="Z238" s="42">
        <f>ROUND(Y238*Z$6/12,2)</f>
        <v/>
      </c>
      <c r="AA238" s="42">
        <f>MIN(AA$6,Y238+Z238)</f>
        <v/>
      </c>
      <c r="AB238" s="42">
        <f>MAX(0,MIN(Y238+Z238-AA238,X238))</f>
        <v/>
      </c>
      <c r="AC238" s="42">
        <f>ROUND(Y238+Z238-AA238-AB238,2)</f>
        <v/>
      </c>
      <c r="AD238">
        <f>X238-AB238</f>
        <v/>
      </c>
      <c r="AE238" s="42">
        <f>AI237</f>
        <v/>
      </c>
      <c r="AF238" s="42">
        <f>ROUND(AE238*AF$6/12,2)</f>
        <v/>
      </c>
      <c r="AG238" s="42">
        <f>MIN(AG$6,AE238+AF238)</f>
        <v/>
      </c>
      <c r="AH238" s="42">
        <f>MAX(0,MIN(AE238+AF238-AG238,AD238))</f>
        <v/>
      </c>
      <c r="AI238" s="42">
        <f>ROUND(AE238+AF238-AG238-AH238,2)</f>
        <v/>
      </c>
      <c r="AJ238">
        <f>AD238-AH238</f>
        <v/>
      </c>
      <c r="AK238" s="42">
        <f>AO237</f>
        <v/>
      </c>
      <c r="AL238" s="42">
        <f>ROUND(AK238*AL$6/12,2)</f>
        <v/>
      </c>
      <c r="AM238" s="42">
        <f>MIN(AM$6,AK238+AL238)</f>
        <v/>
      </c>
      <c r="AN238" s="42">
        <f>MAX(0,MIN(AK238+AL238-AM238,AJ238))</f>
        <v/>
      </c>
      <c r="AO238" s="42">
        <f>ROUND(AK238+AL238-AM238-AN238,2)</f>
        <v/>
      </c>
      <c r="AP238">
        <f>AJ238-AN238</f>
        <v/>
      </c>
      <c r="AQ238" s="42">
        <f>AU237</f>
        <v/>
      </c>
      <c r="AR238" s="42">
        <f>ROUND(AQ238*AR$6/12,2)</f>
        <v/>
      </c>
      <c r="AS238" s="42">
        <f>MIN(AS$6,AQ238+AR238)</f>
        <v/>
      </c>
      <c r="AT238" s="42">
        <f>MAX(0,MIN(AQ238+AR238-AS238,AP238))</f>
        <v/>
      </c>
      <c r="AU238" s="42">
        <f>ROUND(AQ238+AR238-AS238-AT238,2)</f>
        <v/>
      </c>
      <c r="AV238">
        <f>AP238-AT238</f>
        <v/>
      </c>
      <c r="AW238" s="42">
        <f>BA237</f>
        <v/>
      </c>
      <c r="AX238" s="42">
        <f>ROUND(AW238*AX$6/12,2)</f>
        <v/>
      </c>
      <c r="AY238" s="42">
        <f>MIN(AY$6,AW238+AX238)</f>
        <v/>
      </c>
      <c r="AZ238" s="42">
        <f>MAX(0,MIN(AW238+AX238-AY238,AV238))</f>
        <v/>
      </c>
      <c r="BA238" s="42">
        <f>ROUND(AW238+AX238-AY238-AZ238,2)</f>
        <v/>
      </c>
      <c r="BB238">
        <f>AV238-AZ238</f>
        <v/>
      </c>
      <c r="BC238" s="42">
        <f>BG237</f>
        <v/>
      </c>
      <c r="BD238" s="42">
        <f>ROUND(BC238*BD$6/12,2)</f>
        <v/>
      </c>
      <c r="BE238" s="42">
        <f>MIN(BE$6,BC238+BD238)</f>
        <v/>
      </c>
      <c r="BF238" s="42">
        <f>MAX(0,MIN(BC238+BD238-BE238,BB238))</f>
        <v/>
      </c>
      <c r="BG238" s="42">
        <f>ROUND(BC238+BD238-BE238-BF238,2)</f>
        <v/>
      </c>
      <c r="BH238">
        <f>BB238-BF238</f>
        <v/>
      </c>
      <c r="BI238" s="42">
        <f>BM237</f>
        <v/>
      </c>
      <c r="BJ238" s="42">
        <f>ROUND(BI238*BJ$6/12,2)</f>
        <v/>
      </c>
      <c r="BK238" s="42">
        <f>MIN(BK$6,BI238+BJ238)</f>
        <v/>
      </c>
      <c r="BL238" s="42">
        <f>MAX(0,MIN(BI238+BJ238-BK238,BH238))</f>
        <v/>
      </c>
      <c r="BM238" s="42">
        <f>ROUND(BI238+BJ238-BK238-BL238,2)</f>
        <v/>
      </c>
      <c r="BN238">
        <f>BH238-BL238</f>
        <v/>
      </c>
    </row>
    <row r="239">
      <c r="A239" s="43" t="n">
        <v>232</v>
      </c>
      <c r="B239" s="44">
        <f>EDATE('My Debts'!$C$6,A239-1)</f>
        <v/>
      </c>
      <c r="C239" s="45">
        <f>K239+Q239+W239+AC239+AI239+AO239+AU239+BA239+BG239+BM239</f>
        <v/>
      </c>
      <c r="D239" s="46">
        <f>I239+O239+U239+AA239+AG239+AM239+AS239+AY239+BE239+BK239+J239+P239+V239+AB239+AH239+AN239+AT239+AZ239+BF239+BL239</f>
        <v/>
      </c>
      <c r="E239" s="46">
        <f>H239+N239+T239+Z239+AF239+AL239+AR239+AX239+BD239+BJ239</f>
        <v/>
      </c>
      <c r="F239">
        <f>MAX(0,'My Debts'!$E$21-(I239+O239+U239+AA239+AG239+AM239+AS239+AY239+BE239+BK239))</f>
        <v/>
      </c>
      <c r="G239" s="42">
        <f>K238</f>
        <v/>
      </c>
      <c r="H239" s="42">
        <f>ROUND(G239*H$6/12,2)</f>
        <v/>
      </c>
      <c r="I239" s="42">
        <f>MIN(I$6,G239+H239)</f>
        <v/>
      </c>
      <c r="J239" s="42">
        <f>MAX(0,MIN(G239+H239-I239,$F239))</f>
        <v/>
      </c>
      <c r="K239" s="42">
        <f>ROUND(G239+H239-I239-J239,2)</f>
        <v/>
      </c>
      <c r="L239">
        <f>$F239-J239</f>
        <v/>
      </c>
      <c r="M239" s="42">
        <f>Q238</f>
        <v/>
      </c>
      <c r="N239" s="42">
        <f>ROUND(M239*N$6/12,2)</f>
        <v/>
      </c>
      <c r="O239" s="42">
        <f>MIN(O$6,M239+N239)</f>
        <v/>
      </c>
      <c r="P239" s="42">
        <f>MAX(0,MIN(M239+N239-O239,L239))</f>
        <v/>
      </c>
      <c r="Q239" s="42">
        <f>ROUND(M239+N239-O239-P239,2)</f>
        <v/>
      </c>
      <c r="R239">
        <f>L239-P239</f>
        <v/>
      </c>
      <c r="S239" s="42">
        <f>W238</f>
        <v/>
      </c>
      <c r="T239" s="42">
        <f>ROUND(S239*T$6/12,2)</f>
        <v/>
      </c>
      <c r="U239" s="42">
        <f>MIN(U$6,S239+T239)</f>
        <v/>
      </c>
      <c r="V239" s="42">
        <f>MAX(0,MIN(S239+T239-U239,R239))</f>
        <v/>
      </c>
      <c r="W239" s="42">
        <f>ROUND(S239+T239-U239-V239,2)</f>
        <v/>
      </c>
      <c r="X239">
        <f>R239-V239</f>
        <v/>
      </c>
      <c r="Y239" s="42">
        <f>AC238</f>
        <v/>
      </c>
      <c r="Z239" s="42">
        <f>ROUND(Y239*Z$6/12,2)</f>
        <v/>
      </c>
      <c r="AA239" s="42">
        <f>MIN(AA$6,Y239+Z239)</f>
        <v/>
      </c>
      <c r="AB239" s="42">
        <f>MAX(0,MIN(Y239+Z239-AA239,X239))</f>
        <v/>
      </c>
      <c r="AC239" s="42">
        <f>ROUND(Y239+Z239-AA239-AB239,2)</f>
        <v/>
      </c>
      <c r="AD239">
        <f>X239-AB239</f>
        <v/>
      </c>
      <c r="AE239" s="42">
        <f>AI238</f>
        <v/>
      </c>
      <c r="AF239" s="42">
        <f>ROUND(AE239*AF$6/12,2)</f>
        <v/>
      </c>
      <c r="AG239" s="42">
        <f>MIN(AG$6,AE239+AF239)</f>
        <v/>
      </c>
      <c r="AH239" s="42">
        <f>MAX(0,MIN(AE239+AF239-AG239,AD239))</f>
        <v/>
      </c>
      <c r="AI239" s="42">
        <f>ROUND(AE239+AF239-AG239-AH239,2)</f>
        <v/>
      </c>
      <c r="AJ239">
        <f>AD239-AH239</f>
        <v/>
      </c>
      <c r="AK239" s="42">
        <f>AO238</f>
        <v/>
      </c>
      <c r="AL239" s="42">
        <f>ROUND(AK239*AL$6/12,2)</f>
        <v/>
      </c>
      <c r="AM239" s="42">
        <f>MIN(AM$6,AK239+AL239)</f>
        <v/>
      </c>
      <c r="AN239" s="42">
        <f>MAX(0,MIN(AK239+AL239-AM239,AJ239))</f>
        <v/>
      </c>
      <c r="AO239" s="42">
        <f>ROUND(AK239+AL239-AM239-AN239,2)</f>
        <v/>
      </c>
      <c r="AP239">
        <f>AJ239-AN239</f>
        <v/>
      </c>
      <c r="AQ239" s="42">
        <f>AU238</f>
        <v/>
      </c>
      <c r="AR239" s="42">
        <f>ROUND(AQ239*AR$6/12,2)</f>
        <v/>
      </c>
      <c r="AS239" s="42">
        <f>MIN(AS$6,AQ239+AR239)</f>
        <v/>
      </c>
      <c r="AT239" s="42">
        <f>MAX(0,MIN(AQ239+AR239-AS239,AP239))</f>
        <v/>
      </c>
      <c r="AU239" s="42">
        <f>ROUND(AQ239+AR239-AS239-AT239,2)</f>
        <v/>
      </c>
      <c r="AV239">
        <f>AP239-AT239</f>
        <v/>
      </c>
      <c r="AW239" s="42">
        <f>BA238</f>
        <v/>
      </c>
      <c r="AX239" s="42">
        <f>ROUND(AW239*AX$6/12,2)</f>
        <v/>
      </c>
      <c r="AY239" s="42">
        <f>MIN(AY$6,AW239+AX239)</f>
        <v/>
      </c>
      <c r="AZ239" s="42">
        <f>MAX(0,MIN(AW239+AX239-AY239,AV239))</f>
        <v/>
      </c>
      <c r="BA239" s="42">
        <f>ROUND(AW239+AX239-AY239-AZ239,2)</f>
        <v/>
      </c>
      <c r="BB239">
        <f>AV239-AZ239</f>
        <v/>
      </c>
      <c r="BC239" s="42">
        <f>BG238</f>
        <v/>
      </c>
      <c r="BD239" s="42">
        <f>ROUND(BC239*BD$6/12,2)</f>
        <v/>
      </c>
      <c r="BE239" s="42">
        <f>MIN(BE$6,BC239+BD239)</f>
        <v/>
      </c>
      <c r="BF239" s="42">
        <f>MAX(0,MIN(BC239+BD239-BE239,BB239))</f>
        <v/>
      </c>
      <c r="BG239" s="42">
        <f>ROUND(BC239+BD239-BE239-BF239,2)</f>
        <v/>
      </c>
      <c r="BH239">
        <f>BB239-BF239</f>
        <v/>
      </c>
      <c r="BI239" s="42">
        <f>BM238</f>
        <v/>
      </c>
      <c r="BJ239" s="42">
        <f>ROUND(BI239*BJ$6/12,2)</f>
        <v/>
      </c>
      <c r="BK239" s="42">
        <f>MIN(BK$6,BI239+BJ239)</f>
        <v/>
      </c>
      <c r="BL239" s="42">
        <f>MAX(0,MIN(BI239+BJ239-BK239,BH239))</f>
        <v/>
      </c>
      <c r="BM239" s="42">
        <f>ROUND(BI239+BJ239-BK239-BL239,2)</f>
        <v/>
      </c>
      <c r="BN239">
        <f>BH239-BL239</f>
        <v/>
      </c>
    </row>
    <row r="240">
      <c r="A240" s="39" t="n">
        <v>233</v>
      </c>
      <c r="B240" s="40">
        <f>EDATE('My Debts'!$C$6,A240-1)</f>
        <v/>
      </c>
      <c r="C240" s="41">
        <f>K240+Q240+W240+AC240+AI240+AO240+AU240+BA240+BG240+BM240</f>
        <v/>
      </c>
      <c r="D240" s="42">
        <f>I240+O240+U240+AA240+AG240+AM240+AS240+AY240+BE240+BK240+J240+P240+V240+AB240+AH240+AN240+AT240+AZ240+BF240+BL240</f>
        <v/>
      </c>
      <c r="E240" s="42">
        <f>H240+N240+T240+Z240+AF240+AL240+AR240+AX240+BD240+BJ240</f>
        <v/>
      </c>
      <c r="F240">
        <f>MAX(0,'My Debts'!$E$21-(I240+O240+U240+AA240+AG240+AM240+AS240+AY240+BE240+BK240))</f>
        <v/>
      </c>
      <c r="G240" s="42">
        <f>K239</f>
        <v/>
      </c>
      <c r="H240" s="42">
        <f>ROUND(G240*H$6/12,2)</f>
        <v/>
      </c>
      <c r="I240" s="42">
        <f>MIN(I$6,G240+H240)</f>
        <v/>
      </c>
      <c r="J240" s="42">
        <f>MAX(0,MIN(G240+H240-I240,$F240))</f>
        <v/>
      </c>
      <c r="K240" s="42">
        <f>ROUND(G240+H240-I240-J240,2)</f>
        <v/>
      </c>
      <c r="L240">
        <f>$F240-J240</f>
        <v/>
      </c>
      <c r="M240" s="42">
        <f>Q239</f>
        <v/>
      </c>
      <c r="N240" s="42">
        <f>ROUND(M240*N$6/12,2)</f>
        <v/>
      </c>
      <c r="O240" s="42">
        <f>MIN(O$6,M240+N240)</f>
        <v/>
      </c>
      <c r="P240" s="42">
        <f>MAX(0,MIN(M240+N240-O240,L240))</f>
        <v/>
      </c>
      <c r="Q240" s="42">
        <f>ROUND(M240+N240-O240-P240,2)</f>
        <v/>
      </c>
      <c r="R240">
        <f>L240-P240</f>
        <v/>
      </c>
      <c r="S240" s="42">
        <f>W239</f>
        <v/>
      </c>
      <c r="T240" s="42">
        <f>ROUND(S240*T$6/12,2)</f>
        <v/>
      </c>
      <c r="U240" s="42">
        <f>MIN(U$6,S240+T240)</f>
        <v/>
      </c>
      <c r="V240" s="42">
        <f>MAX(0,MIN(S240+T240-U240,R240))</f>
        <v/>
      </c>
      <c r="W240" s="42">
        <f>ROUND(S240+T240-U240-V240,2)</f>
        <v/>
      </c>
      <c r="X240">
        <f>R240-V240</f>
        <v/>
      </c>
      <c r="Y240" s="42">
        <f>AC239</f>
        <v/>
      </c>
      <c r="Z240" s="42">
        <f>ROUND(Y240*Z$6/12,2)</f>
        <v/>
      </c>
      <c r="AA240" s="42">
        <f>MIN(AA$6,Y240+Z240)</f>
        <v/>
      </c>
      <c r="AB240" s="42">
        <f>MAX(0,MIN(Y240+Z240-AA240,X240))</f>
        <v/>
      </c>
      <c r="AC240" s="42">
        <f>ROUND(Y240+Z240-AA240-AB240,2)</f>
        <v/>
      </c>
      <c r="AD240">
        <f>X240-AB240</f>
        <v/>
      </c>
      <c r="AE240" s="42">
        <f>AI239</f>
        <v/>
      </c>
      <c r="AF240" s="42">
        <f>ROUND(AE240*AF$6/12,2)</f>
        <v/>
      </c>
      <c r="AG240" s="42">
        <f>MIN(AG$6,AE240+AF240)</f>
        <v/>
      </c>
      <c r="AH240" s="42">
        <f>MAX(0,MIN(AE240+AF240-AG240,AD240))</f>
        <v/>
      </c>
      <c r="AI240" s="42">
        <f>ROUND(AE240+AF240-AG240-AH240,2)</f>
        <v/>
      </c>
      <c r="AJ240">
        <f>AD240-AH240</f>
        <v/>
      </c>
      <c r="AK240" s="42">
        <f>AO239</f>
        <v/>
      </c>
      <c r="AL240" s="42">
        <f>ROUND(AK240*AL$6/12,2)</f>
        <v/>
      </c>
      <c r="AM240" s="42">
        <f>MIN(AM$6,AK240+AL240)</f>
        <v/>
      </c>
      <c r="AN240" s="42">
        <f>MAX(0,MIN(AK240+AL240-AM240,AJ240))</f>
        <v/>
      </c>
      <c r="AO240" s="42">
        <f>ROUND(AK240+AL240-AM240-AN240,2)</f>
        <v/>
      </c>
      <c r="AP240">
        <f>AJ240-AN240</f>
        <v/>
      </c>
      <c r="AQ240" s="42">
        <f>AU239</f>
        <v/>
      </c>
      <c r="AR240" s="42">
        <f>ROUND(AQ240*AR$6/12,2)</f>
        <v/>
      </c>
      <c r="AS240" s="42">
        <f>MIN(AS$6,AQ240+AR240)</f>
        <v/>
      </c>
      <c r="AT240" s="42">
        <f>MAX(0,MIN(AQ240+AR240-AS240,AP240))</f>
        <v/>
      </c>
      <c r="AU240" s="42">
        <f>ROUND(AQ240+AR240-AS240-AT240,2)</f>
        <v/>
      </c>
      <c r="AV240">
        <f>AP240-AT240</f>
        <v/>
      </c>
      <c r="AW240" s="42">
        <f>BA239</f>
        <v/>
      </c>
      <c r="AX240" s="42">
        <f>ROUND(AW240*AX$6/12,2)</f>
        <v/>
      </c>
      <c r="AY240" s="42">
        <f>MIN(AY$6,AW240+AX240)</f>
        <v/>
      </c>
      <c r="AZ240" s="42">
        <f>MAX(0,MIN(AW240+AX240-AY240,AV240))</f>
        <v/>
      </c>
      <c r="BA240" s="42">
        <f>ROUND(AW240+AX240-AY240-AZ240,2)</f>
        <v/>
      </c>
      <c r="BB240">
        <f>AV240-AZ240</f>
        <v/>
      </c>
      <c r="BC240" s="42">
        <f>BG239</f>
        <v/>
      </c>
      <c r="BD240" s="42">
        <f>ROUND(BC240*BD$6/12,2)</f>
        <v/>
      </c>
      <c r="BE240" s="42">
        <f>MIN(BE$6,BC240+BD240)</f>
        <v/>
      </c>
      <c r="BF240" s="42">
        <f>MAX(0,MIN(BC240+BD240-BE240,BB240))</f>
        <v/>
      </c>
      <c r="BG240" s="42">
        <f>ROUND(BC240+BD240-BE240-BF240,2)</f>
        <v/>
      </c>
      <c r="BH240">
        <f>BB240-BF240</f>
        <v/>
      </c>
      <c r="BI240" s="42">
        <f>BM239</f>
        <v/>
      </c>
      <c r="BJ240" s="42">
        <f>ROUND(BI240*BJ$6/12,2)</f>
        <v/>
      </c>
      <c r="BK240" s="42">
        <f>MIN(BK$6,BI240+BJ240)</f>
        <v/>
      </c>
      <c r="BL240" s="42">
        <f>MAX(0,MIN(BI240+BJ240-BK240,BH240))</f>
        <v/>
      </c>
      <c r="BM240" s="42">
        <f>ROUND(BI240+BJ240-BK240-BL240,2)</f>
        <v/>
      </c>
      <c r="BN240">
        <f>BH240-BL240</f>
        <v/>
      </c>
    </row>
    <row r="241">
      <c r="A241" s="43" t="n">
        <v>234</v>
      </c>
      <c r="B241" s="44">
        <f>EDATE('My Debts'!$C$6,A241-1)</f>
        <v/>
      </c>
      <c r="C241" s="45">
        <f>K241+Q241+W241+AC241+AI241+AO241+AU241+BA241+BG241+BM241</f>
        <v/>
      </c>
      <c r="D241" s="46">
        <f>I241+O241+U241+AA241+AG241+AM241+AS241+AY241+BE241+BK241+J241+P241+V241+AB241+AH241+AN241+AT241+AZ241+BF241+BL241</f>
        <v/>
      </c>
      <c r="E241" s="46">
        <f>H241+N241+T241+Z241+AF241+AL241+AR241+AX241+BD241+BJ241</f>
        <v/>
      </c>
      <c r="F241">
        <f>MAX(0,'My Debts'!$E$21-(I241+O241+U241+AA241+AG241+AM241+AS241+AY241+BE241+BK241))</f>
        <v/>
      </c>
      <c r="G241" s="42">
        <f>K240</f>
        <v/>
      </c>
      <c r="H241" s="42">
        <f>ROUND(G241*H$6/12,2)</f>
        <v/>
      </c>
      <c r="I241" s="42">
        <f>MIN(I$6,G241+H241)</f>
        <v/>
      </c>
      <c r="J241" s="42">
        <f>MAX(0,MIN(G241+H241-I241,$F241))</f>
        <v/>
      </c>
      <c r="K241" s="42">
        <f>ROUND(G241+H241-I241-J241,2)</f>
        <v/>
      </c>
      <c r="L241">
        <f>$F241-J241</f>
        <v/>
      </c>
      <c r="M241" s="42">
        <f>Q240</f>
        <v/>
      </c>
      <c r="N241" s="42">
        <f>ROUND(M241*N$6/12,2)</f>
        <v/>
      </c>
      <c r="O241" s="42">
        <f>MIN(O$6,M241+N241)</f>
        <v/>
      </c>
      <c r="P241" s="42">
        <f>MAX(0,MIN(M241+N241-O241,L241))</f>
        <v/>
      </c>
      <c r="Q241" s="42">
        <f>ROUND(M241+N241-O241-P241,2)</f>
        <v/>
      </c>
      <c r="R241">
        <f>L241-P241</f>
        <v/>
      </c>
      <c r="S241" s="42">
        <f>W240</f>
        <v/>
      </c>
      <c r="T241" s="42">
        <f>ROUND(S241*T$6/12,2)</f>
        <v/>
      </c>
      <c r="U241" s="42">
        <f>MIN(U$6,S241+T241)</f>
        <v/>
      </c>
      <c r="V241" s="42">
        <f>MAX(0,MIN(S241+T241-U241,R241))</f>
        <v/>
      </c>
      <c r="W241" s="42">
        <f>ROUND(S241+T241-U241-V241,2)</f>
        <v/>
      </c>
      <c r="X241">
        <f>R241-V241</f>
        <v/>
      </c>
      <c r="Y241" s="42">
        <f>AC240</f>
        <v/>
      </c>
      <c r="Z241" s="42">
        <f>ROUND(Y241*Z$6/12,2)</f>
        <v/>
      </c>
      <c r="AA241" s="42">
        <f>MIN(AA$6,Y241+Z241)</f>
        <v/>
      </c>
      <c r="AB241" s="42">
        <f>MAX(0,MIN(Y241+Z241-AA241,X241))</f>
        <v/>
      </c>
      <c r="AC241" s="42">
        <f>ROUND(Y241+Z241-AA241-AB241,2)</f>
        <v/>
      </c>
      <c r="AD241">
        <f>X241-AB241</f>
        <v/>
      </c>
      <c r="AE241" s="42">
        <f>AI240</f>
        <v/>
      </c>
      <c r="AF241" s="42">
        <f>ROUND(AE241*AF$6/12,2)</f>
        <v/>
      </c>
      <c r="AG241" s="42">
        <f>MIN(AG$6,AE241+AF241)</f>
        <v/>
      </c>
      <c r="AH241" s="42">
        <f>MAX(0,MIN(AE241+AF241-AG241,AD241))</f>
        <v/>
      </c>
      <c r="AI241" s="42">
        <f>ROUND(AE241+AF241-AG241-AH241,2)</f>
        <v/>
      </c>
      <c r="AJ241">
        <f>AD241-AH241</f>
        <v/>
      </c>
      <c r="AK241" s="42">
        <f>AO240</f>
        <v/>
      </c>
      <c r="AL241" s="42">
        <f>ROUND(AK241*AL$6/12,2)</f>
        <v/>
      </c>
      <c r="AM241" s="42">
        <f>MIN(AM$6,AK241+AL241)</f>
        <v/>
      </c>
      <c r="AN241" s="42">
        <f>MAX(0,MIN(AK241+AL241-AM241,AJ241))</f>
        <v/>
      </c>
      <c r="AO241" s="42">
        <f>ROUND(AK241+AL241-AM241-AN241,2)</f>
        <v/>
      </c>
      <c r="AP241">
        <f>AJ241-AN241</f>
        <v/>
      </c>
      <c r="AQ241" s="42">
        <f>AU240</f>
        <v/>
      </c>
      <c r="AR241" s="42">
        <f>ROUND(AQ241*AR$6/12,2)</f>
        <v/>
      </c>
      <c r="AS241" s="42">
        <f>MIN(AS$6,AQ241+AR241)</f>
        <v/>
      </c>
      <c r="AT241" s="42">
        <f>MAX(0,MIN(AQ241+AR241-AS241,AP241))</f>
        <v/>
      </c>
      <c r="AU241" s="42">
        <f>ROUND(AQ241+AR241-AS241-AT241,2)</f>
        <v/>
      </c>
      <c r="AV241">
        <f>AP241-AT241</f>
        <v/>
      </c>
      <c r="AW241" s="42">
        <f>BA240</f>
        <v/>
      </c>
      <c r="AX241" s="42">
        <f>ROUND(AW241*AX$6/12,2)</f>
        <v/>
      </c>
      <c r="AY241" s="42">
        <f>MIN(AY$6,AW241+AX241)</f>
        <v/>
      </c>
      <c r="AZ241" s="42">
        <f>MAX(0,MIN(AW241+AX241-AY241,AV241))</f>
        <v/>
      </c>
      <c r="BA241" s="42">
        <f>ROUND(AW241+AX241-AY241-AZ241,2)</f>
        <v/>
      </c>
      <c r="BB241">
        <f>AV241-AZ241</f>
        <v/>
      </c>
      <c r="BC241" s="42">
        <f>BG240</f>
        <v/>
      </c>
      <c r="BD241" s="42">
        <f>ROUND(BC241*BD$6/12,2)</f>
        <v/>
      </c>
      <c r="BE241" s="42">
        <f>MIN(BE$6,BC241+BD241)</f>
        <v/>
      </c>
      <c r="BF241" s="42">
        <f>MAX(0,MIN(BC241+BD241-BE241,BB241))</f>
        <v/>
      </c>
      <c r="BG241" s="42">
        <f>ROUND(BC241+BD241-BE241-BF241,2)</f>
        <v/>
      </c>
      <c r="BH241">
        <f>BB241-BF241</f>
        <v/>
      </c>
      <c r="BI241" s="42">
        <f>BM240</f>
        <v/>
      </c>
      <c r="BJ241" s="42">
        <f>ROUND(BI241*BJ$6/12,2)</f>
        <v/>
      </c>
      <c r="BK241" s="42">
        <f>MIN(BK$6,BI241+BJ241)</f>
        <v/>
      </c>
      <c r="BL241" s="42">
        <f>MAX(0,MIN(BI241+BJ241-BK241,BH241))</f>
        <v/>
      </c>
      <c r="BM241" s="42">
        <f>ROUND(BI241+BJ241-BK241-BL241,2)</f>
        <v/>
      </c>
      <c r="BN241">
        <f>BH241-BL241</f>
        <v/>
      </c>
    </row>
    <row r="242">
      <c r="A242" s="39" t="n">
        <v>235</v>
      </c>
      <c r="B242" s="40">
        <f>EDATE('My Debts'!$C$6,A242-1)</f>
        <v/>
      </c>
      <c r="C242" s="41">
        <f>K242+Q242+W242+AC242+AI242+AO242+AU242+BA242+BG242+BM242</f>
        <v/>
      </c>
      <c r="D242" s="42">
        <f>I242+O242+U242+AA242+AG242+AM242+AS242+AY242+BE242+BK242+J242+P242+V242+AB242+AH242+AN242+AT242+AZ242+BF242+BL242</f>
        <v/>
      </c>
      <c r="E242" s="42">
        <f>H242+N242+T242+Z242+AF242+AL242+AR242+AX242+BD242+BJ242</f>
        <v/>
      </c>
      <c r="F242">
        <f>MAX(0,'My Debts'!$E$21-(I242+O242+U242+AA242+AG242+AM242+AS242+AY242+BE242+BK242))</f>
        <v/>
      </c>
      <c r="G242" s="42">
        <f>K241</f>
        <v/>
      </c>
      <c r="H242" s="42">
        <f>ROUND(G242*H$6/12,2)</f>
        <v/>
      </c>
      <c r="I242" s="42">
        <f>MIN(I$6,G242+H242)</f>
        <v/>
      </c>
      <c r="J242" s="42">
        <f>MAX(0,MIN(G242+H242-I242,$F242))</f>
        <v/>
      </c>
      <c r="K242" s="42">
        <f>ROUND(G242+H242-I242-J242,2)</f>
        <v/>
      </c>
      <c r="L242">
        <f>$F242-J242</f>
        <v/>
      </c>
      <c r="M242" s="42">
        <f>Q241</f>
        <v/>
      </c>
      <c r="N242" s="42">
        <f>ROUND(M242*N$6/12,2)</f>
        <v/>
      </c>
      <c r="O242" s="42">
        <f>MIN(O$6,M242+N242)</f>
        <v/>
      </c>
      <c r="P242" s="42">
        <f>MAX(0,MIN(M242+N242-O242,L242))</f>
        <v/>
      </c>
      <c r="Q242" s="42">
        <f>ROUND(M242+N242-O242-P242,2)</f>
        <v/>
      </c>
      <c r="R242">
        <f>L242-P242</f>
        <v/>
      </c>
      <c r="S242" s="42">
        <f>W241</f>
        <v/>
      </c>
      <c r="T242" s="42">
        <f>ROUND(S242*T$6/12,2)</f>
        <v/>
      </c>
      <c r="U242" s="42">
        <f>MIN(U$6,S242+T242)</f>
        <v/>
      </c>
      <c r="V242" s="42">
        <f>MAX(0,MIN(S242+T242-U242,R242))</f>
        <v/>
      </c>
      <c r="W242" s="42">
        <f>ROUND(S242+T242-U242-V242,2)</f>
        <v/>
      </c>
      <c r="X242">
        <f>R242-V242</f>
        <v/>
      </c>
      <c r="Y242" s="42">
        <f>AC241</f>
        <v/>
      </c>
      <c r="Z242" s="42">
        <f>ROUND(Y242*Z$6/12,2)</f>
        <v/>
      </c>
      <c r="AA242" s="42">
        <f>MIN(AA$6,Y242+Z242)</f>
        <v/>
      </c>
      <c r="AB242" s="42">
        <f>MAX(0,MIN(Y242+Z242-AA242,X242))</f>
        <v/>
      </c>
      <c r="AC242" s="42">
        <f>ROUND(Y242+Z242-AA242-AB242,2)</f>
        <v/>
      </c>
      <c r="AD242">
        <f>X242-AB242</f>
        <v/>
      </c>
      <c r="AE242" s="42">
        <f>AI241</f>
        <v/>
      </c>
      <c r="AF242" s="42">
        <f>ROUND(AE242*AF$6/12,2)</f>
        <v/>
      </c>
      <c r="AG242" s="42">
        <f>MIN(AG$6,AE242+AF242)</f>
        <v/>
      </c>
      <c r="AH242" s="42">
        <f>MAX(0,MIN(AE242+AF242-AG242,AD242))</f>
        <v/>
      </c>
      <c r="AI242" s="42">
        <f>ROUND(AE242+AF242-AG242-AH242,2)</f>
        <v/>
      </c>
      <c r="AJ242">
        <f>AD242-AH242</f>
        <v/>
      </c>
      <c r="AK242" s="42">
        <f>AO241</f>
        <v/>
      </c>
      <c r="AL242" s="42">
        <f>ROUND(AK242*AL$6/12,2)</f>
        <v/>
      </c>
      <c r="AM242" s="42">
        <f>MIN(AM$6,AK242+AL242)</f>
        <v/>
      </c>
      <c r="AN242" s="42">
        <f>MAX(0,MIN(AK242+AL242-AM242,AJ242))</f>
        <v/>
      </c>
      <c r="AO242" s="42">
        <f>ROUND(AK242+AL242-AM242-AN242,2)</f>
        <v/>
      </c>
      <c r="AP242">
        <f>AJ242-AN242</f>
        <v/>
      </c>
      <c r="AQ242" s="42">
        <f>AU241</f>
        <v/>
      </c>
      <c r="AR242" s="42">
        <f>ROUND(AQ242*AR$6/12,2)</f>
        <v/>
      </c>
      <c r="AS242" s="42">
        <f>MIN(AS$6,AQ242+AR242)</f>
        <v/>
      </c>
      <c r="AT242" s="42">
        <f>MAX(0,MIN(AQ242+AR242-AS242,AP242))</f>
        <v/>
      </c>
      <c r="AU242" s="42">
        <f>ROUND(AQ242+AR242-AS242-AT242,2)</f>
        <v/>
      </c>
      <c r="AV242">
        <f>AP242-AT242</f>
        <v/>
      </c>
      <c r="AW242" s="42">
        <f>BA241</f>
        <v/>
      </c>
      <c r="AX242" s="42">
        <f>ROUND(AW242*AX$6/12,2)</f>
        <v/>
      </c>
      <c r="AY242" s="42">
        <f>MIN(AY$6,AW242+AX242)</f>
        <v/>
      </c>
      <c r="AZ242" s="42">
        <f>MAX(0,MIN(AW242+AX242-AY242,AV242))</f>
        <v/>
      </c>
      <c r="BA242" s="42">
        <f>ROUND(AW242+AX242-AY242-AZ242,2)</f>
        <v/>
      </c>
      <c r="BB242">
        <f>AV242-AZ242</f>
        <v/>
      </c>
      <c r="BC242" s="42">
        <f>BG241</f>
        <v/>
      </c>
      <c r="BD242" s="42">
        <f>ROUND(BC242*BD$6/12,2)</f>
        <v/>
      </c>
      <c r="BE242" s="42">
        <f>MIN(BE$6,BC242+BD242)</f>
        <v/>
      </c>
      <c r="BF242" s="42">
        <f>MAX(0,MIN(BC242+BD242-BE242,BB242))</f>
        <v/>
      </c>
      <c r="BG242" s="42">
        <f>ROUND(BC242+BD242-BE242-BF242,2)</f>
        <v/>
      </c>
      <c r="BH242">
        <f>BB242-BF242</f>
        <v/>
      </c>
      <c r="BI242" s="42">
        <f>BM241</f>
        <v/>
      </c>
      <c r="BJ242" s="42">
        <f>ROUND(BI242*BJ$6/12,2)</f>
        <v/>
      </c>
      <c r="BK242" s="42">
        <f>MIN(BK$6,BI242+BJ242)</f>
        <v/>
      </c>
      <c r="BL242" s="42">
        <f>MAX(0,MIN(BI242+BJ242-BK242,BH242))</f>
        <v/>
      </c>
      <c r="BM242" s="42">
        <f>ROUND(BI242+BJ242-BK242-BL242,2)</f>
        <v/>
      </c>
      <c r="BN242">
        <f>BH242-BL242</f>
        <v/>
      </c>
    </row>
    <row r="243">
      <c r="A243" s="43" t="n">
        <v>236</v>
      </c>
      <c r="B243" s="44">
        <f>EDATE('My Debts'!$C$6,A243-1)</f>
        <v/>
      </c>
      <c r="C243" s="45">
        <f>K243+Q243+W243+AC243+AI243+AO243+AU243+BA243+BG243+BM243</f>
        <v/>
      </c>
      <c r="D243" s="46">
        <f>I243+O243+U243+AA243+AG243+AM243+AS243+AY243+BE243+BK243+J243+P243+V243+AB243+AH243+AN243+AT243+AZ243+BF243+BL243</f>
        <v/>
      </c>
      <c r="E243" s="46">
        <f>H243+N243+T243+Z243+AF243+AL243+AR243+AX243+BD243+BJ243</f>
        <v/>
      </c>
      <c r="F243">
        <f>MAX(0,'My Debts'!$E$21-(I243+O243+U243+AA243+AG243+AM243+AS243+AY243+BE243+BK243))</f>
        <v/>
      </c>
      <c r="G243" s="42">
        <f>K242</f>
        <v/>
      </c>
      <c r="H243" s="42">
        <f>ROUND(G243*H$6/12,2)</f>
        <v/>
      </c>
      <c r="I243" s="42">
        <f>MIN(I$6,G243+H243)</f>
        <v/>
      </c>
      <c r="J243" s="42">
        <f>MAX(0,MIN(G243+H243-I243,$F243))</f>
        <v/>
      </c>
      <c r="K243" s="42">
        <f>ROUND(G243+H243-I243-J243,2)</f>
        <v/>
      </c>
      <c r="L243">
        <f>$F243-J243</f>
        <v/>
      </c>
      <c r="M243" s="42">
        <f>Q242</f>
        <v/>
      </c>
      <c r="N243" s="42">
        <f>ROUND(M243*N$6/12,2)</f>
        <v/>
      </c>
      <c r="O243" s="42">
        <f>MIN(O$6,M243+N243)</f>
        <v/>
      </c>
      <c r="P243" s="42">
        <f>MAX(0,MIN(M243+N243-O243,L243))</f>
        <v/>
      </c>
      <c r="Q243" s="42">
        <f>ROUND(M243+N243-O243-P243,2)</f>
        <v/>
      </c>
      <c r="R243">
        <f>L243-P243</f>
        <v/>
      </c>
      <c r="S243" s="42">
        <f>W242</f>
        <v/>
      </c>
      <c r="T243" s="42">
        <f>ROUND(S243*T$6/12,2)</f>
        <v/>
      </c>
      <c r="U243" s="42">
        <f>MIN(U$6,S243+T243)</f>
        <v/>
      </c>
      <c r="V243" s="42">
        <f>MAX(0,MIN(S243+T243-U243,R243))</f>
        <v/>
      </c>
      <c r="W243" s="42">
        <f>ROUND(S243+T243-U243-V243,2)</f>
        <v/>
      </c>
      <c r="X243">
        <f>R243-V243</f>
        <v/>
      </c>
      <c r="Y243" s="42">
        <f>AC242</f>
        <v/>
      </c>
      <c r="Z243" s="42">
        <f>ROUND(Y243*Z$6/12,2)</f>
        <v/>
      </c>
      <c r="AA243" s="42">
        <f>MIN(AA$6,Y243+Z243)</f>
        <v/>
      </c>
      <c r="AB243" s="42">
        <f>MAX(0,MIN(Y243+Z243-AA243,X243))</f>
        <v/>
      </c>
      <c r="AC243" s="42">
        <f>ROUND(Y243+Z243-AA243-AB243,2)</f>
        <v/>
      </c>
      <c r="AD243">
        <f>X243-AB243</f>
        <v/>
      </c>
      <c r="AE243" s="42">
        <f>AI242</f>
        <v/>
      </c>
      <c r="AF243" s="42">
        <f>ROUND(AE243*AF$6/12,2)</f>
        <v/>
      </c>
      <c r="AG243" s="42">
        <f>MIN(AG$6,AE243+AF243)</f>
        <v/>
      </c>
      <c r="AH243" s="42">
        <f>MAX(0,MIN(AE243+AF243-AG243,AD243))</f>
        <v/>
      </c>
      <c r="AI243" s="42">
        <f>ROUND(AE243+AF243-AG243-AH243,2)</f>
        <v/>
      </c>
      <c r="AJ243">
        <f>AD243-AH243</f>
        <v/>
      </c>
      <c r="AK243" s="42">
        <f>AO242</f>
        <v/>
      </c>
      <c r="AL243" s="42">
        <f>ROUND(AK243*AL$6/12,2)</f>
        <v/>
      </c>
      <c r="AM243" s="42">
        <f>MIN(AM$6,AK243+AL243)</f>
        <v/>
      </c>
      <c r="AN243" s="42">
        <f>MAX(0,MIN(AK243+AL243-AM243,AJ243))</f>
        <v/>
      </c>
      <c r="AO243" s="42">
        <f>ROUND(AK243+AL243-AM243-AN243,2)</f>
        <v/>
      </c>
      <c r="AP243">
        <f>AJ243-AN243</f>
        <v/>
      </c>
      <c r="AQ243" s="42">
        <f>AU242</f>
        <v/>
      </c>
      <c r="AR243" s="42">
        <f>ROUND(AQ243*AR$6/12,2)</f>
        <v/>
      </c>
      <c r="AS243" s="42">
        <f>MIN(AS$6,AQ243+AR243)</f>
        <v/>
      </c>
      <c r="AT243" s="42">
        <f>MAX(0,MIN(AQ243+AR243-AS243,AP243))</f>
        <v/>
      </c>
      <c r="AU243" s="42">
        <f>ROUND(AQ243+AR243-AS243-AT243,2)</f>
        <v/>
      </c>
      <c r="AV243">
        <f>AP243-AT243</f>
        <v/>
      </c>
      <c r="AW243" s="42">
        <f>BA242</f>
        <v/>
      </c>
      <c r="AX243" s="42">
        <f>ROUND(AW243*AX$6/12,2)</f>
        <v/>
      </c>
      <c r="AY243" s="42">
        <f>MIN(AY$6,AW243+AX243)</f>
        <v/>
      </c>
      <c r="AZ243" s="42">
        <f>MAX(0,MIN(AW243+AX243-AY243,AV243))</f>
        <v/>
      </c>
      <c r="BA243" s="42">
        <f>ROUND(AW243+AX243-AY243-AZ243,2)</f>
        <v/>
      </c>
      <c r="BB243">
        <f>AV243-AZ243</f>
        <v/>
      </c>
      <c r="BC243" s="42">
        <f>BG242</f>
        <v/>
      </c>
      <c r="BD243" s="42">
        <f>ROUND(BC243*BD$6/12,2)</f>
        <v/>
      </c>
      <c r="BE243" s="42">
        <f>MIN(BE$6,BC243+BD243)</f>
        <v/>
      </c>
      <c r="BF243" s="42">
        <f>MAX(0,MIN(BC243+BD243-BE243,BB243))</f>
        <v/>
      </c>
      <c r="BG243" s="42">
        <f>ROUND(BC243+BD243-BE243-BF243,2)</f>
        <v/>
      </c>
      <c r="BH243">
        <f>BB243-BF243</f>
        <v/>
      </c>
      <c r="BI243" s="42">
        <f>BM242</f>
        <v/>
      </c>
      <c r="BJ243" s="42">
        <f>ROUND(BI243*BJ$6/12,2)</f>
        <v/>
      </c>
      <c r="BK243" s="42">
        <f>MIN(BK$6,BI243+BJ243)</f>
        <v/>
      </c>
      <c r="BL243" s="42">
        <f>MAX(0,MIN(BI243+BJ243-BK243,BH243))</f>
        <v/>
      </c>
      <c r="BM243" s="42">
        <f>ROUND(BI243+BJ243-BK243-BL243,2)</f>
        <v/>
      </c>
      <c r="BN243">
        <f>BH243-BL243</f>
        <v/>
      </c>
    </row>
    <row r="244">
      <c r="A244" s="39" t="n">
        <v>237</v>
      </c>
      <c r="B244" s="40">
        <f>EDATE('My Debts'!$C$6,A244-1)</f>
        <v/>
      </c>
      <c r="C244" s="41">
        <f>K244+Q244+W244+AC244+AI244+AO244+AU244+BA244+BG244+BM244</f>
        <v/>
      </c>
      <c r="D244" s="42">
        <f>I244+O244+U244+AA244+AG244+AM244+AS244+AY244+BE244+BK244+J244+P244+V244+AB244+AH244+AN244+AT244+AZ244+BF244+BL244</f>
        <v/>
      </c>
      <c r="E244" s="42">
        <f>H244+N244+T244+Z244+AF244+AL244+AR244+AX244+BD244+BJ244</f>
        <v/>
      </c>
      <c r="F244">
        <f>MAX(0,'My Debts'!$E$21-(I244+O244+U244+AA244+AG244+AM244+AS244+AY244+BE244+BK244))</f>
        <v/>
      </c>
      <c r="G244" s="42">
        <f>K243</f>
        <v/>
      </c>
      <c r="H244" s="42">
        <f>ROUND(G244*H$6/12,2)</f>
        <v/>
      </c>
      <c r="I244" s="42">
        <f>MIN(I$6,G244+H244)</f>
        <v/>
      </c>
      <c r="J244" s="42">
        <f>MAX(0,MIN(G244+H244-I244,$F244))</f>
        <v/>
      </c>
      <c r="K244" s="42">
        <f>ROUND(G244+H244-I244-J244,2)</f>
        <v/>
      </c>
      <c r="L244">
        <f>$F244-J244</f>
        <v/>
      </c>
      <c r="M244" s="42">
        <f>Q243</f>
        <v/>
      </c>
      <c r="N244" s="42">
        <f>ROUND(M244*N$6/12,2)</f>
        <v/>
      </c>
      <c r="O244" s="42">
        <f>MIN(O$6,M244+N244)</f>
        <v/>
      </c>
      <c r="P244" s="42">
        <f>MAX(0,MIN(M244+N244-O244,L244))</f>
        <v/>
      </c>
      <c r="Q244" s="42">
        <f>ROUND(M244+N244-O244-P244,2)</f>
        <v/>
      </c>
      <c r="R244">
        <f>L244-P244</f>
        <v/>
      </c>
      <c r="S244" s="42">
        <f>W243</f>
        <v/>
      </c>
      <c r="T244" s="42">
        <f>ROUND(S244*T$6/12,2)</f>
        <v/>
      </c>
      <c r="U244" s="42">
        <f>MIN(U$6,S244+T244)</f>
        <v/>
      </c>
      <c r="V244" s="42">
        <f>MAX(0,MIN(S244+T244-U244,R244))</f>
        <v/>
      </c>
      <c r="W244" s="42">
        <f>ROUND(S244+T244-U244-V244,2)</f>
        <v/>
      </c>
      <c r="X244">
        <f>R244-V244</f>
        <v/>
      </c>
      <c r="Y244" s="42">
        <f>AC243</f>
        <v/>
      </c>
      <c r="Z244" s="42">
        <f>ROUND(Y244*Z$6/12,2)</f>
        <v/>
      </c>
      <c r="AA244" s="42">
        <f>MIN(AA$6,Y244+Z244)</f>
        <v/>
      </c>
      <c r="AB244" s="42">
        <f>MAX(0,MIN(Y244+Z244-AA244,X244))</f>
        <v/>
      </c>
      <c r="AC244" s="42">
        <f>ROUND(Y244+Z244-AA244-AB244,2)</f>
        <v/>
      </c>
      <c r="AD244">
        <f>X244-AB244</f>
        <v/>
      </c>
      <c r="AE244" s="42">
        <f>AI243</f>
        <v/>
      </c>
      <c r="AF244" s="42">
        <f>ROUND(AE244*AF$6/12,2)</f>
        <v/>
      </c>
      <c r="AG244" s="42">
        <f>MIN(AG$6,AE244+AF244)</f>
        <v/>
      </c>
      <c r="AH244" s="42">
        <f>MAX(0,MIN(AE244+AF244-AG244,AD244))</f>
        <v/>
      </c>
      <c r="AI244" s="42">
        <f>ROUND(AE244+AF244-AG244-AH244,2)</f>
        <v/>
      </c>
      <c r="AJ244">
        <f>AD244-AH244</f>
        <v/>
      </c>
      <c r="AK244" s="42">
        <f>AO243</f>
        <v/>
      </c>
      <c r="AL244" s="42">
        <f>ROUND(AK244*AL$6/12,2)</f>
        <v/>
      </c>
      <c r="AM244" s="42">
        <f>MIN(AM$6,AK244+AL244)</f>
        <v/>
      </c>
      <c r="AN244" s="42">
        <f>MAX(0,MIN(AK244+AL244-AM244,AJ244))</f>
        <v/>
      </c>
      <c r="AO244" s="42">
        <f>ROUND(AK244+AL244-AM244-AN244,2)</f>
        <v/>
      </c>
      <c r="AP244">
        <f>AJ244-AN244</f>
        <v/>
      </c>
      <c r="AQ244" s="42">
        <f>AU243</f>
        <v/>
      </c>
      <c r="AR244" s="42">
        <f>ROUND(AQ244*AR$6/12,2)</f>
        <v/>
      </c>
      <c r="AS244" s="42">
        <f>MIN(AS$6,AQ244+AR244)</f>
        <v/>
      </c>
      <c r="AT244" s="42">
        <f>MAX(0,MIN(AQ244+AR244-AS244,AP244))</f>
        <v/>
      </c>
      <c r="AU244" s="42">
        <f>ROUND(AQ244+AR244-AS244-AT244,2)</f>
        <v/>
      </c>
      <c r="AV244">
        <f>AP244-AT244</f>
        <v/>
      </c>
      <c r="AW244" s="42">
        <f>BA243</f>
        <v/>
      </c>
      <c r="AX244" s="42">
        <f>ROUND(AW244*AX$6/12,2)</f>
        <v/>
      </c>
      <c r="AY244" s="42">
        <f>MIN(AY$6,AW244+AX244)</f>
        <v/>
      </c>
      <c r="AZ244" s="42">
        <f>MAX(0,MIN(AW244+AX244-AY244,AV244))</f>
        <v/>
      </c>
      <c r="BA244" s="42">
        <f>ROUND(AW244+AX244-AY244-AZ244,2)</f>
        <v/>
      </c>
      <c r="BB244">
        <f>AV244-AZ244</f>
        <v/>
      </c>
      <c r="BC244" s="42">
        <f>BG243</f>
        <v/>
      </c>
      <c r="BD244" s="42">
        <f>ROUND(BC244*BD$6/12,2)</f>
        <v/>
      </c>
      <c r="BE244" s="42">
        <f>MIN(BE$6,BC244+BD244)</f>
        <v/>
      </c>
      <c r="BF244" s="42">
        <f>MAX(0,MIN(BC244+BD244-BE244,BB244))</f>
        <v/>
      </c>
      <c r="BG244" s="42">
        <f>ROUND(BC244+BD244-BE244-BF244,2)</f>
        <v/>
      </c>
      <c r="BH244">
        <f>BB244-BF244</f>
        <v/>
      </c>
      <c r="BI244" s="42">
        <f>BM243</f>
        <v/>
      </c>
      <c r="BJ244" s="42">
        <f>ROUND(BI244*BJ$6/12,2)</f>
        <v/>
      </c>
      <c r="BK244" s="42">
        <f>MIN(BK$6,BI244+BJ244)</f>
        <v/>
      </c>
      <c r="BL244" s="42">
        <f>MAX(0,MIN(BI244+BJ244-BK244,BH244))</f>
        <v/>
      </c>
      <c r="BM244" s="42">
        <f>ROUND(BI244+BJ244-BK244-BL244,2)</f>
        <v/>
      </c>
      <c r="BN244">
        <f>BH244-BL244</f>
        <v/>
      </c>
    </row>
    <row r="245">
      <c r="A245" s="43" t="n">
        <v>238</v>
      </c>
      <c r="B245" s="44">
        <f>EDATE('My Debts'!$C$6,A245-1)</f>
        <v/>
      </c>
      <c r="C245" s="45">
        <f>K245+Q245+W245+AC245+AI245+AO245+AU245+BA245+BG245+BM245</f>
        <v/>
      </c>
      <c r="D245" s="46">
        <f>I245+O245+U245+AA245+AG245+AM245+AS245+AY245+BE245+BK245+J245+P245+V245+AB245+AH245+AN245+AT245+AZ245+BF245+BL245</f>
        <v/>
      </c>
      <c r="E245" s="46">
        <f>H245+N245+T245+Z245+AF245+AL245+AR245+AX245+BD245+BJ245</f>
        <v/>
      </c>
      <c r="F245">
        <f>MAX(0,'My Debts'!$E$21-(I245+O245+U245+AA245+AG245+AM245+AS245+AY245+BE245+BK245))</f>
        <v/>
      </c>
      <c r="G245" s="42">
        <f>K244</f>
        <v/>
      </c>
      <c r="H245" s="42">
        <f>ROUND(G245*H$6/12,2)</f>
        <v/>
      </c>
      <c r="I245" s="42">
        <f>MIN(I$6,G245+H245)</f>
        <v/>
      </c>
      <c r="J245" s="42">
        <f>MAX(0,MIN(G245+H245-I245,$F245))</f>
        <v/>
      </c>
      <c r="K245" s="42">
        <f>ROUND(G245+H245-I245-J245,2)</f>
        <v/>
      </c>
      <c r="L245">
        <f>$F245-J245</f>
        <v/>
      </c>
      <c r="M245" s="42">
        <f>Q244</f>
        <v/>
      </c>
      <c r="N245" s="42">
        <f>ROUND(M245*N$6/12,2)</f>
        <v/>
      </c>
      <c r="O245" s="42">
        <f>MIN(O$6,M245+N245)</f>
        <v/>
      </c>
      <c r="P245" s="42">
        <f>MAX(0,MIN(M245+N245-O245,L245))</f>
        <v/>
      </c>
      <c r="Q245" s="42">
        <f>ROUND(M245+N245-O245-P245,2)</f>
        <v/>
      </c>
      <c r="R245">
        <f>L245-P245</f>
        <v/>
      </c>
      <c r="S245" s="42">
        <f>W244</f>
        <v/>
      </c>
      <c r="T245" s="42">
        <f>ROUND(S245*T$6/12,2)</f>
        <v/>
      </c>
      <c r="U245" s="42">
        <f>MIN(U$6,S245+T245)</f>
        <v/>
      </c>
      <c r="V245" s="42">
        <f>MAX(0,MIN(S245+T245-U245,R245))</f>
        <v/>
      </c>
      <c r="W245" s="42">
        <f>ROUND(S245+T245-U245-V245,2)</f>
        <v/>
      </c>
      <c r="X245">
        <f>R245-V245</f>
        <v/>
      </c>
      <c r="Y245" s="42">
        <f>AC244</f>
        <v/>
      </c>
      <c r="Z245" s="42">
        <f>ROUND(Y245*Z$6/12,2)</f>
        <v/>
      </c>
      <c r="AA245" s="42">
        <f>MIN(AA$6,Y245+Z245)</f>
        <v/>
      </c>
      <c r="AB245" s="42">
        <f>MAX(0,MIN(Y245+Z245-AA245,X245))</f>
        <v/>
      </c>
      <c r="AC245" s="42">
        <f>ROUND(Y245+Z245-AA245-AB245,2)</f>
        <v/>
      </c>
      <c r="AD245">
        <f>X245-AB245</f>
        <v/>
      </c>
      <c r="AE245" s="42">
        <f>AI244</f>
        <v/>
      </c>
      <c r="AF245" s="42">
        <f>ROUND(AE245*AF$6/12,2)</f>
        <v/>
      </c>
      <c r="AG245" s="42">
        <f>MIN(AG$6,AE245+AF245)</f>
        <v/>
      </c>
      <c r="AH245" s="42">
        <f>MAX(0,MIN(AE245+AF245-AG245,AD245))</f>
        <v/>
      </c>
      <c r="AI245" s="42">
        <f>ROUND(AE245+AF245-AG245-AH245,2)</f>
        <v/>
      </c>
      <c r="AJ245">
        <f>AD245-AH245</f>
        <v/>
      </c>
      <c r="AK245" s="42">
        <f>AO244</f>
        <v/>
      </c>
      <c r="AL245" s="42">
        <f>ROUND(AK245*AL$6/12,2)</f>
        <v/>
      </c>
      <c r="AM245" s="42">
        <f>MIN(AM$6,AK245+AL245)</f>
        <v/>
      </c>
      <c r="AN245" s="42">
        <f>MAX(0,MIN(AK245+AL245-AM245,AJ245))</f>
        <v/>
      </c>
      <c r="AO245" s="42">
        <f>ROUND(AK245+AL245-AM245-AN245,2)</f>
        <v/>
      </c>
      <c r="AP245">
        <f>AJ245-AN245</f>
        <v/>
      </c>
      <c r="AQ245" s="42">
        <f>AU244</f>
        <v/>
      </c>
      <c r="AR245" s="42">
        <f>ROUND(AQ245*AR$6/12,2)</f>
        <v/>
      </c>
      <c r="AS245" s="42">
        <f>MIN(AS$6,AQ245+AR245)</f>
        <v/>
      </c>
      <c r="AT245" s="42">
        <f>MAX(0,MIN(AQ245+AR245-AS245,AP245))</f>
        <v/>
      </c>
      <c r="AU245" s="42">
        <f>ROUND(AQ245+AR245-AS245-AT245,2)</f>
        <v/>
      </c>
      <c r="AV245">
        <f>AP245-AT245</f>
        <v/>
      </c>
      <c r="AW245" s="42">
        <f>BA244</f>
        <v/>
      </c>
      <c r="AX245" s="42">
        <f>ROUND(AW245*AX$6/12,2)</f>
        <v/>
      </c>
      <c r="AY245" s="42">
        <f>MIN(AY$6,AW245+AX245)</f>
        <v/>
      </c>
      <c r="AZ245" s="42">
        <f>MAX(0,MIN(AW245+AX245-AY245,AV245))</f>
        <v/>
      </c>
      <c r="BA245" s="42">
        <f>ROUND(AW245+AX245-AY245-AZ245,2)</f>
        <v/>
      </c>
      <c r="BB245">
        <f>AV245-AZ245</f>
        <v/>
      </c>
      <c r="BC245" s="42">
        <f>BG244</f>
        <v/>
      </c>
      <c r="BD245" s="42">
        <f>ROUND(BC245*BD$6/12,2)</f>
        <v/>
      </c>
      <c r="BE245" s="42">
        <f>MIN(BE$6,BC245+BD245)</f>
        <v/>
      </c>
      <c r="BF245" s="42">
        <f>MAX(0,MIN(BC245+BD245-BE245,BB245))</f>
        <v/>
      </c>
      <c r="BG245" s="42">
        <f>ROUND(BC245+BD245-BE245-BF245,2)</f>
        <v/>
      </c>
      <c r="BH245">
        <f>BB245-BF245</f>
        <v/>
      </c>
      <c r="BI245" s="42">
        <f>BM244</f>
        <v/>
      </c>
      <c r="BJ245" s="42">
        <f>ROUND(BI245*BJ$6/12,2)</f>
        <v/>
      </c>
      <c r="BK245" s="42">
        <f>MIN(BK$6,BI245+BJ245)</f>
        <v/>
      </c>
      <c r="BL245" s="42">
        <f>MAX(0,MIN(BI245+BJ245-BK245,BH245))</f>
        <v/>
      </c>
      <c r="BM245" s="42">
        <f>ROUND(BI245+BJ245-BK245-BL245,2)</f>
        <v/>
      </c>
      <c r="BN245">
        <f>BH245-BL245</f>
        <v/>
      </c>
    </row>
    <row r="246">
      <c r="A246" s="39" t="n">
        <v>239</v>
      </c>
      <c r="B246" s="40">
        <f>EDATE('My Debts'!$C$6,A246-1)</f>
        <v/>
      </c>
      <c r="C246" s="41">
        <f>K246+Q246+W246+AC246+AI246+AO246+AU246+BA246+BG246+BM246</f>
        <v/>
      </c>
      <c r="D246" s="42">
        <f>I246+O246+U246+AA246+AG246+AM246+AS246+AY246+BE246+BK246+J246+P246+V246+AB246+AH246+AN246+AT246+AZ246+BF246+BL246</f>
        <v/>
      </c>
      <c r="E246" s="42">
        <f>H246+N246+T246+Z246+AF246+AL246+AR246+AX246+BD246+BJ246</f>
        <v/>
      </c>
      <c r="F246">
        <f>MAX(0,'My Debts'!$E$21-(I246+O246+U246+AA246+AG246+AM246+AS246+AY246+BE246+BK246))</f>
        <v/>
      </c>
      <c r="G246" s="42">
        <f>K245</f>
        <v/>
      </c>
      <c r="H246" s="42">
        <f>ROUND(G246*H$6/12,2)</f>
        <v/>
      </c>
      <c r="I246" s="42">
        <f>MIN(I$6,G246+H246)</f>
        <v/>
      </c>
      <c r="J246" s="42">
        <f>MAX(0,MIN(G246+H246-I246,$F246))</f>
        <v/>
      </c>
      <c r="K246" s="42">
        <f>ROUND(G246+H246-I246-J246,2)</f>
        <v/>
      </c>
      <c r="L246">
        <f>$F246-J246</f>
        <v/>
      </c>
      <c r="M246" s="42">
        <f>Q245</f>
        <v/>
      </c>
      <c r="N246" s="42">
        <f>ROUND(M246*N$6/12,2)</f>
        <v/>
      </c>
      <c r="O246" s="42">
        <f>MIN(O$6,M246+N246)</f>
        <v/>
      </c>
      <c r="P246" s="42">
        <f>MAX(0,MIN(M246+N246-O246,L246))</f>
        <v/>
      </c>
      <c r="Q246" s="42">
        <f>ROUND(M246+N246-O246-P246,2)</f>
        <v/>
      </c>
      <c r="R246">
        <f>L246-P246</f>
        <v/>
      </c>
      <c r="S246" s="42">
        <f>W245</f>
        <v/>
      </c>
      <c r="T246" s="42">
        <f>ROUND(S246*T$6/12,2)</f>
        <v/>
      </c>
      <c r="U246" s="42">
        <f>MIN(U$6,S246+T246)</f>
        <v/>
      </c>
      <c r="V246" s="42">
        <f>MAX(0,MIN(S246+T246-U246,R246))</f>
        <v/>
      </c>
      <c r="W246" s="42">
        <f>ROUND(S246+T246-U246-V246,2)</f>
        <v/>
      </c>
      <c r="X246">
        <f>R246-V246</f>
        <v/>
      </c>
      <c r="Y246" s="42">
        <f>AC245</f>
        <v/>
      </c>
      <c r="Z246" s="42">
        <f>ROUND(Y246*Z$6/12,2)</f>
        <v/>
      </c>
      <c r="AA246" s="42">
        <f>MIN(AA$6,Y246+Z246)</f>
        <v/>
      </c>
      <c r="AB246" s="42">
        <f>MAX(0,MIN(Y246+Z246-AA246,X246))</f>
        <v/>
      </c>
      <c r="AC246" s="42">
        <f>ROUND(Y246+Z246-AA246-AB246,2)</f>
        <v/>
      </c>
      <c r="AD246">
        <f>X246-AB246</f>
        <v/>
      </c>
      <c r="AE246" s="42">
        <f>AI245</f>
        <v/>
      </c>
      <c r="AF246" s="42">
        <f>ROUND(AE246*AF$6/12,2)</f>
        <v/>
      </c>
      <c r="AG246" s="42">
        <f>MIN(AG$6,AE246+AF246)</f>
        <v/>
      </c>
      <c r="AH246" s="42">
        <f>MAX(0,MIN(AE246+AF246-AG246,AD246))</f>
        <v/>
      </c>
      <c r="AI246" s="42">
        <f>ROUND(AE246+AF246-AG246-AH246,2)</f>
        <v/>
      </c>
      <c r="AJ246">
        <f>AD246-AH246</f>
        <v/>
      </c>
      <c r="AK246" s="42">
        <f>AO245</f>
        <v/>
      </c>
      <c r="AL246" s="42">
        <f>ROUND(AK246*AL$6/12,2)</f>
        <v/>
      </c>
      <c r="AM246" s="42">
        <f>MIN(AM$6,AK246+AL246)</f>
        <v/>
      </c>
      <c r="AN246" s="42">
        <f>MAX(0,MIN(AK246+AL246-AM246,AJ246))</f>
        <v/>
      </c>
      <c r="AO246" s="42">
        <f>ROUND(AK246+AL246-AM246-AN246,2)</f>
        <v/>
      </c>
      <c r="AP246">
        <f>AJ246-AN246</f>
        <v/>
      </c>
      <c r="AQ246" s="42">
        <f>AU245</f>
        <v/>
      </c>
      <c r="AR246" s="42">
        <f>ROUND(AQ246*AR$6/12,2)</f>
        <v/>
      </c>
      <c r="AS246" s="42">
        <f>MIN(AS$6,AQ246+AR246)</f>
        <v/>
      </c>
      <c r="AT246" s="42">
        <f>MAX(0,MIN(AQ246+AR246-AS246,AP246))</f>
        <v/>
      </c>
      <c r="AU246" s="42">
        <f>ROUND(AQ246+AR246-AS246-AT246,2)</f>
        <v/>
      </c>
      <c r="AV246">
        <f>AP246-AT246</f>
        <v/>
      </c>
      <c r="AW246" s="42">
        <f>BA245</f>
        <v/>
      </c>
      <c r="AX246" s="42">
        <f>ROUND(AW246*AX$6/12,2)</f>
        <v/>
      </c>
      <c r="AY246" s="42">
        <f>MIN(AY$6,AW246+AX246)</f>
        <v/>
      </c>
      <c r="AZ246" s="42">
        <f>MAX(0,MIN(AW246+AX246-AY246,AV246))</f>
        <v/>
      </c>
      <c r="BA246" s="42">
        <f>ROUND(AW246+AX246-AY246-AZ246,2)</f>
        <v/>
      </c>
      <c r="BB246">
        <f>AV246-AZ246</f>
        <v/>
      </c>
      <c r="BC246" s="42">
        <f>BG245</f>
        <v/>
      </c>
      <c r="BD246" s="42">
        <f>ROUND(BC246*BD$6/12,2)</f>
        <v/>
      </c>
      <c r="BE246" s="42">
        <f>MIN(BE$6,BC246+BD246)</f>
        <v/>
      </c>
      <c r="BF246" s="42">
        <f>MAX(0,MIN(BC246+BD246-BE246,BB246))</f>
        <v/>
      </c>
      <c r="BG246" s="42">
        <f>ROUND(BC246+BD246-BE246-BF246,2)</f>
        <v/>
      </c>
      <c r="BH246">
        <f>BB246-BF246</f>
        <v/>
      </c>
      <c r="BI246" s="42">
        <f>BM245</f>
        <v/>
      </c>
      <c r="BJ246" s="42">
        <f>ROUND(BI246*BJ$6/12,2)</f>
        <v/>
      </c>
      <c r="BK246" s="42">
        <f>MIN(BK$6,BI246+BJ246)</f>
        <v/>
      </c>
      <c r="BL246" s="42">
        <f>MAX(0,MIN(BI246+BJ246-BK246,BH246))</f>
        <v/>
      </c>
      <c r="BM246" s="42">
        <f>ROUND(BI246+BJ246-BK246-BL246,2)</f>
        <v/>
      </c>
      <c r="BN246">
        <f>BH246-BL246</f>
        <v/>
      </c>
    </row>
    <row r="247">
      <c r="A247" s="43" t="n">
        <v>240</v>
      </c>
      <c r="B247" s="44">
        <f>EDATE('My Debts'!$C$6,A247-1)</f>
        <v/>
      </c>
      <c r="C247" s="45">
        <f>K247+Q247+W247+AC247+AI247+AO247+AU247+BA247+BG247+BM247</f>
        <v/>
      </c>
      <c r="D247" s="46">
        <f>I247+O247+U247+AA247+AG247+AM247+AS247+AY247+BE247+BK247+J247+P247+V247+AB247+AH247+AN247+AT247+AZ247+BF247+BL247</f>
        <v/>
      </c>
      <c r="E247" s="46">
        <f>H247+N247+T247+Z247+AF247+AL247+AR247+AX247+BD247+BJ247</f>
        <v/>
      </c>
      <c r="F247">
        <f>MAX(0,'My Debts'!$E$21-(I247+O247+U247+AA247+AG247+AM247+AS247+AY247+BE247+BK247))</f>
        <v/>
      </c>
      <c r="G247" s="42">
        <f>K246</f>
        <v/>
      </c>
      <c r="H247" s="42">
        <f>ROUND(G247*H$6/12,2)</f>
        <v/>
      </c>
      <c r="I247" s="42">
        <f>MIN(I$6,G247+H247)</f>
        <v/>
      </c>
      <c r="J247" s="42">
        <f>MAX(0,MIN(G247+H247-I247,$F247))</f>
        <v/>
      </c>
      <c r="K247" s="42">
        <f>ROUND(G247+H247-I247-J247,2)</f>
        <v/>
      </c>
      <c r="L247">
        <f>$F247-J247</f>
        <v/>
      </c>
      <c r="M247" s="42">
        <f>Q246</f>
        <v/>
      </c>
      <c r="N247" s="42">
        <f>ROUND(M247*N$6/12,2)</f>
        <v/>
      </c>
      <c r="O247" s="42">
        <f>MIN(O$6,M247+N247)</f>
        <v/>
      </c>
      <c r="P247" s="42">
        <f>MAX(0,MIN(M247+N247-O247,L247))</f>
        <v/>
      </c>
      <c r="Q247" s="42">
        <f>ROUND(M247+N247-O247-P247,2)</f>
        <v/>
      </c>
      <c r="R247">
        <f>L247-P247</f>
        <v/>
      </c>
      <c r="S247" s="42">
        <f>W246</f>
        <v/>
      </c>
      <c r="T247" s="42">
        <f>ROUND(S247*T$6/12,2)</f>
        <v/>
      </c>
      <c r="U247" s="42">
        <f>MIN(U$6,S247+T247)</f>
        <v/>
      </c>
      <c r="V247" s="42">
        <f>MAX(0,MIN(S247+T247-U247,R247))</f>
        <v/>
      </c>
      <c r="W247" s="42">
        <f>ROUND(S247+T247-U247-V247,2)</f>
        <v/>
      </c>
      <c r="X247">
        <f>R247-V247</f>
        <v/>
      </c>
      <c r="Y247" s="42">
        <f>AC246</f>
        <v/>
      </c>
      <c r="Z247" s="42">
        <f>ROUND(Y247*Z$6/12,2)</f>
        <v/>
      </c>
      <c r="AA247" s="42">
        <f>MIN(AA$6,Y247+Z247)</f>
        <v/>
      </c>
      <c r="AB247" s="42">
        <f>MAX(0,MIN(Y247+Z247-AA247,X247))</f>
        <v/>
      </c>
      <c r="AC247" s="42">
        <f>ROUND(Y247+Z247-AA247-AB247,2)</f>
        <v/>
      </c>
      <c r="AD247">
        <f>X247-AB247</f>
        <v/>
      </c>
      <c r="AE247" s="42">
        <f>AI246</f>
        <v/>
      </c>
      <c r="AF247" s="42">
        <f>ROUND(AE247*AF$6/12,2)</f>
        <v/>
      </c>
      <c r="AG247" s="42">
        <f>MIN(AG$6,AE247+AF247)</f>
        <v/>
      </c>
      <c r="AH247" s="42">
        <f>MAX(0,MIN(AE247+AF247-AG247,AD247))</f>
        <v/>
      </c>
      <c r="AI247" s="42">
        <f>ROUND(AE247+AF247-AG247-AH247,2)</f>
        <v/>
      </c>
      <c r="AJ247">
        <f>AD247-AH247</f>
        <v/>
      </c>
      <c r="AK247" s="42">
        <f>AO246</f>
        <v/>
      </c>
      <c r="AL247" s="42">
        <f>ROUND(AK247*AL$6/12,2)</f>
        <v/>
      </c>
      <c r="AM247" s="42">
        <f>MIN(AM$6,AK247+AL247)</f>
        <v/>
      </c>
      <c r="AN247" s="42">
        <f>MAX(0,MIN(AK247+AL247-AM247,AJ247))</f>
        <v/>
      </c>
      <c r="AO247" s="42">
        <f>ROUND(AK247+AL247-AM247-AN247,2)</f>
        <v/>
      </c>
      <c r="AP247">
        <f>AJ247-AN247</f>
        <v/>
      </c>
      <c r="AQ247" s="42">
        <f>AU246</f>
        <v/>
      </c>
      <c r="AR247" s="42">
        <f>ROUND(AQ247*AR$6/12,2)</f>
        <v/>
      </c>
      <c r="AS247" s="42">
        <f>MIN(AS$6,AQ247+AR247)</f>
        <v/>
      </c>
      <c r="AT247" s="42">
        <f>MAX(0,MIN(AQ247+AR247-AS247,AP247))</f>
        <v/>
      </c>
      <c r="AU247" s="42">
        <f>ROUND(AQ247+AR247-AS247-AT247,2)</f>
        <v/>
      </c>
      <c r="AV247">
        <f>AP247-AT247</f>
        <v/>
      </c>
      <c r="AW247" s="42">
        <f>BA246</f>
        <v/>
      </c>
      <c r="AX247" s="42">
        <f>ROUND(AW247*AX$6/12,2)</f>
        <v/>
      </c>
      <c r="AY247" s="42">
        <f>MIN(AY$6,AW247+AX247)</f>
        <v/>
      </c>
      <c r="AZ247" s="42">
        <f>MAX(0,MIN(AW247+AX247-AY247,AV247))</f>
        <v/>
      </c>
      <c r="BA247" s="42">
        <f>ROUND(AW247+AX247-AY247-AZ247,2)</f>
        <v/>
      </c>
      <c r="BB247">
        <f>AV247-AZ247</f>
        <v/>
      </c>
      <c r="BC247" s="42">
        <f>BG246</f>
        <v/>
      </c>
      <c r="BD247" s="42">
        <f>ROUND(BC247*BD$6/12,2)</f>
        <v/>
      </c>
      <c r="BE247" s="42">
        <f>MIN(BE$6,BC247+BD247)</f>
        <v/>
      </c>
      <c r="BF247" s="42">
        <f>MAX(0,MIN(BC247+BD247-BE247,BB247))</f>
        <v/>
      </c>
      <c r="BG247" s="42">
        <f>ROUND(BC247+BD247-BE247-BF247,2)</f>
        <v/>
      </c>
      <c r="BH247">
        <f>BB247-BF247</f>
        <v/>
      </c>
      <c r="BI247" s="42">
        <f>BM246</f>
        <v/>
      </c>
      <c r="BJ247" s="42">
        <f>ROUND(BI247*BJ$6/12,2)</f>
        <v/>
      </c>
      <c r="BK247" s="42">
        <f>MIN(BK$6,BI247+BJ247)</f>
        <v/>
      </c>
      <c r="BL247" s="42">
        <f>MAX(0,MIN(BI247+BJ247-BK247,BH247))</f>
        <v/>
      </c>
      <c r="BM247" s="42">
        <f>ROUND(BI247+BJ247-BK247-BL247,2)</f>
        <v/>
      </c>
      <c r="BN247">
        <f>BH247-BL247</f>
        <v/>
      </c>
    </row>
    <row r="248">
      <c r="A248" s="39" t="n">
        <v>241</v>
      </c>
      <c r="B248" s="40">
        <f>EDATE('My Debts'!$C$6,A248-1)</f>
        <v/>
      </c>
      <c r="C248" s="41">
        <f>K248+Q248+W248+AC248+AI248+AO248+AU248+BA248+BG248+BM248</f>
        <v/>
      </c>
      <c r="D248" s="42">
        <f>I248+O248+U248+AA248+AG248+AM248+AS248+AY248+BE248+BK248+J248+P248+V248+AB248+AH248+AN248+AT248+AZ248+BF248+BL248</f>
        <v/>
      </c>
      <c r="E248" s="42">
        <f>H248+N248+T248+Z248+AF248+AL248+AR248+AX248+BD248+BJ248</f>
        <v/>
      </c>
      <c r="F248">
        <f>MAX(0,'My Debts'!$E$21-(I248+O248+U248+AA248+AG248+AM248+AS248+AY248+BE248+BK248))</f>
        <v/>
      </c>
      <c r="G248" s="42">
        <f>K247</f>
        <v/>
      </c>
      <c r="H248" s="42">
        <f>ROUND(G248*H$6/12,2)</f>
        <v/>
      </c>
      <c r="I248" s="42">
        <f>MIN(I$6,G248+H248)</f>
        <v/>
      </c>
      <c r="J248" s="42">
        <f>MAX(0,MIN(G248+H248-I248,$F248))</f>
        <v/>
      </c>
      <c r="K248" s="42">
        <f>ROUND(G248+H248-I248-J248,2)</f>
        <v/>
      </c>
      <c r="L248">
        <f>$F248-J248</f>
        <v/>
      </c>
      <c r="M248" s="42">
        <f>Q247</f>
        <v/>
      </c>
      <c r="N248" s="42">
        <f>ROUND(M248*N$6/12,2)</f>
        <v/>
      </c>
      <c r="O248" s="42">
        <f>MIN(O$6,M248+N248)</f>
        <v/>
      </c>
      <c r="P248" s="42">
        <f>MAX(0,MIN(M248+N248-O248,L248))</f>
        <v/>
      </c>
      <c r="Q248" s="42">
        <f>ROUND(M248+N248-O248-P248,2)</f>
        <v/>
      </c>
      <c r="R248">
        <f>L248-P248</f>
        <v/>
      </c>
      <c r="S248" s="42">
        <f>W247</f>
        <v/>
      </c>
      <c r="T248" s="42">
        <f>ROUND(S248*T$6/12,2)</f>
        <v/>
      </c>
      <c r="U248" s="42">
        <f>MIN(U$6,S248+T248)</f>
        <v/>
      </c>
      <c r="V248" s="42">
        <f>MAX(0,MIN(S248+T248-U248,R248))</f>
        <v/>
      </c>
      <c r="W248" s="42">
        <f>ROUND(S248+T248-U248-V248,2)</f>
        <v/>
      </c>
      <c r="X248">
        <f>R248-V248</f>
        <v/>
      </c>
      <c r="Y248" s="42">
        <f>AC247</f>
        <v/>
      </c>
      <c r="Z248" s="42">
        <f>ROUND(Y248*Z$6/12,2)</f>
        <v/>
      </c>
      <c r="AA248" s="42">
        <f>MIN(AA$6,Y248+Z248)</f>
        <v/>
      </c>
      <c r="AB248" s="42">
        <f>MAX(0,MIN(Y248+Z248-AA248,X248))</f>
        <v/>
      </c>
      <c r="AC248" s="42">
        <f>ROUND(Y248+Z248-AA248-AB248,2)</f>
        <v/>
      </c>
      <c r="AD248">
        <f>X248-AB248</f>
        <v/>
      </c>
      <c r="AE248" s="42">
        <f>AI247</f>
        <v/>
      </c>
      <c r="AF248" s="42">
        <f>ROUND(AE248*AF$6/12,2)</f>
        <v/>
      </c>
      <c r="AG248" s="42">
        <f>MIN(AG$6,AE248+AF248)</f>
        <v/>
      </c>
      <c r="AH248" s="42">
        <f>MAX(0,MIN(AE248+AF248-AG248,AD248))</f>
        <v/>
      </c>
      <c r="AI248" s="42">
        <f>ROUND(AE248+AF248-AG248-AH248,2)</f>
        <v/>
      </c>
      <c r="AJ248">
        <f>AD248-AH248</f>
        <v/>
      </c>
      <c r="AK248" s="42">
        <f>AO247</f>
        <v/>
      </c>
      <c r="AL248" s="42">
        <f>ROUND(AK248*AL$6/12,2)</f>
        <v/>
      </c>
      <c r="AM248" s="42">
        <f>MIN(AM$6,AK248+AL248)</f>
        <v/>
      </c>
      <c r="AN248" s="42">
        <f>MAX(0,MIN(AK248+AL248-AM248,AJ248))</f>
        <v/>
      </c>
      <c r="AO248" s="42">
        <f>ROUND(AK248+AL248-AM248-AN248,2)</f>
        <v/>
      </c>
      <c r="AP248">
        <f>AJ248-AN248</f>
        <v/>
      </c>
      <c r="AQ248" s="42">
        <f>AU247</f>
        <v/>
      </c>
      <c r="AR248" s="42">
        <f>ROUND(AQ248*AR$6/12,2)</f>
        <v/>
      </c>
      <c r="AS248" s="42">
        <f>MIN(AS$6,AQ248+AR248)</f>
        <v/>
      </c>
      <c r="AT248" s="42">
        <f>MAX(0,MIN(AQ248+AR248-AS248,AP248))</f>
        <v/>
      </c>
      <c r="AU248" s="42">
        <f>ROUND(AQ248+AR248-AS248-AT248,2)</f>
        <v/>
      </c>
      <c r="AV248">
        <f>AP248-AT248</f>
        <v/>
      </c>
      <c r="AW248" s="42">
        <f>BA247</f>
        <v/>
      </c>
      <c r="AX248" s="42">
        <f>ROUND(AW248*AX$6/12,2)</f>
        <v/>
      </c>
      <c r="AY248" s="42">
        <f>MIN(AY$6,AW248+AX248)</f>
        <v/>
      </c>
      <c r="AZ248" s="42">
        <f>MAX(0,MIN(AW248+AX248-AY248,AV248))</f>
        <v/>
      </c>
      <c r="BA248" s="42">
        <f>ROUND(AW248+AX248-AY248-AZ248,2)</f>
        <v/>
      </c>
      <c r="BB248">
        <f>AV248-AZ248</f>
        <v/>
      </c>
      <c r="BC248" s="42">
        <f>BG247</f>
        <v/>
      </c>
      <c r="BD248" s="42">
        <f>ROUND(BC248*BD$6/12,2)</f>
        <v/>
      </c>
      <c r="BE248" s="42">
        <f>MIN(BE$6,BC248+BD248)</f>
        <v/>
      </c>
      <c r="BF248" s="42">
        <f>MAX(0,MIN(BC248+BD248-BE248,BB248))</f>
        <v/>
      </c>
      <c r="BG248" s="42">
        <f>ROUND(BC248+BD248-BE248-BF248,2)</f>
        <v/>
      </c>
      <c r="BH248">
        <f>BB248-BF248</f>
        <v/>
      </c>
      <c r="BI248" s="42">
        <f>BM247</f>
        <v/>
      </c>
      <c r="BJ248" s="42">
        <f>ROUND(BI248*BJ$6/12,2)</f>
        <v/>
      </c>
      <c r="BK248" s="42">
        <f>MIN(BK$6,BI248+BJ248)</f>
        <v/>
      </c>
      <c r="BL248" s="42">
        <f>MAX(0,MIN(BI248+BJ248-BK248,BH248))</f>
        <v/>
      </c>
      <c r="BM248" s="42">
        <f>ROUND(BI248+BJ248-BK248-BL248,2)</f>
        <v/>
      </c>
      <c r="BN248">
        <f>BH248-BL248</f>
        <v/>
      </c>
    </row>
    <row r="249">
      <c r="A249" s="43" t="n">
        <v>242</v>
      </c>
      <c r="B249" s="44">
        <f>EDATE('My Debts'!$C$6,A249-1)</f>
        <v/>
      </c>
      <c r="C249" s="45">
        <f>K249+Q249+W249+AC249+AI249+AO249+AU249+BA249+BG249+BM249</f>
        <v/>
      </c>
      <c r="D249" s="46">
        <f>I249+O249+U249+AA249+AG249+AM249+AS249+AY249+BE249+BK249+J249+P249+V249+AB249+AH249+AN249+AT249+AZ249+BF249+BL249</f>
        <v/>
      </c>
      <c r="E249" s="46">
        <f>H249+N249+T249+Z249+AF249+AL249+AR249+AX249+BD249+BJ249</f>
        <v/>
      </c>
      <c r="F249">
        <f>MAX(0,'My Debts'!$E$21-(I249+O249+U249+AA249+AG249+AM249+AS249+AY249+BE249+BK249))</f>
        <v/>
      </c>
      <c r="G249" s="42">
        <f>K248</f>
        <v/>
      </c>
      <c r="H249" s="42">
        <f>ROUND(G249*H$6/12,2)</f>
        <v/>
      </c>
      <c r="I249" s="42">
        <f>MIN(I$6,G249+H249)</f>
        <v/>
      </c>
      <c r="J249" s="42">
        <f>MAX(0,MIN(G249+H249-I249,$F249))</f>
        <v/>
      </c>
      <c r="K249" s="42">
        <f>ROUND(G249+H249-I249-J249,2)</f>
        <v/>
      </c>
      <c r="L249">
        <f>$F249-J249</f>
        <v/>
      </c>
      <c r="M249" s="42">
        <f>Q248</f>
        <v/>
      </c>
      <c r="N249" s="42">
        <f>ROUND(M249*N$6/12,2)</f>
        <v/>
      </c>
      <c r="O249" s="42">
        <f>MIN(O$6,M249+N249)</f>
        <v/>
      </c>
      <c r="P249" s="42">
        <f>MAX(0,MIN(M249+N249-O249,L249))</f>
        <v/>
      </c>
      <c r="Q249" s="42">
        <f>ROUND(M249+N249-O249-P249,2)</f>
        <v/>
      </c>
      <c r="R249">
        <f>L249-P249</f>
        <v/>
      </c>
      <c r="S249" s="42">
        <f>W248</f>
        <v/>
      </c>
      <c r="T249" s="42">
        <f>ROUND(S249*T$6/12,2)</f>
        <v/>
      </c>
      <c r="U249" s="42">
        <f>MIN(U$6,S249+T249)</f>
        <v/>
      </c>
      <c r="V249" s="42">
        <f>MAX(0,MIN(S249+T249-U249,R249))</f>
        <v/>
      </c>
      <c r="W249" s="42">
        <f>ROUND(S249+T249-U249-V249,2)</f>
        <v/>
      </c>
      <c r="X249">
        <f>R249-V249</f>
        <v/>
      </c>
      <c r="Y249" s="42">
        <f>AC248</f>
        <v/>
      </c>
      <c r="Z249" s="42">
        <f>ROUND(Y249*Z$6/12,2)</f>
        <v/>
      </c>
      <c r="AA249" s="42">
        <f>MIN(AA$6,Y249+Z249)</f>
        <v/>
      </c>
      <c r="AB249" s="42">
        <f>MAX(0,MIN(Y249+Z249-AA249,X249))</f>
        <v/>
      </c>
      <c r="AC249" s="42">
        <f>ROUND(Y249+Z249-AA249-AB249,2)</f>
        <v/>
      </c>
      <c r="AD249">
        <f>X249-AB249</f>
        <v/>
      </c>
      <c r="AE249" s="42">
        <f>AI248</f>
        <v/>
      </c>
      <c r="AF249" s="42">
        <f>ROUND(AE249*AF$6/12,2)</f>
        <v/>
      </c>
      <c r="AG249" s="42">
        <f>MIN(AG$6,AE249+AF249)</f>
        <v/>
      </c>
      <c r="AH249" s="42">
        <f>MAX(0,MIN(AE249+AF249-AG249,AD249))</f>
        <v/>
      </c>
      <c r="AI249" s="42">
        <f>ROUND(AE249+AF249-AG249-AH249,2)</f>
        <v/>
      </c>
      <c r="AJ249">
        <f>AD249-AH249</f>
        <v/>
      </c>
      <c r="AK249" s="42">
        <f>AO248</f>
        <v/>
      </c>
      <c r="AL249" s="42">
        <f>ROUND(AK249*AL$6/12,2)</f>
        <v/>
      </c>
      <c r="AM249" s="42">
        <f>MIN(AM$6,AK249+AL249)</f>
        <v/>
      </c>
      <c r="AN249" s="42">
        <f>MAX(0,MIN(AK249+AL249-AM249,AJ249))</f>
        <v/>
      </c>
      <c r="AO249" s="42">
        <f>ROUND(AK249+AL249-AM249-AN249,2)</f>
        <v/>
      </c>
      <c r="AP249">
        <f>AJ249-AN249</f>
        <v/>
      </c>
      <c r="AQ249" s="42">
        <f>AU248</f>
        <v/>
      </c>
      <c r="AR249" s="42">
        <f>ROUND(AQ249*AR$6/12,2)</f>
        <v/>
      </c>
      <c r="AS249" s="42">
        <f>MIN(AS$6,AQ249+AR249)</f>
        <v/>
      </c>
      <c r="AT249" s="42">
        <f>MAX(0,MIN(AQ249+AR249-AS249,AP249))</f>
        <v/>
      </c>
      <c r="AU249" s="42">
        <f>ROUND(AQ249+AR249-AS249-AT249,2)</f>
        <v/>
      </c>
      <c r="AV249">
        <f>AP249-AT249</f>
        <v/>
      </c>
      <c r="AW249" s="42">
        <f>BA248</f>
        <v/>
      </c>
      <c r="AX249" s="42">
        <f>ROUND(AW249*AX$6/12,2)</f>
        <v/>
      </c>
      <c r="AY249" s="42">
        <f>MIN(AY$6,AW249+AX249)</f>
        <v/>
      </c>
      <c r="AZ249" s="42">
        <f>MAX(0,MIN(AW249+AX249-AY249,AV249))</f>
        <v/>
      </c>
      <c r="BA249" s="42">
        <f>ROUND(AW249+AX249-AY249-AZ249,2)</f>
        <v/>
      </c>
      <c r="BB249">
        <f>AV249-AZ249</f>
        <v/>
      </c>
      <c r="BC249" s="42">
        <f>BG248</f>
        <v/>
      </c>
      <c r="BD249" s="42">
        <f>ROUND(BC249*BD$6/12,2)</f>
        <v/>
      </c>
      <c r="BE249" s="42">
        <f>MIN(BE$6,BC249+BD249)</f>
        <v/>
      </c>
      <c r="BF249" s="42">
        <f>MAX(0,MIN(BC249+BD249-BE249,BB249))</f>
        <v/>
      </c>
      <c r="BG249" s="42">
        <f>ROUND(BC249+BD249-BE249-BF249,2)</f>
        <v/>
      </c>
      <c r="BH249">
        <f>BB249-BF249</f>
        <v/>
      </c>
      <c r="BI249" s="42">
        <f>BM248</f>
        <v/>
      </c>
      <c r="BJ249" s="42">
        <f>ROUND(BI249*BJ$6/12,2)</f>
        <v/>
      </c>
      <c r="BK249" s="42">
        <f>MIN(BK$6,BI249+BJ249)</f>
        <v/>
      </c>
      <c r="BL249" s="42">
        <f>MAX(0,MIN(BI249+BJ249-BK249,BH249))</f>
        <v/>
      </c>
      <c r="BM249" s="42">
        <f>ROUND(BI249+BJ249-BK249-BL249,2)</f>
        <v/>
      </c>
      <c r="BN249">
        <f>BH249-BL249</f>
        <v/>
      </c>
    </row>
    <row r="250">
      <c r="A250" s="39" t="n">
        <v>243</v>
      </c>
      <c r="B250" s="40">
        <f>EDATE('My Debts'!$C$6,A250-1)</f>
        <v/>
      </c>
      <c r="C250" s="41">
        <f>K250+Q250+W250+AC250+AI250+AO250+AU250+BA250+BG250+BM250</f>
        <v/>
      </c>
      <c r="D250" s="42">
        <f>I250+O250+U250+AA250+AG250+AM250+AS250+AY250+BE250+BK250+J250+P250+V250+AB250+AH250+AN250+AT250+AZ250+BF250+BL250</f>
        <v/>
      </c>
      <c r="E250" s="42">
        <f>H250+N250+T250+Z250+AF250+AL250+AR250+AX250+BD250+BJ250</f>
        <v/>
      </c>
      <c r="F250">
        <f>MAX(0,'My Debts'!$E$21-(I250+O250+U250+AA250+AG250+AM250+AS250+AY250+BE250+BK250))</f>
        <v/>
      </c>
      <c r="G250" s="42">
        <f>K249</f>
        <v/>
      </c>
      <c r="H250" s="42">
        <f>ROUND(G250*H$6/12,2)</f>
        <v/>
      </c>
      <c r="I250" s="42">
        <f>MIN(I$6,G250+H250)</f>
        <v/>
      </c>
      <c r="J250" s="42">
        <f>MAX(0,MIN(G250+H250-I250,$F250))</f>
        <v/>
      </c>
      <c r="K250" s="42">
        <f>ROUND(G250+H250-I250-J250,2)</f>
        <v/>
      </c>
      <c r="L250">
        <f>$F250-J250</f>
        <v/>
      </c>
      <c r="M250" s="42">
        <f>Q249</f>
        <v/>
      </c>
      <c r="N250" s="42">
        <f>ROUND(M250*N$6/12,2)</f>
        <v/>
      </c>
      <c r="O250" s="42">
        <f>MIN(O$6,M250+N250)</f>
        <v/>
      </c>
      <c r="P250" s="42">
        <f>MAX(0,MIN(M250+N250-O250,L250))</f>
        <v/>
      </c>
      <c r="Q250" s="42">
        <f>ROUND(M250+N250-O250-P250,2)</f>
        <v/>
      </c>
      <c r="R250">
        <f>L250-P250</f>
        <v/>
      </c>
      <c r="S250" s="42">
        <f>W249</f>
        <v/>
      </c>
      <c r="T250" s="42">
        <f>ROUND(S250*T$6/12,2)</f>
        <v/>
      </c>
      <c r="U250" s="42">
        <f>MIN(U$6,S250+T250)</f>
        <v/>
      </c>
      <c r="V250" s="42">
        <f>MAX(0,MIN(S250+T250-U250,R250))</f>
        <v/>
      </c>
      <c r="W250" s="42">
        <f>ROUND(S250+T250-U250-V250,2)</f>
        <v/>
      </c>
      <c r="X250">
        <f>R250-V250</f>
        <v/>
      </c>
      <c r="Y250" s="42">
        <f>AC249</f>
        <v/>
      </c>
      <c r="Z250" s="42">
        <f>ROUND(Y250*Z$6/12,2)</f>
        <v/>
      </c>
      <c r="AA250" s="42">
        <f>MIN(AA$6,Y250+Z250)</f>
        <v/>
      </c>
      <c r="AB250" s="42">
        <f>MAX(0,MIN(Y250+Z250-AA250,X250))</f>
        <v/>
      </c>
      <c r="AC250" s="42">
        <f>ROUND(Y250+Z250-AA250-AB250,2)</f>
        <v/>
      </c>
      <c r="AD250">
        <f>X250-AB250</f>
        <v/>
      </c>
      <c r="AE250" s="42">
        <f>AI249</f>
        <v/>
      </c>
      <c r="AF250" s="42">
        <f>ROUND(AE250*AF$6/12,2)</f>
        <v/>
      </c>
      <c r="AG250" s="42">
        <f>MIN(AG$6,AE250+AF250)</f>
        <v/>
      </c>
      <c r="AH250" s="42">
        <f>MAX(0,MIN(AE250+AF250-AG250,AD250))</f>
        <v/>
      </c>
      <c r="AI250" s="42">
        <f>ROUND(AE250+AF250-AG250-AH250,2)</f>
        <v/>
      </c>
      <c r="AJ250">
        <f>AD250-AH250</f>
        <v/>
      </c>
      <c r="AK250" s="42">
        <f>AO249</f>
        <v/>
      </c>
      <c r="AL250" s="42">
        <f>ROUND(AK250*AL$6/12,2)</f>
        <v/>
      </c>
      <c r="AM250" s="42">
        <f>MIN(AM$6,AK250+AL250)</f>
        <v/>
      </c>
      <c r="AN250" s="42">
        <f>MAX(0,MIN(AK250+AL250-AM250,AJ250))</f>
        <v/>
      </c>
      <c r="AO250" s="42">
        <f>ROUND(AK250+AL250-AM250-AN250,2)</f>
        <v/>
      </c>
      <c r="AP250">
        <f>AJ250-AN250</f>
        <v/>
      </c>
      <c r="AQ250" s="42">
        <f>AU249</f>
        <v/>
      </c>
      <c r="AR250" s="42">
        <f>ROUND(AQ250*AR$6/12,2)</f>
        <v/>
      </c>
      <c r="AS250" s="42">
        <f>MIN(AS$6,AQ250+AR250)</f>
        <v/>
      </c>
      <c r="AT250" s="42">
        <f>MAX(0,MIN(AQ250+AR250-AS250,AP250))</f>
        <v/>
      </c>
      <c r="AU250" s="42">
        <f>ROUND(AQ250+AR250-AS250-AT250,2)</f>
        <v/>
      </c>
      <c r="AV250">
        <f>AP250-AT250</f>
        <v/>
      </c>
      <c r="AW250" s="42">
        <f>BA249</f>
        <v/>
      </c>
      <c r="AX250" s="42">
        <f>ROUND(AW250*AX$6/12,2)</f>
        <v/>
      </c>
      <c r="AY250" s="42">
        <f>MIN(AY$6,AW250+AX250)</f>
        <v/>
      </c>
      <c r="AZ250" s="42">
        <f>MAX(0,MIN(AW250+AX250-AY250,AV250))</f>
        <v/>
      </c>
      <c r="BA250" s="42">
        <f>ROUND(AW250+AX250-AY250-AZ250,2)</f>
        <v/>
      </c>
      <c r="BB250">
        <f>AV250-AZ250</f>
        <v/>
      </c>
      <c r="BC250" s="42">
        <f>BG249</f>
        <v/>
      </c>
      <c r="BD250" s="42">
        <f>ROUND(BC250*BD$6/12,2)</f>
        <v/>
      </c>
      <c r="BE250" s="42">
        <f>MIN(BE$6,BC250+BD250)</f>
        <v/>
      </c>
      <c r="BF250" s="42">
        <f>MAX(0,MIN(BC250+BD250-BE250,BB250))</f>
        <v/>
      </c>
      <c r="BG250" s="42">
        <f>ROUND(BC250+BD250-BE250-BF250,2)</f>
        <v/>
      </c>
      <c r="BH250">
        <f>BB250-BF250</f>
        <v/>
      </c>
      <c r="BI250" s="42">
        <f>BM249</f>
        <v/>
      </c>
      <c r="BJ250" s="42">
        <f>ROUND(BI250*BJ$6/12,2)</f>
        <v/>
      </c>
      <c r="BK250" s="42">
        <f>MIN(BK$6,BI250+BJ250)</f>
        <v/>
      </c>
      <c r="BL250" s="42">
        <f>MAX(0,MIN(BI250+BJ250-BK250,BH250))</f>
        <v/>
      </c>
      <c r="BM250" s="42">
        <f>ROUND(BI250+BJ250-BK250-BL250,2)</f>
        <v/>
      </c>
      <c r="BN250">
        <f>BH250-BL250</f>
        <v/>
      </c>
    </row>
    <row r="251">
      <c r="A251" s="43" t="n">
        <v>244</v>
      </c>
      <c r="B251" s="44">
        <f>EDATE('My Debts'!$C$6,A251-1)</f>
        <v/>
      </c>
      <c r="C251" s="45">
        <f>K251+Q251+W251+AC251+AI251+AO251+AU251+BA251+BG251+BM251</f>
        <v/>
      </c>
      <c r="D251" s="46">
        <f>I251+O251+U251+AA251+AG251+AM251+AS251+AY251+BE251+BK251+J251+P251+V251+AB251+AH251+AN251+AT251+AZ251+BF251+BL251</f>
        <v/>
      </c>
      <c r="E251" s="46">
        <f>H251+N251+T251+Z251+AF251+AL251+AR251+AX251+BD251+BJ251</f>
        <v/>
      </c>
      <c r="F251">
        <f>MAX(0,'My Debts'!$E$21-(I251+O251+U251+AA251+AG251+AM251+AS251+AY251+BE251+BK251))</f>
        <v/>
      </c>
      <c r="G251" s="42">
        <f>K250</f>
        <v/>
      </c>
      <c r="H251" s="42">
        <f>ROUND(G251*H$6/12,2)</f>
        <v/>
      </c>
      <c r="I251" s="42">
        <f>MIN(I$6,G251+H251)</f>
        <v/>
      </c>
      <c r="J251" s="42">
        <f>MAX(0,MIN(G251+H251-I251,$F251))</f>
        <v/>
      </c>
      <c r="K251" s="42">
        <f>ROUND(G251+H251-I251-J251,2)</f>
        <v/>
      </c>
      <c r="L251">
        <f>$F251-J251</f>
        <v/>
      </c>
      <c r="M251" s="42">
        <f>Q250</f>
        <v/>
      </c>
      <c r="N251" s="42">
        <f>ROUND(M251*N$6/12,2)</f>
        <v/>
      </c>
      <c r="O251" s="42">
        <f>MIN(O$6,M251+N251)</f>
        <v/>
      </c>
      <c r="P251" s="42">
        <f>MAX(0,MIN(M251+N251-O251,L251))</f>
        <v/>
      </c>
      <c r="Q251" s="42">
        <f>ROUND(M251+N251-O251-P251,2)</f>
        <v/>
      </c>
      <c r="R251">
        <f>L251-P251</f>
        <v/>
      </c>
      <c r="S251" s="42">
        <f>W250</f>
        <v/>
      </c>
      <c r="T251" s="42">
        <f>ROUND(S251*T$6/12,2)</f>
        <v/>
      </c>
      <c r="U251" s="42">
        <f>MIN(U$6,S251+T251)</f>
        <v/>
      </c>
      <c r="V251" s="42">
        <f>MAX(0,MIN(S251+T251-U251,R251))</f>
        <v/>
      </c>
      <c r="W251" s="42">
        <f>ROUND(S251+T251-U251-V251,2)</f>
        <v/>
      </c>
      <c r="X251">
        <f>R251-V251</f>
        <v/>
      </c>
      <c r="Y251" s="42">
        <f>AC250</f>
        <v/>
      </c>
      <c r="Z251" s="42">
        <f>ROUND(Y251*Z$6/12,2)</f>
        <v/>
      </c>
      <c r="AA251" s="42">
        <f>MIN(AA$6,Y251+Z251)</f>
        <v/>
      </c>
      <c r="AB251" s="42">
        <f>MAX(0,MIN(Y251+Z251-AA251,X251))</f>
        <v/>
      </c>
      <c r="AC251" s="42">
        <f>ROUND(Y251+Z251-AA251-AB251,2)</f>
        <v/>
      </c>
      <c r="AD251">
        <f>X251-AB251</f>
        <v/>
      </c>
      <c r="AE251" s="42">
        <f>AI250</f>
        <v/>
      </c>
      <c r="AF251" s="42">
        <f>ROUND(AE251*AF$6/12,2)</f>
        <v/>
      </c>
      <c r="AG251" s="42">
        <f>MIN(AG$6,AE251+AF251)</f>
        <v/>
      </c>
      <c r="AH251" s="42">
        <f>MAX(0,MIN(AE251+AF251-AG251,AD251))</f>
        <v/>
      </c>
      <c r="AI251" s="42">
        <f>ROUND(AE251+AF251-AG251-AH251,2)</f>
        <v/>
      </c>
      <c r="AJ251">
        <f>AD251-AH251</f>
        <v/>
      </c>
      <c r="AK251" s="42">
        <f>AO250</f>
        <v/>
      </c>
      <c r="AL251" s="42">
        <f>ROUND(AK251*AL$6/12,2)</f>
        <v/>
      </c>
      <c r="AM251" s="42">
        <f>MIN(AM$6,AK251+AL251)</f>
        <v/>
      </c>
      <c r="AN251" s="42">
        <f>MAX(0,MIN(AK251+AL251-AM251,AJ251))</f>
        <v/>
      </c>
      <c r="AO251" s="42">
        <f>ROUND(AK251+AL251-AM251-AN251,2)</f>
        <v/>
      </c>
      <c r="AP251">
        <f>AJ251-AN251</f>
        <v/>
      </c>
      <c r="AQ251" s="42">
        <f>AU250</f>
        <v/>
      </c>
      <c r="AR251" s="42">
        <f>ROUND(AQ251*AR$6/12,2)</f>
        <v/>
      </c>
      <c r="AS251" s="42">
        <f>MIN(AS$6,AQ251+AR251)</f>
        <v/>
      </c>
      <c r="AT251" s="42">
        <f>MAX(0,MIN(AQ251+AR251-AS251,AP251))</f>
        <v/>
      </c>
      <c r="AU251" s="42">
        <f>ROUND(AQ251+AR251-AS251-AT251,2)</f>
        <v/>
      </c>
      <c r="AV251">
        <f>AP251-AT251</f>
        <v/>
      </c>
      <c r="AW251" s="42">
        <f>BA250</f>
        <v/>
      </c>
      <c r="AX251" s="42">
        <f>ROUND(AW251*AX$6/12,2)</f>
        <v/>
      </c>
      <c r="AY251" s="42">
        <f>MIN(AY$6,AW251+AX251)</f>
        <v/>
      </c>
      <c r="AZ251" s="42">
        <f>MAX(0,MIN(AW251+AX251-AY251,AV251))</f>
        <v/>
      </c>
      <c r="BA251" s="42">
        <f>ROUND(AW251+AX251-AY251-AZ251,2)</f>
        <v/>
      </c>
      <c r="BB251">
        <f>AV251-AZ251</f>
        <v/>
      </c>
      <c r="BC251" s="42">
        <f>BG250</f>
        <v/>
      </c>
      <c r="BD251" s="42">
        <f>ROUND(BC251*BD$6/12,2)</f>
        <v/>
      </c>
      <c r="BE251" s="42">
        <f>MIN(BE$6,BC251+BD251)</f>
        <v/>
      </c>
      <c r="BF251" s="42">
        <f>MAX(0,MIN(BC251+BD251-BE251,BB251))</f>
        <v/>
      </c>
      <c r="BG251" s="42">
        <f>ROUND(BC251+BD251-BE251-BF251,2)</f>
        <v/>
      </c>
      <c r="BH251">
        <f>BB251-BF251</f>
        <v/>
      </c>
      <c r="BI251" s="42">
        <f>BM250</f>
        <v/>
      </c>
      <c r="BJ251" s="42">
        <f>ROUND(BI251*BJ$6/12,2)</f>
        <v/>
      </c>
      <c r="BK251" s="42">
        <f>MIN(BK$6,BI251+BJ251)</f>
        <v/>
      </c>
      <c r="BL251" s="42">
        <f>MAX(0,MIN(BI251+BJ251-BK251,BH251))</f>
        <v/>
      </c>
      <c r="BM251" s="42">
        <f>ROUND(BI251+BJ251-BK251-BL251,2)</f>
        <v/>
      </c>
      <c r="BN251">
        <f>BH251-BL251</f>
        <v/>
      </c>
    </row>
    <row r="252">
      <c r="A252" s="39" t="n">
        <v>245</v>
      </c>
      <c r="B252" s="40">
        <f>EDATE('My Debts'!$C$6,A252-1)</f>
        <v/>
      </c>
      <c r="C252" s="41">
        <f>K252+Q252+W252+AC252+AI252+AO252+AU252+BA252+BG252+BM252</f>
        <v/>
      </c>
      <c r="D252" s="42">
        <f>I252+O252+U252+AA252+AG252+AM252+AS252+AY252+BE252+BK252+J252+P252+V252+AB252+AH252+AN252+AT252+AZ252+BF252+BL252</f>
        <v/>
      </c>
      <c r="E252" s="42">
        <f>H252+N252+T252+Z252+AF252+AL252+AR252+AX252+BD252+BJ252</f>
        <v/>
      </c>
      <c r="F252">
        <f>MAX(0,'My Debts'!$E$21-(I252+O252+U252+AA252+AG252+AM252+AS252+AY252+BE252+BK252))</f>
        <v/>
      </c>
      <c r="G252" s="42">
        <f>K251</f>
        <v/>
      </c>
      <c r="H252" s="42">
        <f>ROUND(G252*H$6/12,2)</f>
        <v/>
      </c>
      <c r="I252" s="42">
        <f>MIN(I$6,G252+H252)</f>
        <v/>
      </c>
      <c r="J252" s="42">
        <f>MAX(0,MIN(G252+H252-I252,$F252))</f>
        <v/>
      </c>
      <c r="K252" s="42">
        <f>ROUND(G252+H252-I252-J252,2)</f>
        <v/>
      </c>
      <c r="L252">
        <f>$F252-J252</f>
        <v/>
      </c>
      <c r="M252" s="42">
        <f>Q251</f>
        <v/>
      </c>
      <c r="N252" s="42">
        <f>ROUND(M252*N$6/12,2)</f>
        <v/>
      </c>
      <c r="O252" s="42">
        <f>MIN(O$6,M252+N252)</f>
        <v/>
      </c>
      <c r="P252" s="42">
        <f>MAX(0,MIN(M252+N252-O252,L252))</f>
        <v/>
      </c>
      <c r="Q252" s="42">
        <f>ROUND(M252+N252-O252-P252,2)</f>
        <v/>
      </c>
      <c r="R252">
        <f>L252-P252</f>
        <v/>
      </c>
      <c r="S252" s="42">
        <f>W251</f>
        <v/>
      </c>
      <c r="T252" s="42">
        <f>ROUND(S252*T$6/12,2)</f>
        <v/>
      </c>
      <c r="U252" s="42">
        <f>MIN(U$6,S252+T252)</f>
        <v/>
      </c>
      <c r="V252" s="42">
        <f>MAX(0,MIN(S252+T252-U252,R252))</f>
        <v/>
      </c>
      <c r="W252" s="42">
        <f>ROUND(S252+T252-U252-V252,2)</f>
        <v/>
      </c>
      <c r="X252">
        <f>R252-V252</f>
        <v/>
      </c>
      <c r="Y252" s="42">
        <f>AC251</f>
        <v/>
      </c>
      <c r="Z252" s="42">
        <f>ROUND(Y252*Z$6/12,2)</f>
        <v/>
      </c>
      <c r="AA252" s="42">
        <f>MIN(AA$6,Y252+Z252)</f>
        <v/>
      </c>
      <c r="AB252" s="42">
        <f>MAX(0,MIN(Y252+Z252-AA252,X252))</f>
        <v/>
      </c>
      <c r="AC252" s="42">
        <f>ROUND(Y252+Z252-AA252-AB252,2)</f>
        <v/>
      </c>
      <c r="AD252">
        <f>X252-AB252</f>
        <v/>
      </c>
      <c r="AE252" s="42">
        <f>AI251</f>
        <v/>
      </c>
      <c r="AF252" s="42">
        <f>ROUND(AE252*AF$6/12,2)</f>
        <v/>
      </c>
      <c r="AG252" s="42">
        <f>MIN(AG$6,AE252+AF252)</f>
        <v/>
      </c>
      <c r="AH252" s="42">
        <f>MAX(0,MIN(AE252+AF252-AG252,AD252))</f>
        <v/>
      </c>
      <c r="AI252" s="42">
        <f>ROUND(AE252+AF252-AG252-AH252,2)</f>
        <v/>
      </c>
      <c r="AJ252">
        <f>AD252-AH252</f>
        <v/>
      </c>
      <c r="AK252" s="42">
        <f>AO251</f>
        <v/>
      </c>
      <c r="AL252" s="42">
        <f>ROUND(AK252*AL$6/12,2)</f>
        <v/>
      </c>
      <c r="AM252" s="42">
        <f>MIN(AM$6,AK252+AL252)</f>
        <v/>
      </c>
      <c r="AN252" s="42">
        <f>MAX(0,MIN(AK252+AL252-AM252,AJ252))</f>
        <v/>
      </c>
      <c r="AO252" s="42">
        <f>ROUND(AK252+AL252-AM252-AN252,2)</f>
        <v/>
      </c>
      <c r="AP252">
        <f>AJ252-AN252</f>
        <v/>
      </c>
      <c r="AQ252" s="42">
        <f>AU251</f>
        <v/>
      </c>
      <c r="AR252" s="42">
        <f>ROUND(AQ252*AR$6/12,2)</f>
        <v/>
      </c>
      <c r="AS252" s="42">
        <f>MIN(AS$6,AQ252+AR252)</f>
        <v/>
      </c>
      <c r="AT252" s="42">
        <f>MAX(0,MIN(AQ252+AR252-AS252,AP252))</f>
        <v/>
      </c>
      <c r="AU252" s="42">
        <f>ROUND(AQ252+AR252-AS252-AT252,2)</f>
        <v/>
      </c>
      <c r="AV252">
        <f>AP252-AT252</f>
        <v/>
      </c>
      <c r="AW252" s="42">
        <f>BA251</f>
        <v/>
      </c>
      <c r="AX252" s="42">
        <f>ROUND(AW252*AX$6/12,2)</f>
        <v/>
      </c>
      <c r="AY252" s="42">
        <f>MIN(AY$6,AW252+AX252)</f>
        <v/>
      </c>
      <c r="AZ252" s="42">
        <f>MAX(0,MIN(AW252+AX252-AY252,AV252))</f>
        <v/>
      </c>
      <c r="BA252" s="42">
        <f>ROUND(AW252+AX252-AY252-AZ252,2)</f>
        <v/>
      </c>
      <c r="BB252">
        <f>AV252-AZ252</f>
        <v/>
      </c>
      <c r="BC252" s="42">
        <f>BG251</f>
        <v/>
      </c>
      <c r="BD252" s="42">
        <f>ROUND(BC252*BD$6/12,2)</f>
        <v/>
      </c>
      <c r="BE252" s="42">
        <f>MIN(BE$6,BC252+BD252)</f>
        <v/>
      </c>
      <c r="BF252" s="42">
        <f>MAX(0,MIN(BC252+BD252-BE252,BB252))</f>
        <v/>
      </c>
      <c r="BG252" s="42">
        <f>ROUND(BC252+BD252-BE252-BF252,2)</f>
        <v/>
      </c>
      <c r="BH252">
        <f>BB252-BF252</f>
        <v/>
      </c>
      <c r="BI252" s="42">
        <f>BM251</f>
        <v/>
      </c>
      <c r="BJ252" s="42">
        <f>ROUND(BI252*BJ$6/12,2)</f>
        <v/>
      </c>
      <c r="BK252" s="42">
        <f>MIN(BK$6,BI252+BJ252)</f>
        <v/>
      </c>
      <c r="BL252" s="42">
        <f>MAX(0,MIN(BI252+BJ252-BK252,BH252))</f>
        <v/>
      </c>
      <c r="BM252" s="42">
        <f>ROUND(BI252+BJ252-BK252-BL252,2)</f>
        <v/>
      </c>
      <c r="BN252">
        <f>BH252-BL252</f>
        <v/>
      </c>
    </row>
    <row r="253">
      <c r="A253" s="43" t="n">
        <v>246</v>
      </c>
      <c r="B253" s="44">
        <f>EDATE('My Debts'!$C$6,A253-1)</f>
        <v/>
      </c>
      <c r="C253" s="45">
        <f>K253+Q253+W253+AC253+AI253+AO253+AU253+BA253+BG253+BM253</f>
        <v/>
      </c>
      <c r="D253" s="46">
        <f>I253+O253+U253+AA253+AG253+AM253+AS253+AY253+BE253+BK253+J253+P253+V253+AB253+AH253+AN253+AT253+AZ253+BF253+BL253</f>
        <v/>
      </c>
      <c r="E253" s="46">
        <f>H253+N253+T253+Z253+AF253+AL253+AR253+AX253+BD253+BJ253</f>
        <v/>
      </c>
      <c r="F253">
        <f>MAX(0,'My Debts'!$E$21-(I253+O253+U253+AA253+AG253+AM253+AS253+AY253+BE253+BK253))</f>
        <v/>
      </c>
      <c r="G253" s="42">
        <f>K252</f>
        <v/>
      </c>
      <c r="H253" s="42">
        <f>ROUND(G253*H$6/12,2)</f>
        <v/>
      </c>
      <c r="I253" s="42">
        <f>MIN(I$6,G253+H253)</f>
        <v/>
      </c>
      <c r="J253" s="42">
        <f>MAX(0,MIN(G253+H253-I253,$F253))</f>
        <v/>
      </c>
      <c r="K253" s="42">
        <f>ROUND(G253+H253-I253-J253,2)</f>
        <v/>
      </c>
      <c r="L253">
        <f>$F253-J253</f>
        <v/>
      </c>
      <c r="M253" s="42">
        <f>Q252</f>
        <v/>
      </c>
      <c r="N253" s="42">
        <f>ROUND(M253*N$6/12,2)</f>
        <v/>
      </c>
      <c r="O253" s="42">
        <f>MIN(O$6,M253+N253)</f>
        <v/>
      </c>
      <c r="P253" s="42">
        <f>MAX(0,MIN(M253+N253-O253,L253))</f>
        <v/>
      </c>
      <c r="Q253" s="42">
        <f>ROUND(M253+N253-O253-P253,2)</f>
        <v/>
      </c>
      <c r="R253">
        <f>L253-P253</f>
        <v/>
      </c>
      <c r="S253" s="42">
        <f>W252</f>
        <v/>
      </c>
      <c r="T253" s="42">
        <f>ROUND(S253*T$6/12,2)</f>
        <v/>
      </c>
      <c r="U253" s="42">
        <f>MIN(U$6,S253+T253)</f>
        <v/>
      </c>
      <c r="V253" s="42">
        <f>MAX(0,MIN(S253+T253-U253,R253))</f>
        <v/>
      </c>
      <c r="W253" s="42">
        <f>ROUND(S253+T253-U253-V253,2)</f>
        <v/>
      </c>
      <c r="X253">
        <f>R253-V253</f>
        <v/>
      </c>
      <c r="Y253" s="42">
        <f>AC252</f>
        <v/>
      </c>
      <c r="Z253" s="42">
        <f>ROUND(Y253*Z$6/12,2)</f>
        <v/>
      </c>
      <c r="AA253" s="42">
        <f>MIN(AA$6,Y253+Z253)</f>
        <v/>
      </c>
      <c r="AB253" s="42">
        <f>MAX(0,MIN(Y253+Z253-AA253,X253))</f>
        <v/>
      </c>
      <c r="AC253" s="42">
        <f>ROUND(Y253+Z253-AA253-AB253,2)</f>
        <v/>
      </c>
      <c r="AD253">
        <f>X253-AB253</f>
        <v/>
      </c>
      <c r="AE253" s="42">
        <f>AI252</f>
        <v/>
      </c>
      <c r="AF253" s="42">
        <f>ROUND(AE253*AF$6/12,2)</f>
        <v/>
      </c>
      <c r="AG253" s="42">
        <f>MIN(AG$6,AE253+AF253)</f>
        <v/>
      </c>
      <c r="AH253" s="42">
        <f>MAX(0,MIN(AE253+AF253-AG253,AD253))</f>
        <v/>
      </c>
      <c r="AI253" s="42">
        <f>ROUND(AE253+AF253-AG253-AH253,2)</f>
        <v/>
      </c>
      <c r="AJ253">
        <f>AD253-AH253</f>
        <v/>
      </c>
      <c r="AK253" s="42">
        <f>AO252</f>
        <v/>
      </c>
      <c r="AL253" s="42">
        <f>ROUND(AK253*AL$6/12,2)</f>
        <v/>
      </c>
      <c r="AM253" s="42">
        <f>MIN(AM$6,AK253+AL253)</f>
        <v/>
      </c>
      <c r="AN253" s="42">
        <f>MAX(0,MIN(AK253+AL253-AM253,AJ253))</f>
        <v/>
      </c>
      <c r="AO253" s="42">
        <f>ROUND(AK253+AL253-AM253-AN253,2)</f>
        <v/>
      </c>
      <c r="AP253">
        <f>AJ253-AN253</f>
        <v/>
      </c>
      <c r="AQ253" s="42">
        <f>AU252</f>
        <v/>
      </c>
      <c r="AR253" s="42">
        <f>ROUND(AQ253*AR$6/12,2)</f>
        <v/>
      </c>
      <c r="AS253" s="42">
        <f>MIN(AS$6,AQ253+AR253)</f>
        <v/>
      </c>
      <c r="AT253" s="42">
        <f>MAX(0,MIN(AQ253+AR253-AS253,AP253))</f>
        <v/>
      </c>
      <c r="AU253" s="42">
        <f>ROUND(AQ253+AR253-AS253-AT253,2)</f>
        <v/>
      </c>
      <c r="AV253">
        <f>AP253-AT253</f>
        <v/>
      </c>
      <c r="AW253" s="42">
        <f>BA252</f>
        <v/>
      </c>
      <c r="AX253" s="42">
        <f>ROUND(AW253*AX$6/12,2)</f>
        <v/>
      </c>
      <c r="AY253" s="42">
        <f>MIN(AY$6,AW253+AX253)</f>
        <v/>
      </c>
      <c r="AZ253" s="42">
        <f>MAX(0,MIN(AW253+AX253-AY253,AV253))</f>
        <v/>
      </c>
      <c r="BA253" s="42">
        <f>ROUND(AW253+AX253-AY253-AZ253,2)</f>
        <v/>
      </c>
      <c r="BB253">
        <f>AV253-AZ253</f>
        <v/>
      </c>
      <c r="BC253" s="42">
        <f>BG252</f>
        <v/>
      </c>
      <c r="BD253" s="42">
        <f>ROUND(BC253*BD$6/12,2)</f>
        <v/>
      </c>
      <c r="BE253" s="42">
        <f>MIN(BE$6,BC253+BD253)</f>
        <v/>
      </c>
      <c r="BF253" s="42">
        <f>MAX(0,MIN(BC253+BD253-BE253,BB253))</f>
        <v/>
      </c>
      <c r="BG253" s="42">
        <f>ROUND(BC253+BD253-BE253-BF253,2)</f>
        <v/>
      </c>
      <c r="BH253">
        <f>BB253-BF253</f>
        <v/>
      </c>
      <c r="BI253" s="42">
        <f>BM252</f>
        <v/>
      </c>
      <c r="BJ253" s="42">
        <f>ROUND(BI253*BJ$6/12,2)</f>
        <v/>
      </c>
      <c r="BK253" s="42">
        <f>MIN(BK$6,BI253+BJ253)</f>
        <v/>
      </c>
      <c r="BL253" s="42">
        <f>MAX(0,MIN(BI253+BJ253-BK253,BH253))</f>
        <v/>
      </c>
      <c r="BM253" s="42">
        <f>ROUND(BI253+BJ253-BK253-BL253,2)</f>
        <v/>
      </c>
      <c r="BN253">
        <f>BH253-BL253</f>
        <v/>
      </c>
    </row>
    <row r="254">
      <c r="A254" s="39" t="n">
        <v>247</v>
      </c>
      <c r="B254" s="40">
        <f>EDATE('My Debts'!$C$6,A254-1)</f>
        <v/>
      </c>
      <c r="C254" s="41">
        <f>K254+Q254+W254+AC254+AI254+AO254+AU254+BA254+BG254+BM254</f>
        <v/>
      </c>
      <c r="D254" s="42">
        <f>I254+O254+U254+AA254+AG254+AM254+AS254+AY254+BE254+BK254+J254+P254+V254+AB254+AH254+AN254+AT254+AZ254+BF254+BL254</f>
        <v/>
      </c>
      <c r="E254" s="42">
        <f>H254+N254+T254+Z254+AF254+AL254+AR254+AX254+BD254+BJ254</f>
        <v/>
      </c>
      <c r="F254">
        <f>MAX(0,'My Debts'!$E$21-(I254+O254+U254+AA254+AG254+AM254+AS254+AY254+BE254+BK254))</f>
        <v/>
      </c>
      <c r="G254" s="42">
        <f>K253</f>
        <v/>
      </c>
      <c r="H254" s="42">
        <f>ROUND(G254*H$6/12,2)</f>
        <v/>
      </c>
      <c r="I254" s="42">
        <f>MIN(I$6,G254+H254)</f>
        <v/>
      </c>
      <c r="J254" s="42">
        <f>MAX(0,MIN(G254+H254-I254,$F254))</f>
        <v/>
      </c>
      <c r="K254" s="42">
        <f>ROUND(G254+H254-I254-J254,2)</f>
        <v/>
      </c>
      <c r="L254">
        <f>$F254-J254</f>
        <v/>
      </c>
      <c r="M254" s="42">
        <f>Q253</f>
        <v/>
      </c>
      <c r="N254" s="42">
        <f>ROUND(M254*N$6/12,2)</f>
        <v/>
      </c>
      <c r="O254" s="42">
        <f>MIN(O$6,M254+N254)</f>
        <v/>
      </c>
      <c r="P254" s="42">
        <f>MAX(0,MIN(M254+N254-O254,L254))</f>
        <v/>
      </c>
      <c r="Q254" s="42">
        <f>ROUND(M254+N254-O254-P254,2)</f>
        <v/>
      </c>
      <c r="R254">
        <f>L254-P254</f>
        <v/>
      </c>
      <c r="S254" s="42">
        <f>W253</f>
        <v/>
      </c>
      <c r="T254" s="42">
        <f>ROUND(S254*T$6/12,2)</f>
        <v/>
      </c>
      <c r="U254" s="42">
        <f>MIN(U$6,S254+T254)</f>
        <v/>
      </c>
      <c r="V254" s="42">
        <f>MAX(0,MIN(S254+T254-U254,R254))</f>
        <v/>
      </c>
      <c r="W254" s="42">
        <f>ROUND(S254+T254-U254-V254,2)</f>
        <v/>
      </c>
      <c r="X254">
        <f>R254-V254</f>
        <v/>
      </c>
      <c r="Y254" s="42">
        <f>AC253</f>
        <v/>
      </c>
      <c r="Z254" s="42">
        <f>ROUND(Y254*Z$6/12,2)</f>
        <v/>
      </c>
      <c r="AA254" s="42">
        <f>MIN(AA$6,Y254+Z254)</f>
        <v/>
      </c>
      <c r="AB254" s="42">
        <f>MAX(0,MIN(Y254+Z254-AA254,X254))</f>
        <v/>
      </c>
      <c r="AC254" s="42">
        <f>ROUND(Y254+Z254-AA254-AB254,2)</f>
        <v/>
      </c>
      <c r="AD254">
        <f>X254-AB254</f>
        <v/>
      </c>
      <c r="AE254" s="42">
        <f>AI253</f>
        <v/>
      </c>
      <c r="AF254" s="42">
        <f>ROUND(AE254*AF$6/12,2)</f>
        <v/>
      </c>
      <c r="AG254" s="42">
        <f>MIN(AG$6,AE254+AF254)</f>
        <v/>
      </c>
      <c r="AH254" s="42">
        <f>MAX(0,MIN(AE254+AF254-AG254,AD254))</f>
        <v/>
      </c>
      <c r="AI254" s="42">
        <f>ROUND(AE254+AF254-AG254-AH254,2)</f>
        <v/>
      </c>
      <c r="AJ254">
        <f>AD254-AH254</f>
        <v/>
      </c>
      <c r="AK254" s="42">
        <f>AO253</f>
        <v/>
      </c>
      <c r="AL254" s="42">
        <f>ROUND(AK254*AL$6/12,2)</f>
        <v/>
      </c>
      <c r="AM254" s="42">
        <f>MIN(AM$6,AK254+AL254)</f>
        <v/>
      </c>
      <c r="AN254" s="42">
        <f>MAX(0,MIN(AK254+AL254-AM254,AJ254))</f>
        <v/>
      </c>
      <c r="AO254" s="42">
        <f>ROUND(AK254+AL254-AM254-AN254,2)</f>
        <v/>
      </c>
      <c r="AP254">
        <f>AJ254-AN254</f>
        <v/>
      </c>
      <c r="AQ254" s="42">
        <f>AU253</f>
        <v/>
      </c>
      <c r="AR254" s="42">
        <f>ROUND(AQ254*AR$6/12,2)</f>
        <v/>
      </c>
      <c r="AS254" s="42">
        <f>MIN(AS$6,AQ254+AR254)</f>
        <v/>
      </c>
      <c r="AT254" s="42">
        <f>MAX(0,MIN(AQ254+AR254-AS254,AP254))</f>
        <v/>
      </c>
      <c r="AU254" s="42">
        <f>ROUND(AQ254+AR254-AS254-AT254,2)</f>
        <v/>
      </c>
      <c r="AV254">
        <f>AP254-AT254</f>
        <v/>
      </c>
      <c r="AW254" s="42">
        <f>BA253</f>
        <v/>
      </c>
      <c r="AX254" s="42">
        <f>ROUND(AW254*AX$6/12,2)</f>
        <v/>
      </c>
      <c r="AY254" s="42">
        <f>MIN(AY$6,AW254+AX254)</f>
        <v/>
      </c>
      <c r="AZ254" s="42">
        <f>MAX(0,MIN(AW254+AX254-AY254,AV254))</f>
        <v/>
      </c>
      <c r="BA254" s="42">
        <f>ROUND(AW254+AX254-AY254-AZ254,2)</f>
        <v/>
      </c>
      <c r="BB254">
        <f>AV254-AZ254</f>
        <v/>
      </c>
      <c r="BC254" s="42">
        <f>BG253</f>
        <v/>
      </c>
      <c r="BD254" s="42">
        <f>ROUND(BC254*BD$6/12,2)</f>
        <v/>
      </c>
      <c r="BE254" s="42">
        <f>MIN(BE$6,BC254+BD254)</f>
        <v/>
      </c>
      <c r="BF254" s="42">
        <f>MAX(0,MIN(BC254+BD254-BE254,BB254))</f>
        <v/>
      </c>
      <c r="BG254" s="42">
        <f>ROUND(BC254+BD254-BE254-BF254,2)</f>
        <v/>
      </c>
      <c r="BH254">
        <f>BB254-BF254</f>
        <v/>
      </c>
      <c r="BI254" s="42">
        <f>BM253</f>
        <v/>
      </c>
      <c r="BJ254" s="42">
        <f>ROUND(BI254*BJ$6/12,2)</f>
        <v/>
      </c>
      <c r="BK254" s="42">
        <f>MIN(BK$6,BI254+BJ254)</f>
        <v/>
      </c>
      <c r="BL254" s="42">
        <f>MAX(0,MIN(BI254+BJ254-BK254,BH254))</f>
        <v/>
      </c>
      <c r="BM254" s="42">
        <f>ROUND(BI254+BJ254-BK254-BL254,2)</f>
        <v/>
      </c>
      <c r="BN254">
        <f>BH254-BL254</f>
        <v/>
      </c>
    </row>
    <row r="255">
      <c r="A255" s="43" t="n">
        <v>248</v>
      </c>
      <c r="B255" s="44">
        <f>EDATE('My Debts'!$C$6,A255-1)</f>
        <v/>
      </c>
      <c r="C255" s="45">
        <f>K255+Q255+W255+AC255+AI255+AO255+AU255+BA255+BG255+BM255</f>
        <v/>
      </c>
      <c r="D255" s="46">
        <f>I255+O255+U255+AA255+AG255+AM255+AS255+AY255+BE255+BK255+J255+P255+V255+AB255+AH255+AN255+AT255+AZ255+BF255+BL255</f>
        <v/>
      </c>
      <c r="E255" s="46">
        <f>H255+N255+T255+Z255+AF255+AL255+AR255+AX255+BD255+BJ255</f>
        <v/>
      </c>
      <c r="F255">
        <f>MAX(0,'My Debts'!$E$21-(I255+O255+U255+AA255+AG255+AM255+AS255+AY255+BE255+BK255))</f>
        <v/>
      </c>
      <c r="G255" s="42">
        <f>K254</f>
        <v/>
      </c>
      <c r="H255" s="42">
        <f>ROUND(G255*H$6/12,2)</f>
        <v/>
      </c>
      <c r="I255" s="42">
        <f>MIN(I$6,G255+H255)</f>
        <v/>
      </c>
      <c r="J255" s="42">
        <f>MAX(0,MIN(G255+H255-I255,$F255))</f>
        <v/>
      </c>
      <c r="K255" s="42">
        <f>ROUND(G255+H255-I255-J255,2)</f>
        <v/>
      </c>
      <c r="L255">
        <f>$F255-J255</f>
        <v/>
      </c>
      <c r="M255" s="42">
        <f>Q254</f>
        <v/>
      </c>
      <c r="N255" s="42">
        <f>ROUND(M255*N$6/12,2)</f>
        <v/>
      </c>
      <c r="O255" s="42">
        <f>MIN(O$6,M255+N255)</f>
        <v/>
      </c>
      <c r="P255" s="42">
        <f>MAX(0,MIN(M255+N255-O255,L255))</f>
        <v/>
      </c>
      <c r="Q255" s="42">
        <f>ROUND(M255+N255-O255-P255,2)</f>
        <v/>
      </c>
      <c r="R255">
        <f>L255-P255</f>
        <v/>
      </c>
      <c r="S255" s="42">
        <f>W254</f>
        <v/>
      </c>
      <c r="T255" s="42">
        <f>ROUND(S255*T$6/12,2)</f>
        <v/>
      </c>
      <c r="U255" s="42">
        <f>MIN(U$6,S255+T255)</f>
        <v/>
      </c>
      <c r="V255" s="42">
        <f>MAX(0,MIN(S255+T255-U255,R255))</f>
        <v/>
      </c>
      <c r="W255" s="42">
        <f>ROUND(S255+T255-U255-V255,2)</f>
        <v/>
      </c>
      <c r="X255">
        <f>R255-V255</f>
        <v/>
      </c>
      <c r="Y255" s="42">
        <f>AC254</f>
        <v/>
      </c>
      <c r="Z255" s="42">
        <f>ROUND(Y255*Z$6/12,2)</f>
        <v/>
      </c>
      <c r="AA255" s="42">
        <f>MIN(AA$6,Y255+Z255)</f>
        <v/>
      </c>
      <c r="AB255" s="42">
        <f>MAX(0,MIN(Y255+Z255-AA255,X255))</f>
        <v/>
      </c>
      <c r="AC255" s="42">
        <f>ROUND(Y255+Z255-AA255-AB255,2)</f>
        <v/>
      </c>
      <c r="AD255">
        <f>X255-AB255</f>
        <v/>
      </c>
      <c r="AE255" s="42">
        <f>AI254</f>
        <v/>
      </c>
      <c r="AF255" s="42">
        <f>ROUND(AE255*AF$6/12,2)</f>
        <v/>
      </c>
      <c r="AG255" s="42">
        <f>MIN(AG$6,AE255+AF255)</f>
        <v/>
      </c>
      <c r="AH255" s="42">
        <f>MAX(0,MIN(AE255+AF255-AG255,AD255))</f>
        <v/>
      </c>
      <c r="AI255" s="42">
        <f>ROUND(AE255+AF255-AG255-AH255,2)</f>
        <v/>
      </c>
      <c r="AJ255">
        <f>AD255-AH255</f>
        <v/>
      </c>
      <c r="AK255" s="42">
        <f>AO254</f>
        <v/>
      </c>
      <c r="AL255" s="42">
        <f>ROUND(AK255*AL$6/12,2)</f>
        <v/>
      </c>
      <c r="AM255" s="42">
        <f>MIN(AM$6,AK255+AL255)</f>
        <v/>
      </c>
      <c r="AN255" s="42">
        <f>MAX(0,MIN(AK255+AL255-AM255,AJ255))</f>
        <v/>
      </c>
      <c r="AO255" s="42">
        <f>ROUND(AK255+AL255-AM255-AN255,2)</f>
        <v/>
      </c>
      <c r="AP255">
        <f>AJ255-AN255</f>
        <v/>
      </c>
      <c r="AQ255" s="42">
        <f>AU254</f>
        <v/>
      </c>
      <c r="AR255" s="42">
        <f>ROUND(AQ255*AR$6/12,2)</f>
        <v/>
      </c>
      <c r="AS255" s="42">
        <f>MIN(AS$6,AQ255+AR255)</f>
        <v/>
      </c>
      <c r="AT255" s="42">
        <f>MAX(0,MIN(AQ255+AR255-AS255,AP255))</f>
        <v/>
      </c>
      <c r="AU255" s="42">
        <f>ROUND(AQ255+AR255-AS255-AT255,2)</f>
        <v/>
      </c>
      <c r="AV255">
        <f>AP255-AT255</f>
        <v/>
      </c>
      <c r="AW255" s="42">
        <f>BA254</f>
        <v/>
      </c>
      <c r="AX255" s="42">
        <f>ROUND(AW255*AX$6/12,2)</f>
        <v/>
      </c>
      <c r="AY255" s="42">
        <f>MIN(AY$6,AW255+AX255)</f>
        <v/>
      </c>
      <c r="AZ255" s="42">
        <f>MAX(0,MIN(AW255+AX255-AY255,AV255))</f>
        <v/>
      </c>
      <c r="BA255" s="42">
        <f>ROUND(AW255+AX255-AY255-AZ255,2)</f>
        <v/>
      </c>
      <c r="BB255">
        <f>AV255-AZ255</f>
        <v/>
      </c>
      <c r="BC255" s="42">
        <f>BG254</f>
        <v/>
      </c>
      <c r="BD255" s="42">
        <f>ROUND(BC255*BD$6/12,2)</f>
        <v/>
      </c>
      <c r="BE255" s="42">
        <f>MIN(BE$6,BC255+BD255)</f>
        <v/>
      </c>
      <c r="BF255" s="42">
        <f>MAX(0,MIN(BC255+BD255-BE255,BB255))</f>
        <v/>
      </c>
      <c r="BG255" s="42">
        <f>ROUND(BC255+BD255-BE255-BF255,2)</f>
        <v/>
      </c>
      <c r="BH255">
        <f>BB255-BF255</f>
        <v/>
      </c>
      <c r="BI255" s="42">
        <f>BM254</f>
        <v/>
      </c>
      <c r="BJ255" s="42">
        <f>ROUND(BI255*BJ$6/12,2)</f>
        <v/>
      </c>
      <c r="BK255" s="42">
        <f>MIN(BK$6,BI255+BJ255)</f>
        <v/>
      </c>
      <c r="BL255" s="42">
        <f>MAX(0,MIN(BI255+BJ255-BK255,BH255))</f>
        <v/>
      </c>
      <c r="BM255" s="42">
        <f>ROUND(BI255+BJ255-BK255-BL255,2)</f>
        <v/>
      </c>
      <c r="BN255">
        <f>BH255-BL255</f>
        <v/>
      </c>
    </row>
    <row r="256">
      <c r="A256" s="39" t="n">
        <v>249</v>
      </c>
      <c r="B256" s="40">
        <f>EDATE('My Debts'!$C$6,A256-1)</f>
        <v/>
      </c>
      <c r="C256" s="41">
        <f>K256+Q256+W256+AC256+AI256+AO256+AU256+BA256+BG256+BM256</f>
        <v/>
      </c>
      <c r="D256" s="42">
        <f>I256+O256+U256+AA256+AG256+AM256+AS256+AY256+BE256+BK256+J256+P256+V256+AB256+AH256+AN256+AT256+AZ256+BF256+BL256</f>
        <v/>
      </c>
      <c r="E256" s="42">
        <f>H256+N256+T256+Z256+AF256+AL256+AR256+AX256+BD256+BJ256</f>
        <v/>
      </c>
      <c r="F256">
        <f>MAX(0,'My Debts'!$E$21-(I256+O256+U256+AA256+AG256+AM256+AS256+AY256+BE256+BK256))</f>
        <v/>
      </c>
      <c r="G256" s="42">
        <f>K255</f>
        <v/>
      </c>
      <c r="H256" s="42">
        <f>ROUND(G256*H$6/12,2)</f>
        <v/>
      </c>
      <c r="I256" s="42">
        <f>MIN(I$6,G256+H256)</f>
        <v/>
      </c>
      <c r="J256" s="42">
        <f>MAX(0,MIN(G256+H256-I256,$F256))</f>
        <v/>
      </c>
      <c r="K256" s="42">
        <f>ROUND(G256+H256-I256-J256,2)</f>
        <v/>
      </c>
      <c r="L256">
        <f>$F256-J256</f>
        <v/>
      </c>
      <c r="M256" s="42">
        <f>Q255</f>
        <v/>
      </c>
      <c r="N256" s="42">
        <f>ROUND(M256*N$6/12,2)</f>
        <v/>
      </c>
      <c r="O256" s="42">
        <f>MIN(O$6,M256+N256)</f>
        <v/>
      </c>
      <c r="P256" s="42">
        <f>MAX(0,MIN(M256+N256-O256,L256))</f>
        <v/>
      </c>
      <c r="Q256" s="42">
        <f>ROUND(M256+N256-O256-P256,2)</f>
        <v/>
      </c>
      <c r="R256">
        <f>L256-P256</f>
        <v/>
      </c>
      <c r="S256" s="42">
        <f>W255</f>
        <v/>
      </c>
      <c r="T256" s="42">
        <f>ROUND(S256*T$6/12,2)</f>
        <v/>
      </c>
      <c r="U256" s="42">
        <f>MIN(U$6,S256+T256)</f>
        <v/>
      </c>
      <c r="V256" s="42">
        <f>MAX(0,MIN(S256+T256-U256,R256))</f>
        <v/>
      </c>
      <c r="W256" s="42">
        <f>ROUND(S256+T256-U256-V256,2)</f>
        <v/>
      </c>
      <c r="X256">
        <f>R256-V256</f>
        <v/>
      </c>
      <c r="Y256" s="42">
        <f>AC255</f>
        <v/>
      </c>
      <c r="Z256" s="42">
        <f>ROUND(Y256*Z$6/12,2)</f>
        <v/>
      </c>
      <c r="AA256" s="42">
        <f>MIN(AA$6,Y256+Z256)</f>
        <v/>
      </c>
      <c r="AB256" s="42">
        <f>MAX(0,MIN(Y256+Z256-AA256,X256))</f>
        <v/>
      </c>
      <c r="AC256" s="42">
        <f>ROUND(Y256+Z256-AA256-AB256,2)</f>
        <v/>
      </c>
      <c r="AD256">
        <f>X256-AB256</f>
        <v/>
      </c>
      <c r="AE256" s="42">
        <f>AI255</f>
        <v/>
      </c>
      <c r="AF256" s="42">
        <f>ROUND(AE256*AF$6/12,2)</f>
        <v/>
      </c>
      <c r="AG256" s="42">
        <f>MIN(AG$6,AE256+AF256)</f>
        <v/>
      </c>
      <c r="AH256" s="42">
        <f>MAX(0,MIN(AE256+AF256-AG256,AD256))</f>
        <v/>
      </c>
      <c r="AI256" s="42">
        <f>ROUND(AE256+AF256-AG256-AH256,2)</f>
        <v/>
      </c>
      <c r="AJ256">
        <f>AD256-AH256</f>
        <v/>
      </c>
      <c r="AK256" s="42">
        <f>AO255</f>
        <v/>
      </c>
      <c r="AL256" s="42">
        <f>ROUND(AK256*AL$6/12,2)</f>
        <v/>
      </c>
      <c r="AM256" s="42">
        <f>MIN(AM$6,AK256+AL256)</f>
        <v/>
      </c>
      <c r="AN256" s="42">
        <f>MAX(0,MIN(AK256+AL256-AM256,AJ256))</f>
        <v/>
      </c>
      <c r="AO256" s="42">
        <f>ROUND(AK256+AL256-AM256-AN256,2)</f>
        <v/>
      </c>
      <c r="AP256">
        <f>AJ256-AN256</f>
        <v/>
      </c>
      <c r="AQ256" s="42">
        <f>AU255</f>
        <v/>
      </c>
      <c r="AR256" s="42">
        <f>ROUND(AQ256*AR$6/12,2)</f>
        <v/>
      </c>
      <c r="AS256" s="42">
        <f>MIN(AS$6,AQ256+AR256)</f>
        <v/>
      </c>
      <c r="AT256" s="42">
        <f>MAX(0,MIN(AQ256+AR256-AS256,AP256))</f>
        <v/>
      </c>
      <c r="AU256" s="42">
        <f>ROUND(AQ256+AR256-AS256-AT256,2)</f>
        <v/>
      </c>
      <c r="AV256">
        <f>AP256-AT256</f>
        <v/>
      </c>
      <c r="AW256" s="42">
        <f>BA255</f>
        <v/>
      </c>
      <c r="AX256" s="42">
        <f>ROUND(AW256*AX$6/12,2)</f>
        <v/>
      </c>
      <c r="AY256" s="42">
        <f>MIN(AY$6,AW256+AX256)</f>
        <v/>
      </c>
      <c r="AZ256" s="42">
        <f>MAX(0,MIN(AW256+AX256-AY256,AV256))</f>
        <v/>
      </c>
      <c r="BA256" s="42">
        <f>ROUND(AW256+AX256-AY256-AZ256,2)</f>
        <v/>
      </c>
      <c r="BB256">
        <f>AV256-AZ256</f>
        <v/>
      </c>
      <c r="BC256" s="42">
        <f>BG255</f>
        <v/>
      </c>
      <c r="BD256" s="42">
        <f>ROUND(BC256*BD$6/12,2)</f>
        <v/>
      </c>
      <c r="BE256" s="42">
        <f>MIN(BE$6,BC256+BD256)</f>
        <v/>
      </c>
      <c r="BF256" s="42">
        <f>MAX(0,MIN(BC256+BD256-BE256,BB256))</f>
        <v/>
      </c>
      <c r="BG256" s="42">
        <f>ROUND(BC256+BD256-BE256-BF256,2)</f>
        <v/>
      </c>
      <c r="BH256">
        <f>BB256-BF256</f>
        <v/>
      </c>
      <c r="BI256" s="42">
        <f>BM255</f>
        <v/>
      </c>
      <c r="BJ256" s="42">
        <f>ROUND(BI256*BJ$6/12,2)</f>
        <v/>
      </c>
      <c r="BK256" s="42">
        <f>MIN(BK$6,BI256+BJ256)</f>
        <v/>
      </c>
      <c r="BL256" s="42">
        <f>MAX(0,MIN(BI256+BJ256-BK256,BH256))</f>
        <v/>
      </c>
      <c r="BM256" s="42">
        <f>ROUND(BI256+BJ256-BK256-BL256,2)</f>
        <v/>
      </c>
      <c r="BN256">
        <f>BH256-BL256</f>
        <v/>
      </c>
    </row>
    <row r="257">
      <c r="A257" s="43" t="n">
        <v>250</v>
      </c>
      <c r="B257" s="44">
        <f>EDATE('My Debts'!$C$6,A257-1)</f>
        <v/>
      </c>
      <c r="C257" s="45">
        <f>K257+Q257+W257+AC257+AI257+AO257+AU257+BA257+BG257+BM257</f>
        <v/>
      </c>
      <c r="D257" s="46">
        <f>I257+O257+U257+AA257+AG257+AM257+AS257+AY257+BE257+BK257+J257+P257+V257+AB257+AH257+AN257+AT257+AZ257+BF257+BL257</f>
        <v/>
      </c>
      <c r="E257" s="46">
        <f>H257+N257+T257+Z257+AF257+AL257+AR257+AX257+BD257+BJ257</f>
        <v/>
      </c>
      <c r="F257">
        <f>MAX(0,'My Debts'!$E$21-(I257+O257+U257+AA257+AG257+AM257+AS257+AY257+BE257+BK257))</f>
        <v/>
      </c>
      <c r="G257" s="42">
        <f>K256</f>
        <v/>
      </c>
      <c r="H257" s="42">
        <f>ROUND(G257*H$6/12,2)</f>
        <v/>
      </c>
      <c r="I257" s="42">
        <f>MIN(I$6,G257+H257)</f>
        <v/>
      </c>
      <c r="J257" s="42">
        <f>MAX(0,MIN(G257+H257-I257,$F257))</f>
        <v/>
      </c>
      <c r="K257" s="42">
        <f>ROUND(G257+H257-I257-J257,2)</f>
        <v/>
      </c>
      <c r="L257">
        <f>$F257-J257</f>
        <v/>
      </c>
      <c r="M257" s="42">
        <f>Q256</f>
        <v/>
      </c>
      <c r="N257" s="42">
        <f>ROUND(M257*N$6/12,2)</f>
        <v/>
      </c>
      <c r="O257" s="42">
        <f>MIN(O$6,M257+N257)</f>
        <v/>
      </c>
      <c r="P257" s="42">
        <f>MAX(0,MIN(M257+N257-O257,L257))</f>
        <v/>
      </c>
      <c r="Q257" s="42">
        <f>ROUND(M257+N257-O257-P257,2)</f>
        <v/>
      </c>
      <c r="R257">
        <f>L257-P257</f>
        <v/>
      </c>
      <c r="S257" s="42">
        <f>W256</f>
        <v/>
      </c>
      <c r="T257" s="42">
        <f>ROUND(S257*T$6/12,2)</f>
        <v/>
      </c>
      <c r="U257" s="42">
        <f>MIN(U$6,S257+T257)</f>
        <v/>
      </c>
      <c r="V257" s="42">
        <f>MAX(0,MIN(S257+T257-U257,R257))</f>
        <v/>
      </c>
      <c r="W257" s="42">
        <f>ROUND(S257+T257-U257-V257,2)</f>
        <v/>
      </c>
      <c r="X257">
        <f>R257-V257</f>
        <v/>
      </c>
      <c r="Y257" s="42">
        <f>AC256</f>
        <v/>
      </c>
      <c r="Z257" s="42">
        <f>ROUND(Y257*Z$6/12,2)</f>
        <v/>
      </c>
      <c r="AA257" s="42">
        <f>MIN(AA$6,Y257+Z257)</f>
        <v/>
      </c>
      <c r="AB257" s="42">
        <f>MAX(0,MIN(Y257+Z257-AA257,X257))</f>
        <v/>
      </c>
      <c r="AC257" s="42">
        <f>ROUND(Y257+Z257-AA257-AB257,2)</f>
        <v/>
      </c>
      <c r="AD257">
        <f>X257-AB257</f>
        <v/>
      </c>
      <c r="AE257" s="42">
        <f>AI256</f>
        <v/>
      </c>
      <c r="AF257" s="42">
        <f>ROUND(AE257*AF$6/12,2)</f>
        <v/>
      </c>
      <c r="AG257" s="42">
        <f>MIN(AG$6,AE257+AF257)</f>
        <v/>
      </c>
      <c r="AH257" s="42">
        <f>MAX(0,MIN(AE257+AF257-AG257,AD257))</f>
        <v/>
      </c>
      <c r="AI257" s="42">
        <f>ROUND(AE257+AF257-AG257-AH257,2)</f>
        <v/>
      </c>
      <c r="AJ257">
        <f>AD257-AH257</f>
        <v/>
      </c>
      <c r="AK257" s="42">
        <f>AO256</f>
        <v/>
      </c>
      <c r="AL257" s="42">
        <f>ROUND(AK257*AL$6/12,2)</f>
        <v/>
      </c>
      <c r="AM257" s="42">
        <f>MIN(AM$6,AK257+AL257)</f>
        <v/>
      </c>
      <c r="AN257" s="42">
        <f>MAX(0,MIN(AK257+AL257-AM257,AJ257))</f>
        <v/>
      </c>
      <c r="AO257" s="42">
        <f>ROUND(AK257+AL257-AM257-AN257,2)</f>
        <v/>
      </c>
      <c r="AP257">
        <f>AJ257-AN257</f>
        <v/>
      </c>
      <c r="AQ257" s="42">
        <f>AU256</f>
        <v/>
      </c>
      <c r="AR257" s="42">
        <f>ROUND(AQ257*AR$6/12,2)</f>
        <v/>
      </c>
      <c r="AS257" s="42">
        <f>MIN(AS$6,AQ257+AR257)</f>
        <v/>
      </c>
      <c r="AT257" s="42">
        <f>MAX(0,MIN(AQ257+AR257-AS257,AP257))</f>
        <v/>
      </c>
      <c r="AU257" s="42">
        <f>ROUND(AQ257+AR257-AS257-AT257,2)</f>
        <v/>
      </c>
      <c r="AV257">
        <f>AP257-AT257</f>
        <v/>
      </c>
      <c r="AW257" s="42">
        <f>BA256</f>
        <v/>
      </c>
      <c r="AX257" s="42">
        <f>ROUND(AW257*AX$6/12,2)</f>
        <v/>
      </c>
      <c r="AY257" s="42">
        <f>MIN(AY$6,AW257+AX257)</f>
        <v/>
      </c>
      <c r="AZ257" s="42">
        <f>MAX(0,MIN(AW257+AX257-AY257,AV257))</f>
        <v/>
      </c>
      <c r="BA257" s="42">
        <f>ROUND(AW257+AX257-AY257-AZ257,2)</f>
        <v/>
      </c>
      <c r="BB257">
        <f>AV257-AZ257</f>
        <v/>
      </c>
      <c r="BC257" s="42">
        <f>BG256</f>
        <v/>
      </c>
      <c r="BD257" s="42">
        <f>ROUND(BC257*BD$6/12,2)</f>
        <v/>
      </c>
      <c r="BE257" s="42">
        <f>MIN(BE$6,BC257+BD257)</f>
        <v/>
      </c>
      <c r="BF257" s="42">
        <f>MAX(0,MIN(BC257+BD257-BE257,BB257))</f>
        <v/>
      </c>
      <c r="BG257" s="42">
        <f>ROUND(BC257+BD257-BE257-BF257,2)</f>
        <v/>
      </c>
      <c r="BH257">
        <f>BB257-BF257</f>
        <v/>
      </c>
      <c r="BI257" s="42">
        <f>BM256</f>
        <v/>
      </c>
      <c r="BJ257" s="42">
        <f>ROUND(BI257*BJ$6/12,2)</f>
        <v/>
      </c>
      <c r="BK257" s="42">
        <f>MIN(BK$6,BI257+BJ257)</f>
        <v/>
      </c>
      <c r="BL257" s="42">
        <f>MAX(0,MIN(BI257+BJ257-BK257,BH257))</f>
        <v/>
      </c>
      <c r="BM257" s="42">
        <f>ROUND(BI257+BJ257-BK257-BL257,2)</f>
        <v/>
      </c>
      <c r="BN257">
        <f>BH257-BL257</f>
        <v/>
      </c>
    </row>
    <row r="258">
      <c r="A258" s="39" t="n">
        <v>251</v>
      </c>
      <c r="B258" s="40">
        <f>EDATE('My Debts'!$C$6,A258-1)</f>
        <v/>
      </c>
      <c r="C258" s="41">
        <f>K258+Q258+W258+AC258+AI258+AO258+AU258+BA258+BG258+BM258</f>
        <v/>
      </c>
      <c r="D258" s="42">
        <f>I258+O258+U258+AA258+AG258+AM258+AS258+AY258+BE258+BK258+J258+P258+V258+AB258+AH258+AN258+AT258+AZ258+BF258+BL258</f>
        <v/>
      </c>
      <c r="E258" s="42">
        <f>H258+N258+T258+Z258+AF258+AL258+AR258+AX258+BD258+BJ258</f>
        <v/>
      </c>
      <c r="F258">
        <f>MAX(0,'My Debts'!$E$21-(I258+O258+U258+AA258+AG258+AM258+AS258+AY258+BE258+BK258))</f>
        <v/>
      </c>
      <c r="G258" s="42">
        <f>K257</f>
        <v/>
      </c>
      <c r="H258" s="42">
        <f>ROUND(G258*H$6/12,2)</f>
        <v/>
      </c>
      <c r="I258" s="42">
        <f>MIN(I$6,G258+H258)</f>
        <v/>
      </c>
      <c r="J258" s="42">
        <f>MAX(0,MIN(G258+H258-I258,$F258))</f>
        <v/>
      </c>
      <c r="K258" s="42">
        <f>ROUND(G258+H258-I258-J258,2)</f>
        <v/>
      </c>
      <c r="L258">
        <f>$F258-J258</f>
        <v/>
      </c>
      <c r="M258" s="42">
        <f>Q257</f>
        <v/>
      </c>
      <c r="N258" s="42">
        <f>ROUND(M258*N$6/12,2)</f>
        <v/>
      </c>
      <c r="O258" s="42">
        <f>MIN(O$6,M258+N258)</f>
        <v/>
      </c>
      <c r="P258" s="42">
        <f>MAX(0,MIN(M258+N258-O258,L258))</f>
        <v/>
      </c>
      <c r="Q258" s="42">
        <f>ROUND(M258+N258-O258-P258,2)</f>
        <v/>
      </c>
      <c r="R258">
        <f>L258-P258</f>
        <v/>
      </c>
      <c r="S258" s="42">
        <f>W257</f>
        <v/>
      </c>
      <c r="T258" s="42">
        <f>ROUND(S258*T$6/12,2)</f>
        <v/>
      </c>
      <c r="U258" s="42">
        <f>MIN(U$6,S258+T258)</f>
        <v/>
      </c>
      <c r="V258" s="42">
        <f>MAX(0,MIN(S258+T258-U258,R258))</f>
        <v/>
      </c>
      <c r="W258" s="42">
        <f>ROUND(S258+T258-U258-V258,2)</f>
        <v/>
      </c>
      <c r="X258">
        <f>R258-V258</f>
        <v/>
      </c>
      <c r="Y258" s="42">
        <f>AC257</f>
        <v/>
      </c>
      <c r="Z258" s="42">
        <f>ROUND(Y258*Z$6/12,2)</f>
        <v/>
      </c>
      <c r="AA258" s="42">
        <f>MIN(AA$6,Y258+Z258)</f>
        <v/>
      </c>
      <c r="AB258" s="42">
        <f>MAX(0,MIN(Y258+Z258-AA258,X258))</f>
        <v/>
      </c>
      <c r="AC258" s="42">
        <f>ROUND(Y258+Z258-AA258-AB258,2)</f>
        <v/>
      </c>
      <c r="AD258">
        <f>X258-AB258</f>
        <v/>
      </c>
      <c r="AE258" s="42">
        <f>AI257</f>
        <v/>
      </c>
      <c r="AF258" s="42">
        <f>ROUND(AE258*AF$6/12,2)</f>
        <v/>
      </c>
      <c r="AG258" s="42">
        <f>MIN(AG$6,AE258+AF258)</f>
        <v/>
      </c>
      <c r="AH258" s="42">
        <f>MAX(0,MIN(AE258+AF258-AG258,AD258))</f>
        <v/>
      </c>
      <c r="AI258" s="42">
        <f>ROUND(AE258+AF258-AG258-AH258,2)</f>
        <v/>
      </c>
      <c r="AJ258">
        <f>AD258-AH258</f>
        <v/>
      </c>
      <c r="AK258" s="42">
        <f>AO257</f>
        <v/>
      </c>
      <c r="AL258" s="42">
        <f>ROUND(AK258*AL$6/12,2)</f>
        <v/>
      </c>
      <c r="AM258" s="42">
        <f>MIN(AM$6,AK258+AL258)</f>
        <v/>
      </c>
      <c r="AN258" s="42">
        <f>MAX(0,MIN(AK258+AL258-AM258,AJ258))</f>
        <v/>
      </c>
      <c r="AO258" s="42">
        <f>ROUND(AK258+AL258-AM258-AN258,2)</f>
        <v/>
      </c>
      <c r="AP258">
        <f>AJ258-AN258</f>
        <v/>
      </c>
      <c r="AQ258" s="42">
        <f>AU257</f>
        <v/>
      </c>
      <c r="AR258" s="42">
        <f>ROUND(AQ258*AR$6/12,2)</f>
        <v/>
      </c>
      <c r="AS258" s="42">
        <f>MIN(AS$6,AQ258+AR258)</f>
        <v/>
      </c>
      <c r="AT258" s="42">
        <f>MAX(0,MIN(AQ258+AR258-AS258,AP258))</f>
        <v/>
      </c>
      <c r="AU258" s="42">
        <f>ROUND(AQ258+AR258-AS258-AT258,2)</f>
        <v/>
      </c>
      <c r="AV258">
        <f>AP258-AT258</f>
        <v/>
      </c>
      <c r="AW258" s="42">
        <f>BA257</f>
        <v/>
      </c>
      <c r="AX258" s="42">
        <f>ROUND(AW258*AX$6/12,2)</f>
        <v/>
      </c>
      <c r="AY258" s="42">
        <f>MIN(AY$6,AW258+AX258)</f>
        <v/>
      </c>
      <c r="AZ258" s="42">
        <f>MAX(0,MIN(AW258+AX258-AY258,AV258))</f>
        <v/>
      </c>
      <c r="BA258" s="42">
        <f>ROUND(AW258+AX258-AY258-AZ258,2)</f>
        <v/>
      </c>
      <c r="BB258">
        <f>AV258-AZ258</f>
        <v/>
      </c>
      <c r="BC258" s="42">
        <f>BG257</f>
        <v/>
      </c>
      <c r="BD258" s="42">
        <f>ROUND(BC258*BD$6/12,2)</f>
        <v/>
      </c>
      <c r="BE258" s="42">
        <f>MIN(BE$6,BC258+BD258)</f>
        <v/>
      </c>
      <c r="BF258" s="42">
        <f>MAX(0,MIN(BC258+BD258-BE258,BB258))</f>
        <v/>
      </c>
      <c r="BG258" s="42">
        <f>ROUND(BC258+BD258-BE258-BF258,2)</f>
        <v/>
      </c>
      <c r="BH258">
        <f>BB258-BF258</f>
        <v/>
      </c>
      <c r="BI258" s="42">
        <f>BM257</f>
        <v/>
      </c>
      <c r="BJ258" s="42">
        <f>ROUND(BI258*BJ$6/12,2)</f>
        <v/>
      </c>
      <c r="BK258" s="42">
        <f>MIN(BK$6,BI258+BJ258)</f>
        <v/>
      </c>
      <c r="BL258" s="42">
        <f>MAX(0,MIN(BI258+BJ258-BK258,BH258))</f>
        <v/>
      </c>
      <c r="BM258" s="42">
        <f>ROUND(BI258+BJ258-BK258-BL258,2)</f>
        <v/>
      </c>
      <c r="BN258">
        <f>BH258-BL258</f>
        <v/>
      </c>
    </row>
    <row r="259">
      <c r="A259" s="43" t="n">
        <v>252</v>
      </c>
      <c r="B259" s="44">
        <f>EDATE('My Debts'!$C$6,A259-1)</f>
        <v/>
      </c>
      <c r="C259" s="45">
        <f>K259+Q259+W259+AC259+AI259+AO259+AU259+BA259+BG259+BM259</f>
        <v/>
      </c>
      <c r="D259" s="46">
        <f>I259+O259+U259+AA259+AG259+AM259+AS259+AY259+BE259+BK259+J259+P259+V259+AB259+AH259+AN259+AT259+AZ259+BF259+BL259</f>
        <v/>
      </c>
      <c r="E259" s="46">
        <f>H259+N259+T259+Z259+AF259+AL259+AR259+AX259+BD259+BJ259</f>
        <v/>
      </c>
      <c r="F259">
        <f>MAX(0,'My Debts'!$E$21-(I259+O259+U259+AA259+AG259+AM259+AS259+AY259+BE259+BK259))</f>
        <v/>
      </c>
      <c r="G259" s="42">
        <f>K258</f>
        <v/>
      </c>
      <c r="H259" s="42">
        <f>ROUND(G259*H$6/12,2)</f>
        <v/>
      </c>
      <c r="I259" s="42">
        <f>MIN(I$6,G259+H259)</f>
        <v/>
      </c>
      <c r="J259" s="42">
        <f>MAX(0,MIN(G259+H259-I259,$F259))</f>
        <v/>
      </c>
      <c r="K259" s="42">
        <f>ROUND(G259+H259-I259-J259,2)</f>
        <v/>
      </c>
      <c r="L259">
        <f>$F259-J259</f>
        <v/>
      </c>
      <c r="M259" s="42">
        <f>Q258</f>
        <v/>
      </c>
      <c r="N259" s="42">
        <f>ROUND(M259*N$6/12,2)</f>
        <v/>
      </c>
      <c r="O259" s="42">
        <f>MIN(O$6,M259+N259)</f>
        <v/>
      </c>
      <c r="P259" s="42">
        <f>MAX(0,MIN(M259+N259-O259,L259))</f>
        <v/>
      </c>
      <c r="Q259" s="42">
        <f>ROUND(M259+N259-O259-P259,2)</f>
        <v/>
      </c>
      <c r="R259">
        <f>L259-P259</f>
        <v/>
      </c>
      <c r="S259" s="42">
        <f>W258</f>
        <v/>
      </c>
      <c r="T259" s="42">
        <f>ROUND(S259*T$6/12,2)</f>
        <v/>
      </c>
      <c r="U259" s="42">
        <f>MIN(U$6,S259+T259)</f>
        <v/>
      </c>
      <c r="V259" s="42">
        <f>MAX(0,MIN(S259+T259-U259,R259))</f>
        <v/>
      </c>
      <c r="W259" s="42">
        <f>ROUND(S259+T259-U259-V259,2)</f>
        <v/>
      </c>
      <c r="X259">
        <f>R259-V259</f>
        <v/>
      </c>
      <c r="Y259" s="42">
        <f>AC258</f>
        <v/>
      </c>
      <c r="Z259" s="42">
        <f>ROUND(Y259*Z$6/12,2)</f>
        <v/>
      </c>
      <c r="AA259" s="42">
        <f>MIN(AA$6,Y259+Z259)</f>
        <v/>
      </c>
      <c r="AB259" s="42">
        <f>MAX(0,MIN(Y259+Z259-AA259,X259))</f>
        <v/>
      </c>
      <c r="AC259" s="42">
        <f>ROUND(Y259+Z259-AA259-AB259,2)</f>
        <v/>
      </c>
      <c r="AD259">
        <f>X259-AB259</f>
        <v/>
      </c>
      <c r="AE259" s="42">
        <f>AI258</f>
        <v/>
      </c>
      <c r="AF259" s="42">
        <f>ROUND(AE259*AF$6/12,2)</f>
        <v/>
      </c>
      <c r="AG259" s="42">
        <f>MIN(AG$6,AE259+AF259)</f>
        <v/>
      </c>
      <c r="AH259" s="42">
        <f>MAX(0,MIN(AE259+AF259-AG259,AD259))</f>
        <v/>
      </c>
      <c r="AI259" s="42">
        <f>ROUND(AE259+AF259-AG259-AH259,2)</f>
        <v/>
      </c>
      <c r="AJ259">
        <f>AD259-AH259</f>
        <v/>
      </c>
      <c r="AK259" s="42">
        <f>AO258</f>
        <v/>
      </c>
      <c r="AL259" s="42">
        <f>ROUND(AK259*AL$6/12,2)</f>
        <v/>
      </c>
      <c r="AM259" s="42">
        <f>MIN(AM$6,AK259+AL259)</f>
        <v/>
      </c>
      <c r="AN259" s="42">
        <f>MAX(0,MIN(AK259+AL259-AM259,AJ259))</f>
        <v/>
      </c>
      <c r="AO259" s="42">
        <f>ROUND(AK259+AL259-AM259-AN259,2)</f>
        <v/>
      </c>
      <c r="AP259">
        <f>AJ259-AN259</f>
        <v/>
      </c>
      <c r="AQ259" s="42">
        <f>AU258</f>
        <v/>
      </c>
      <c r="AR259" s="42">
        <f>ROUND(AQ259*AR$6/12,2)</f>
        <v/>
      </c>
      <c r="AS259" s="42">
        <f>MIN(AS$6,AQ259+AR259)</f>
        <v/>
      </c>
      <c r="AT259" s="42">
        <f>MAX(0,MIN(AQ259+AR259-AS259,AP259))</f>
        <v/>
      </c>
      <c r="AU259" s="42">
        <f>ROUND(AQ259+AR259-AS259-AT259,2)</f>
        <v/>
      </c>
      <c r="AV259">
        <f>AP259-AT259</f>
        <v/>
      </c>
      <c r="AW259" s="42">
        <f>BA258</f>
        <v/>
      </c>
      <c r="AX259" s="42">
        <f>ROUND(AW259*AX$6/12,2)</f>
        <v/>
      </c>
      <c r="AY259" s="42">
        <f>MIN(AY$6,AW259+AX259)</f>
        <v/>
      </c>
      <c r="AZ259" s="42">
        <f>MAX(0,MIN(AW259+AX259-AY259,AV259))</f>
        <v/>
      </c>
      <c r="BA259" s="42">
        <f>ROUND(AW259+AX259-AY259-AZ259,2)</f>
        <v/>
      </c>
      <c r="BB259">
        <f>AV259-AZ259</f>
        <v/>
      </c>
      <c r="BC259" s="42">
        <f>BG258</f>
        <v/>
      </c>
      <c r="BD259" s="42">
        <f>ROUND(BC259*BD$6/12,2)</f>
        <v/>
      </c>
      <c r="BE259" s="42">
        <f>MIN(BE$6,BC259+BD259)</f>
        <v/>
      </c>
      <c r="BF259" s="42">
        <f>MAX(0,MIN(BC259+BD259-BE259,BB259))</f>
        <v/>
      </c>
      <c r="BG259" s="42">
        <f>ROUND(BC259+BD259-BE259-BF259,2)</f>
        <v/>
      </c>
      <c r="BH259">
        <f>BB259-BF259</f>
        <v/>
      </c>
      <c r="BI259" s="42">
        <f>BM258</f>
        <v/>
      </c>
      <c r="BJ259" s="42">
        <f>ROUND(BI259*BJ$6/12,2)</f>
        <v/>
      </c>
      <c r="BK259" s="42">
        <f>MIN(BK$6,BI259+BJ259)</f>
        <v/>
      </c>
      <c r="BL259" s="42">
        <f>MAX(0,MIN(BI259+BJ259-BK259,BH259))</f>
        <v/>
      </c>
      <c r="BM259" s="42">
        <f>ROUND(BI259+BJ259-BK259-BL259,2)</f>
        <v/>
      </c>
      <c r="BN259">
        <f>BH259-BL259</f>
        <v/>
      </c>
    </row>
    <row r="260">
      <c r="A260" s="39" t="n">
        <v>253</v>
      </c>
      <c r="B260" s="40">
        <f>EDATE('My Debts'!$C$6,A260-1)</f>
        <v/>
      </c>
      <c r="C260" s="41">
        <f>K260+Q260+W260+AC260+AI260+AO260+AU260+BA260+BG260+BM260</f>
        <v/>
      </c>
      <c r="D260" s="42">
        <f>I260+O260+U260+AA260+AG260+AM260+AS260+AY260+BE260+BK260+J260+P260+V260+AB260+AH260+AN260+AT260+AZ260+BF260+BL260</f>
        <v/>
      </c>
      <c r="E260" s="42">
        <f>H260+N260+T260+Z260+AF260+AL260+AR260+AX260+BD260+BJ260</f>
        <v/>
      </c>
      <c r="F260">
        <f>MAX(0,'My Debts'!$E$21-(I260+O260+U260+AA260+AG260+AM260+AS260+AY260+BE260+BK260))</f>
        <v/>
      </c>
      <c r="G260" s="42">
        <f>K259</f>
        <v/>
      </c>
      <c r="H260" s="42">
        <f>ROUND(G260*H$6/12,2)</f>
        <v/>
      </c>
      <c r="I260" s="42">
        <f>MIN(I$6,G260+H260)</f>
        <v/>
      </c>
      <c r="J260" s="42">
        <f>MAX(0,MIN(G260+H260-I260,$F260))</f>
        <v/>
      </c>
      <c r="K260" s="42">
        <f>ROUND(G260+H260-I260-J260,2)</f>
        <v/>
      </c>
      <c r="L260">
        <f>$F260-J260</f>
        <v/>
      </c>
      <c r="M260" s="42">
        <f>Q259</f>
        <v/>
      </c>
      <c r="N260" s="42">
        <f>ROUND(M260*N$6/12,2)</f>
        <v/>
      </c>
      <c r="O260" s="42">
        <f>MIN(O$6,M260+N260)</f>
        <v/>
      </c>
      <c r="P260" s="42">
        <f>MAX(0,MIN(M260+N260-O260,L260))</f>
        <v/>
      </c>
      <c r="Q260" s="42">
        <f>ROUND(M260+N260-O260-P260,2)</f>
        <v/>
      </c>
      <c r="R260">
        <f>L260-P260</f>
        <v/>
      </c>
      <c r="S260" s="42">
        <f>W259</f>
        <v/>
      </c>
      <c r="T260" s="42">
        <f>ROUND(S260*T$6/12,2)</f>
        <v/>
      </c>
      <c r="U260" s="42">
        <f>MIN(U$6,S260+T260)</f>
        <v/>
      </c>
      <c r="V260" s="42">
        <f>MAX(0,MIN(S260+T260-U260,R260))</f>
        <v/>
      </c>
      <c r="W260" s="42">
        <f>ROUND(S260+T260-U260-V260,2)</f>
        <v/>
      </c>
      <c r="X260">
        <f>R260-V260</f>
        <v/>
      </c>
      <c r="Y260" s="42">
        <f>AC259</f>
        <v/>
      </c>
      <c r="Z260" s="42">
        <f>ROUND(Y260*Z$6/12,2)</f>
        <v/>
      </c>
      <c r="AA260" s="42">
        <f>MIN(AA$6,Y260+Z260)</f>
        <v/>
      </c>
      <c r="AB260" s="42">
        <f>MAX(0,MIN(Y260+Z260-AA260,X260))</f>
        <v/>
      </c>
      <c r="AC260" s="42">
        <f>ROUND(Y260+Z260-AA260-AB260,2)</f>
        <v/>
      </c>
      <c r="AD260">
        <f>X260-AB260</f>
        <v/>
      </c>
      <c r="AE260" s="42">
        <f>AI259</f>
        <v/>
      </c>
      <c r="AF260" s="42">
        <f>ROUND(AE260*AF$6/12,2)</f>
        <v/>
      </c>
      <c r="AG260" s="42">
        <f>MIN(AG$6,AE260+AF260)</f>
        <v/>
      </c>
      <c r="AH260" s="42">
        <f>MAX(0,MIN(AE260+AF260-AG260,AD260))</f>
        <v/>
      </c>
      <c r="AI260" s="42">
        <f>ROUND(AE260+AF260-AG260-AH260,2)</f>
        <v/>
      </c>
      <c r="AJ260">
        <f>AD260-AH260</f>
        <v/>
      </c>
      <c r="AK260" s="42">
        <f>AO259</f>
        <v/>
      </c>
      <c r="AL260" s="42">
        <f>ROUND(AK260*AL$6/12,2)</f>
        <v/>
      </c>
      <c r="AM260" s="42">
        <f>MIN(AM$6,AK260+AL260)</f>
        <v/>
      </c>
      <c r="AN260" s="42">
        <f>MAX(0,MIN(AK260+AL260-AM260,AJ260))</f>
        <v/>
      </c>
      <c r="AO260" s="42">
        <f>ROUND(AK260+AL260-AM260-AN260,2)</f>
        <v/>
      </c>
      <c r="AP260">
        <f>AJ260-AN260</f>
        <v/>
      </c>
      <c r="AQ260" s="42">
        <f>AU259</f>
        <v/>
      </c>
      <c r="AR260" s="42">
        <f>ROUND(AQ260*AR$6/12,2)</f>
        <v/>
      </c>
      <c r="AS260" s="42">
        <f>MIN(AS$6,AQ260+AR260)</f>
        <v/>
      </c>
      <c r="AT260" s="42">
        <f>MAX(0,MIN(AQ260+AR260-AS260,AP260))</f>
        <v/>
      </c>
      <c r="AU260" s="42">
        <f>ROUND(AQ260+AR260-AS260-AT260,2)</f>
        <v/>
      </c>
      <c r="AV260">
        <f>AP260-AT260</f>
        <v/>
      </c>
      <c r="AW260" s="42">
        <f>BA259</f>
        <v/>
      </c>
      <c r="AX260" s="42">
        <f>ROUND(AW260*AX$6/12,2)</f>
        <v/>
      </c>
      <c r="AY260" s="42">
        <f>MIN(AY$6,AW260+AX260)</f>
        <v/>
      </c>
      <c r="AZ260" s="42">
        <f>MAX(0,MIN(AW260+AX260-AY260,AV260))</f>
        <v/>
      </c>
      <c r="BA260" s="42">
        <f>ROUND(AW260+AX260-AY260-AZ260,2)</f>
        <v/>
      </c>
      <c r="BB260">
        <f>AV260-AZ260</f>
        <v/>
      </c>
      <c r="BC260" s="42">
        <f>BG259</f>
        <v/>
      </c>
      <c r="BD260" s="42">
        <f>ROUND(BC260*BD$6/12,2)</f>
        <v/>
      </c>
      <c r="BE260" s="42">
        <f>MIN(BE$6,BC260+BD260)</f>
        <v/>
      </c>
      <c r="BF260" s="42">
        <f>MAX(0,MIN(BC260+BD260-BE260,BB260))</f>
        <v/>
      </c>
      <c r="BG260" s="42">
        <f>ROUND(BC260+BD260-BE260-BF260,2)</f>
        <v/>
      </c>
      <c r="BH260">
        <f>BB260-BF260</f>
        <v/>
      </c>
      <c r="BI260" s="42">
        <f>BM259</f>
        <v/>
      </c>
      <c r="BJ260" s="42">
        <f>ROUND(BI260*BJ$6/12,2)</f>
        <v/>
      </c>
      <c r="BK260" s="42">
        <f>MIN(BK$6,BI260+BJ260)</f>
        <v/>
      </c>
      <c r="BL260" s="42">
        <f>MAX(0,MIN(BI260+BJ260-BK260,BH260))</f>
        <v/>
      </c>
      <c r="BM260" s="42">
        <f>ROUND(BI260+BJ260-BK260-BL260,2)</f>
        <v/>
      </c>
      <c r="BN260">
        <f>BH260-BL260</f>
        <v/>
      </c>
    </row>
    <row r="261">
      <c r="A261" s="43" t="n">
        <v>254</v>
      </c>
      <c r="B261" s="44">
        <f>EDATE('My Debts'!$C$6,A261-1)</f>
        <v/>
      </c>
      <c r="C261" s="45">
        <f>K261+Q261+W261+AC261+AI261+AO261+AU261+BA261+BG261+BM261</f>
        <v/>
      </c>
      <c r="D261" s="46">
        <f>I261+O261+U261+AA261+AG261+AM261+AS261+AY261+BE261+BK261+J261+P261+V261+AB261+AH261+AN261+AT261+AZ261+BF261+BL261</f>
        <v/>
      </c>
      <c r="E261" s="46">
        <f>H261+N261+T261+Z261+AF261+AL261+AR261+AX261+BD261+BJ261</f>
        <v/>
      </c>
      <c r="F261">
        <f>MAX(0,'My Debts'!$E$21-(I261+O261+U261+AA261+AG261+AM261+AS261+AY261+BE261+BK261))</f>
        <v/>
      </c>
      <c r="G261" s="42">
        <f>K260</f>
        <v/>
      </c>
      <c r="H261" s="42">
        <f>ROUND(G261*H$6/12,2)</f>
        <v/>
      </c>
      <c r="I261" s="42">
        <f>MIN(I$6,G261+H261)</f>
        <v/>
      </c>
      <c r="J261" s="42">
        <f>MAX(0,MIN(G261+H261-I261,$F261))</f>
        <v/>
      </c>
      <c r="K261" s="42">
        <f>ROUND(G261+H261-I261-J261,2)</f>
        <v/>
      </c>
      <c r="L261">
        <f>$F261-J261</f>
        <v/>
      </c>
      <c r="M261" s="42">
        <f>Q260</f>
        <v/>
      </c>
      <c r="N261" s="42">
        <f>ROUND(M261*N$6/12,2)</f>
        <v/>
      </c>
      <c r="O261" s="42">
        <f>MIN(O$6,M261+N261)</f>
        <v/>
      </c>
      <c r="P261" s="42">
        <f>MAX(0,MIN(M261+N261-O261,L261))</f>
        <v/>
      </c>
      <c r="Q261" s="42">
        <f>ROUND(M261+N261-O261-P261,2)</f>
        <v/>
      </c>
      <c r="R261">
        <f>L261-P261</f>
        <v/>
      </c>
      <c r="S261" s="42">
        <f>W260</f>
        <v/>
      </c>
      <c r="T261" s="42">
        <f>ROUND(S261*T$6/12,2)</f>
        <v/>
      </c>
      <c r="U261" s="42">
        <f>MIN(U$6,S261+T261)</f>
        <v/>
      </c>
      <c r="V261" s="42">
        <f>MAX(0,MIN(S261+T261-U261,R261))</f>
        <v/>
      </c>
      <c r="W261" s="42">
        <f>ROUND(S261+T261-U261-V261,2)</f>
        <v/>
      </c>
      <c r="X261">
        <f>R261-V261</f>
        <v/>
      </c>
      <c r="Y261" s="42">
        <f>AC260</f>
        <v/>
      </c>
      <c r="Z261" s="42">
        <f>ROUND(Y261*Z$6/12,2)</f>
        <v/>
      </c>
      <c r="AA261" s="42">
        <f>MIN(AA$6,Y261+Z261)</f>
        <v/>
      </c>
      <c r="AB261" s="42">
        <f>MAX(0,MIN(Y261+Z261-AA261,X261))</f>
        <v/>
      </c>
      <c r="AC261" s="42">
        <f>ROUND(Y261+Z261-AA261-AB261,2)</f>
        <v/>
      </c>
      <c r="AD261">
        <f>X261-AB261</f>
        <v/>
      </c>
      <c r="AE261" s="42">
        <f>AI260</f>
        <v/>
      </c>
      <c r="AF261" s="42">
        <f>ROUND(AE261*AF$6/12,2)</f>
        <v/>
      </c>
      <c r="AG261" s="42">
        <f>MIN(AG$6,AE261+AF261)</f>
        <v/>
      </c>
      <c r="AH261" s="42">
        <f>MAX(0,MIN(AE261+AF261-AG261,AD261))</f>
        <v/>
      </c>
      <c r="AI261" s="42">
        <f>ROUND(AE261+AF261-AG261-AH261,2)</f>
        <v/>
      </c>
      <c r="AJ261">
        <f>AD261-AH261</f>
        <v/>
      </c>
      <c r="AK261" s="42">
        <f>AO260</f>
        <v/>
      </c>
      <c r="AL261" s="42">
        <f>ROUND(AK261*AL$6/12,2)</f>
        <v/>
      </c>
      <c r="AM261" s="42">
        <f>MIN(AM$6,AK261+AL261)</f>
        <v/>
      </c>
      <c r="AN261" s="42">
        <f>MAX(0,MIN(AK261+AL261-AM261,AJ261))</f>
        <v/>
      </c>
      <c r="AO261" s="42">
        <f>ROUND(AK261+AL261-AM261-AN261,2)</f>
        <v/>
      </c>
      <c r="AP261">
        <f>AJ261-AN261</f>
        <v/>
      </c>
      <c r="AQ261" s="42">
        <f>AU260</f>
        <v/>
      </c>
      <c r="AR261" s="42">
        <f>ROUND(AQ261*AR$6/12,2)</f>
        <v/>
      </c>
      <c r="AS261" s="42">
        <f>MIN(AS$6,AQ261+AR261)</f>
        <v/>
      </c>
      <c r="AT261" s="42">
        <f>MAX(0,MIN(AQ261+AR261-AS261,AP261))</f>
        <v/>
      </c>
      <c r="AU261" s="42">
        <f>ROUND(AQ261+AR261-AS261-AT261,2)</f>
        <v/>
      </c>
      <c r="AV261">
        <f>AP261-AT261</f>
        <v/>
      </c>
      <c r="AW261" s="42">
        <f>BA260</f>
        <v/>
      </c>
      <c r="AX261" s="42">
        <f>ROUND(AW261*AX$6/12,2)</f>
        <v/>
      </c>
      <c r="AY261" s="42">
        <f>MIN(AY$6,AW261+AX261)</f>
        <v/>
      </c>
      <c r="AZ261" s="42">
        <f>MAX(0,MIN(AW261+AX261-AY261,AV261))</f>
        <v/>
      </c>
      <c r="BA261" s="42">
        <f>ROUND(AW261+AX261-AY261-AZ261,2)</f>
        <v/>
      </c>
      <c r="BB261">
        <f>AV261-AZ261</f>
        <v/>
      </c>
      <c r="BC261" s="42">
        <f>BG260</f>
        <v/>
      </c>
      <c r="BD261" s="42">
        <f>ROUND(BC261*BD$6/12,2)</f>
        <v/>
      </c>
      <c r="BE261" s="42">
        <f>MIN(BE$6,BC261+BD261)</f>
        <v/>
      </c>
      <c r="BF261" s="42">
        <f>MAX(0,MIN(BC261+BD261-BE261,BB261))</f>
        <v/>
      </c>
      <c r="BG261" s="42">
        <f>ROUND(BC261+BD261-BE261-BF261,2)</f>
        <v/>
      </c>
      <c r="BH261">
        <f>BB261-BF261</f>
        <v/>
      </c>
      <c r="BI261" s="42">
        <f>BM260</f>
        <v/>
      </c>
      <c r="BJ261" s="42">
        <f>ROUND(BI261*BJ$6/12,2)</f>
        <v/>
      </c>
      <c r="BK261" s="42">
        <f>MIN(BK$6,BI261+BJ261)</f>
        <v/>
      </c>
      <c r="BL261" s="42">
        <f>MAX(0,MIN(BI261+BJ261-BK261,BH261))</f>
        <v/>
      </c>
      <c r="BM261" s="42">
        <f>ROUND(BI261+BJ261-BK261-BL261,2)</f>
        <v/>
      </c>
      <c r="BN261">
        <f>BH261-BL261</f>
        <v/>
      </c>
    </row>
    <row r="262">
      <c r="A262" s="39" t="n">
        <v>255</v>
      </c>
      <c r="B262" s="40">
        <f>EDATE('My Debts'!$C$6,A262-1)</f>
        <v/>
      </c>
      <c r="C262" s="41">
        <f>K262+Q262+W262+AC262+AI262+AO262+AU262+BA262+BG262+BM262</f>
        <v/>
      </c>
      <c r="D262" s="42">
        <f>I262+O262+U262+AA262+AG262+AM262+AS262+AY262+BE262+BK262+J262+P262+V262+AB262+AH262+AN262+AT262+AZ262+BF262+BL262</f>
        <v/>
      </c>
      <c r="E262" s="42">
        <f>H262+N262+T262+Z262+AF262+AL262+AR262+AX262+BD262+BJ262</f>
        <v/>
      </c>
      <c r="F262">
        <f>MAX(0,'My Debts'!$E$21-(I262+O262+U262+AA262+AG262+AM262+AS262+AY262+BE262+BK262))</f>
        <v/>
      </c>
      <c r="G262" s="42">
        <f>K261</f>
        <v/>
      </c>
      <c r="H262" s="42">
        <f>ROUND(G262*H$6/12,2)</f>
        <v/>
      </c>
      <c r="I262" s="42">
        <f>MIN(I$6,G262+H262)</f>
        <v/>
      </c>
      <c r="J262" s="42">
        <f>MAX(0,MIN(G262+H262-I262,$F262))</f>
        <v/>
      </c>
      <c r="K262" s="42">
        <f>ROUND(G262+H262-I262-J262,2)</f>
        <v/>
      </c>
      <c r="L262">
        <f>$F262-J262</f>
        <v/>
      </c>
      <c r="M262" s="42">
        <f>Q261</f>
        <v/>
      </c>
      <c r="N262" s="42">
        <f>ROUND(M262*N$6/12,2)</f>
        <v/>
      </c>
      <c r="O262" s="42">
        <f>MIN(O$6,M262+N262)</f>
        <v/>
      </c>
      <c r="P262" s="42">
        <f>MAX(0,MIN(M262+N262-O262,L262))</f>
        <v/>
      </c>
      <c r="Q262" s="42">
        <f>ROUND(M262+N262-O262-P262,2)</f>
        <v/>
      </c>
      <c r="R262">
        <f>L262-P262</f>
        <v/>
      </c>
      <c r="S262" s="42">
        <f>W261</f>
        <v/>
      </c>
      <c r="T262" s="42">
        <f>ROUND(S262*T$6/12,2)</f>
        <v/>
      </c>
      <c r="U262" s="42">
        <f>MIN(U$6,S262+T262)</f>
        <v/>
      </c>
      <c r="V262" s="42">
        <f>MAX(0,MIN(S262+T262-U262,R262))</f>
        <v/>
      </c>
      <c r="W262" s="42">
        <f>ROUND(S262+T262-U262-V262,2)</f>
        <v/>
      </c>
      <c r="X262">
        <f>R262-V262</f>
        <v/>
      </c>
      <c r="Y262" s="42">
        <f>AC261</f>
        <v/>
      </c>
      <c r="Z262" s="42">
        <f>ROUND(Y262*Z$6/12,2)</f>
        <v/>
      </c>
      <c r="AA262" s="42">
        <f>MIN(AA$6,Y262+Z262)</f>
        <v/>
      </c>
      <c r="AB262" s="42">
        <f>MAX(0,MIN(Y262+Z262-AA262,X262))</f>
        <v/>
      </c>
      <c r="AC262" s="42">
        <f>ROUND(Y262+Z262-AA262-AB262,2)</f>
        <v/>
      </c>
      <c r="AD262">
        <f>X262-AB262</f>
        <v/>
      </c>
      <c r="AE262" s="42">
        <f>AI261</f>
        <v/>
      </c>
      <c r="AF262" s="42">
        <f>ROUND(AE262*AF$6/12,2)</f>
        <v/>
      </c>
      <c r="AG262" s="42">
        <f>MIN(AG$6,AE262+AF262)</f>
        <v/>
      </c>
      <c r="AH262" s="42">
        <f>MAX(0,MIN(AE262+AF262-AG262,AD262))</f>
        <v/>
      </c>
      <c r="AI262" s="42">
        <f>ROUND(AE262+AF262-AG262-AH262,2)</f>
        <v/>
      </c>
      <c r="AJ262">
        <f>AD262-AH262</f>
        <v/>
      </c>
      <c r="AK262" s="42">
        <f>AO261</f>
        <v/>
      </c>
      <c r="AL262" s="42">
        <f>ROUND(AK262*AL$6/12,2)</f>
        <v/>
      </c>
      <c r="AM262" s="42">
        <f>MIN(AM$6,AK262+AL262)</f>
        <v/>
      </c>
      <c r="AN262" s="42">
        <f>MAX(0,MIN(AK262+AL262-AM262,AJ262))</f>
        <v/>
      </c>
      <c r="AO262" s="42">
        <f>ROUND(AK262+AL262-AM262-AN262,2)</f>
        <v/>
      </c>
      <c r="AP262">
        <f>AJ262-AN262</f>
        <v/>
      </c>
      <c r="AQ262" s="42">
        <f>AU261</f>
        <v/>
      </c>
      <c r="AR262" s="42">
        <f>ROUND(AQ262*AR$6/12,2)</f>
        <v/>
      </c>
      <c r="AS262" s="42">
        <f>MIN(AS$6,AQ262+AR262)</f>
        <v/>
      </c>
      <c r="AT262" s="42">
        <f>MAX(0,MIN(AQ262+AR262-AS262,AP262))</f>
        <v/>
      </c>
      <c r="AU262" s="42">
        <f>ROUND(AQ262+AR262-AS262-AT262,2)</f>
        <v/>
      </c>
      <c r="AV262">
        <f>AP262-AT262</f>
        <v/>
      </c>
      <c r="AW262" s="42">
        <f>BA261</f>
        <v/>
      </c>
      <c r="AX262" s="42">
        <f>ROUND(AW262*AX$6/12,2)</f>
        <v/>
      </c>
      <c r="AY262" s="42">
        <f>MIN(AY$6,AW262+AX262)</f>
        <v/>
      </c>
      <c r="AZ262" s="42">
        <f>MAX(0,MIN(AW262+AX262-AY262,AV262))</f>
        <v/>
      </c>
      <c r="BA262" s="42">
        <f>ROUND(AW262+AX262-AY262-AZ262,2)</f>
        <v/>
      </c>
      <c r="BB262">
        <f>AV262-AZ262</f>
        <v/>
      </c>
      <c r="BC262" s="42">
        <f>BG261</f>
        <v/>
      </c>
      <c r="BD262" s="42">
        <f>ROUND(BC262*BD$6/12,2)</f>
        <v/>
      </c>
      <c r="BE262" s="42">
        <f>MIN(BE$6,BC262+BD262)</f>
        <v/>
      </c>
      <c r="BF262" s="42">
        <f>MAX(0,MIN(BC262+BD262-BE262,BB262))</f>
        <v/>
      </c>
      <c r="BG262" s="42">
        <f>ROUND(BC262+BD262-BE262-BF262,2)</f>
        <v/>
      </c>
      <c r="BH262">
        <f>BB262-BF262</f>
        <v/>
      </c>
      <c r="BI262" s="42">
        <f>BM261</f>
        <v/>
      </c>
      <c r="BJ262" s="42">
        <f>ROUND(BI262*BJ$6/12,2)</f>
        <v/>
      </c>
      <c r="BK262" s="42">
        <f>MIN(BK$6,BI262+BJ262)</f>
        <v/>
      </c>
      <c r="BL262" s="42">
        <f>MAX(0,MIN(BI262+BJ262-BK262,BH262))</f>
        <v/>
      </c>
      <c r="BM262" s="42">
        <f>ROUND(BI262+BJ262-BK262-BL262,2)</f>
        <v/>
      </c>
      <c r="BN262">
        <f>BH262-BL262</f>
        <v/>
      </c>
    </row>
    <row r="263">
      <c r="A263" s="43" t="n">
        <v>256</v>
      </c>
      <c r="B263" s="44">
        <f>EDATE('My Debts'!$C$6,A263-1)</f>
        <v/>
      </c>
      <c r="C263" s="45">
        <f>K263+Q263+W263+AC263+AI263+AO263+AU263+BA263+BG263+BM263</f>
        <v/>
      </c>
      <c r="D263" s="46">
        <f>I263+O263+U263+AA263+AG263+AM263+AS263+AY263+BE263+BK263+J263+P263+V263+AB263+AH263+AN263+AT263+AZ263+BF263+BL263</f>
        <v/>
      </c>
      <c r="E263" s="46">
        <f>H263+N263+T263+Z263+AF263+AL263+AR263+AX263+BD263+BJ263</f>
        <v/>
      </c>
      <c r="F263">
        <f>MAX(0,'My Debts'!$E$21-(I263+O263+U263+AA263+AG263+AM263+AS263+AY263+BE263+BK263))</f>
        <v/>
      </c>
      <c r="G263" s="42">
        <f>K262</f>
        <v/>
      </c>
      <c r="H263" s="42">
        <f>ROUND(G263*H$6/12,2)</f>
        <v/>
      </c>
      <c r="I263" s="42">
        <f>MIN(I$6,G263+H263)</f>
        <v/>
      </c>
      <c r="J263" s="42">
        <f>MAX(0,MIN(G263+H263-I263,$F263))</f>
        <v/>
      </c>
      <c r="K263" s="42">
        <f>ROUND(G263+H263-I263-J263,2)</f>
        <v/>
      </c>
      <c r="L263">
        <f>$F263-J263</f>
        <v/>
      </c>
      <c r="M263" s="42">
        <f>Q262</f>
        <v/>
      </c>
      <c r="N263" s="42">
        <f>ROUND(M263*N$6/12,2)</f>
        <v/>
      </c>
      <c r="O263" s="42">
        <f>MIN(O$6,M263+N263)</f>
        <v/>
      </c>
      <c r="P263" s="42">
        <f>MAX(0,MIN(M263+N263-O263,L263))</f>
        <v/>
      </c>
      <c r="Q263" s="42">
        <f>ROUND(M263+N263-O263-P263,2)</f>
        <v/>
      </c>
      <c r="R263">
        <f>L263-P263</f>
        <v/>
      </c>
      <c r="S263" s="42">
        <f>W262</f>
        <v/>
      </c>
      <c r="T263" s="42">
        <f>ROUND(S263*T$6/12,2)</f>
        <v/>
      </c>
      <c r="U263" s="42">
        <f>MIN(U$6,S263+T263)</f>
        <v/>
      </c>
      <c r="V263" s="42">
        <f>MAX(0,MIN(S263+T263-U263,R263))</f>
        <v/>
      </c>
      <c r="W263" s="42">
        <f>ROUND(S263+T263-U263-V263,2)</f>
        <v/>
      </c>
      <c r="X263">
        <f>R263-V263</f>
        <v/>
      </c>
      <c r="Y263" s="42">
        <f>AC262</f>
        <v/>
      </c>
      <c r="Z263" s="42">
        <f>ROUND(Y263*Z$6/12,2)</f>
        <v/>
      </c>
      <c r="AA263" s="42">
        <f>MIN(AA$6,Y263+Z263)</f>
        <v/>
      </c>
      <c r="AB263" s="42">
        <f>MAX(0,MIN(Y263+Z263-AA263,X263))</f>
        <v/>
      </c>
      <c r="AC263" s="42">
        <f>ROUND(Y263+Z263-AA263-AB263,2)</f>
        <v/>
      </c>
      <c r="AD263">
        <f>X263-AB263</f>
        <v/>
      </c>
      <c r="AE263" s="42">
        <f>AI262</f>
        <v/>
      </c>
      <c r="AF263" s="42">
        <f>ROUND(AE263*AF$6/12,2)</f>
        <v/>
      </c>
      <c r="AG263" s="42">
        <f>MIN(AG$6,AE263+AF263)</f>
        <v/>
      </c>
      <c r="AH263" s="42">
        <f>MAX(0,MIN(AE263+AF263-AG263,AD263))</f>
        <v/>
      </c>
      <c r="AI263" s="42">
        <f>ROUND(AE263+AF263-AG263-AH263,2)</f>
        <v/>
      </c>
      <c r="AJ263">
        <f>AD263-AH263</f>
        <v/>
      </c>
      <c r="AK263" s="42">
        <f>AO262</f>
        <v/>
      </c>
      <c r="AL263" s="42">
        <f>ROUND(AK263*AL$6/12,2)</f>
        <v/>
      </c>
      <c r="AM263" s="42">
        <f>MIN(AM$6,AK263+AL263)</f>
        <v/>
      </c>
      <c r="AN263" s="42">
        <f>MAX(0,MIN(AK263+AL263-AM263,AJ263))</f>
        <v/>
      </c>
      <c r="AO263" s="42">
        <f>ROUND(AK263+AL263-AM263-AN263,2)</f>
        <v/>
      </c>
      <c r="AP263">
        <f>AJ263-AN263</f>
        <v/>
      </c>
      <c r="AQ263" s="42">
        <f>AU262</f>
        <v/>
      </c>
      <c r="AR263" s="42">
        <f>ROUND(AQ263*AR$6/12,2)</f>
        <v/>
      </c>
      <c r="AS263" s="42">
        <f>MIN(AS$6,AQ263+AR263)</f>
        <v/>
      </c>
      <c r="AT263" s="42">
        <f>MAX(0,MIN(AQ263+AR263-AS263,AP263))</f>
        <v/>
      </c>
      <c r="AU263" s="42">
        <f>ROUND(AQ263+AR263-AS263-AT263,2)</f>
        <v/>
      </c>
      <c r="AV263">
        <f>AP263-AT263</f>
        <v/>
      </c>
      <c r="AW263" s="42">
        <f>BA262</f>
        <v/>
      </c>
      <c r="AX263" s="42">
        <f>ROUND(AW263*AX$6/12,2)</f>
        <v/>
      </c>
      <c r="AY263" s="42">
        <f>MIN(AY$6,AW263+AX263)</f>
        <v/>
      </c>
      <c r="AZ263" s="42">
        <f>MAX(0,MIN(AW263+AX263-AY263,AV263))</f>
        <v/>
      </c>
      <c r="BA263" s="42">
        <f>ROUND(AW263+AX263-AY263-AZ263,2)</f>
        <v/>
      </c>
      <c r="BB263">
        <f>AV263-AZ263</f>
        <v/>
      </c>
      <c r="BC263" s="42">
        <f>BG262</f>
        <v/>
      </c>
      <c r="BD263" s="42">
        <f>ROUND(BC263*BD$6/12,2)</f>
        <v/>
      </c>
      <c r="BE263" s="42">
        <f>MIN(BE$6,BC263+BD263)</f>
        <v/>
      </c>
      <c r="BF263" s="42">
        <f>MAX(0,MIN(BC263+BD263-BE263,BB263))</f>
        <v/>
      </c>
      <c r="BG263" s="42">
        <f>ROUND(BC263+BD263-BE263-BF263,2)</f>
        <v/>
      </c>
      <c r="BH263">
        <f>BB263-BF263</f>
        <v/>
      </c>
      <c r="BI263" s="42">
        <f>BM262</f>
        <v/>
      </c>
      <c r="BJ263" s="42">
        <f>ROUND(BI263*BJ$6/12,2)</f>
        <v/>
      </c>
      <c r="BK263" s="42">
        <f>MIN(BK$6,BI263+BJ263)</f>
        <v/>
      </c>
      <c r="BL263" s="42">
        <f>MAX(0,MIN(BI263+BJ263-BK263,BH263))</f>
        <v/>
      </c>
      <c r="BM263" s="42">
        <f>ROUND(BI263+BJ263-BK263-BL263,2)</f>
        <v/>
      </c>
      <c r="BN263">
        <f>BH263-BL263</f>
        <v/>
      </c>
    </row>
    <row r="264">
      <c r="A264" s="39" t="n">
        <v>257</v>
      </c>
      <c r="B264" s="40">
        <f>EDATE('My Debts'!$C$6,A264-1)</f>
        <v/>
      </c>
      <c r="C264" s="41">
        <f>K264+Q264+W264+AC264+AI264+AO264+AU264+BA264+BG264+BM264</f>
        <v/>
      </c>
      <c r="D264" s="42">
        <f>I264+O264+U264+AA264+AG264+AM264+AS264+AY264+BE264+BK264+J264+P264+V264+AB264+AH264+AN264+AT264+AZ264+BF264+BL264</f>
        <v/>
      </c>
      <c r="E264" s="42">
        <f>H264+N264+T264+Z264+AF264+AL264+AR264+AX264+BD264+BJ264</f>
        <v/>
      </c>
      <c r="F264">
        <f>MAX(0,'My Debts'!$E$21-(I264+O264+U264+AA264+AG264+AM264+AS264+AY264+BE264+BK264))</f>
        <v/>
      </c>
      <c r="G264" s="42">
        <f>K263</f>
        <v/>
      </c>
      <c r="H264" s="42">
        <f>ROUND(G264*H$6/12,2)</f>
        <v/>
      </c>
      <c r="I264" s="42">
        <f>MIN(I$6,G264+H264)</f>
        <v/>
      </c>
      <c r="J264" s="42">
        <f>MAX(0,MIN(G264+H264-I264,$F264))</f>
        <v/>
      </c>
      <c r="K264" s="42">
        <f>ROUND(G264+H264-I264-J264,2)</f>
        <v/>
      </c>
      <c r="L264">
        <f>$F264-J264</f>
        <v/>
      </c>
      <c r="M264" s="42">
        <f>Q263</f>
        <v/>
      </c>
      <c r="N264" s="42">
        <f>ROUND(M264*N$6/12,2)</f>
        <v/>
      </c>
      <c r="O264" s="42">
        <f>MIN(O$6,M264+N264)</f>
        <v/>
      </c>
      <c r="P264" s="42">
        <f>MAX(0,MIN(M264+N264-O264,L264))</f>
        <v/>
      </c>
      <c r="Q264" s="42">
        <f>ROUND(M264+N264-O264-P264,2)</f>
        <v/>
      </c>
      <c r="R264">
        <f>L264-P264</f>
        <v/>
      </c>
      <c r="S264" s="42">
        <f>W263</f>
        <v/>
      </c>
      <c r="T264" s="42">
        <f>ROUND(S264*T$6/12,2)</f>
        <v/>
      </c>
      <c r="U264" s="42">
        <f>MIN(U$6,S264+T264)</f>
        <v/>
      </c>
      <c r="V264" s="42">
        <f>MAX(0,MIN(S264+T264-U264,R264))</f>
        <v/>
      </c>
      <c r="W264" s="42">
        <f>ROUND(S264+T264-U264-V264,2)</f>
        <v/>
      </c>
      <c r="X264">
        <f>R264-V264</f>
        <v/>
      </c>
      <c r="Y264" s="42">
        <f>AC263</f>
        <v/>
      </c>
      <c r="Z264" s="42">
        <f>ROUND(Y264*Z$6/12,2)</f>
        <v/>
      </c>
      <c r="AA264" s="42">
        <f>MIN(AA$6,Y264+Z264)</f>
        <v/>
      </c>
      <c r="AB264" s="42">
        <f>MAX(0,MIN(Y264+Z264-AA264,X264))</f>
        <v/>
      </c>
      <c r="AC264" s="42">
        <f>ROUND(Y264+Z264-AA264-AB264,2)</f>
        <v/>
      </c>
      <c r="AD264">
        <f>X264-AB264</f>
        <v/>
      </c>
      <c r="AE264" s="42">
        <f>AI263</f>
        <v/>
      </c>
      <c r="AF264" s="42">
        <f>ROUND(AE264*AF$6/12,2)</f>
        <v/>
      </c>
      <c r="AG264" s="42">
        <f>MIN(AG$6,AE264+AF264)</f>
        <v/>
      </c>
      <c r="AH264" s="42">
        <f>MAX(0,MIN(AE264+AF264-AG264,AD264))</f>
        <v/>
      </c>
      <c r="AI264" s="42">
        <f>ROUND(AE264+AF264-AG264-AH264,2)</f>
        <v/>
      </c>
      <c r="AJ264">
        <f>AD264-AH264</f>
        <v/>
      </c>
      <c r="AK264" s="42">
        <f>AO263</f>
        <v/>
      </c>
      <c r="AL264" s="42">
        <f>ROUND(AK264*AL$6/12,2)</f>
        <v/>
      </c>
      <c r="AM264" s="42">
        <f>MIN(AM$6,AK264+AL264)</f>
        <v/>
      </c>
      <c r="AN264" s="42">
        <f>MAX(0,MIN(AK264+AL264-AM264,AJ264))</f>
        <v/>
      </c>
      <c r="AO264" s="42">
        <f>ROUND(AK264+AL264-AM264-AN264,2)</f>
        <v/>
      </c>
      <c r="AP264">
        <f>AJ264-AN264</f>
        <v/>
      </c>
      <c r="AQ264" s="42">
        <f>AU263</f>
        <v/>
      </c>
      <c r="AR264" s="42">
        <f>ROUND(AQ264*AR$6/12,2)</f>
        <v/>
      </c>
      <c r="AS264" s="42">
        <f>MIN(AS$6,AQ264+AR264)</f>
        <v/>
      </c>
      <c r="AT264" s="42">
        <f>MAX(0,MIN(AQ264+AR264-AS264,AP264))</f>
        <v/>
      </c>
      <c r="AU264" s="42">
        <f>ROUND(AQ264+AR264-AS264-AT264,2)</f>
        <v/>
      </c>
      <c r="AV264">
        <f>AP264-AT264</f>
        <v/>
      </c>
      <c r="AW264" s="42">
        <f>BA263</f>
        <v/>
      </c>
      <c r="AX264" s="42">
        <f>ROUND(AW264*AX$6/12,2)</f>
        <v/>
      </c>
      <c r="AY264" s="42">
        <f>MIN(AY$6,AW264+AX264)</f>
        <v/>
      </c>
      <c r="AZ264" s="42">
        <f>MAX(0,MIN(AW264+AX264-AY264,AV264))</f>
        <v/>
      </c>
      <c r="BA264" s="42">
        <f>ROUND(AW264+AX264-AY264-AZ264,2)</f>
        <v/>
      </c>
      <c r="BB264">
        <f>AV264-AZ264</f>
        <v/>
      </c>
      <c r="BC264" s="42">
        <f>BG263</f>
        <v/>
      </c>
      <c r="BD264" s="42">
        <f>ROUND(BC264*BD$6/12,2)</f>
        <v/>
      </c>
      <c r="BE264" s="42">
        <f>MIN(BE$6,BC264+BD264)</f>
        <v/>
      </c>
      <c r="BF264" s="42">
        <f>MAX(0,MIN(BC264+BD264-BE264,BB264))</f>
        <v/>
      </c>
      <c r="BG264" s="42">
        <f>ROUND(BC264+BD264-BE264-BF264,2)</f>
        <v/>
      </c>
      <c r="BH264">
        <f>BB264-BF264</f>
        <v/>
      </c>
      <c r="BI264" s="42">
        <f>BM263</f>
        <v/>
      </c>
      <c r="BJ264" s="42">
        <f>ROUND(BI264*BJ$6/12,2)</f>
        <v/>
      </c>
      <c r="BK264" s="42">
        <f>MIN(BK$6,BI264+BJ264)</f>
        <v/>
      </c>
      <c r="BL264" s="42">
        <f>MAX(0,MIN(BI264+BJ264-BK264,BH264))</f>
        <v/>
      </c>
      <c r="BM264" s="42">
        <f>ROUND(BI264+BJ264-BK264-BL264,2)</f>
        <v/>
      </c>
      <c r="BN264">
        <f>BH264-BL264</f>
        <v/>
      </c>
    </row>
    <row r="265">
      <c r="A265" s="43" t="n">
        <v>258</v>
      </c>
      <c r="B265" s="44">
        <f>EDATE('My Debts'!$C$6,A265-1)</f>
        <v/>
      </c>
      <c r="C265" s="45">
        <f>K265+Q265+W265+AC265+AI265+AO265+AU265+BA265+BG265+BM265</f>
        <v/>
      </c>
      <c r="D265" s="46">
        <f>I265+O265+U265+AA265+AG265+AM265+AS265+AY265+BE265+BK265+J265+P265+V265+AB265+AH265+AN265+AT265+AZ265+BF265+BL265</f>
        <v/>
      </c>
      <c r="E265" s="46">
        <f>H265+N265+T265+Z265+AF265+AL265+AR265+AX265+BD265+BJ265</f>
        <v/>
      </c>
      <c r="F265">
        <f>MAX(0,'My Debts'!$E$21-(I265+O265+U265+AA265+AG265+AM265+AS265+AY265+BE265+BK265))</f>
        <v/>
      </c>
      <c r="G265" s="42">
        <f>K264</f>
        <v/>
      </c>
      <c r="H265" s="42">
        <f>ROUND(G265*H$6/12,2)</f>
        <v/>
      </c>
      <c r="I265" s="42">
        <f>MIN(I$6,G265+H265)</f>
        <v/>
      </c>
      <c r="J265" s="42">
        <f>MAX(0,MIN(G265+H265-I265,$F265))</f>
        <v/>
      </c>
      <c r="K265" s="42">
        <f>ROUND(G265+H265-I265-J265,2)</f>
        <v/>
      </c>
      <c r="L265">
        <f>$F265-J265</f>
        <v/>
      </c>
      <c r="M265" s="42">
        <f>Q264</f>
        <v/>
      </c>
      <c r="N265" s="42">
        <f>ROUND(M265*N$6/12,2)</f>
        <v/>
      </c>
      <c r="O265" s="42">
        <f>MIN(O$6,M265+N265)</f>
        <v/>
      </c>
      <c r="P265" s="42">
        <f>MAX(0,MIN(M265+N265-O265,L265))</f>
        <v/>
      </c>
      <c r="Q265" s="42">
        <f>ROUND(M265+N265-O265-P265,2)</f>
        <v/>
      </c>
      <c r="R265">
        <f>L265-P265</f>
        <v/>
      </c>
      <c r="S265" s="42">
        <f>W264</f>
        <v/>
      </c>
      <c r="T265" s="42">
        <f>ROUND(S265*T$6/12,2)</f>
        <v/>
      </c>
      <c r="U265" s="42">
        <f>MIN(U$6,S265+T265)</f>
        <v/>
      </c>
      <c r="V265" s="42">
        <f>MAX(0,MIN(S265+T265-U265,R265))</f>
        <v/>
      </c>
      <c r="W265" s="42">
        <f>ROUND(S265+T265-U265-V265,2)</f>
        <v/>
      </c>
      <c r="X265">
        <f>R265-V265</f>
        <v/>
      </c>
      <c r="Y265" s="42">
        <f>AC264</f>
        <v/>
      </c>
      <c r="Z265" s="42">
        <f>ROUND(Y265*Z$6/12,2)</f>
        <v/>
      </c>
      <c r="AA265" s="42">
        <f>MIN(AA$6,Y265+Z265)</f>
        <v/>
      </c>
      <c r="AB265" s="42">
        <f>MAX(0,MIN(Y265+Z265-AA265,X265))</f>
        <v/>
      </c>
      <c r="AC265" s="42">
        <f>ROUND(Y265+Z265-AA265-AB265,2)</f>
        <v/>
      </c>
      <c r="AD265">
        <f>X265-AB265</f>
        <v/>
      </c>
      <c r="AE265" s="42">
        <f>AI264</f>
        <v/>
      </c>
      <c r="AF265" s="42">
        <f>ROUND(AE265*AF$6/12,2)</f>
        <v/>
      </c>
      <c r="AG265" s="42">
        <f>MIN(AG$6,AE265+AF265)</f>
        <v/>
      </c>
      <c r="AH265" s="42">
        <f>MAX(0,MIN(AE265+AF265-AG265,AD265))</f>
        <v/>
      </c>
      <c r="AI265" s="42">
        <f>ROUND(AE265+AF265-AG265-AH265,2)</f>
        <v/>
      </c>
      <c r="AJ265">
        <f>AD265-AH265</f>
        <v/>
      </c>
      <c r="AK265" s="42">
        <f>AO264</f>
        <v/>
      </c>
      <c r="AL265" s="42">
        <f>ROUND(AK265*AL$6/12,2)</f>
        <v/>
      </c>
      <c r="AM265" s="42">
        <f>MIN(AM$6,AK265+AL265)</f>
        <v/>
      </c>
      <c r="AN265" s="42">
        <f>MAX(0,MIN(AK265+AL265-AM265,AJ265))</f>
        <v/>
      </c>
      <c r="AO265" s="42">
        <f>ROUND(AK265+AL265-AM265-AN265,2)</f>
        <v/>
      </c>
      <c r="AP265">
        <f>AJ265-AN265</f>
        <v/>
      </c>
      <c r="AQ265" s="42">
        <f>AU264</f>
        <v/>
      </c>
      <c r="AR265" s="42">
        <f>ROUND(AQ265*AR$6/12,2)</f>
        <v/>
      </c>
      <c r="AS265" s="42">
        <f>MIN(AS$6,AQ265+AR265)</f>
        <v/>
      </c>
      <c r="AT265" s="42">
        <f>MAX(0,MIN(AQ265+AR265-AS265,AP265))</f>
        <v/>
      </c>
      <c r="AU265" s="42">
        <f>ROUND(AQ265+AR265-AS265-AT265,2)</f>
        <v/>
      </c>
      <c r="AV265">
        <f>AP265-AT265</f>
        <v/>
      </c>
      <c r="AW265" s="42">
        <f>BA264</f>
        <v/>
      </c>
      <c r="AX265" s="42">
        <f>ROUND(AW265*AX$6/12,2)</f>
        <v/>
      </c>
      <c r="AY265" s="42">
        <f>MIN(AY$6,AW265+AX265)</f>
        <v/>
      </c>
      <c r="AZ265" s="42">
        <f>MAX(0,MIN(AW265+AX265-AY265,AV265))</f>
        <v/>
      </c>
      <c r="BA265" s="42">
        <f>ROUND(AW265+AX265-AY265-AZ265,2)</f>
        <v/>
      </c>
      <c r="BB265">
        <f>AV265-AZ265</f>
        <v/>
      </c>
      <c r="BC265" s="42">
        <f>BG264</f>
        <v/>
      </c>
      <c r="BD265" s="42">
        <f>ROUND(BC265*BD$6/12,2)</f>
        <v/>
      </c>
      <c r="BE265" s="42">
        <f>MIN(BE$6,BC265+BD265)</f>
        <v/>
      </c>
      <c r="BF265" s="42">
        <f>MAX(0,MIN(BC265+BD265-BE265,BB265))</f>
        <v/>
      </c>
      <c r="BG265" s="42">
        <f>ROUND(BC265+BD265-BE265-BF265,2)</f>
        <v/>
      </c>
      <c r="BH265">
        <f>BB265-BF265</f>
        <v/>
      </c>
      <c r="BI265" s="42">
        <f>BM264</f>
        <v/>
      </c>
      <c r="BJ265" s="42">
        <f>ROUND(BI265*BJ$6/12,2)</f>
        <v/>
      </c>
      <c r="BK265" s="42">
        <f>MIN(BK$6,BI265+BJ265)</f>
        <v/>
      </c>
      <c r="BL265" s="42">
        <f>MAX(0,MIN(BI265+BJ265-BK265,BH265))</f>
        <v/>
      </c>
      <c r="BM265" s="42">
        <f>ROUND(BI265+BJ265-BK265-BL265,2)</f>
        <v/>
      </c>
      <c r="BN265">
        <f>BH265-BL265</f>
        <v/>
      </c>
    </row>
    <row r="266">
      <c r="A266" s="39" t="n">
        <v>259</v>
      </c>
      <c r="B266" s="40">
        <f>EDATE('My Debts'!$C$6,A266-1)</f>
        <v/>
      </c>
      <c r="C266" s="41">
        <f>K266+Q266+W266+AC266+AI266+AO266+AU266+BA266+BG266+BM266</f>
        <v/>
      </c>
      <c r="D266" s="42">
        <f>I266+O266+U266+AA266+AG266+AM266+AS266+AY266+BE266+BK266+J266+P266+V266+AB266+AH266+AN266+AT266+AZ266+BF266+BL266</f>
        <v/>
      </c>
      <c r="E266" s="42">
        <f>H266+N266+T266+Z266+AF266+AL266+AR266+AX266+BD266+BJ266</f>
        <v/>
      </c>
      <c r="F266">
        <f>MAX(0,'My Debts'!$E$21-(I266+O266+U266+AA266+AG266+AM266+AS266+AY266+BE266+BK266))</f>
        <v/>
      </c>
      <c r="G266" s="42">
        <f>K265</f>
        <v/>
      </c>
      <c r="H266" s="42">
        <f>ROUND(G266*H$6/12,2)</f>
        <v/>
      </c>
      <c r="I266" s="42">
        <f>MIN(I$6,G266+H266)</f>
        <v/>
      </c>
      <c r="J266" s="42">
        <f>MAX(0,MIN(G266+H266-I266,$F266))</f>
        <v/>
      </c>
      <c r="K266" s="42">
        <f>ROUND(G266+H266-I266-J266,2)</f>
        <v/>
      </c>
      <c r="L266">
        <f>$F266-J266</f>
        <v/>
      </c>
      <c r="M266" s="42">
        <f>Q265</f>
        <v/>
      </c>
      <c r="N266" s="42">
        <f>ROUND(M266*N$6/12,2)</f>
        <v/>
      </c>
      <c r="O266" s="42">
        <f>MIN(O$6,M266+N266)</f>
        <v/>
      </c>
      <c r="P266" s="42">
        <f>MAX(0,MIN(M266+N266-O266,L266))</f>
        <v/>
      </c>
      <c r="Q266" s="42">
        <f>ROUND(M266+N266-O266-P266,2)</f>
        <v/>
      </c>
      <c r="R266">
        <f>L266-P266</f>
        <v/>
      </c>
      <c r="S266" s="42">
        <f>W265</f>
        <v/>
      </c>
      <c r="T266" s="42">
        <f>ROUND(S266*T$6/12,2)</f>
        <v/>
      </c>
      <c r="U266" s="42">
        <f>MIN(U$6,S266+T266)</f>
        <v/>
      </c>
      <c r="V266" s="42">
        <f>MAX(0,MIN(S266+T266-U266,R266))</f>
        <v/>
      </c>
      <c r="W266" s="42">
        <f>ROUND(S266+T266-U266-V266,2)</f>
        <v/>
      </c>
      <c r="X266">
        <f>R266-V266</f>
        <v/>
      </c>
      <c r="Y266" s="42">
        <f>AC265</f>
        <v/>
      </c>
      <c r="Z266" s="42">
        <f>ROUND(Y266*Z$6/12,2)</f>
        <v/>
      </c>
      <c r="AA266" s="42">
        <f>MIN(AA$6,Y266+Z266)</f>
        <v/>
      </c>
      <c r="AB266" s="42">
        <f>MAX(0,MIN(Y266+Z266-AA266,X266))</f>
        <v/>
      </c>
      <c r="AC266" s="42">
        <f>ROUND(Y266+Z266-AA266-AB266,2)</f>
        <v/>
      </c>
      <c r="AD266">
        <f>X266-AB266</f>
        <v/>
      </c>
      <c r="AE266" s="42">
        <f>AI265</f>
        <v/>
      </c>
      <c r="AF266" s="42">
        <f>ROUND(AE266*AF$6/12,2)</f>
        <v/>
      </c>
      <c r="AG266" s="42">
        <f>MIN(AG$6,AE266+AF266)</f>
        <v/>
      </c>
      <c r="AH266" s="42">
        <f>MAX(0,MIN(AE266+AF266-AG266,AD266))</f>
        <v/>
      </c>
      <c r="AI266" s="42">
        <f>ROUND(AE266+AF266-AG266-AH266,2)</f>
        <v/>
      </c>
      <c r="AJ266">
        <f>AD266-AH266</f>
        <v/>
      </c>
      <c r="AK266" s="42">
        <f>AO265</f>
        <v/>
      </c>
      <c r="AL266" s="42">
        <f>ROUND(AK266*AL$6/12,2)</f>
        <v/>
      </c>
      <c r="AM266" s="42">
        <f>MIN(AM$6,AK266+AL266)</f>
        <v/>
      </c>
      <c r="AN266" s="42">
        <f>MAX(0,MIN(AK266+AL266-AM266,AJ266))</f>
        <v/>
      </c>
      <c r="AO266" s="42">
        <f>ROUND(AK266+AL266-AM266-AN266,2)</f>
        <v/>
      </c>
      <c r="AP266">
        <f>AJ266-AN266</f>
        <v/>
      </c>
      <c r="AQ266" s="42">
        <f>AU265</f>
        <v/>
      </c>
      <c r="AR266" s="42">
        <f>ROUND(AQ266*AR$6/12,2)</f>
        <v/>
      </c>
      <c r="AS266" s="42">
        <f>MIN(AS$6,AQ266+AR266)</f>
        <v/>
      </c>
      <c r="AT266" s="42">
        <f>MAX(0,MIN(AQ266+AR266-AS266,AP266))</f>
        <v/>
      </c>
      <c r="AU266" s="42">
        <f>ROUND(AQ266+AR266-AS266-AT266,2)</f>
        <v/>
      </c>
      <c r="AV266">
        <f>AP266-AT266</f>
        <v/>
      </c>
      <c r="AW266" s="42">
        <f>BA265</f>
        <v/>
      </c>
      <c r="AX266" s="42">
        <f>ROUND(AW266*AX$6/12,2)</f>
        <v/>
      </c>
      <c r="AY266" s="42">
        <f>MIN(AY$6,AW266+AX266)</f>
        <v/>
      </c>
      <c r="AZ266" s="42">
        <f>MAX(0,MIN(AW266+AX266-AY266,AV266))</f>
        <v/>
      </c>
      <c r="BA266" s="42">
        <f>ROUND(AW266+AX266-AY266-AZ266,2)</f>
        <v/>
      </c>
      <c r="BB266">
        <f>AV266-AZ266</f>
        <v/>
      </c>
      <c r="BC266" s="42">
        <f>BG265</f>
        <v/>
      </c>
      <c r="BD266" s="42">
        <f>ROUND(BC266*BD$6/12,2)</f>
        <v/>
      </c>
      <c r="BE266" s="42">
        <f>MIN(BE$6,BC266+BD266)</f>
        <v/>
      </c>
      <c r="BF266" s="42">
        <f>MAX(0,MIN(BC266+BD266-BE266,BB266))</f>
        <v/>
      </c>
      <c r="BG266" s="42">
        <f>ROUND(BC266+BD266-BE266-BF266,2)</f>
        <v/>
      </c>
      <c r="BH266">
        <f>BB266-BF266</f>
        <v/>
      </c>
      <c r="BI266" s="42">
        <f>BM265</f>
        <v/>
      </c>
      <c r="BJ266" s="42">
        <f>ROUND(BI266*BJ$6/12,2)</f>
        <v/>
      </c>
      <c r="BK266" s="42">
        <f>MIN(BK$6,BI266+BJ266)</f>
        <v/>
      </c>
      <c r="BL266" s="42">
        <f>MAX(0,MIN(BI266+BJ266-BK266,BH266))</f>
        <v/>
      </c>
      <c r="BM266" s="42">
        <f>ROUND(BI266+BJ266-BK266-BL266,2)</f>
        <v/>
      </c>
      <c r="BN266">
        <f>BH266-BL266</f>
        <v/>
      </c>
    </row>
    <row r="267">
      <c r="A267" s="43" t="n">
        <v>260</v>
      </c>
      <c r="B267" s="44">
        <f>EDATE('My Debts'!$C$6,A267-1)</f>
        <v/>
      </c>
      <c r="C267" s="45">
        <f>K267+Q267+W267+AC267+AI267+AO267+AU267+BA267+BG267+BM267</f>
        <v/>
      </c>
      <c r="D267" s="46">
        <f>I267+O267+U267+AA267+AG267+AM267+AS267+AY267+BE267+BK267+J267+P267+V267+AB267+AH267+AN267+AT267+AZ267+BF267+BL267</f>
        <v/>
      </c>
      <c r="E267" s="46">
        <f>H267+N267+T267+Z267+AF267+AL267+AR267+AX267+BD267+BJ267</f>
        <v/>
      </c>
      <c r="F267">
        <f>MAX(0,'My Debts'!$E$21-(I267+O267+U267+AA267+AG267+AM267+AS267+AY267+BE267+BK267))</f>
        <v/>
      </c>
      <c r="G267" s="42">
        <f>K266</f>
        <v/>
      </c>
      <c r="H267" s="42">
        <f>ROUND(G267*H$6/12,2)</f>
        <v/>
      </c>
      <c r="I267" s="42">
        <f>MIN(I$6,G267+H267)</f>
        <v/>
      </c>
      <c r="J267" s="42">
        <f>MAX(0,MIN(G267+H267-I267,$F267))</f>
        <v/>
      </c>
      <c r="K267" s="42">
        <f>ROUND(G267+H267-I267-J267,2)</f>
        <v/>
      </c>
      <c r="L267">
        <f>$F267-J267</f>
        <v/>
      </c>
      <c r="M267" s="42">
        <f>Q266</f>
        <v/>
      </c>
      <c r="N267" s="42">
        <f>ROUND(M267*N$6/12,2)</f>
        <v/>
      </c>
      <c r="O267" s="42">
        <f>MIN(O$6,M267+N267)</f>
        <v/>
      </c>
      <c r="P267" s="42">
        <f>MAX(0,MIN(M267+N267-O267,L267))</f>
        <v/>
      </c>
      <c r="Q267" s="42">
        <f>ROUND(M267+N267-O267-P267,2)</f>
        <v/>
      </c>
      <c r="R267">
        <f>L267-P267</f>
        <v/>
      </c>
      <c r="S267" s="42">
        <f>W266</f>
        <v/>
      </c>
      <c r="T267" s="42">
        <f>ROUND(S267*T$6/12,2)</f>
        <v/>
      </c>
      <c r="U267" s="42">
        <f>MIN(U$6,S267+T267)</f>
        <v/>
      </c>
      <c r="V267" s="42">
        <f>MAX(0,MIN(S267+T267-U267,R267))</f>
        <v/>
      </c>
      <c r="W267" s="42">
        <f>ROUND(S267+T267-U267-V267,2)</f>
        <v/>
      </c>
      <c r="X267">
        <f>R267-V267</f>
        <v/>
      </c>
      <c r="Y267" s="42">
        <f>AC266</f>
        <v/>
      </c>
      <c r="Z267" s="42">
        <f>ROUND(Y267*Z$6/12,2)</f>
        <v/>
      </c>
      <c r="AA267" s="42">
        <f>MIN(AA$6,Y267+Z267)</f>
        <v/>
      </c>
      <c r="AB267" s="42">
        <f>MAX(0,MIN(Y267+Z267-AA267,X267))</f>
        <v/>
      </c>
      <c r="AC267" s="42">
        <f>ROUND(Y267+Z267-AA267-AB267,2)</f>
        <v/>
      </c>
      <c r="AD267">
        <f>X267-AB267</f>
        <v/>
      </c>
      <c r="AE267" s="42">
        <f>AI266</f>
        <v/>
      </c>
      <c r="AF267" s="42">
        <f>ROUND(AE267*AF$6/12,2)</f>
        <v/>
      </c>
      <c r="AG267" s="42">
        <f>MIN(AG$6,AE267+AF267)</f>
        <v/>
      </c>
      <c r="AH267" s="42">
        <f>MAX(0,MIN(AE267+AF267-AG267,AD267))</f>
        <v/>
      </c>
      <c r="AI267" s="42">
        <f>ROUND(AE267+AF267-AG267-AH267,2)</f>
        <v/>
      </c>
      <c r="AJ267">
        <f>AD267-AH267</f>
        <v/>
      </c>
      <c r="AK267" s="42">
        <f>AO266</f>
        <v/>
      </c>
      <c r="AL267" s="42">
        <f>ROUND(AK267*AL$6/12,2)</f>
        <v/>
      </c>
      <c r="AM267" s="42">
        <f>MIN(AM$6,AK267+AL267)</f>
        <v/>
      </c>
      <c r="AN267" s="42">
        <f>MAX(0,MIN(AK267+AL267-AM267,AJ267))</f>
        <v/>
      </c>
      <c r="AO267" s="42">
        <f>ROUND(AK267+AL267-AM267-AN267,2)</f>
        <v/>
      </c>
      <c r="AP267">
        <f>AJ267-AN267</f>
        <v/>
      </c>
      <c r="AQ267" s="42">
        <f>AU266</f>
        <v/>
      </c>
      <c r="AR267" s="42">
        <f>ROUND(AQ267*AR$6/12,2)</f>
        <v/>
      </c>
      <c r="AS267" s="42">
        <f>MIN(AS$6,AQ267+AR267)</f>
        <v/>
      </c>
      <c r="AT267" s="42">
        <f>MAX(0,MIN(AQ267+AR267-AS267,AP267))</f>
        <v/>
      </c>
      <c r="AU267" s="42">
        <f>ROUND(AQ267+AR267-AS267-AT267,2)</f>
        <v/>
      </c>
      <c r="AV267">
        <f>AP267-AT267</f>
        <v/>
      </c>
      <c r="AW267" s="42">
        <f>BA266</f>
        <v/>
      </c>
      <c r="AX267" s="42">
        <f>ROUND(AW267*AX$6/12,2)</f>
        <v/>
      </c>
      <c r="AY267" s="42">
        <f>MIN(AY$6,AW267+AX267)</f>
        <v/>
      </c>
      <c r="AZ267" s="42">
        <f>MAX(0,MIN(AW267+AX267-AY267,AV267))</f>
        <v/>
      </c>
      <c r="BA267" s="42">
        <f>ROUND(AW267+AX267-AY267-AZ267,2)</f>
        <v/>
      </c>
      <c r="BB267">
        <f>AV267-AZ267</f>
        <v/>
      </c>
      <c r="BC267" s="42">
        <f>BG266</f>
        <v/>
      </c>
      <c r="BD267" s="42">
        <f>ROUND(BC267*BD$6/12,2)</f>
        <v/>
      </c>
      <c r="BE267" s="42">
        <f>MIN(BE$6,BC267+BD267)</f>
        <v/>
      </c>
      <c r="BF267" s="42">
        <f>MAX(0,MIN(BC267+BD267-BE267,BB267))</f>
        <v/>
      </c>
      <c r="BG267" s="42">
        <f>ROUND(BC267+BD267-BE267-BF267,2)</f>
        <v/>
      </c>
      <c r="BH267">
        <f>BB267-BF267</f>
        <v/>
      </c>
      <c r="BI267" s="42">
        <f>BM266</f>
        <v/>
      </c>
      <c r="BJ267" s="42">
        <f>ROUND(BI267*BJ$6/12,2)</f>
        <v/>
      </c>
      <c r="BK267" s="42">
        <f>MIN(BK$6,BI267+BJ267)</f>
        <v/>
      </c>
      <c r="BL267" s="42">
        <f>MAX(0,MIN(BI267+BJ267-BK267,BH267))</f>
        <v/>
      </c>
      <c r="BM267" s="42">
        <f>ROUND(BI267+BJ267-BK267-BL267,2)</f>
        <v/>
      </c>
      <c r="BN267">
        <f>BH267-BL267</f>
        <v/>
      </c>
    </row>
    <row r="268">
      <c r="A268" s="39" t="n">
        <v>261</v>
      </c>
      <c r="B268" s="40">
        <f>EDATE('My Debts'!$C$6,A268-1)</f>
        <v/>
      </c>
      <c r="C268" s="41">
        <f>K268+Q268+W268+AC268+AI268+AO268+AU268+BA268+BG268+BM268</f>
        <v/>
      </c>
      <c r="D268" s="42">
        <f>I268+O268+U268+AA268+AG268+AM268+AS268+AY268+BE268+BK268+J268+P268+V268+AB268+AH268+AN268+AT268+AZ268+BF268+BL268</f>
        <v/>
      </c>
      <c r="E268" s="42">
        <f>H268+N268+T268+Z268+AF268+AL268+AR268+AX268+BD268+BJ268</f>
        <v/>
      </c>
      <c r="F268">
        <f>MAX(0,'My Debts'!$E$21-(I268+O268+U268+AA268+AG268+AM268+AS268+AY268+BE268+BK268))</f>
        <v/>
      </c>
      <c r="G268" s="42">
        <f>K267</f>
        <v/>
      </c>
      <c r="H268" s="42">
        <f>ROUND(G268*H$6/12,2)</f>
        <v/>
      </c>
      <c r="I268" s="42">
        <f>MIN(I$6,G268+H268)</f>
        <v/>
      </c>
      <c r="J268" s="42">
        <f>MAX(0,MIN(G268+H268-I268,$F268))</f>
        <v/>
      </c>
      <c r="K268" s="42">
        <f>ROUND(G268+H268-I268-J268,2)</f>
        <v/>
      </c>
      <c r="L268">
        <f>$F268-J268</f>
        <v/>
      </c>
      <c r="M268" s="42">
        <f>Q267</f>
        <v/>
      </c>
      <c r="N268" s="42">
        <f>ROUND(M268*N$6/12,2)</f>
        <v/>
      </c>
      <c r="O268" s="42">
        <f>MIN(O$6,M268+N268)</f>
        <v/>
      </c>
      <c r="P268" s="42">
        <f>MAX(0,MIN(M268+N268-O268,L268))</f>
        <v/>
      </c>
      <c r="Q268" s="42">
        <f>ROUND(M268+N268-O268-P268,2)</f>
        <v/>
      </c>
      <c r="R268">
        <f>L268-P268</f>
        <v/>
      </c>
      <c r="S268" s="42">
        <f>W267</f>
        <v/>
      </c>
      <c r="T268" s="42">
        <f>ROUND(S268*T$6/12,2)</f>
        <v/>
      </c>
      <c r="U268" s="42">
        <f>MIN(U$6,S268+T268)</f>
        <v/>
      </c>
      <c r="V268" s="42">
        <f>MAX(0,MIN(S268+T268-U268,R268))</f>
        <v/>
      </c>
      <c r="W268" s="42">
        <f>ROUND(S268+T268-U268-V268,2)</f>
        <v/>
      </c>
      <c r="X268">
        <f>R268-V268</f>
        <v/>
      </c>
      <c r="Y268" s="42">
        <f>AC267</f>
        <v/>
      </c>
      <c r="Z268" s="42">
        <f>ROUND(Y268*Z$6/12,2)</f>
        <v/>
      </c>
      <c r="AA268" s="42">
        <f>MIN(AA$6,Y268+Z268)</f>
        <v/>
      </c>
      <c r="AB268" s="42">
        <f>MAX(0,MIN(Y268+Z268-AA268,X268))</f>
        <v/>
      </c>
      <c r="AC268" s="42">
        <f>ROUND(Y268+Z268-AA268-AB268,2)</f>
        <v/>
      </c>
      <c r="AD268">
        <f>X268-AB268</f>
        <v/>
      </c>
      <c r="AE268" s="42">
        <f>AI267</f>
        <v/>
      </c>
      <c r="AF268" s="42">
        <f>ROUND(AE268*AF$6/12,2)</f>
        <v/>
      </c>
      <c r="AG268" s="42">
        <f>MIN(AG$6,AE268+AF268)</f>
        <v/>
      </c>
      <c r="AH268" s="42">
        <f>MAX(0,MIN(AE268+AF268-AG268,AD268))</f>
        <v/>
      </c>
      <c r="AI268" s="42">
        <f>ROUND(AE268+AF268-AG268-AH268,2)</f>
        <v/>
      </c>
      <c r="AJ268">
        <f>AD268-AH268</f>
        <v/>
      </c>
      <c r="AK268" s="42">
        <f>AO267</f>
        <v/>
      </c>
      <c r="AL268" s="42">
        <f>ROUND(AK268*AL$6/12,2)</f>
        <v/>
      </c>
      <c r="AM268" s="42">
        <f>MIN(AM$6,AK268+AL268)</f>
        <v/>
      </c>
      <c r="AN268" s="42">
        <f>MAX(0,MIN(AK268+AL268-AM268,AJ268))</f>
        <v/>
      </c>
      <c r="AO268" s="42">
        <f>ROUND(AK268+AL268-AM268-AN268,2)</f>
        <v/>
      </c>
      <c r="AP268">
        <f>AJ268-AN268</f>
        <v/>
      </c>
      <c r="AQ268" s="42">
        <f>AU267</f>
        <v/>
      </c>
      <c r="AR268" s="42">
        <f>ROUND(AQ268*AR$6/12,2)</f>
        <v/>
      </c>
      <c r="AS268" s="42">
        <f>MIN(AS$6,AQ268+AR268)</f>
        <v/>
      </c>
      <c r="AT268" s="42">
        <f>MAX(0,MIN(AQ268+AR268-AS268,AP268))</f>
        <v/>
      </c>
      <c r="AU268" s="42">
        <f>ROUND(AQ268+AR268-AS268-AT268,2)</f>
        <v/>
      </c>
      <c r="AV268">
        <f>AP268-AT268</f>
        <v/>
      </c>
      <c r="AW268" s="42">
        <f>BA267</f>
        <v/>
      </c>
      <c r="AX268" s="42">
        <f>ROUND(AW268*AX$6/12,2)</f>
        <v/>
      </c>
      <c r="AY268" s="42">
        <f>MIN(AY$6,AW268+AX268)</f>
        <v/>
      </c>
      <c r="AZ268" s="42">
        <f>MAX(0,MIN(AW268+AX268-AY268,AV268))</f>
        <v/>
      </c>
      <c r="BA268" s="42">
        <f>ROUND(AW268+AX268-AY268-AZ268,2)</f>
        <v/>
      </c>
      <c r="BB268">
        <f>AV268-AZ268</f>
        <v/>
      </c>
      <c r="BC268" s="42">
        <f>BG267</f>
        <v/>
      </c>
      <c r="BD268" s="42">
        <f>ROUND(BC268*BD$6/12,2)</f>
        <v/>
      </c>
      <c r="BE268" s="42">
        <f>MIN(BE$6,BC268+BD268)</f>
        <v/>
      </c>
      <c r="BF268" s="42">
        <f>MAX(0,MIN(BC268+BD268-BE268,BB268))</f>
        <v/>
      </c>
      <c r="BG268" s="42">
        <f>ROUND(BC268+BD268-BE268-BF268,2)</f>
        <v/>
      </c>
      <c r="BH268">
        <f>BB268-BF268</f>
        <v/>
      </c>
      <c r="BI268" s="42">
        <f>BM267</f>
        <v/>
      </c>
      <c r="BJ268" s="42">
        <f>ROUND(BI268*BJ$6/12,2)</f>
        <v/>
      </c>
      <c r="BK268" s="42">
        <f>MIN(BK$6,BI268+BJ268)</f>
        <v/>
      </c>
      <c r="BL268" s="42">
        <f>MAX(0,MIN(BI268+BJ268-BK268,BH268))</f>
        <v/>
      </c>
      <c r="BM268" s="42">
        <f>ROUND(BI268+BJ268-BK268-BL268,2)</f>
        <v/>
      </c>
      <c r="BN268">
        <f>BH268-BL268</f>
        <v/>
      </c>
    </row>
    <row r="269">
      <c r="A269" s="43" t="n">
        <v>262</v>
      </c>
      <c r="B269" s="44">
        <f>EDATE('My Debts'!$C$6,A269-1)</f>
        <v/>
      </c>
      <c r="C269" s="45">
        <f>K269+Q269+W269+AC269+AI269+AO269+AU269+BA269+BG269+BM269</f>
        <v/>
      </c>
      <c r="D269" s="46">
        <f>I269+O269+U269+AA269+AG269+AM269+AS269+AY269+BE269+BK269+J269+P269+V269+AB269+AH269+AN269+AT269+AZ269+BF269+BL269</f>
        <v/>
      </c>
      <c r="E269" s="46">
        <f>H269+N269+T269+Z269+AF269+AL269+AR269+AX269+BD269+BJ269</f>
        <v/>
      </c>
      <c r="F269">
        <f>MAX(0,'My Debts'!$E$21-(I269+O269+U269+AA269+AG269+AM269+AS269+AY269+BE269+BK269))</f>
        <v/>
      </c>
      <c r="G269" s="42">
        <f>K268</f>
        <v/>
      </c>
      <c r="H269" s="42">
        <f>ROUND(G269*H$6/12,2)</f>
        <v/>
      </c>
      <c r="I269" s="42">
        <f>MIN(I$6,G269+H269)</f>
        <v/>
      </c>
      <c r="J269" s="42">
        <f>MAX(0,MIN(G269+H269-I269,$F269))</f>
        <v/>
      </c>
      <c r="K269" s="42">
        <f>ROUND(G269+H269-I269-J269,2)</f>
        <v/>
      </c>
      <c r="L269">
        <f>$F269-J269</f>
        <v/>
      </c>
      <c r="M269" s="42">
        <f>Q268</f>
        <v/>
      </c>
      <c r="N269" s="42">
        <f>ROUND(M269*N$6/12,2)</f>
        <v/>
      </c>
      <c r="O269" s="42">
        <f>MIN(O$6,M269+N269)</f>
        <v/>
      </c>
      <c r="P269" s="42">
        <f>MAX(0,MIN(M269+N269-O269,L269))</f>
        <v/>
      </c>
      <c r="Q269" s="42">
        <f>ROUND(M269+N269-O269-P269,2)</f>
        <v/>
      </c>
      <c r="R269">
        <f>L269-P269</f>
        <v/>
      </c>
      <c r="S269" s="42">
        <f>W268</f>
        <v/>
      </c>
      <c r="T269" s="42">
        <f>ROUND(S269*T$6/12,2)</f>
        <v/>
      </c>
      <c r="U269" s="42">
        <f>MIN(U$6,S269+T269)</f>
        <v/>
      </c>
      <c r="V269" s="42">
        <f>MAX(0,MIN(S269+T269-U269,R269))</f>
        <v/>
      </c>
      <c r="W269" s="42">
        <f>ROUND(S269+T269-U269-V269,2)</f>
        <v/>
      </c>
      <c r="X269">
        <f>R269-V269</f>
        <v/>
      </c>
      <c r="Y269" s="42">
        <f>AC268</f>
        <v/>
      </c>
      <c r="Z269" s="42">
        <f>ROUND(Y269*Z$6/12,2)</f>
        <v/>
      </c>
      <c r="AA269" s="42">
        <f>MIN(AA$6,Y269+Z269)</f>
        <v/>
      </c>
      <c r="AB269" s="42">
        <f>MAX(0,MIN(Y269+Z269-AA269,X269))</f>
        <v/>
      </c>
      <c r="AC269" s="42">
        <f>ROUND(Y269+Z269-AA269-AB269,2)</f>
        <v/>
      </c>
      <c r="AD269">
        <f>X269-AB269</f>
        <v/>
      </c>
      <c r="AE269" s="42">
        <f>AI268</f>
        <v/>
      </c>
      <c r="AF269" s="42">
        <f>ROUND(AE269*AF$6/12,2)</f>
        <v/>
      </c>
      <c r="AG269" s="42">
        <f>MIN(AG$6,AE269+AF269)</f>
        <v/>
      </c>
      <c r="AH269" s="42">
        <f>MAX(0,MIN(AE269+AF269-AG269,AD269))</f>
        <v/>
      </c>
      <c r="AI269" s="42">
        <f>ROUND(AE269+AF269-AG269-AH269,2)</f>
        <v/>
      </c>
      <c r="AJ269">
        <f>AD269-AH269</f>
        <v/>
      </c>
      <c r="AK269" s="42">
        <f>AO268</f>
        <v/>
      </c>
      <c r="AL269" s="42">
        <f>ROUND(AK269*AL$6/12,2)</f>
        <v/>
      </c>
      <c r="AM269" s="42">
        <f>MIN(AM$6,AK269+AL269)</f>
        <v/>
      </c>
      <c r="AN269" s="42">
        <f>MAX(0,MIN(AK269+AL269-AM269,AJ269))</f>
        <v/>
      </c>
      <c r="AO269" s="42">
        <f>ROUND(AK269+AL269-AM269-AN269,2)</f>
        <v/>
      </c>
      <c r="AP269">
        <f>AJ269-AN269</f>
        <v/>
      </c>
      <c r="AQ269" s="42">
        <f>AU268</f>
        <v/>
      </c>
      <c r="AR269" s="42">
        <f>ROUND(AQ269*AR$6/12,2)</f>
        <v/>
      </c>
      <c r="AS269" s="42">
        <f>MIN(AS$6,AQ269+AR269)</f>
        <v/>
      </c>
      <c r="AT269" s="42">
        <f>MAX(0,MIN(AQ269+AR269-AS269,AP269))</f>
        <v/>
      </c>
      <c r="AU269" s="42">
        <f>ROUND(AQ269+AR269-AS269-AT269,2)</f>
        <v/>
      </c>
      <c r="AV269">
        <f>AP269-AT269</f>
        <v/>
      </c>
      <c r="AW269" s="42">
        <f>BA268</f>
        <v/>
      </c>
      <c r="AX269" s="42">
        <f>ROUND(AW269*AX$6/12,2)</f>
        <v/>
      </c>
      <c r="AY269" s="42">
        <f>MIN(AY$6,AW269+AX269)</f>
        <v/>
      </c>
      <c r="AZ269" s="42">
        <f>MAX(0,MIN(AW269+AX269-AY269,AV269))</f>
        <v/>
      </c>
      <c r="BA269" s="42">
        <f>ROUND(AW269+AX269-AY269-AZ269,2)</f>
        <v/>
      </c>
      <c r="BB269">
        <f>AV269-AZ269</f>
        <v/>
      </c>
      <c r="BC269" s="42">
        <f>BG268</f>
        <v/>
      </c>
      <c r="BD269" s="42">
        <f>ROUND(BC269*BD$6/12,2)</f>
        <v/>
      </c>
      <c r="BE269" s="42">
        <f>MIN(BE$6,BC269+BD269)</f>
        <v/>
      </c>
      <c r="BF269" s="42">
        <f>MAX(0,MIN(BC269+BD269-BE269,BB269))</f>
        <v/>
      </c>
      <c r="BG269" s="42">
        <f>ROUND(BC269+BD269-BE269-BF269,2)</f>
        <v/>
      </c>
      <c r="BH269">
        <f>BB269-BF269</f>
        <v/>
      </c>
      <c r="BI269" s="42">
        <f>BM268</f>
        <v/>
      </c>
      <c r="BJ269" s="42">
        <f>ROUND(BI269*BJ$6/12,2)</f>
        <v/>
      </c>
      <c r="BK269" s="42">
        <f>MIN(BK$6,BI269+BJ269)</f>
        <v/>
      </c>
      <c r="BL269" s="42">
        <f>MAX(0,MIN(BI269+BJ269-BK269,BH269))</f>
        <v/>
      </c>
      <c r="BM269" s="42">
        <f>ROUND(BI269+BJ269-BK269-BL269,2)</f>
        <v/>
      </c>
      <c r="BN269">
        <f>BH269-BL269</f>
        <v/>
      </c>
    </row>
    <row r="270">
      <c r="A270" s="39" t="n">
        <v>263</v>
      </c>
      <c r="B270" s="40">
        <f>EDATE('My Debts'!$C$6,A270-1)</f>
        <v/>
      </c>
      <c r="C270" s="41">
        <f>K270+Q270+W270+AC270+AI270+AO270+AU270+BA270+BG270+BM270</f>
        <v/>
      </c>
      <c r="D270" s="42">
        <f>I270+O270+U270+AA270+AG270+AM270+AS270+AY270+BE270+BK270+J270+P270+V270+AB270+AH270+AN270+AT270+AZ270+BF270+BL270</f>
        <v/>
      </c>
      <c r="E270" s="42">
        <f>H270+N270+T270+Z270+AF270+AL270+AR270+AX270+BD270+BJ270</f>
        <v/>
      </c>
      <c r="F270">
        <f>MAX(0,'My Debts'!$E$21-(I270+O270+U270+AA270+AG270+AM270+AS270+AY270+BE270+BK270))</f>
        <v/>
      </c>
      <c r="G270" s="42">
        <f>K269</f>
        <v/>
      </c>
      <c r="H270" s="42">
        <f>ROUND(G270*H$6/12,2)</f>
        <v/>
      </c>
      <c r="I270" s="42">
        <f>MIN(I$6,G270+H270)</f>
        <v/>
      </c>
      <c r="J270" s="42">
        <f>MAX(0,MIN(G270+H270-I270,$F270))</f>
        <v/>
      </c>
      <c r="K270" s="42">
        <f>ROUND(G270+H270-I270-J270,2)</f>
        <v/>
      </c>
      <c r="L270">
        <f>$F270-J270</f>
        <v/>
      </c>
      <c r="M270" s="42">
        <f>Q269</f>
        <v/>
      </c>
      <c r="N270" s="42">
        <f>ROUND(M270*N$6/12,2)</f>
        <v/>
      </c>
      <c r="O270" s="42">
        <f>MIN(O$6,M270+N270)</f>
        <v/>
      </c>
      <c r="P270" s="42">
        <f>MAX(0,MIN(M270+N270-O270,L270))</f>
        <v/>
      </c>
      <c r="Q270" s="42">
        <f>ROUND(M270+N270-O270-P270,2)</f>
        <v/>
      </c>
      <c r="R270">
        <f>L270-P270</f>
        <v/>
      </c>
      <c r="S270" s="42">
        <f>W269</f>
        <v/>
      </c>
      <c r="T270" s="42">
        <f>ROUND(S270*T$6/12,2)</f>
        <v/>
      </c>
      <c r="U270" s="42">
        <f>MIN(U$6,S270+T270)</f>
        <v/>
      </c>
      <c r="V270" s="42">
        <f>MAX(0,MIN(S270+T270-U270,R270))</f>
        <v/>
      </c>
      <c r="W270" s="42">
        <f>ROUND(S270+T270-U270-V270,2)</f>
        <v/>
      </c>
      <c r="X270">
        <f>R270-V270</f>
        <v/>
      </c>
      <c r="Y270" s="42">
        <f>AC269</f>
        <v/>
      </c>
      <c r="Z270" s="42">
        <f>ROUND(Y270*Z$6/12,2)</f>
        <v/>
      </c>
      <c r="AA270" s="42">
        <f>MIN(AA$6,Y270+Z270)</f>
        <v/>
      </c>
      <c r="AB270" s="42">
        <f>MAX(0,MIN(Y270+Z270-AA270,X270))</f>
        <v/>
      </c>
      <c r="AC270" s="42">
        <f>ROUND(Y270+Z270-AA270-AB270,2)</f>
        <v/>
      </c>
      <c r="AD270">
        <f>X270-AB270</f>
        <v/>
      </c>
      <c r="AE270" s="42">
        <f>AI269</f>
        <v/>
      </c>
      <c r="AF270" s="42">
        <f>ROUND(AE270*AF$6/12,2)</f>
        <v/>
      </c>
      <c r="AG270" s="42">
        <f>MIN(AG$6,AE270+AF270)</f>
        <v/>
      </c>
      <c r="AH270" s="42">
        <f>MAX(0,MIN(AE270+AF270-AG270,AD270))</f>
        <v/>
      </c>
      <c r="AI270" s="42">
        <f>ROUND(AE270+AF270-AG270-AH270,2)</f>
        <v/>
      </c>
      <c r="AJ270">
        <f>AD270-AH270</f>
        <v/>
      </c>
      <c r="AK270" s="42">
        <f>AO269</f>
        <v/>
      </c>
      <c r="AL270" s="42">
        <f>ROUND(AK270*AL$6/12,2)</f>
        <v/>
      </c>
      <c r="AM270" s="42">
        <f>MIN(AM$6,AK270+AL270)</f>
        <v/>
      </c>
      <c r="AN270" s="42">
        <f>MAX(0,MIN(AK270+AL270-AM270,AJ270))</f>
        <v/>
      </c>
      <c r="AO270" s="42">
        <f>ROUND(AK270+AL270-AM270-AN270,2)</f>
        <v/>
      </c>
      <c r="AP270">
        <f>AJ270-AN270</f>
        <v/>
      </c>
      <c r="AQ270" s="42">
        <f>AU269</f>
        <v/>
      </c>
      <c r="AR270" s="42">
        <f>ROUND(AQ270*AR$6/12,2)</f>
        <v/>
      </c>
      <c r="AS270" s="42">
        <f>MIN(AS$6,AQ270+AR270)</f>
        <v/>
      </c>
      <c r="AT270" s="42">
        <f>MAX(0,MIN(AQ270+AR270-AS270,AP270))</f>
        <v/>
      </c>
      <c r="AU270" s="42">
        <f>ROUND(AQ270+AR270-AS270-AT270,2)</f>
        <v/>
      </c>
      <c r="AV270">
        <f>AP270-AT270</f>
        <v/>
      </c>
      <c r="AW270" s="42">
        <f>BA269</f>
        <v/>
      </c>
      <c r="AX270" s="42">
        <f>ROUND(AW270*AX$6/12,2)</f>
        <v/>
      </c>
      <c r="AY270" s="42">
        <f>MIN(AY$6,AW270+AX270)</f>
        <v/>
      </c>
      <c r="AZ270" s="42">
        <f>MAX(0,MIN(AW270+AX270-AY270,AV270))</f>
        <v/>
      </c>
      <c r="BA270" s="42">
        <f>ROUND(AW270+AX270-AY270-AZ270,2)</f>
        <v/>
      </c>
      <c r="BB270">
        <f>AV270-AZ270</f>
        <v/>
      </c>
      <c r="BC270" s="42">
        <f>BG269</f>
        <v/>
      </c>
      <c r="BD270" s="42">
        <f>ROUND(BC270*BD$6/12,2)</f>
        <v/>
      </c>
      <c r="BE270" s="42">
        <f>MIN(BE$6,BC270+BD270)</f>
        <v/>
      </c>
      <c r="BF270" s="42">
        <f>MAX(0,MIN(BC270+BD270-BE270,BB270))</f>
        <v/>
      </c>
      <c r="BG270" s="42">
        <f>ROUND(BC270+BD270-BE270-BF270,2)</f>
        <v/>
      </c>
      <c r="BH270">
        <f>BB270-BF270</f>
        <v/>
      </c>
      <c r="BI270" s="42">
        <f>BM269</f>
        <v/>
      </c>
      <c r="BJ270" s="42">
        <f>ROUND(BI270*BJ$6/12,2)</f>
        <v/>
      </c>
      <c r="BK270" s="42">
        <f>MIN(BK$6,BI270+BJ270)</f>
        <v/>
      </c>
      <c r="BL270" s="42">
        <f>MAX(0,MIN(BI270+BJ270-BK270,BH270))</f>
        <v/>
      </c>
      <c r="BM270" s="42">
        <f>ROUND(BI270+BJ270-BK270-BL270,2)</f>
        <v/>
      </c>
      <c r="BN270">
        <f>BH270-BL270</f>
        <v/>
      </c>
    </row>
    <row r="271">
      <c r="A271" s="43" t="n">
        <v>264</v>
      </c>
      <c r="B271" s="44">
        <f>EDATE('My Debts'!$C$6,A271-1)</f>
        <v/>
      </c>
      <c r="C271" s="45">
        <f>K271+Q271+W271+AC271+AI271+AO271+AU271+BA271+BG271+BM271</f>
        <v/>
      </c>
      <c r="D271" s="46">
        <f>I271+O271+U271+AA271+AG271+AM271+AS271+AY271+BE271+BK271+J271+P271+V271+AB271+AH271+AN271+AT271+AZ271+BF271+BL271</f>
        <v/>
      </c>
      <c r="E271" s="46">
        <f>H271+N271+T271+Z271+AF271+AL271+AR271+AX271+BD271+BJ271</f>
        <v/>
      </c>
      <c r="F271">
        <f>MAX(0,'My Debts'!$E$21-(I271+O271+U271+AA271+AG271+AM271+AS271+AY271+BE271+BK271))</f>
        <v/>
      </c>
      <c r="G271" s="42">
        <f>K270</f>
        <v/>
      </c>
      <c r="H271" s="42">
        <f>ROUND(G271*H$6/12,2)</f>
        <v/>
      </c>
      <c r="I271" s="42">
        <f>MIN(I$6,G271+H271)</f>
        <v/>
      </c>
      <c r="J271" s="42">
        <f>MAX(0,MIN(G271+H271-I271,$F271))</f>
        <v/>
      </c>
      <c r="K271" s="42">
        <f>ROUND(G271+H271-I271-J271,2)</f>
        <v/>
      </c>
      <c r="L271">
        <f>$F271-J271</f>
        <v/>
      </c>
      <c r="M271" s="42">
        <f>Q270</f>
        <v/>
      </c>
      <c r="N271" s="42">
        <f>ROUND(M271*N$6/12,2)</f>
        <v/>
      </c>
      <c r="O271" s="42">
        <f>MIN(O$6,M271+N271)</f>
        <v/>
      </c>
      <c r="P271" s="42">
        <f>MAX(0,MIN(M271+N271-O271,L271))</f>
        <v/>
      </c>
      <c r="Q271" s="42">
        <f>ROUND(M271+N271-O271-P271,2)</f>
        <v/>
      </c>
      <c r="R271">
        <f>L271-P271</f>
        <v/>
      </c>
      <c r="S271" s="42">
        <f>W270</f>
        <v/>
      </c>
      <c r="T271" s="42">
        <f>ROUND(S271*T$6/12,2)</f>
        <v/>
      </c>
      <c r="U271" s="42">
        <f>MIN(U$6,S271+T271)</f>
        <v/>
      </c>
      <c r="V271" s="42">
        <f>MAX(0,MIN(S271+T271-U271,R271))</f>
        <v/>
      </c>
      <c r="W271" s="42">
        <f>ROUND(S271+T271-U271-V271,2)</f>
        <v/>
      </c>
      <c r="X271">
        <f>R271-V271</f>
        <v/>
      </c>
      <c r="Y271" s="42">
        <f>AC270</f>
        <v/>
      </c>
      <c r="Z271" s="42">
        <f>ROUND(Y271*Z$6/12,2)</f>
        <v/>
      </c>
      <c r="AA271" s="42">
        <f>MIN(AA$6,Y271+Z271)</f>
        <v/>
      </c>
      <c r="AB271" s="42">
        <f>MAX(0,MIN(Y271+Z271-AA271,X271))</f>
        <v/>
      </c>
      <c r="AC271" s="42">
        <f>ROUND(Y271+Z271-AA271-AB271,2)</f>
        <v/>
      </c>
      <c r="AD271">
        <f>X271-AB271</f>
        <v/>
      </c>
      <c r="AE271" s="42">
        <f>AI270</f>
        <v/>
      </c>
      <c r="AF271" s="42">
        <f>ROUND(AE271*AF$6/12,2)</f>
        <v/>
      </c>
      <c r="AG271" s="42">
        <f>MIN(AG$6,AE271+AF271)</f>
        <v/>
      </c>
      <c r="AH271" s="42">
        <f>MAX(0,MIN(AE271+AF271-AG271,AD271))</f>
        <v/>
      </c>
      <c r="AI271" s="42">
        <f>ROUND(AE271+AF271-AG271-AH271,2)</f>
        <v/>
      </c>
      <c r="AJ271">
        <f>AD271-AH271</f>
        <v/>
      </c>
      <c r="AK271" s="42">
        <f>AO270</f>
        <v/>
      </c>
      <c r="AL271" s="42">
        <f>ROUND(AK271*AL$6/12,2)</f>
        <v/>
      </c>
      <c r="AM271" s="42">
        <f>MIN(AM$6,AK271+AL271)</f>
        <v/>
      </c>
      <c r="AN271" s="42">
        <f>MAX(0,MIN(AK271+AL271-AM271,AJ271))</f>
        <v/>
      </c>
      <c r="AO271" s="42">
        <f>ROUND(AK271+AL271-AM271-AN271,2)</f>
        <v/>
      </c>
      <c r="AP271">
        <f>AJ271-AN271</f>
        <v/>
      </c>
      <c r="AQ271" s="42">
        <f>AU270</f>
        <v/>
      </c>
      <c r="AR271" s="42">
        <f>ROUND(AQ271*AR$6/12,2)</f>
        <v/>
      </c>
      <c r="AS271" s="42">
        <f>MIN(AS$6,AQ271+AR271)</f>
        <v/>
      </c>
      <c r="AT271" s="42">
        <f>MAX(0,MIN(AQ271+AR271-AS271,AP271))</f>
        <v/>
      </c>
      <c r="AU271" s="42">
        <f>ROUND(AQ271+AR271-AS271-AT271,2)</f>
        <v/>
      </c>
      <c r="AV271">
        <f>AP271-AT271</f>
        <v/>
      </c>
      <c r="AW271" s="42">
        <f>BA270</f>
        <v/>
      </c>
      <c r="AX271" s="42">
        <f>ROUND(AW271*AX$6/12,2)</f>
        <v/>
      </c>
      <c r="AY271" s="42">
        <f>MIN(AY$6,AW271+AX271)</f>
        <v/>
      </c>
      <c r="AZ271" s="42">
        <f>MAX(0,MIN(AW271+AX271-AY271,AV271))</f>
        <v/>
      </c>
      <c r="BA271" s="42">
        <f>ROUND(AW271+AX271-AY271-AZ271,2)</f>
        <v/>
      </c>
      <c r="BB271">
        <f>AV271-AZ271</f>
        <v/>
      </c>
      <c r="BC271" s="42">
        <f>BG270</f>
        <v/>
      </c>
      <c r="BD271" s="42">
        <f>ROUND(BC271*BD$6/12,2)</f>
        <v/>
      </c>
      <c r="BE271" s="42">
        <f>MIN(BE$6,BC271+BD271)</f>
        <v/>
      </c>
      <c r="BF271" s="42">
        <f>MAX(0,MIN(BC271+BD271-BE271,BB271))</f>
        <v/>
      </c>
      <c r="BG271" s="42">
        <f>ROUND(BC271+BD271-BE271-BF271,2)</f>
        <v/>
      </c>
      <c r="BH271">
        <f>BB271-BF271</f>
        <v/>
      </c>
      <c r="BI271" s="42">
        <f>BM270</f>
        <v/>
      </c>
      <c r="BJ271" s="42">
        <f>ROUND(BI271*BJ$6/12,2)</f>
        <v/>
      </c>
      <c r="BK271" s="42">
        <f>MIN(BK$6,BI271+BJ271)</f>
        <v/>
      </c>
      <c r="BL271" s="42">
        <f>MAX(0,MIN(BI271+BJ271-BK271,BH271))</f>
        <v/>
      </c>
      <c r="BM271" s="42">
        <f>ROUND(BI271+BJ271-BK271-BL271,2)</f>
        <v/>
      </c>
      <c r="BN271">
        <f>BH271-BL271</f>
        <v/>
      </c>
    </row>
    <row r="272">
      <c r="A272" s="39" t="n">
        <v>265</v>
      </c>
      <c r="B272" s="40">
        <f>EDATE('My Debts'!$C$6,A272-1)</f>
        <v/>
      </c>
      <c r="C272" s="41">
        <f>K272+Q272+W272+AC272+AI272+AO272+AU272+BA272+BG272+BM272</f>
        <v/>
      </c>
      <c r="D272" s="42">
        <f>I272+O272+U272+AA272+AG272+AM272+AS272+AY272+BE272+BK272+J272+P272+V272+AB272+AH272+AN272+AT272+AZ272+BF272+BL272</f>
        <v/>
      </c>
      <c r="E272" s="42">
        <f>H272+N272+T272+Z272+AF272+AL272+AR272+AX272+BD272+BJ272</f>
        <v/>
      </c>
      <c r="F272">
        <f>MAX(0,'My Debts'!$E$21-(I272+O272+U272+AA272+AG272+AM272+AS272+AY272+BE272+BK272))</f>
        <v/>
      </c>
      <c r="G272" s="42">
        <f>K271</f>
        <v/>
      </c>
      <c r="H272" s="42">
        <f>ROUND(G272*H$6/12,2)</f>
        <v/>
      </c>
      <c r="I272" s="42">
        <f>MIN(I$6,G272+H272)</f>
        <v/>
      </c>
      <c r="J272" s="42">
        <f>MAX(0,MIN(G272+H272-I272,$F272))</f>
        <v/>
      </c>
      <c r="K272" s="42">
        <f>ROUND(G272+H272-I272-J272,2)</f>
        <v/>
      </c>
      <c r="L272">
        <f>$F272-J272</f>
        <v/>
      </c>
      <c r="M272" s="42">
        <f>Q271</f>
        <v/>
      </c>
      <c r="N272" s="42">
        <f>ROUND(M272*N$6/12,2)</f>
        <v/>
      </c>
      <c r="O272" s="42">
        <f>MIN(O$6,M272+N272)</f>
        <v/>
      </c>
      <c r="P272" s="42">
        <f>MAX(0,MIN(M272+N272-O272,L272))</f>
        <v/>
      </c>
      <c r="Q272" s="42">
        <f>ROUND(M272+N272-O272-P272,2)</f>
        <v/>
      </c>
      <c r="R272">
        <f>L272-P272</f>
        <v/>
      </c>
      <c r="S272" s="42">
        <f>W271</f>
        <v/>
      </c>
      <c r="T272" s="42">
        <f>ROUND(S272*T$6/12,2)</f>
        <v/>
      </c>
      <c r="U272" s="42">
        <f>MIN(U$6,S272+T272)</f>
        <v/>
      </c>
      <c r="V272" s="42">
        <f>MAX(0,MIN(S272+T272-U272,R272))</f>
        <v/>
      </c>
      <c r="W272" s="42">
        <f>ROUND(S272+T272-U272-V272,2)</f>
        <v/>
      </c>
      <c r="X272">
        <f>R272-V272</f>
        <v/>
      </c>
      <c r="Y272" s="42">
        <f>AC271</f>
        <v/>
      </c>
      <c r="Z272" s="42">
        <f>ROUND(Y272*Z$6/12,2)</f>
        <v/>
      </c>
      <c r="AA272" s="42">
        <f>MIN(AA$6,Y272+Z272)</f>
        <v/>
      </c>
      <c r="AB272" s="42">
        <f>MAX(0,MIN(Y272+Z272-AA272,X272))</f>
        <v/>
      </c>
      <c r="AC272" s="42">
        <f>ROUND(Y272+Z272-AA272-AB272,2)</f>
        <v/>
      </c>
      <c r="AD272">
        <f>X272-AB272</f>
        <v/>
      </c>
      <c r="AE272" s="42">
        <f>AI271</f>
        <v/>
      </c>
      <c r="AF272" s="42">
        <f>ROUND(AE272*AF$6/12,2)</f>
        <v/>
      </c>
      <c r="AG272" s="42">
        <f>MIN(AG$6,AE272+AF272)</f>
        <v/>
      </c>
      <c r="AH272" s="42">
        <f>MAX(0,MIN(AE272+AF272-AG272,AD272))</f>
        <v/>
      </c>
      <c r="AI272" s="42">
        <f>ROUND(AE272+AF272-AG272-AH272,2)</f>
        <v/>
      </c>
      <c r="AJ272">
        <f>AD272-AH272</f>
        <v/>
      </c>
      <c r="AK272" s="42">
        <f>AO271</f>
        <v/>
      </c>
      <c r="AL272" s="42">
        <f>ROUND(AK272*AL$6/12,2)</f>
        <v/>
      </c>
      <c r="AM272" s="42">
        <f>MIN(AM$6,AK272+AL272)</f>
        <v/>
      </c>
      <c r="AN272" s="42">
        <f>MAX(0,MIN(AK272+AL272-AM272,AJ272))</f>
        <v/>
      </c>
      <c r="AO272" s="42">
        <f>ROUND(AK272+AL272-AM272-AN272,2)</f>
        <v/>
      </c>
      <c r="AP272">
        <f>AJ272-AN272</f>
        <v/>
      </c>
      <c r="AQ272" s="42">
        <f>AU271</f>
        <v/>
      </c>
      <c r="AR272" s="42">
        <f>ROUND(AQ272*AR$6/12,2)</f>
        <v/>
      </c>
      <c r="AS272" s="42">
        <f>MIN(AS$6,AQ272+AR272)</f>
        <v/>
      </c>
      <c r="AT272" s="42">
        <f>MAX(0,MIN(AQ272+AR272-AS272,AP272))</f>
        <v/>
      </c>
      <c r="AU272" s="42">
        <f>ROUND(AQ272+AR272-AS272-AT272,2)</f>
        <v/>
      </c>
      <c r="AV272">
        <f>AP272-AT272</f>
        <v/>
      </c>
      <c r="AW272" s="42">
        <f>BA271</f>
        <v/>
      </c>
      <c r="AX272" s="42">
        <f>ROUND(AW272*AX$6/12,2)</f>
        <v/>
      </c>
      <c r="AY272" s="42">
        <f>MIN(AY$6,AW272+AX272)</f>
        <v/>
      </c>
      <c r="AZ272" s="42">
        <f>MAX(0,MIN(AW272+AX272-AY272,AV272))</f>
        <v/>
      </c>
      <c r="BA272" s="42">
        <f>ROUND(AW272+AX272-AY272-AZ272,2)</f>
        <v/>
      </c>
      <c r="BB272">
        <f>AV272-AZ272</f>
        <v/>
      </c>
      <c r="BC272" s="42">
        <f>BG271</f>
        <v/>
      </c>
      <c r="BD272" s="42">
        <f>ROUND(BC272*BD$6/12,2)</f>
        <v/>
      </c>
      <c r="BE272" s="42">
        <f>MIN(BE$6,BC272+BD272)</f>
        <v/>
      </c>
      <c r="BF272" s="42">
        <f>MAX(0,MIN(BC272+BD272-BE272,BB272))</f>
        <v/>
      </c>
      <c r="BG272" s="42">
        <f>ROUND(BC272+BD272-BE272-BF272,2)</f>
        <v/>
      </c>
      <c r="BH272">
        <f>BB272-BF272</f>
        <v/>
      </c>
      <c r="BI272" s="42">
        <f>BM271</f>
        <v/>
      </c>
      <c r="BJ272" s="42">
        <f>ROUND(BI272*BJ$6/12,2)</f>
        <v/>
      </c>
      <c r="BK272" s="42">
        <f>MIN(BK$6,BI272+BJ272)</f>
        <v/>
      </c>
      <c r="BL272" s="42">
        <f>MAX(0,MIN(BI272+BJ272-BK272,BH272))</f>
        <v/>
      </c>
      <c r="BM272" s="42">
        <f>ROUND(BI272+BJ272-BK272-BL272,2)</f>
        <v/>
      </c>
      <c r="BN272">
        <f>BH272-BL272</f>
        <v/>
      </c>
    </row>
    <row r="273">
      <c r="A273" s="43" t="n">
        <v>266</v>
      </c>
      <c r="B273" s="44">
        <f>EDATE('My Debts'!$C$6,A273-1)</f>
        <v/>
      </c>
      <c r="C273" s="45">
        <f>K273+Q273+W273+AC273+AI273+AO273+AU273+BA273+BG273+BM273</f>
        <v/>
      </c>
      <c r="D273" s="46">
        <f>I273+O273+U273+AA273+AG273+AM273+AS273+AY273+BE273+BK273+J273+P273+V273+AB273+AH273+AN273+AT273+AZ273+BF273+BL273</f>
        <v/>
      </c>
      <c r="E273" s="46">
        <f>H273+N273+T273+Z273+AF273+AL273+AR273+AX273+BD273+BJ273</f>
        <v/>
      </c>
      <c r="F273">
        <f>MAX(0,'My Debts'!$E$21-(I273+O273+U273+AA273+AG273+AM273+AS273+AY273+BE273+BK273))</f>
        <v/>
      </c>
      <c r="G273" s="42">
        <f>K272</f>
        <v/>
      </c>
      <c r="H273" s="42">
        <f>ROUND(G273*H$6/12,2)</f>
        <v/>
      </c>
      <c r="I273" s="42">
        <f>MIN(I$6,G273+H273)</f>
        <v/>
      </c>
      <c r="J273" s="42">
        <f>MAX(0,MIN(G273+H273-I273,$F273))</f>
        <v/>
      </c>
      <c r="K273" s="42">
        <f>ROUND(G273+H273-I273-J273,2)</f>
        <v/>
      </c>
      <c r="L273">
        <f>$F273-J273</f>
        <v/>
      </c>
      <c r="M273" s="42">
        <f>Q272</f>
        <v/>
      </c>
      <c r="N273" s="42">
        <f>ROUND(M273*N$6/12,2)</f>
        <v/>
      </c>
      <c r="O273" s="42">
        <f>MIN(O$6,M273+N273)</f>
        <v/>
      </c>
      <c r="P273" s="42">
        <f>MAX(0,MIN(M273+N273-O273,L273))</f>
        <v/>
      </c>
      <c r="Q273" s="42">
        <f>ROUND(M273+N273-O273-P273,2)</f>
        <v/>
      </c>
      <c r="R273">
        <f>L273-P273</f>
        <v/>
      </c>
      <c r="S273" s="42">
        <f>W272</f>
        <v/>
      </c>
      <c r="T273" s="42">
        <f>ROUND(S273*T$6/12,2)</f>
        <v/>
      </c>
      <c r="U273" s="42">
        <f>MIN(U$6,S273+T273)</f>
        <v/>
      </c>
      <c r="V273" s="42">
        <f>MAX(0,MIN(S273+T273-U273,R273))</f>
        <v/>
      </c>
      <c r="W273" s="42">
        <f>ROUND(S273+T273-U273-V273,2)</f>
        <v/>
      </c>
      <c r="X273">
        <f>R273-V273</f>
        <v/>
      </c>
      <c r="Y273" s="42">
        <f>AC272</f>
        <v/>
      </c>
      <c r="Z273" s="42">
        <f>ROUND(Y273*Z$6/12,2)</f>
        <v/>
      </c>
      <c r="AA273" s="42">
        <f>MIN(AA$6,Y273+Z273)</f>
        <v/>
      </c>
      <c r="AB273" s="42">
        <f>MAX(0,MIN(Y273+Z273-AA273,X273))</f>
        <v/>
      </c>
      <c r="AC273" s="42">
        <f>ROUND(Y273+Z273-AA273-AB273,2)</f>
        <v/>
      </c>
      <c r="AD273">
        <f>X273-AB273</f>
        <v/>
      </c>
      <c r="AE273" s="42">
        <f>AI272</f>
        <v/>
      </c>
      <c r="AF273" s="42">
        <f>ROUND(AE273*AF$6/12,2)</f>
        <v/>
      </c>
      <c r="AG273" s="42">
        <f>MIN(AG$6,AE273+AF273)</f>
        <v/>
      </c>
      <c r="AH273" s="42">
        <f>MAX(0,MIN(AE273+AF273-AG273,AD273))</f>
        <v/>
      </c>
      <c r="AI273" s="42">
        <f>ROUND(AE273+AF273-AG273-AH273,2)</f>
        <v/>
      </c>
      <c r="AJ273">
        <f>AD273-AH273</f>
        <v/>
      </c>
      <c r="AK273" s="42">
        <f>AO272</f>
        <v/>
      </c>
      <c r="AL273" s="42">
        <f>ROUND(AK273*AL$6/12,2)</f>
        <v/>
      </c>
      <c r="AM273" s="42">
        <f>MIN(AM$6,AK273+AL273)</f>
        <v/>
      </c>
      <c r="AN273" s="42">
        <f>MAX(0,MIN(AK273+AL273-AM273,AJ273))</f>
        <v/>
      </c>
      <c r="AO273" s="42">
        <f>ROUND(AK273+AL273-AM273-AN273,2)</f>
        <v/>
      </c>
      <c r="AP273">
        <f>AJ273-AN273</f>
        <v/>
      </c>
      <c r="AQ273" s="42">
        <f>AU272</f>
        <v/>
      </c>
      <c r="AR273" s="42">
        <f>ROUND(AQ273*AR$6/12,2)</f>
        <v/>
      </c>
      <c r="AS273" s="42">
        <f>MIN(AS$6,AQ273+AR273)</f>
        <v/>
      </c>
      <c r="AT273" s="42">
        <f>MAX(0,MIN(AQ273+AR273-AS273,AP273))</f>
        <v/>
      </c>
      <c r="AU273" s="42">
        <f>ROUND(AQ273+AR273-AS273-AT273,2)</f>
        <v/>
      </c>
      <c r="AV273">
        <f>AP273-AT273</f>
        <v/>
      </c>
      <c r="AW273" s="42">
        <f>BA272</f>
        <v/>
      </c>
      <c r="AX273" s="42">
        <f>ROUND(AW273*AX$6/12,2)</f>
        <v/>
      </c>
      <c r="AY273" s="42">
        <f>MIN(AY$6,AW273+AX273)</f>
        <v/>
      </c>
      <c r="AZ273" s="42">
        <f>MAX(0,MIN(AW273+AX273-AY273,AV273))</f>
        <v/>
      </c>
      <c r="BA273" s="42">
        <f>ROUND(AW273+AX273-AY273-AZ273,2)</f>
        <v/>
      </c>
      <c r="BB273">
        <f>AV273-AZ273</f>
        <v/>
      </c>
      <c r="BC273" s="42">
        <f>BG272</f>
        <v/>
      </c>
      <c r="BD273" s="42">
        <f>ROUND(BC273*BD$6/12,2)</f>
        <v/>
      </c>
      <c r="BE273" s="42">
        <f>MIN(BE$6,BC273+BD273)</f>
        <v/>
      </c>
      <c r="BF273" s="42">
        <f>MAX(0,MIN(BC273+BD273-BE273,BB273))</f>
        <v/>
      </c>
      <c r="BG273" s="42">
        <f>ROUND(BC273+BD273-BE273-BF273,2)</f>
        <v/>
      </c>
      <c r="BH273">
        <f>BB273-BF273</f>
        <v/>
      </c>
      <c r="BI273" s="42">
        <f>BM272</f>
        <v/>
      </c>
      <c r="BJ273" s="42">
        <f>ROUND(BI273*BJ$6/12,2)</f>
        <v/>
      </c>
      <c r="BK273" s="42">
        <f>MIN(BK$6,BI273+BJ273)</f>
        <v/>
      </c>
      <c r="BL273" s="42">
        <f>MAX(0,MIN(BI273+BJ273-BK273,BH273))</f>
        <v/>
      </c>
      <c r="BM273" s="42">
        <f>ROUND(BI273+BJ273-BK273-BL273,2)</f>
        <v/>
      </c>
      <c r="BN273">
        <f>BH273-BL273</f>
        <v/>
      </c>
    </row>
    <row r="274">
      <c r="A274" s="39" t="n">
        <v>267</v>
      </c>
      <c r="B274" s="40">
        <f>EDATE('My Debts'!$C$6,A274-1)</f>
        <v/>
      </c>
      <c r="C274" s="41">
        <f>K274+Q274+W274+AC274+AI274+AO274+AU274+BA274+BG274+BM274</f>
        <v/>
      </c>
      <c r="D274" s="42">
        <f>I274+O274+U274+AA274+AG274+AM274+AS274+AY274+BE274+BK274+J274+P274+V274+AB274+AH274+AN274+AT274+AZ274+BF274+BL274</f>
        <v/>
      </c>
      <c r="E274" s="42">
        <f>H274+N274+T274+Z274+AF274+AL274+AR274+AX274+BD274+BJ274</f>
        <v/>
      </c>
      <c r="F274">
        <f>MAX(0,'My Debts'!$E$21-(I274+O274+U274+AA274+AG274+AM274+AS274+AY274+BE274+BK274))</f>
        <v/>
      </c>
      <c r="G274" s="42">
        <f>K273</f>
        <v/>
      </c>
      <c r="H274" s="42">
        <f>ROUND(G274*H$6/12,2)</f>
        <v/>
      </c>
      <c r="I274" s="42">
        <f>MIN(I$6,G274+H274)</f>
        <v/>
      </c>
      <c r="J274" s="42">
        <f>MAX(0,MIN(G274+H274-I274,$F274))</f>
        <v/>
      </c>
      <c r="K274" s="42">
        <f>ROUND(G274+H274-I274-J274,2)</f>
        <v/>
      </c>
      <c r="L274">
        <f>$F274-J274</f>
        <v/>
      </c>
      <c r="M274" s="42">
        <f>Q273</f>
        <v/>
      </c>
      <c r="N274" s="42">
        <f>ROUND(M274*N$6/12,2)</f>
        <v/>
      </c>
      <c r="O274" s="42">
        <f>MIN(O$6,M274+N274)</f>
        <v/>
      </c>
      <c r="P274" s="42">
        <f>MAX(0,MIN(M274+N274-O274,L274))</f>
        <v/>
      </c>
      <c r="Q274" s="42">
        <f>ROUND(M274+N274-O274-P274,2)</f>
        <v/>
      </c>
      <c r="R274">
        <f>L274-P274</f>
        <v/>
      </c>
      <c r="S274" s="42">
        <f>W273</f>
        <v/>
      </c>
      <c r="T274" s="42">
        <f>ROUND(S274*T$6/12,2)</f>
        <v/>
      </c>
      <c r="U274" s="42">
        <f>MIN(U$6,S274+T274)</f>
        <v/>
      </c>
      <c r="V274" s="42">
        <f>MAX(0,MIN(S274+T274-U274,R274))</f>
        <v/>
      </c>
      <c r="W274" s="42">
        <f>ROUND(S274+T274-U274-V274,2)</f>
        <v/>
      </c>
      <c r="X274">
        <f>R274-V274</f>
        <v/>
      </c>
      <c r="Y274" s="42">
        <f>AC273</f>
        <v/>
      </c>
      <c r="Z274" s="42">
        <f>ROUND(Y274*Z$6/12,2)</f>
        <v/>
      </c>
      <c r="AA274" s="42">
        <f>MIN(AA$6,Y274+Z274)</f>
        <v/>
      </c>
      <c r="AB274" s="42">
        <f>MAX(0,MIN(Y274+Z274-AA274,X274))</f>
        <v/>
      </c>
      <c r="AC274" s="42">
        <f>ROUND(Y274+Z274-AA274-AB274,2)</f>
        <v/>
      </c>
      <c r="AD274">
        <f>X274-AB274</f>
        <v/>
      </c>
      <c r="AE274" s="42">
        <f>AI273</f>
        <v/>
      </c>
      <c r="AF274" s="42">
        <f>ROUND(AE274*AF$6/12,2)</f>
        <v/>
      </c>
      <c r="AG274" s="42">
        <f>MIN(AG$6,AE274+AF274)</f>
        <v/>
      </c>
      <c r="AH274" s="42">
        <f>MAX(0,MIN(AE274+AF274-AG274,AD274))</f>
        <v/>
      </c>
      <c r="AI274" s="42">
        <f>ROUND(AE274+AF274-AG274-AH274,2)</f>
        <v/>
      </c>
      <c r="AJ274">
        <f>AD274-AH274</f>
        <v/>
      </c>
      <c r="AK274" s="42">
        <f>AO273</f>
        <v/>
      </c>
      <c r="AL274" s="42">
        <f>ROUND(AK274*AL$6/12,2)</f>
        <v/>
      </c>
      <c r="AM274" s="42">
        <f>MIN(AM$6,AK274+AL274)</f>
        <v/>
      </c>
      <c r="AN274" s="42">
        <f>MAX(0,MIN(AK274+AL274-AM274,AJ274))</f>
        <v/>
      </c>
      <c r="AO274" s="42">
        <f>ROUND(AK274+AL274-AM274-AN274,2)</f>
        <v/>
      </c>
      <c r="AP274">
        <f>AJ274-AN274</f>
        <v/>
      </c>
      <c r="AQ274" s="42">
        <f>AU273</f>
        <v/>
      </c>
      <c r="AR274" s="42">
        <f>ROUND(AQ274*AR$6/12,2)</f>
        <v/>
      </c>
      <c r="AS274" s="42">
        <f>MIN(AS$6,AQ274+AR274)</f>
        <v/>
      </c>
      <c r="AT274" s="42">
        <f>MAX(0,MIN(AQ274+AR274-AS274,AP274))</f>
        <v/>
      </c>
      <c r="AU274" s="42">
        <f>ROUND(AQ274+AR274-AS274-AT274,2)</f>
        <v/>
      </c>
      <c r="AV274">
        <f>AP274-AT274</f>
        <v/>
      </c>
      <c r="AW274" s="42">
        <f>BA273</f>
        <v/>
      </c>
      <c r="AX274" s="42">
        <f>ROUND(AW274*AX$6/12,2)</f>
        <v/>
      </c>
      <c r="AY274" s="42">
        <f>MIN(AY$6,AW274+AX274)</f>
        <v/>
      </c>
      <c r="AZ274" s="42">
        <f>MAX(0,MIN(AW274+AX274-AY274,AV274))</f>
        <v/>
      </c>
      <c r="BA274" s="42">
        <f>ROUND(AW274+AX274-AY274-AZ274,2)</f>
        <v/>
      </c>
      <c r="BB274">
        <f>AV274-AZ274</f>
        <v/>
      </c>
      <c r="BC274" s="42">
        <f>BG273</f>
        <v/>
      </c>
      <c r="BD274" s="42">
        <f>ROUND(BC274*BD$6/12,2)</f>
        <v/>
      </c>
      <c r="BE274" s="42">
        <f>MIN(BE$6,BC274+BD274)</f>
        <v/>
      </c>
      <c r="BF274" s="42">
        <f>MAX(0,MIN(BC274+BD274-BE274,BB274))</f>
        <v/>
      </c>
      <c r="BG274" s="42">
        <f>ROUND(BC274+BD274-BE274-BF274,2)</f>
        <v/>
      </c>
      <c r="BH274">
        <f>BB274-BF274</f>
        <v/>
      </c>
      <c r="BI274" s="42">
        <f>BM273</f>
        <v/>
      </c>
      <c r="BJ274" s="42">
        <f>ROUND(BI274*BJ$6/12,2)</f>
        <v/>
      </c>
      <c r="BK274" s="42">
        <f>MIN(BK$6,BI274+BJ274)</f>
        <v/>
      </c>
      <c r="BL274" s="42">
        <f>MAX(0,MIN(BI274+BJ274-BK274,BH274))</f>
        <v/>
      </c>
      <c r="BM274" s="42">
        <f>ROUND(BI274+BJ274-BK274-BL274,2)</f>
        <v/>
      </c>
      <c r="BN274">
        <f>BH274-BL274</f>
        <v/>
      </c>
    </row>
    <row r="275">
      <c r="A275" s="43" t="n">
        <v>268</v>
      </c>
      <c r="B275" s="44">
        <f>EDATE('My Debts'!$C$6,A275-1)</f>
        <v/>
      </c>
      <c r="C275" s="45">
        <f>K275+Q275+W275+AC275+AI275+AO275+AU275+BA275+BG275+BM275</f>
        <v/>
      </c>
      <c r="D275" s="46">
        <f>I275+O275+U275+AA275+AG275+AM275+AS275+AY275+BE275+BK275+J275+P275+V275+AB275+AH275+AN275+AT275+AZ275+BF275+BL275</f>
        <v/>
      </c>
      <c r="E275" s="46">
        <f>H275+N275+T275+Z275+AF275+AL275+AR275+AX275+BD275+BJ275</f>
        <v/>
      </c>
      <c r="F275">
        <f>MAX(0,'My Debts'!$E$21-(I275+O275+U275+AA275+AG275+AM275+AS275+AY275+BE275+BK275))</f>
        <v/>
      </c>
      <c r="G275" s="42">
        <f>K274</f>
        <v/>
      </c>
      <c r="H275" s="42">
        <f>ROUND(G275*H$6/12,2)</f>
        <v/>
      </c>
      <c r="I275" s="42">
        <f>MIN(I$6,G275+H275)</f>
        <v/>
      </c>
      <c r="J275" s="42">
        <f>MAX(0,MIN(G275+H275-I275,$F275))</f>
        <v/>
      </c>
      <c r="K275" s="42">
        <f>ROUND(G275+H275-I275-J275,2)</f>
        <v/>
      </c>
      <c r="L275">
        <f>$F275-J275</f>
        <v/>
      </c>
      <c r="M275" s="42">
        <f>Q274</f>
        <v/>
      </c>
      <c r="N275" s="42">
        <f>ROUND(M275*N$6/12,2)</f>
        <v/>
      </c>
      <c r="O275" s="42">
        <f>MIN(O$6,M275+N275)</f>
        <v/>
      </c>
      <c r="P275" s="42">
        <f>MAX(0,MIN(M275+N275-O275,L275))</f>
        <v/>
      </c>
      <c r="Q275" s="42">
        <f>ROUND(M275+N275-O275-P275,2)</f>
        <v/>
      </c>
      <c r="R275">
        <f>L275-P275</f>
        <v/>
      </c>
      <c r="S275" s="42">
        <f>W274</f>
        <v/>
      </c>
      <c r="T275" s="42">
        <f>ROUND(S275*T$6/12,2)</f>
        <v/>
      </c>
      <c r="U275" s="42">
        <f>MIN(U$6,S275+T275)</f>
        <v/>
      </c>
      <c r="V275" s="42">
        <f>MAX(0,MIN(S275+T275-U275,R275))</f>
        <v/>
      </c>
      <c r="W275" s="42">
        <f>ROUND(S275+T275-U275-V275,2)</f>
        <v/>
      </c>
      <c r="X275">
        <f>R275-V275</f>
        <v/>
      </c>
      <c r="Y275" s="42">
        <f>AC274</f>
        <v/>
      </c>
      <c r="Z275" s="42">
        <f>ROUND(Y275*Z$6/12,2)</f>
        <v/>
      </c>
      <c r="AA275" s="42">
        <f>MIN(AA$6,Y275+Z275)</f>
        <v/>
      </c>
      <c r="AB275" s="42">
        <f>MAX(0,MIN(Y275+Z275-AA275,X275))</f>
        <v/>
      </c>
      <c r="AC275" s="42">
        <f>ROUND(Y275+Z275-AA275-AB275,2)</f>
        <v/>
      </c>
      <c r="AD275">
        <f>X275-AB275</f>
        <v/>
      </c>
      <c r="AE275" s="42">
        <f>AI274</f>
        <v/>
      </c>
      <c r="AF275" s="42">
        <f>ROUND(AE275*AF$6/12,2)</f>
        <v/>
      </c>
      <c r="AG275" s="42">
        <f>MIN(AG$6,AE275+AF275)</f>
        <v/>
      </c>
      <c r="AH275" s="42">
        <f>MAX(0,MIN(AE275+AF275-AG275,AD275))</f>
        <v/>
      </c>
      <c r="AI275" s="42">
        <f>ROUND(AE275+AF275-AG275-AH275,2)</f>
        <v/>
      </c>
      <c r="AJ275">
        <f>AD275-AH275</f>
        <v/>
      </c>
      <c r="AK275" s="42">
        <f>AO274</f>
        <v/>
      </c>
      <c r="AL275" s="42">
        <f>ROUND(AK275*AL$6/12,2)</f>
        <v/>
      </c>
      <c r="AM275" s="42">
        <f>MIN(AM$6,AK275+AL275)</f>
        <v/>
      </c>
      <c r="AN275" s="42">
        <f>MAX(0,MIN(AK275+AL275-AM275,AJ275))</f>
        <v/>
      </c>
      <c r="AO275" s="42">
        <f>ROUND(AK275+AL275-AM275-AN275,2)</f>
        <v/>
      </c>
      <c r="AP275">
        <f>AJ275-AN275</f>
        <v/>
      </c>
      <c r="AQ275" s="42">
        <f>AU274</f>
        <v/>
      </c>
      <c r="AR275" s="42">
        <f>ROUND(AQ275*AR$6/12,2)</f>
        <v/>
      </c>
      <c r="AS275" s="42">
        <f>MIN(AS$6,AQ275+AR275)</f>
        <v/>
      </c>
      <c r="AT275" s="42">
        <f>MAX(0,MIN(AQ275+AR275-AS275,AP275))</f>
        <v/>
      </c>
      <c r="AU275" s="42">
        <f>ROUND(AQ275+AR275-AS275-AT275,2)</f>
        <v/>
      </c>
      <c r="AV275">
        <f>AP275-AT275</f>
        <v/>
      </c>
      <c r="AW275" s="42">
        <f>BA274</f>
        <v/>
      </c>
      <c r="AX275" s="42">
        <f>ROUND(AW275*AX$6/12,2)</f>
        <v/>
      </c>
      <c r="AY275" s="42">
        <f>MIN(AY$6,AW275+AX275)</f>
        <v/>
      </c>
      <c r="AZ275" s="42">
        <f>MAX(0,MIN(AW275+AX275-AY275,AV275))</f>
        <v/>
      </c>
      <c r="BA275" s="42">
        <f>ROUND(AW275+AX275-AY275-AZ275,2)</f>
        <v/>
      </c>
      <c r="BB275">
        <f>AV275-AZ275</f>
        <v/>
      </c>
      <c r="BC275" s="42">
        <f>BG274</f>
        <v/>
      </c>
      <c r="BD275" s="42">
        <f>ROUND(BC275*BD$6/12,2)</f>
        <v/>
      </c>
      <c r="BE275" s="42">
        <f>MIN(BE$6,BC275+BD275)</f>
        <v/>
      </c>
      <c r="BF275" s="42">
        <f>MAX(0,MIN(BC275+BD275-BE275,BB275))</f>
        <v/>
      </c>
      <c r="BG275" s="42">
        <f>ROUND(BC275+BD275-BE275-BF275,2)</f>
        <v/>
      </c>
      <c r="BH275">
        <f>BB275-BF275</f>
        <v/>
      </c>
      <c r="BI275" s="42">
        <f>BM274</f>
        <v/>
      </c>
      <c r="BJ275" s="42">
        <f>ROUND(BI275*BJ$6/12,2)</f>
        <v/>
      </c>
      <c r="BK275" s="42">
        <f>MIN(BK$6,BI275+BJ275)</f>
        <v/>
      </c>
      <c r="BL275" s="42">
        <f>MAX(0,MIN(BI275+BJ275-BK275,BH275))</f>
        <v/>
      </c>
      <c r="BM275" s="42">
        <f>ROUND(BI275+BJ275-BK275-BL275,2)</f>
        <v/>
      </c>
      <c r="BN275">
        <f>BH275-BL275</f>
        <v/>
      </c>
    </row>
    <row r="276">
      <c r="A276" s="39" t="n">
        <v>269</v>
      </c>
      <c r="B276" s="40">
        <f>EDATE('My Debts'!$C$6,A276-1)</f>
        <v/>
      </c>
      <c r="C276" s="41">
        <f>K276+Q276+W276+AC276+AI276+AO276+AU276+BA276+BG276+BM276</f>
        <v/>
      </c>
      <c r="D276" s="42">
        <f>I276+O276+U276+AA276+AG276+AM276+AS276+AY276+BE276+BK276+J276+P276+V276+AB276+AH276+AN276+AT276+AZ276+BF276+BL276</f>
        <v/>
      </c>
      <c r="E276" s="42">
        <f>H276+N276+T276+Z276+AF276+AL276+AR276+AX276+BD276+BJ276</f>
        <v/>
      </c>
      <c r="F276">
        <f>MAX(0,'My Debts'!$E$21-(I276+O276+U276+AA276+AG276+AM276+AS276+AY276+BE276+BK276))</f>
        <v/>
      </c>
      <c r="G276" s="42">
        <f>K275</f>
        <v/>
      </c>
      <c r="H276" s="42">
        <f>ROUND(G276*H$6/12,2)</f>
        <v/>
      </c>
      <c r="I276" s="42">
        <f>MIN(I$6,G276+H276)</f>
        <v/>
      </c>
      <c r="J276" s="42">
        <f>MAX(0,MIN(G276+H276-I276,$F276))</f>
        <v/>
      </c>
      <c r="K276" s="42">
        <f>ROUND(G276+H276-I276-J276,2)</f>
        <v/>
      </c>
      <c r="L276">
        <f>$F276-J276</f>
        <v/>
      </c>
      <c r="M276" s="42">
        <f>Q275</f>
        <v/>
      </c>
      <c r="N276" s="42">
        <f>ROUND(M276*N$6/12,2)</f>
        <v/>
      </c>
      <c r="O276" s="42">
        <f>MIN(O$6,M276+N276)</f>
        <v/>
      </c>
      <c r="P276" s="42">
        <f>MAX(0,MIN(M276+N276-O276,L276))</f>
        <v/>
      </c>
      <c r="Q276" s="42">
        <f>ROUND(M276+N276-O276-P276,2)</f>
        <v/>
      </c>
      <c r="R276">
        <f>L276-P276</f>
        <v/>
      </c>
      <c r="S276" s="42">
        <f>W275</f>
        <v/>
      </c>
      <c r="T276" s="42">
        <f>ROUND(S276*T$6/12,2)</f>
        <v/>
      </c>
      <c r="U276" s="42">
        <f>MIN(U$6,S276+T276)</f>
        <v/>
      </c>
      <c r="V276" s="42">
        <f>MAX(0,MIN(S276+T276-U276,R276))</f>
        <v/>
      </c>
      <c r="W276" s="42">
        <f>ROUND(S276+T276-U276-V276,2)</f>
        <v/>
      </c>
      <c r="X276">
        <f>R276-V276</f>
        <v/>
      </c>
      <c r="Y276" s="42">
        <f>AC275</f>
        <v/>
      </c>
      <c r="Z276" s="42">
        <f>ROUND(Y276*Z$6/12,2)</f>
        <v/>
      </c>
      <c r="AA276" s="42">
        <f>MIN(AA$6,Y276+Z276)</f>
        <v/>
      </c>
      <c r="AB276" s="42">
        <f>MAX(0,MIN(Y276+Z276-AA276,X276))</f>
        <v/>
      </c>
      <c r="AC276" s="42">
        <f>ROUND(Y276+Z276-AA276-AB276,2)</f>
        <v/>
      </c>
      <c r="AD276">
        <f>X276-AB276</f>
        <v/>
      </c>
      <c r="AE276" s="42">
        <f>AI275</f>
        <v/>
      </c>
      <c r="AF276" s="42">
        <f>ROUND(AE276*AF$6/12,2)</f>
        <v/>
      </c>
      <c r="AG276" s="42">
        <f>MIN(AG$6,AE276+AF276)</f>
        <v/>
      </c>
      <c r="AH276" s="42">
        <f>MAX(0,MIN(AE276+AF276-AG276,AD276))</f>
        <v/>
      </c>
      <c r="AI276" s="42">
        <f>ROUND(AE276+AF276-AG276-AH276,2)</f>
        <v/>
      </c>
      <c r="AJ276">
        <f>AD276-AH276</f>
        <v/>
      </c>
      <c r="AK276" s="42">
        <f>AO275</f>
        <v/>
      </c>
      <c r="AL276" s="42">
        <f>ROUND(AK276*AL$6/12,2)</f>
        <v/>
      </c>
      <c r="AM276" s="42">
        <f>MIN(AM$6,AK276+AL276)</f>
        <v/>
      </c>
      <c r="AN276" s="42">
        <f>MAX(0,MIN(AK276+AL276-AM276,AJ276))</f>
        <v/>
      </c>
      <c r="AO276" s="42">
        <f>ROUND(AK276+AL276-AM276-AN276,2)</f>
        <v/>
      </c>
      <c r="AP276">
        <f>AJ276-AN276</f>
        <v/>
      </c>
      <c r="AQ276" s="42">
        <f>AU275</f>
        <v/>
      </c>
      <c r="AR276" s="42">
        <f>ROUND(AQ276*AR$6/12,2)</f>
        <v/>
      </c>
      <c r="AS276" s="42">
        <f>MIN(AS$6,AQ276+AR276)</f>
        <v/>
      </c>
      <c r="AT276" s="42">
        <f>MAX(0,MIN(AQ276+AR276-AS276,AP276))</f>
        <v/>
      </c>
      <c r="AU276" s="42">
        <f>ROUND(AQ276+AR276-AS276-AT276,2)</f>
        <v/>
      </c>
      <c r="AV276">
        <f>AP276-AT276</f>
        <v/>
      </c>
      <c r="AW276" s="42">
        <f>BA275</f>
        <v/>
      </c>
      <c r="AX276" s="42">
        <f>ROUND(AW276*AX$6/12,2)</f>
        <v/>
      </c>
      <c r="AY276" s="42">
        <f>MIN(AY$6,AW276+AX276)</f>
        <v/>
      </c>
      <c r="AZ276" s="42">
        <f>MAX(0,MIN(AW276+AX276-AY276,AV276))</f>
        <v/>
      </c>
      <c r="BA276" s="42">
        <f>ROUND(AW276+AX276-AY276-AZ276,2)</f>
        <v/>
      </c>
      <c r="BB276">
        <f>AV276-AZ276</f>
        <v/>
      </c>
      <c r="BC276" s="42">
        <f>BG275</f>
        <v/>
      </c>
      <c r="BD276" s="42">
        <f>ROUND(BC276*BD$6/12,2)</f>
        <v/>
      </c>
      <c r="BE276" s="42">
        <f>MIN(BE$6,BC276+BD276)</f>
        <v/>
      </c>
      <c r="BF276" s="42">
        <f>MAX(0,MIN(BC276+BD276-BE276,BB276))</f>
        <v/>
      </c>
      <c r="BG276" s="42">
        <f>ROUND(BC276+BD276-BE276-BF276,2)</f>
        <v/>
      </c>
      <c r="BH276">
        <f>BB276-BF276</f>
        <v/>
      </c>
      <c r="BI276" s="42">
        <f>BM275</f>
        <v/>
      </c>
      <c r="BJ276" s="42">
        <f>ROUND(BI276*BJ$6/12,2)</f>
        <v/>
      </c>
      <c r="BK276" s="42">
        <f>MIN(BK$6,BI276+BJ276)</f>
        <v/>
      </c>
      <c r="BL276" s="42">
        <f>MAX(0,MIN(BI276+BJ276-BK276,BH276))</f>
        <v/>
      </c>
      <c r="BM276" s="42">
        <f>ROUND(BI276+BJ276-BK276-BL276,2)</f>
        <v/>
      </c>
      <c r="BN276">
        <f>BH276-BL276</f>
        <v/>
      </c>
    </row>
    <row r="277">
      <c r="A277" s="43" t="n">
        <v>270</v>
      </c>
      <c r="B277" s="44">
        <f>EDATE('My Debts'!$C$6,A277-1)</f>
        <v/>
      </c>
      <c r="C277" s="45">
        <f>K277+Q277+W277+AC277+AI277+AO277+AU277+BA277+BG277+BM277</f>
        <v/>
      </c>
      <c r="D277" s="46">
        <f>I277+O277+U277+AA277+AG277+AM277+AS277+AY277+BE277+BK277+J277+P277+V277+AB277+AH277+AN277+AT277+AZ277+BF277+BL277</f>
        <v/>
      </c>
      <c r="E277" s="46">
        <f>H277+N277+T277+Z277+AF277+AL277+AR277+AX277+BD277+BJ277</f>
        <v/>
      </c>
      <c r="F277">
        <f>MAX(0,'My Debts'!$E$21-(I277+O277+U277+AA277+AG277+AM277+AS277+AY277+BE277+BK277))</f>
        <v/>
      </c>
      <c r="G277" s="42">
        <f>K276</f>
        <v/>
      </c>
      <c r="H277" s="42">
        <f>ROUND(G277*H$6/12,2)</f>
        <v/>
      </c>
      <c r="I277" s="42">
        <f>MIN(I$6,G277+H277)</f>
        <v/>
      </c>
      <c r="J277" s="42">
        <f>MAX(0,MIN(G277+H277-I277,$F277))</f>
        <v/>
      </c>
      <c r="K277" s="42">
        <f>ROUND(G277+H277-I277-J277,2)</f>
        <v/>
      </c>
      <c r="L277">
        <f>$F277-J277</f>
        <v/>
      </c>
      <c r="M277" s="42">
        <f>Q276</f>
        <v/>
      </c>
      <c r="N277" s="42">
        <f>ROUND(M277*N$6/12,2)</f>
        <v/>
      </c>
      <c r="O277" s="42">
        <f>MIN(O$6,M277+N277)</f>
        <v/>
      </c>
      <c r="P277" s="42">
        <f>MAX(0,MIN(M277+N277-O277,L277))</f>
        <v/>
      </c>
      <c r="Q277" s="42">
        <f>ROUND(M277+N277-O277-P277,2)</f>
        <v/>
      </c>
      <c r="R277">
        <f>L277-P277</f>
        <v/>
      </c>
      <c r="S277" s="42">
        <f>W276</f>
        <v/>
      </c>
      <c r="T277" s="42">
        <f>ROUND(S277*T$6/12,2)</f>
        <v/>
      </c>
      <c r="U277" s="42">
        <f>MIN(U$6,S277+T277)</f>
        <v/>
      </c>
      <c r="V277" s="42">
        <f>MAX(0,MIN(S277+T277-U277,R277))</f>
        <v/>
      </c>
      <c r="W277" s="42">
        <f>ROUND(S277+T277-U277-V277,2)</f>
        <v/>
      </c>
      <c r="X277">
        <f>R277-V277</f>
        <v/>
      </c>
      <c r="Y277" s="42">
        <f>AC276</f>
        <v/>
      </c>
      <c r="Z277" s="42">
        <f>ROUND(Y277*Z$6/12,2)</f>
        <v/>
      </c>
      <c r="AA277" s="42">
        <f>MIN(AA$6,Y277+Z277)</f>
        <v/>
      </c>
      <c r="AB277" s="42">
        <f>MAX(0,MIN(Y277+Z277-AA277,X277))</f>
        <v/>
      </c>
      <c r="AC277" s="42">
        <f>ROUND(Y277+Z277-AA277-AB277,2)</f>
        <v/>
      </c>
      <c r="AD277">
        <f>X277-AB277</f>
        <v/>
      </c>
      <c r="AE277" s="42">
        <f>AI276</f>
        <v/>
      </c>
      <c r="AF277" s="42">
        <f>ROUND(AE277*AF$6/12,2)</f>
        <v/>
      </c>
      <c r="AG277" s="42">
        <f>MIN(AG$6,AE277+AF277)</f>
        <v/>
      </c>
      <c r="AH277" s="42">
        <f>MAX(0,MIN(AE277+AF277-AG277,AD277))</f>
        <v/>
      </c>
      <c r="AI277" s="42">
        <f>ROUND(AE277+AF277-AG277-AH277,2)</f>
        <v/>
      </c>
      <c r="AJ277">
        <f>AD277-AH277</f>
        <v/>
      </c>
      <c r="AK277" s="42">
        <f>AO276</f>
        <v/>
      </c>
      <c r="AL277" s="42">
        <f>ROUND(AK277*AL$6/12,2)</f>
        <v/>
      </c>
      <c r="AM277" s="42">
        <f>MIN(AM$6,AK277+AL277)</f>
        <v/>
      </c>
      <c r="AN277" s="42">
        <f>MAX(0,MIN(AK277+AL277-AM277,AJ277))</f>
        <v/>
      </c>
      <c r="AO277" s="42">
        <f>ROUND(AK277+AL277-AM277-AN277,2)</f>
        <v/>
      </c>
      <c r="AP277">
        <f>AJ277-AN277</f>
        <v/>
      </c>
      <c r="AQ277" s="42">
        <f>AU276</f>
        <v/>
      </c>
      <c r="AR277" s="42">
        <f>ROUND(AQ277*AR$6/12,2)</f>
        <v/>
      </c>
      <c r="AS277" s="42">
        <f>MIN(AS$6,AQ277+AR277)</f>
        <v/>
      </c>
      <c r="AT277" s="42">
        <f>MAX(0,MIN(AQ277+AR277-AS277,AP277))</f>
        <v/>
      </c>
      <c r="AU277" s="42">
        <f>ROUND(AQ277+AR277-AS277-AT277,2)</f>
        <v/>
      </c>
      <c r="AV277">
        <f>AP277-AT277</f>
        <v/>
      </c>
      <c r="AW277" s="42">
        <f>BA276</f>
        <v/>
      </c>
      <c r="AX277" s="42">
        <f>ROUND(AW277*AX$6/12,2)</f>
        <v/>
      </c>
      <c r="AY277" s="42">
        <f>MIN(AY$6,AW277+AX277)</f>
        <v/>
      </c>
      <c r="AZ277" s="42">
        <f>MAX(0,MIN(AW277+AX277-AY277,AV277))</f>
        <v/>
      </c>
      <c r="BA277" s="42">
        <f>ROUND(AW277+AX277-AY277-AZ277,2)</f>
        <v/>
      </c>
      <c r="BB277">
        <f>AV277-AZ277</f>
        <v/>
      </c>
      <c r="BC277" s="42">
        <f>BG276</f>
        <v/>
      </c>
      <c r="BD277" s="42">
        <f>ROUND(BC277*BD$6/12,2)</f>
        <v/>
      </c>
      <c r="BE277" s="42">
        <f>MIN(BE$6,BC277+BD277)</f>
        <v/>
      </c>
      <c r="BF277" s="42">
        <f>MAX(0,MIN(BC277+BD277-BE277,BB277))</f>
        <v/>
      </c>
      <c r="BG277" s="42">
        <f>ROUND(BC277+BD277-BE277-BF277,2)</f>
        <v/>
      </c>
      <c r="BH277">
        <f>BB277-BF277</f>
        <v/>
      </c>
      <c r="BI277" s="42">
        <f>BM276</f>
        <v/>
      </c>
      <c r="BJ277" s="42">
        <f>ROUND(BI277*BJ$6/12,2)</f>
        <v/>
      </c>
      <c r="BK277" s="42">
        <f>MIN(BK$6,BI277+BJ277)</f>
        <v/>
      </c>
      <c r="BL277" s="42">
        <f>MAX(0,MIN(BI277+BJ277-BK277,BH277))</f>
        <v/>
      </c>
      <c r="BM277" s="42">
        <f>ROUND(BI277+BJ277-BK277-BL277,2)</f>
        <v/>
      </c>
      <c r="BN277">
        <f>BH277-BL277</f>
        <v/>
      </c>
    </row>
    <row r="278">
      <c r="A278" s="39" t="n">
        <v>271</v>
      </c>
      <c r="B278" s="40">
        <f>EDATE('My Debts'!$C$6,A278-1)</f>
        <v/>
      </c>
      <c r="C278" s="41">
        <f>K278+Q278+W278+AC278+AI278+AO278+AU278+BA278+BG278+BM278</f>
        <v/>
      </c>
      <c r="D278" s="42">
        <f>I278+O278+U278+AA278+AG278+AM278+AS278+AY278+BE278+BK278+J278+P278+V278+AB278+AH278+AN278+AT278+AZ278+BF278+BL278</f>
        <v/>
      </c>
      <c r="E278" s="42">
        <f>H278+N278+T278+Z278+AF278+AL278+AR278+AX278+BD278+BJ278</f>
        <v/>
      </c>
      <c r="F278">
        <f>MAX(0,'My Debts'!$E$21-(I278+O278+U278+AA278+AG278+AM278+AS278+AY278+BE278+BK278))</f>
        <v/>
      </c>
      <c r="G278" s="42">
        <f>K277</f>
        <v/>
      </c>
      <c r="H278" s="42">
        <f>ROUND(G278*H$6/12,2)</f>
        <v/>
      </c>
      <c r="I278" s="42">
        <f>MIN(I$6,G278+H278)</f>
        <v/>
      </c>
      <c r="J278" s="42">
        <f>MAX(0,MIN(G278+H278-I278,$F278))</f>
        <v/>
      </c>
      <c r="K278" s="42">
        <f>ROUND(G278+H278-I278-J278,2)</f>
        <v/>
      </c>
      <c r="L278">
        <f>$F278-J278</f>
        <v/>
      </c>
      <c r="M278" s="42">
        <f>Q277</f>
        <v/>
      </c>
      <c r="N278" s="42">
        <f>ROUND(M278*N$6/12,2)</f>
        <v/>
      </c>
      <c r="O278" s="42">
        <f>MIN(O$6,M278+N278)</f>
        <v/>
      </c>
      <c r="P278" s="42">
        <f>MAX(0,MIN(M278+N278-O278,L278))</f>
        <v/>
      </c>
      <c r="Q278" s="42">
        <f>ROUND(M278+N278-O278-P278,2)</f>
        <v/>
      </c>
      <c r="R278">
        <f>L278-P278</f>
        <v/>
      </c>
      <c r="S278" s="42">
        <f>W277</f>
        <v/>
      </c>
      <c r="T278" s="42">
        <f>ROUND(S278*T$6/12,2)</f>
        <v/>
      </c>
      <c r="U278" s="42">
        <f>MIN(U$6,S278+T278)</f>
        <v/>
      </c>
      <c r="V278" s="42">
        <f>MAX(0,MIN(S278+T278-U278,R278))</f>
        <v/>
      </c>
      <c r="W278" s="42">
        <f>ROUND(S278+T278-U278-V278,2)</f>
        <v/>
      </c>
      <c r="X278">
        <f>R278-V278</f>
        <v/>
      </c>
      <c r="Y278" s="42">
        <f>AC277</f>
        <v/>
      </c>
      <c r="Z278" s="42">
        <f>ROUND(Y278*Z$6/12,2)</f>
        <v/>
      </c>
      <c r="AA278" s="42">
        <f>MIN(AA$6,Y278+Z278)</f>
        <v/>
      </c>
      <c r="AB278" s="42">
        <f>MAX(0,MIN(Y278+Z278-AA278,X278))</f>
        <v/>
      </c>
      <c r="AC278" s="42">
        <f>ROUND(Y278+Z278-AA278-AB278,2)</f>
        <v/>
      </c>
      <c r="AD278">
        <f>X278-AB278</f>
        <v/>
      </c>
      <c r="AE278" s="42">
        <f>AI277</f>
        <v/>
      </c>
      <c r="AF278" s="42">
        <f>ROUND(AE278*AF$6/12,2)</f>
        <v/>
      </c>
      <c r="AG278" s="42">
        <f>MIN(AG$6,AE278+AF278)</f>
        <v/>
      </c>
      <c r="AH278" s="42">
        <f>MAX(0,MIN(AE278+AF278-AG278,AD278))</f>
        <v/>
      </c>
      <c r="AI278" s="42">
        <f>ROUND(AE278+AF278-AG278-AH278,2)</f>
        <v/>
      </c>
      <c r="AJ278">
        <f>AD278-AH278</f>
        <v/>
      </c>
      <c r="AK278" s="42">
        <f>AO277</f>
        <v/>
      </c>
      <c r="AL278" s="42">
        <f>ROUND(AK278*AL$6/12,2)</f>
        <v/>
      </c>
      <c r="AM278" s="42">
        <f>MIN(AM$6,AK278+AL278)</f>
        <v/>
      </c>
      <c r="AN278" s="42">
        <f>MAX(0,MIN(AK278+AL278-AM278,AJ278))</f>
        <v/>
      </c>
      <c r="AO278" s="42">
        <f>ROUND(AK278+AL278-AM278-AN278,2)</f>
        <v/>
      </c>
      <c r="AP278">
        <f>AJ278-AN278</f>
        <v/>
      </c>
      <c r="AQ278" s="42">
        <f>AU277</f>
        <v/>
      </c>
      <c r="AR278" s="42">
        <f>ROUND(AQ278*AR$6/12,2)</f>
        <v/>
      </c>
      <c r="AS278" s="42">
        <f>MIN(AS$6,AQ278+AR278)</f>
        <v/>
      </c>
      <c r="AT278" s="42">
        <f>MAX(0,MIN(AQ278+AR278-AS278,AP278))</f>
        <v/>
      </c>
      <c r="AU278" s="42">
        <f>ROUND(AQ278+AR278-AS278-AT278,2)</f>
        <v/>
      </c>
      <c r="AV278">
        <f>AP278-AT278</f>
        <v/>
      </c>
      <c r="AW278" s="42">
        <f>BA277</f>
        <v/>
      </c>
      <c r="AX278" s="42">
        <f>ROUND(AW278*AX$6/12,2)</f>
        <v/>
      </c>
      <c r="AY278" s="42">
        <f>MIN(AY$6,AW278+AX278)</f>
        <v/>
      </c>
      <c r="AZ278" s="42">
        <f>MAX(0,MIN(AW278+AX278-AY278,AV278))</f>
        <v/>
      </c>
      <c r="BA278" s="42">
        <f>ROUND(AW278+AX278-AY278-AZ278,2)</f>
        <v/>
      </c>
      <c r="BB278">
        <f>AV278-AZ278</f>
        <v/>
      </c>
      <c r="BC278" s="42">
        <f>BG277</f>
        <v/>
      </c>
      <c r="BD278" s="42">
        <f>ROUND(BC278*BD$6/12,2)</f>
        <v/>
      </c>
      <c r="BE278" s="42">
        <f>MIN(BE$6,BC278+BD278)</f>
        <v/>
      </c>
      <c r="BF278" s="42">
        <f>MAX(0,MIN(BC278+BD278-BE278,BB278))</f>
        <v/>
      </c>
      <c r="BG278" s="42">
        <f>ROUND(BC278+BD278-BE278-BF278,2)</f>
        <v/>
      </c>
      <c r="BH278">
        <f>BB278-BF278</f>
        <v/>
      </c>
      <c r="BI278" s="42">
        <f>BM277</f>
        <v/>
      </c>
      <c r="BJ278" s="42">
        <f>ROUND(BI278*BJ$6/12,2)</f>
        <v/>
      </c>
      <c r="BK278" s="42">
        <f>MIN(BK$6,BI278+BJ278)</f>
        <v/>
      </c>
      <c r="BL278" s="42">
        <f>MAX(0,MIN(BI278+BJ278-BK278,BH278))</f>
        <v/>
      </c>
      <c r="BM278" s="42">
        <f>ROUND(BI278+BJ278-BK278-BL278,2)</f>
        <v/>
      </c>
      <c r="BN278">
        <f>BH278-BL278</f>
        <v/>
      </c>
    </row>
    <row r="279">
      <c r="A279" s="43" t="n">
        <v>272</v>
      </c>
      <c r="B279" s="44">
        <f>EDATE('My Debts'!$C$6,A279-1)</f>
        <v/>
      </c>
      <c r="C279" s="45">
        <f>K279+Q279+W279+AC279+AI279+AO279+AU279+BA279+BG279+BM279</f>
        <v/>
      </c>
      <c r="D279" s="46">
        <f>I279+O279+U279+AA279+AG279+AM279+AS279+AY279+BE279+BK279+J279+P279+V279+AB279+AH279+AN279+AT279+AZ279+BF279+BL279</f>
        <v/>
      </c>
      <c r="E279" s="46">
        <f>H279+N279+T279+Z279+AF279+AL279+AR279+AX279+BD279+BJ279</f>
        <v/>
      </c>
      <c r="F279">
        <f>MAX(0,'My Debts'!$E$21-(I279+O279+U279+AA279+AG279+AM279+AS279+AY279+BE279+BK279))</f>
        <v/>
      </c>
      <c r="G279" s="42">
        <f>K278</f>
        <v/>
      </c>
      <c r="H279" s="42">
        <f>ROUND(G279*H$6/12,2)</f>
        <v/>
      </c>
      <c r="I279" s="42">
        <f>MIN(I$6,G279+H279)</f>
        <v/>
      </c>
      <c r="J279" s="42">
        <f>MAX(0,MIN(G279+H279-I279,$F279))</f>
        <v/>
      </c>
      <c r="K279" s="42">
        <f>ROUND(G279+H279-I279-J279,2)</f>
        <v/>
      </c>
      <c r="L279">
        <f>$F279-J279</f>
        <v/>
      </c>
      <c r="M279" s="42">
        <f>Q278</f>
        <v/>
      </c>
      <c r="N279" s="42">
        <f>ROUND(M279*N$6/12,2)</f>
        <v/>
      </c>
      <c r="O279" s="42">
        <f>MIN(O$6,M279+N279)</f>
        <v/>
      </c>
      <c r="P279" s="42">
        <f>MAX(0,MIN(M279+N279-O279,L279))</f>
        <v/>
      </c>
      <c r="Q279" s="42">
        <f>ROUND(M279+N279-O279-P279,2)</f>
        <v/>
      </c>
      <c r="R279">
        <f>L279-P279</f>
        <v/>
      </c>
      <c r="S279" s="42">
        <f>W278</f>
        <v/>
      </c>
      <c r="T279" s="42">
        <f>ROUND(S279*T$6/12,2)</f>
        <v/>
      </c>
      <c r="U279" s="42">
        <f>MIN(U$6,S279+T279)</f>
        <v/>
      </c>
      <c r="V279" s="42">
        <f>MAX(0,MIN(S279+T279-U279,R279))</f>
        <v/>
      </c>
      <c r="W279" s="42">
        <f>ROUND(S279+T279-U279-V279,2)</f>
        <v/>
      </c>
      <c r="X279">
        <f>R279-V279</f>
        <v/>
      </c>
      <c r="Y279" s="42">
        <f>AC278</f>
        <v/>
      </c>
      <c r="Z279" s="42">
        <f>ROUND(Y279*Z$6/12,2)</f>
        <v/>
      </c>
      <c r="AA279" s="42">
        <f>MIN(AA$6,Y279+Z279)</f>
        <v/>
      </c>
      <c r="AB279" s="42">
        <f>MAX(0,MIN(Y279+Z279-AA279,X279))</f>
        <v/>
      </c>
      <c r="AC279" s="42">
        <f>ROUND(Y279+Z279-AA279-AB279,2)</f>
        <v/>
      </c>
      <c r="AD279">
        <f>X279-AB279</f>
        <v/>
      </c>
      <c r="AE279" s="42">
        <f>AI278</f>
        <v/>
      </c>
      <c r="AF279" s="42">
        <f>ROUND(AE279*AF$6/12,2)</f>
        <v/>
      </c>
      <c r="AG279" s="42">
        <f>MIN(AG$6,AE279+AF279)</f>
        <v/>
      </c>
      <c r="AH279" s="42">
        <f>MAX(0,MIN(AE279+AF279-AG279,AD279))</f>
        <v/>
      </c>
      <c r="AI279" s="42">
        <f>ROUND(AE279+AF279-AG279-AH279,2)</f>
        <v/>
      </c>
      <c r="AJ279">
        <f>AD279-AH279</f>
        <v/>
      </c>
      <c r="AK279" s="42">
        <f>AO278</f>
        <v/>
      </c>
      <c r="AL279" s="42">
        <f>ROUND(AK279*AL$6/12,2)</f>
        <v/>
      </c>
      <c r="AM279" s="42">
        <f>MIN(AM$6,AK279+AL279)</f>
        <v/>
      </c>
      <c r="AN279" s="42">
        <f>MAX(0,MIN(AK279+AL279-AM279,AJ279))</f>
        <v/>
      </c>
      <c r="AO279" s="42">
        <f>ROUND(AK279+AL279-AM279-AN279,2)</f>
        <v/>
      </c>
      <c r="AP279">
        <f>AJ279-AN279</f>
        <v/>
      </c>
      <c r="AQ279" s="42">
        <f>AU278</f>
        <v/>
      </c>
      <c r="AR279" s="42">
        <f>ROUND(AQ279*AR$6/12,2)</f>
        <v/>
      </c>
      <c r="AS279" s="42">
        <f>MIN(AS$6,AQ279+AR279)</f>
        <v/>
      </c>
      <c r="AT279" s="42">
        <f>MAX(0,MIN(AQ279+AR279-AS279,AP279))</f>
        <v/>
      </c>
      <c r="AU279" s="42">
        <f>ROUND(AQ279+AR279-AS279-AT279,2)</f>
        <v/>
      </c>
      <c r="AV279">
        <f>AP279-AT279</f>
        <v/>
      </c>
      <c r="AW279" s="42">
        <f>BA278</f>
        <v/>
      </c>
      <c r="AX279" s="42">
        <f>ROUND(AW279*AX$6/12,2)</f>
        <v/>
      </c>
      <c r="AY279" s="42">
        <f>MIN(AY$6,AW279+AX279)</f>
        <v/>
      </c>
      <c r="AZ279" s="42">
        <f>MAX(0,MIN(AW279+AX279-AY279,AV279))</f>
        <v/>
      </c>
      <c r="BA279" s="42">
        <f>ROUND(AW279+AX279-AY279-AZ279,2)</f>
        <v/>
      </c>
      <c r="BB279">
        <f>AV279-AZ279</f>
        <v/>
      </c>
      <c r="BC279" s="42">
        <f>BG278</f>
        <v/>
      </c>
      <c r="BD279" s="42">
        <f>ROUND(BC279*BD$6/12,2)</f>
        <v/>
      </c>
      <c r="BE279" s="42">
        <f>MIN(BE$6,BC279+BD279)</f>
        <v/>
      </c>
      <c r="BF279" s="42">
        <f>MAX(0,MIN(BC279+BD279-BE279,BB279))</f>
        <v/>
      </c>
      <c r="BG279" s="42">
        <f>ROUND(BC279+BD279-BE279-BF279,2)</f>
        <v/>
      </c>
      <c r="BH279">
        <f>BB279-BF279</f>
        <v/>
      </c>
      <c r="BI279" s="42">
        <f>BM278</f>
        <v/>
      </c>
      <c r="BJ279" s="42">
        <f>ROUND(BI279*BJ$6/12,2)</f>
        <v/>
      </c>
      <c r="BK279" s="42">
        <f>MIN(BK$6,BI279+BJ279)</f>
        <v/>
      </c>
      <c r="BL279" s="42">
        <f>MAX(0,MIN(BI279+BJ279-BK279,BH279))</f>
        <v/>
      </c>
      <c r="BM279" s="42">
        <f>ROUND(BI279+BJ279-BK279-BL279,2)</f>
        <v/>
      </c>
      <c r="BN279">
        <f>BH279-BL279</f>
        <v/>
      </c>
    </row>
    <row r="280">
      <c r="A280" s="39" t="n">
        <v>273</v>
      </c>
      <c r="B280" s="40">
        <f>EDATE('My Debts'!$C$6,A280-1)</f>
        <v/>
      </c>
      <c r="C280" s="41">
        <f>K280+Q280+W280+AC280+AI280+AO280+AU280+BA280+BG280+BM280</f>
        <v/>
      </c>
      <c r="D280" s="42">
        <f>I280+O280+U280+AA280+AG280+AM280+AS280+AY280+BE280+BK280+J280+P280+V280+AB280+AH280+AN280+AT280+AZ280+BF280+BL280</f>
        <v/>
      </c>
      <c r="E280" s="42">
        <f>H280+N280+T280+Z280+AF280+AL280+AR280+AX280+BD280+BJ280</f>
        <v/>
      </c>
      <c r="F280">
        <f>MAX(0,'My Debts'!$E$21-(I280+O280+U280+AA280+AG280+AM280+AS280+AY280+BE280+BK280))</f>
        <v/>
      </c>
      <c r="G280" s="42">
        <f>K279</f>
        <v/>
      </c>
      <c r="H280" s="42">
        <f>ROUND(G280*H$6/12,2)</f>
        <v/>
      </c>
      <c r="I280" s="42">
        <f>MIN(I$6,G280+H280)</f>
        <v/>
      </c>
      <c r="J280" s="42">
        <f>MAX(0,MIN(G280+H280-I280,$F280))</f>
        <v/>
      </c>
      <c r="K280" s="42">
        <f>ROUND(G280+H280-I280-J280,2)</f>
        <v/>
      </c>
      <c r="L280">
        <f>$F280-J280</f>
        <v/>
      </c>
      <c r="M280" s="42">
        <f>Q279</f>
        <v/>
      </c>
      <c r="N280" s="42">
        <f>ROUND(M280*N$6/12,2)</f>
        <v/>
      </c>
      <c r="O280" s="42">
        <f>MIN(O$6,M280+N280)</f>
        <v/>
      </c>
      <c r="P280" s="42">
        <f>MAX(0,MIN(M280+N280-O280,L280))</f>
        <v/>
      </c>
      <c r="Q280" s="42">
        <f>ROUND(M280+N280-O280-P280,2)</f>
        <v/>
      </c>
      <c r="R280">
        <f>L280-P280</f>
        <v/>
      </c>
      <c r="S280" s="42">
        <f>W279</f>
        <v/>
      </c>
      <c r="T280" s="42">
        <f>ROUND(S280*T$6/12,2)</f>
        <v/>
      </c>
      <c r="U280" s="42">
        <f>MIN(U$6,S280+T280)</f>
        <v/>
      </c>
      <c r="V280" s="42">
        <f>MAX(0,MIN(S280+T280-U280,R280))</f>
        <v/>
      </c>
      <c r="W280" s="42">
        <f>ROUND(S280+T280-U280-V280,2)</f>
        <v/>
      </c>
      <c r="X280">
        <f>R280-V280</f>
        <v/>
      </c>
      <c r="Y280" s="42">
        <f>AC279</f>
        <v/>
      </c>
      <c r="Z280" s="42">
        <f>ROUND(Y280*Z$6/12,2)</f>
        <v/>
      </c>
      <c r="AA280" s="42">
        <f>MIN(AA$6,Y280+Z280)</f>
        <v/>
      </c>
      <c r="AB280" s="42">
        <f>MAX(0,MIN(Y280+Z280-AA280,X280))</f>
        <v/>
      </c>
      <c r="AC280" s="42">
        <f>ROUND(Y280+Z280-AA280-AB280,2)</f>
        <v/>
      </c>
      <c r="AD280">
        <f>X280-AB280</f>
        <v/>
      </c>
      <c r="AE280" s="42">
        <f>AI279</f>
        <v/>
      </c>
      <c r="AF280" s="42">
        <f>ROUND(AE280*AF$6/12,2)</f>
        <v/>
      </c>
      <c r="AG280" s="42">
        <f>MIN(AG$6,AE280+AF280)</f>
        <v/>
      </c>
      <c r="AH280" s="42">
        <f>MAX(0,MIN(AE280+AF280-AG280,AD280))</f>
        <v/>
      </c>
      <c r="AI280" s="42">
        <f>ROUND(AE280+AF280-AG280-AH280,2)</f>
        <v/>
      </c>
      <c r="AJ280">
        <f>AD280-AH280</f>
        <v/>
      </c>
      <c r="AK280" s="42">
        <f>AO279</f>
        <v/>
      </c>
      <c r="AL280" s="42">
        <f>ROUND(AK280*AL$6/12,2)</f>
        <v/>
      </c>
      <c r="AM280" s="42">
        <f>MIN(AM$6,AK280+AL280)</f>
        <v/>
      </c>
      <c r="AN280" s="42">
        <f>MAX(0,MIN(AK280+AL280-AM280,AJ280))</f>
        <v/>
      </c>
      <c r="AO280" s="42">
        <f>ROUND(AK280+AL280-AM280-AN280,2)</f>
        <v/>
      </c>
      <c r="AP280">
        <f>AJ280-AN280</f>
        <v/>
      </c>
      <c r="AQ280" s="42">
        <f>AU279</f>
        <v/>
      </c>
      <c r="AR280" s="42">
        <f>ROUND(AQ280*AR$6/12,2)</f>
        <v/>
      </c>
      <c r="AS280" s="42">
        <f>MIN(AS$6,AQ280+AR280)</f>
        <v/>
      </c>
      <c r="AT280" s="42">
        <f>MAX(0,MIN(AQ280+AR280-AS280,AP280))</f>
        <v/>
      </c>
      <c r="AU280" s="42">
        <f>ROUND(AQ280+AR280-AS280-AT280,2)</f>
        <v/>
      </c>
      <c r="AV280">
        <f>AP280-AT280</f>
        <v/>
      </c>
      <c r="AW280" s="42">
        <f>BA279</f>
        <v/>
      </c>
      <c r="AX280" s="42">
        <f>ROUND(AW280*AX$6/12,2)</f>
        <v/>
      </c>
      <c r="AY280" s="42">
        <f>MIN(AY$6,AW280+AX280)</f>
        <v/>
      </c>
      <c r="AZ280" s="42">
        <f>MAX(0,MIN(AW280+AX280-AY280,AV280))</f>
        <v/>
      </c>
      <c r="BA280" s="42">
        <f>ROUND(AW280+AX280-AY280-AZ280,2)</f>
        <v/>
      </c>
      <c r="BB280">
        <f>AV280-AZ280</f>
        <v/>
      </c>
      <c r="BC280" s="42">
        <f>BG279</f>
        <v/>
      </c>
      <c r="BD280" s="42">
        <f>ROUND(BC280*BD$6/12,2)</f>
        <v/>
      </c>
      <c r="BE280" s="42">
        <f>MIN(BE$6,BC280+BD280)</f>
        <v/>
      </c>
      <c r="BF280" s="42">
        <f>MAX(0,MIN(BC280+BD280-BE280,BB280))</f>
        <v/>
      </c>
      <c r="BG280" s="42">
        <f>ROUND(BC280+BD280-BE280-BF280,2)</f>
        <v/>
      </c>
      <c r="BH280">
        <f>BB280-BF280</f>
        <v/>
      </c>
      <c r="BI280" s="42">
        <f>BM279</f>
        <v/>
      </c>
      <c r="BJ280" s="42">
        <f>ROUND(BI280*BJ$6/12,2)</f>
        <v/>
      </c>
      <c r="BK280" s="42">
        <f>MIN(BK$6,BI280+BJ280)</f>
        <v/>
      </c>
      <c r="BL280" s="42">
        <f>MAX(0,MIN(BI280+BJ280-BK280,BH280))</f>
        <v/>
      </c>
      <c r="BM280" s="42">
        <f>ROUND(BI280+BJ280-BK280-BL280,2)</f>
        <v/>
      </c>
      <c r="BN280">
        <f>BH280-BL280</f>
        <v/>
      </c>
    </row>
    <row r="281">
      <c r="A281" s="43" t="n">
        <v>274</v>
      </c>
      <c r="B281" s="44">
        <f>EDATE('My Debts'!$C$6,A281-1)</f>
        <v/>
      </c>
      <c r="C281" s="45">
        <f>K281+Q281+W281+AC281+AI281+AO281+AU281+BA281+BG281+BM281</f>
        <v/>
      </c>
      <c r="D281" s="46">
        <f>I281+O281+U281+AA281+AG281+AM281+AS281+AY281+BE281+BK281+J281+P281+V281+AB281+AH281+AN281+AT281+AZ281+BF281+BL281</f>
        <v/>
      </c>
      <c r="E281" s="46">
        <f>H281+N281+T281+Z281+AF281+AL281+AR281+AX281+BD281+BJ281</f>
        <v/>
      </c>
      <c r="F281">
        <f>MAX(0,'My Debts'!$E$21-(I281+O281+U281+AA281+AG281+AM281+AS281+AY281+BE281+BK281))</f>
        <v/>
      </c>
      <c r="G281" s="42">
        <f>K280</f>
        <v/>
      </c>
      <c r="H281" s="42">
        <f>ROUND(G281*H$6/12,2)</f>
        <v/>
      </c>
      <c r="I281" s="42">
        <f>MIN(I$6,G281+H281)</f>
        <v/>
      </c>
      <c r="J281" s="42">
        <f>MAX(0,MIN(G281+H281-I281,$F281))</f>
        <v/>
      </c>
      <c r="K281" s="42">
        <f>ROUND(G281+H281-I281-J281,2)</f>
        <v/>
      </c>
      <c r="L281">
        <f>$F281-J281</f>
        <v/>
      </c>
      <c r="M281" s="42">
        <f>Q280</f>
        <v/>
      </c>
      <c r="N281" s="42">
        <f>ROUND(M281*N$6/12,2)</f>
        <v/>
      </c>
      <c r="O281" s="42">
        <f>MIN(O$6,M281+N281)</f>
        <v/>
      </c>
      <c r="P281" s="42">
        <f>MAX(0,MIN(M281+N281-O281,L281))</f>
        <v/>
      </c>
      <c r="Q281" s="42">
        <f>ROUND(M281+N281-O281-P281,2)</f>
        <v/>
      </c>
      <c r="R281">
        <f>L281-P281</f>
        <v/>
      </c>
      <c r="S281" s="42">
        <f>W280</f>
        <v/>
      </c>
      <c r="T281" s="42">
        <f>ROUND(S281*T$6/12,2)</f>
        <v/>
      </c>
      <c r="U281" s="42">
        <f>MIN(U$6,S281+T281)</f>
        <v/>
      </c>
      <c r="V281" s="42">
        <f>MAX(0,MIN(S281+T281-U281,R281))</f>
        <v/>
      </c>
      <c r="W281" s="42">
        <f>ROUND(S281+T281-U281-V281,2)</f>
        <v/>
      </c>
      <c r="X281">
        <f>R281-V281</f>
        <v/>
      </c>
      <c r="Y281" s="42">
        <f>AC280</f>
        <v/>
      </c>
      <c r="Z281" s="42">
        <f>ROUND(Y281*Z$6/12,2)</f>
        <v/>
      </c>
      <c r="AA281" s="42">
        <f>MIN(AA$6,Y281+Z281)</f>
        <v/>
      </c>
      <c r="AB281" s="42">
        <f>MAX(0,MIN(Y281+Z281-AA281,X281))</f>
        <v/>
      </c>
      <c r="AC281" s="42">
        <f>ROUND(Y281+Z281-AA281-AB281,2)</f>
        <v/>
      </c>
      <c r="AD281">
        <f>X281-AB281</f>
        <v/>
      </c>
      <c r="AE281" s="42">
        <f>AI280</f>
        <v/>
      </c>
      <c r="AF281" s="42">
        <f>ROUND(AE281*AF$6/12,2)</f>
        <v/>
      </c>
      <c r="AG281" s="42">
        <f>MIN(AG$6,AE281+AF281)</f>
        <v/>
      </c>
      <c r="AH281" s="42">
        <f>MAX(0,MIN(AE281+AF281-AG281,AD281))</f>
        <v/>
      </c>
      <c r="AI281" s="42">
        <f>ROUND(AE281+AF281-AG281-AH281,2)</f>
        <v/>
      </c>
      <c r="AJ281">
        <f>AD281-AH281</f>
        <v/>
      </c>
      <c r="AK281" s="42">
        <f>AO280</f>
        <v/>
      </c>
      <c r="AL281" s="42">
        <f>ROUND(AK281*AL$6/12,2)</f>
        <v/>
      </c>
      <c r="AM281" s="42">
        <f>MIN(AM$6,AK281+AL281)</f>
        <v/>
      </c>
      <c r="AN281" s="42">
        <f>MAX(0,MIN(AK281+AL281-AM281,AJ281))</f>
        <v/>
      </c>
      <c r="AO281" s="42">
        <f>ROUND(AK281+AL281-AM281-AN281,2)</f>
        <v/>
      </c>
      <c r="AP281">
        <f>AJ281-AN281</f>
        <v/>
      </c>
      <c r="AQ281" s="42">
        <f>AU280</f>
        <v/>
      </c>
      <c r="AR281" s="42">
        <f>ROUND(AQ281*AR$6/12,2)</f>
        <v/>
      </c>
      <c r="AS281" s="42">
        <f>MIN(AS$6,AQ281+AR281)</f>
        <v/>
      </c>
      <c r="AT281" s="42">
        <f>MAX(0,MIN(AQ281+AR281-AS281,AP281))</f>
        <v/>
      </c>
      <c r="AU281" s="42">
        <f>ROUND(AQ281+AR281-AS281-AT281,2)</f>
        <v/>
      </c>
      <c r="AV281">
        <f>AP281-AT281</f>
        <v/>
      </c>
      <c r="AW281" s="42">
        <f>BA280</f>
        <v/>
      </c>
      <c r="AX281" s="42">
        <f>ROUND(AW281*AX$6/12,2)</f>
        <v/>
      </c>
      <c r="AY281" s="42">
        <f>MIN(AY$6,AW281+AX281)</f>
        <v/>
      </c>
      <c r="AZ281" s="42">
        <f>MAX(0,MIN(AW281+AX281-AY281,AV281))</f>
        <v/>
      </c>
      <c r="BA281" s="42">
        <f>ROUND(AW281+AX281-AY281-AZ281,2)</f>
        <v/>
      </c>
      <c r="BB281">
        <f>AV281-AZ281</f>
        <v/>
      </c>
      <c r="BC281" s="42">
        <f>BG280</f>
        <v/>
      </c>
      <c r="BD281" s="42">
        <f>ROUND(BC281*BD$6/12,2)</f>
        <v/>
      </c>
      <c r="BE281" s="42">
        <f>MIN(BE$6,BC281+BD281)</f>
        <v/>
      </c>
      <c r="BF281" s="42">
        <f>MAX(0,MIN(BC281+BD281-BE281,BB281))</f>
        <v/>
      </c>
      <c r="BG281" s="42">
        <f>ROUND(BC281+BD281-BE281-BF281,2)</f>
        <v/>
      </c>
      <c r="BH281">
        <f>BB281-BF281</f>
        <v/>
      </c>
      <c r="BI281" s="42">
        <f>BM280</f>
        <v/>
      </c>
      <c r="BJ281" s="42">
        <f>ROUND(BI281*BJ$6/12,2)</f>
        <v/>
      </c>
      <c r="BK281" s="42">
        <f>MIN(BK$6,BI281+BJ281)</f>
        <v/>
      </c>
      <c r="BL281" s="42">
        <f>MAX(0,MIN(BI281+BJ281-BK281,BH281))</f>
        <v/>
      </c>
      <c r="BM281" s="42">
        <f>ROUND(BI281+BJ281-BK281-BL281,2)</f>
        <v/>
      </c>
      <c r="BN281">
        <f>BH281-BL281</f>
        <v/>
      </c>
    </row>
    <row r="282">
      <c r="A282" s="39" t="n">
        <v>275</v>
      </c>
      <c r="B282" s="40">
        <f>EDATE('My Debts'!$C$6,A282-1)</f>
        <v/>
      </c>
      <c r="C282" s="41">
        <f>K282+Q282+W282+AC282+AI282+AO282+AU282+BA282+BG282+BM282</f>
        <v/>
      </c>
      <c r="D282" s="42">
        <f>I282+O282+U282+AA282+AG282+AM282+AS282+AY282+BE282+BK282+J282+P282+V282+AB282+AH282+AN282+AT282+AZ282+BF282+BL282</f>
        <v/>
      </c>
      <c r="E282" s="42">
        <f>H282+N282+T282+Z282+AF282+AL282+AR282+AX282+BD282+BJ282</f>
        <v/>
      </c>
      <c r="F282">
        <f>MAX(0,'My Debts'!$E$21-(I282+O282+U282+AA282+AG282+AM282+AS282+AY282+BE282+BK282))</f>
        <v/>
      </c>
      <c r="G282" s="42">
        <f>K281</f>
        <v/>
      </c>
      <c r="H282" s="42">
        <f>ROUND(G282*H$6/12,2)</f>
        <v/>
      </c>
      <c r="I282" s="42">
        <f>MIN(I$6,G282+H282)</f>
        <v/>
      </c>
      <c r="J282" s="42">
        <f>MAX(0,MIN(G282+H282-I282,$F282))</f>
        <v/>
      </c>
      <c r="K282" s="42">
        <f>ROUND(G282+H282-I282-J282,2)</f>
        <v/>
      </c>
      <c r="L282">
        <f>$F282-J282</f>
        <v/>
      </c>
      <c r="M282" s="42">
        <f>Q281</f>
        <v/>
      </c>
      <c r="N282" s="42">
        <f>ROUND(M282*N$6/12,2)</f>
        <v/>
      </c>
      <c r="O282" s="42">
        <f>MIN(O$6,M282+N282)</f>
        <v/>
      </c>
      <c r="P282" s="42">
        <f>MAX(0,MIN(M282+N282-O282,L282))</f>
        <v/>
      </c>
      <c r="Q282" s="42">
        <f>ROUND(M282+N282-O282-P282,2)</f>
        <v/>
      </c>
      <c r="R282">
        <f>L282-P282</f>
        <v/>
      </c>
      <c r="S282" s="42">
        <f>W281</f>
        <v/>
      </c>
      <c r="T282" s="42">
        <f>ROUND(S282*T$6/12,2)</f>
        <v/>
      </c>
      <c r="U282" s="42">
        <f>MIN(U$6,S282+T282)</f>
        <v/>
      </c>
      <c r="V282" s="42">
        <f>MAX(0,MIN(S282+T282-U282,R282))</f>
        <v/>
      </c>
      <c r="W282" s="42">
        <f>ROUND(S282+T282-U282-V282,2)</f>
        <v/>
      </c>
      <c r="X282">
        <f>R282-V282</f>
        <v/>
      </c>
      <c r="Y282" s="42">
        <f>AC281</f>
        <v/>
      </c>
      <c r="Z282" s="42">
        <f>ROUND(Y282*Z$6/12,2)</f>
        <v/>
      </c>
      <c r="AA282" s="42">
        <f>MIN(AA$6,Y282+Z282)</f>
        <v/>
      </c>
      <c r="AB282" s="42">
        <f>MAX(0,MIN(Y282+Z282-AA282,X282))</f>
        <v/>
      </c>
      <c r="AC282" s="42">
        <f>ROUND(Y282+Z282-AA282-AB282,2)</f>
        <v/>
      </c>
      <c r="AD282">
        <f>X282-AB282</f>
        <v/>
      </c>
      <c r="AE282" s="42">
        <f>AI281</f>
        <v/>
      </c>
      <c r="AF282" s="42">
        <f>ROUND(AE282*AF$6/12,2)</f>
        <v/>
      </c>
      <c r="AG282" s="42">
        <f>MIN(AG$6,AE282+AF282)</f>
        <v/>
      </c>
      <c r="AH282" s="42">
        <f>MAX(0,MIN(AE282+AF282-AG282,AD282))</f>
        <v/>
      </c>
      <c r="AI282" s="42">
        <f>ROUND(AE282+AF282-AG282-AH282,2)</f>
        <v/>
      </c>
      <c r="AJ282">
        <f>AD282-AH282</f>
        <v/>
      </c>
      <c r="AK282" s="42">
        <f>AO281</f>
        <v/>
      </c>
      <c r="AL282" s="42">
        <f>ROUND(AK282*AL$6/12,2)</f>
        <v/>
      </c>
      <c r="AM282" s="42">
        <f>MIN(AM$6,AK282+AL282)</f>
        <v/>
      </c>
      <c r="AN282" s="42">
        <f>MAX(0,MIN(AK282+AL282-AM282,AJ282))</f>
        <v/>
      </c>
      <c r="AO282" s="42">
        <f>ROUND(AK282+AL282-AM282-AN282,2)</f>
        <v/>
      </c>
      <c r="AP282">
        <f>AJ282-AN282</f>
        <v/>
      </c>
      <c r="AQ282" s="42">
        <f>AU281</f>
        <v/>
      </c>
      <c r="AR282" s="42">
        <f>ROUND(AQ282*AR$6/12,2)</f>
        <v/>
      </c>
      <c r="AS282" s="42">
        <f>MIN(AS$6,AQ282+AR282)</f>
        <v/>
      </c>
      <c r="AT282" s="42">
        <f>MAX(0,MIN(AQ282+AR282-AS282,AP282))</f>
        <v/>
      </c>
      <c r="AU282" s="42">
        <f>ROUND(AQ282+AR282-AS282-AT282,2)</f>
        <v/>
      </c>
      <c r="AV282">
        <f>AP282-AT282</f>
        <v/>
      </c>
      <c r="AW282" s="42">
        <f>BA281</f>
        <v/>
      </c>
      <c r="AX282" s="42">
        <f>ROUND(AW282*AX$6/12,2)</f>
        <v/>
      </c>
      <c r="AY282" s="42">
        <f>MIN(AY$6,AW282+AX282)</f>
        <v/>
      </c>
      <c r="AZ282" s="42">
        <f>MAX(0,MIN(AW282+AX282-AY282,AV282))</f>
        <v/>
      </c>
      <c r="BA282" s="42">
        <f>ROUND(AW282+AX282-AY282-AZ282,2)</f>
        <v/>
      </c>
      <c r="BB282">
        <f>AV282-AZ282</f>
        <v/>
      </c>
      <c r="BC282" s="42">
        <f>BG281</f>
        <v/>
      </c>
      <c r="BD282" s="42">
        <f>ROUND(BC282*BD$6/12,2)</f>
        <v/>
      </c>
      <c r="BE282" s="42">
        <f>MIN(BE$6,BC282+BD282)</f>
        <v/>
      </c>
      <c r="BF282" s="42">
        <f>MAX(0,MIN(BC282+BD282-BE282,BB282))</f>
        <v/>
      </c>
      <c r="BG282" s="42">
        <f>ROUND(BC282+BD282-BE282-BF282,2)</f>
        <v/>
      </c>
      <c r="BH282">
        <f>BB282-BF282</f>
        <v/>
      </c>
      <c r="BI282" s="42">
        <f>BM281</f>
        <v/>
      </c>
      <c r="BJ282" s="42">
        <f>ROUND(BI282*BJ$6/12,2)</f>
        <v/>
      </c>
      <c r="BK282" s="42">
        <f>MIN(BK$6,BI282+BJ282)</f>
        <v/>
      </c>
      <c r="BL282" s="42">
        <f>MAX(0,MIN(BI282+BJ282-BK282,BH282))</f>
        <v/>
      </c>
      <c r="BM282" s="42">
        <f>ROUND(BI282+BJ282-BK282-BL282,2)</f>
        <v/>
      </c>
      <c r="BN282">
        <f>BH282-BL282</f>
        <v/>
      </c>
    </row>
    <row r="283">
      <c r="A283" s="43" t="n">
        <v>276</v>
      </c>
      <c r="B283" s="44">
        <f>EDATE('My Debts'!$C$6,A283-1)</f>
        <v/>
      </c>
      <c r="C283" s="45">
        <f>K283+Q283+W283+AC283+AI283+AO283+AU283+BA283+BG283+BM283</f>
        <v/>
      </c>
      <c r="D283" s="46">
        <f>I283+O283+U283+AA283+AG283+AM283+AS283+AY283+BE283+BK283+J283+P283+V283+AB283+AH283+AN283+AT283+AZ283+BF283+BL283</f>
        <v/>
      </c>
      <c r="E283" s="46">
        <f>H283+N283+T283+Z283+AF283+AL283+AR283+AX283+BD283+BJ283</f>
        <v/>
      </c>
      <c r="F283">
        <f>MAX(0,'My Debts'!$E$21-(I283+O283+U283+AA283+AG283+AM283+AS283+AY283+BE283+BK283))</f>
        <v/>
      </c>
      <c r="G283" s="42">
        <f>K282</f>
        <v/>
      </c>
      <c r="H283" s="42">
        <f>ROUND(G283*H$6/12,2)</f>
        <v/>
      </c>
      <c r="I283" s="42">
        <f>MIN(I$6,G283+H283)</f>
        <v/>
      </c>
      <c r="J283" s="42">
        <f>MAX(0,MIN(G283+H283-I283,$F283))</f>
        <v/>
      </c>
      <c r="K283" s="42">
        <f>ROUND(G283+H283-I283-J283,2)</f>
        <v/>
      </c>
      <c r="L283">
        <f>$F283-J283</f>
        <v/>
      </c>
      <c r="M283" s="42">
        <f>Q282</f>
        <v/>
      </c>
      <c r="N283" s="42">
        <f>ROUND(M283*N$6/12,2)</f>
        <v/>
      </c>
      <c r="O283" s="42">
        <f>MIN(O$6,M283+N283)</f>
        <v/>
      </c>
      <c r="P283" s="42">
        <f>MAX(0,MIN(M283+N283-O283,L283))</f>
        <v/>
      </c>
      <c r="Q283" s="42">
        <f>ROUND(M283+N283-O283-P283,2)</f>
        <v/>
      </c>
      <c r="R283">
        <f>L283-P283</f>
        <v/>
      </c>
      <c r="S283" s="42">
        <f>W282</f>
        <v/>
      </c>
      <c r="T283" s="42">
        <f>ROUND(S283*T$6/12,2)</f>
        <v/>
      </c>
      <c r="U283" s="42">
        <f>MIN(U$6,S283+T283)</f>
        <v/>
      </c>
      <c r="V283" s="42">
        <f>MAX(0,MIN(S283+T283-U283,R283))</f>
        <v/>
      </c>
      <c r="W283" s="42">
        <f>ROUND(S283+T283-U283-V283,2)</f>
        <v/>
      </c>
      <c r="X283">
        <f>R283-V283</f>
        <v/>
      </c>
      <c r="Y283" s="42">
        <f>AC282</f>
        <v/>
      </c>
      <c r="Z283" s="42">
        <f>ROUND(Y283*Z$6/12,2)</f>
        <v/>
      </c>
      <c r="AA283" s="42">
        <f>MIN(AA$6,Y283+Z283)</f>
        <v/>
      </c>
      <c r="AB283" s="42">
        <f>MAX(0,MIN(Y283+Z283-AA283,X283))</f>
        <v/>
      </c>
      <c r="AC283" s="42">
        <f>ROUND(Y283+Z283-AA283-AB283,2)</f>
        <v/>
      </c>
      <c r="AD283">
        <f>X283-AB283</f>
        <v/>
      </c>
      <c r="AE283" s="42">
        <f>AI282</f>
        <v/>
      </c>
      <c r="AF283" s="42">
        <f>ROUND(AE283*AF$6/12,2)</f>
        <v/>
      </c>
      <c r="AG283" s="42">
        <f>MIN(AG$6,AE283+AF283)</f>
        <v/>
      </c>
      <c r="AH283" s="42">
        <f>MAX(0,MIN(AE283+AF283-AG283,AD283))</f>
        <v/>
      </c>
      <c r="AI283" s="42">
        <f>ROUND(AE283+AF283-AG283-AH283,2)</f>
        <v/>
      </c>
      <c r="AJ283">
        <f>AD283-AH283</f>
        <v/>
      </c>
      <c r="AK283" s="42">
        <f>AO282</f>
        <v/>
      </c>
      <c r="AL283" s="42">
        <f>ROUND(AK283*AL$6/12,2)</f>
        <v/>
      </c>
      <c r="AM283" s="42">
        <f>MIN(AM$6,AK283+AL283)</f>
        <v/>
      </c>
      <c r="AN283" s="42">
        <f>MAX(0,MIN(AK283+AL283-AM283,AJ283))</f>
        <v/>
      </c>
      <c r="AO283" s="42">
        <f>ROUND(AK283+AL283-AM283-AN283,2)</f>
        <v/>
      </c>
      <c r="AP283">
        <f>AJ283-AN283</f>
        <v/>
      </c>
      <c r="AQ283" s="42">
        <f>AU282</f>
        <v/>
      </c>
      <c r="AR283" s="42">
        <f>ROUND(AQ283*AR$6/12,2)</f>
        <v/>
      </c>
      <c r="AS283" s="42">
        <f>MIN(AS$6,AQ283+AR283)</f>
        <v/>
      </c>
      <c r="AT283" s="42">
        <f>MAX(0,MIN(AQ283+AR283-AS283,AP283))</f>
        <v/>
      </c>
      <c r="AU283" s="42">
        <f>ROUND(AQ283+AR283-AS283-AT283,2)</f>
        <v/>
      </c>
      <c r="AV283">
        <f>AP283-AT283</f>
        <v/>
      </c>
      <c r="AW283" s="42">
        <f>BA282</f>
        <v/>
      </c>
      <c r="AX283" s="42">
        <f>ROUND(AW283*AX$6/12,2)</f>
        <v/>
      </c>
      <c r="AY283" s="42">
        <f>MIN(AY$6,AW283+AX283)</f>
        <v/>
      </c>
      <c r="AZ283" s="42">
        <f>MAX(0,MIN(AW283+AX283-AY283,AV283))</f>
        <v/>
      </c>
      <c r="BA283" s="42">
        <f>ROUND(AW283+AX283-AY283-AZ283,2)</f>
        <v/>
      </c>
      <c r="BB283">
        <f>AV283-AZ283</f>
        <v/>
      </c>
      <c r="BC283" s="42">
        <f>BG282</f>
        <v/>
      </c>
      <c r="BD283" s="42">
        <f>ROUND(BC283*BD$6/12,2)</f>
        <v/>
      </c>
      <c r="BE283" s="42">
        <f>MIN(BE$6,BC283+BD283)</f>
        <v/>
      </c>
      <c r="BF283" s="42">
        <f>MAX(0,MIN(BC283+BD283-BE283,BB283))</f>
        <v/>
      </c>
      <c r="BG283" s="42">
        <f>ROUND(BC283+BD283-BE283-BF283,2)</f>
        <v/>
      </c>
      <c r="BH283">
        <f>BB283-BF283</f>
        <v/>
      </c>
      <c r="BI283" s="42">
        <f>BM282</f>
        <v/>
      </c>
      <c r="BJ283" s="42">
        <f>ROUND(BI283*BJ$6/12,2)</f>
        <v/>
      </c>
      <c r="BK283" s="42">
        <f>MIN(BK$6,BI283+BJ283)</f>
        <v/>
      </c>
      <c r="BL283" s="42">
        <f>MAX(0,MIN(BI283+BJ283-BK283,BH283))</f>
        <v/>
      </c>
      <c r="BM283" s="42">
        <f>ROUND(BI283+BJ283-BK283-BL283,2)</f>
        <v/>
      </c>
      <c r="BN283">
        <f>BH283-BL283</f>
        <v/>
      </c>
    </row>
    <row r="284">
      <c r="A284" s="39" t="n">
        <v>277</v>
      </c>
      <c r="B284" s="40">
        <f>EDATE('My Debts'!$C$6,A284-1)</f>
        <v/>
      </c>
      <c r="C284" s="41">
        <f>K284+Q284+W284+AC284+AI284+AO284+AU284+BA284+BG284+BM284</f>
        <v/>
      </c>
      <c r="D284" s="42">
        <f>I284+O284+U284+AA284+AG284+AM284+AS284+AY284+BE284+BK284+J284+P284+V284+AB284+AH284+AN284+AT284+AZ284+BF284+BL284</f>
        <v/>
      </c>
      <c r="E284" s="42">
        <f>H284+N284+T284+Z284+AF284+AL284+AR284+AX284+BD284+BJ284</f>
        <v/>
      </c>
      <c r="F284">
        <f>MAX(0,'My Debts'!$E$21-(I284+O284+U284+AA284+AG284+AM284+AS284+AY284+BE284+BK284))</f>
        <v/>
      </c>
      <c r="G284" s="42">
        <f>K283</f>
        <v/>
      </c>
      <c r="H284" s="42">
        <f>ROUND(G284*H$6/12,2)</f>
        <v/>
      </c>
      <c r="I284" s="42">
        <f>MIN(I$6,G284+H284)</f>
        <v/>
      </c>
      <c r="J284" s="42">
        <f>MAX(0,MIN(G284+H284-I284,$F284))</f>
        <v/>
      </c>
      <c r="K284" s="42">
        <f>ROUND(G284+H284-I284-J284,2)</f>
        <v/>
      </c>
      <c r="L284">
        <f>$F284-J284</f>
        <v/>
      </c>
      <c r="M284" s="42">
        <f>Q283</f>
        <v/>
      </c>
      <c r="N284" s="42">
        <f>ROUND(M284*N$6/12,2)</f>
        <v/>
      </c>
      <c r="O284" s="42">
        <f>MIN(O$6,M284+N284)</f>
        <v/>
      </c>
      <c r="P284" s="42">
        <f>MAX(0,MIN(M284+N284-O284,L284))</f>
        <v/>
      </c>
      <c r="Q284" s="42">
        <f>ROUND(M284+N284-O284-P284,2)</f>
        <v/>
      </c>
      <c r="R284">
        <f>L284-P284</f>
        <v/>
      </c>
      <c r="S284" s="42">
        <f>W283</f>
        <v/>
      </c>
      <c r="T284" s="42">
        <f>ROUND(S284*T$6/12,2)</f>
        <v/>
      </c>
      <c r="U284" s="42">
        <f>MIN(U$6,S284+T284)</f>
        <v/>
      </c>
      <c r="V284" s="42">
        <f>MAX(0,MIN(S284+T284-U284,R284))</f>
        <v/>
      </c>
      <c r="W284" s="42">
        <f>ROUND(S284+T284-U284-V284,2)</f>
        <v/>
      </c>
      <c r="X284">
        <f>R284-V284</f>
        <v/>
      </c>
      <c r="Y284" s="42">
        <f>AC283</f>
        <v/>
      </c>
      <c r="Z284" s="42">
        <f>ROUND(Y284*Z$6/12,2)</f>
        <v/>
      </c>
      <c r="AA284" s="42">
        <f>MIN(AA$6,Y284+Z284)</f>
        <v/>
      </c>
      <c r="AB284" s="42">
        <f>MAX(0,MIN(Y284+Z284-AA284,X284))</f>
        <v/>
      </c>
      <c r="AC284" s="42">
        <f>ROUND(Y284+Z284-AA284-AB284,2)</f>
        <v/>
      </c>
      <c r="AD284">
        <f>X284-AB284</f>
        <v/>
      </c>
      <c r="AE284" s="42">
        <f>AI283</f>
        <v/>
      </c>
      <c r="AF284" s="42">
        <f>ROUND(AE284*AF$6/12,2)</f>
        <v/>
      </c>
      <c r="AG284" s="42">
        <f>MIN(AG$6,AE284+AF284)</f>
        <v/>
      </c>
      <c r="AH284" s="42">
        <f>MAX(0,MIN(AE284+AF284-AG284,AD284))</f>
        <v/>
      </c>
      <c r="AI284" s="42">
        <f>ROUND(AE284+AF284-AG284-AH284,2)</f>
        <v/>
      </c>
      <c r="AJ284">
        <f>AD284-AH284</f>
        <v/>
      </c>
      <c r="AK284" s="42">
        <f>AO283</f>
        <v/>
      </c>
      <c r="AL284" s="42">
        <f>ROUND(AK284*AL$6/12,2)</f>
        <v/>
      </c>
      <c r="AM284" s="42">
        <f>MIN(AM$6,AK284+AL284)</f>
        <v/>
      </c>
      <c r="AN284" s="42">
        <f>MAX(0,MIN(AK284+AL284-AM284,AJ284))</f>
        <v/>
      </c>
      <c r="AO284" s="42">
        <f>ROUND(AK284+AL284-AM284-AN284,2)</f>
        <v/>
      </c>
      <c r="AP284">
        <f>AJ284-AN284</f>
        <v/>
      </c>
      <c r="AQ284" s="42">
        <f>AU283</f>
        <v/>
      </c>
      <c r="AR284" s="42">
        <f>ROUND(AQ284*AR$6/12,2)</f>
        <v/>
      </c>
      <c r="AS284" s="42">
        <f>MIN(AS$6,AQ284+AR284)</f>
        <v/>
      </c>
      <c r="AT284" s="42">
        <f>MAX(0,MIN(AQ284+AR284-AS284,AP284))</f>
        <v/>
      </c>
      <c r="AU284" s="42">
        <f>ROUND(AQ284+AR284-AS284-AT284,2)</f>
        <v/>
      </c>
      <c r="AV284">
        <f>AP284-AT284</f>
        <v/>
      </c>
      <c r="AW284" s="42">
        <f>BA283</f>
        <v/>
      </c>
      <c r="AX284" s="42">
        <f>ROUND(AW284*AX$6/12,2)</f>
        <v/>
      </c>
      <c r="AY284" s="42">
        <f>MIN(AY$6,AW284+AX284)</f>
        <v/>
      </c>
      <c r="AZ284" s="42">
        <f>MAX(0,MIN(AW284+AX284-AY284,AV284))</f>
        <v/>
      </c>
      <c r="BA284" s="42">
        <f>ROUND(AW284+AX284-AY284-AZ284,2)</f>
        <v/>
      </c>
      <c r="BB284">
        <f>AV284-AZ284</f>
        <v/>
      </c>
      <c r="BC284" s="42">
        <f>BG283</f>
        <v/>
      </c>
      <c r="BD284" s="42">
        <f>ROUND(BC284*BD$6/12,2)</f>
        <v/>
      </c>
      <c r="BE284" s="42">
        <f>MIN(BE$6,BC284+BD284)</f>
        <v/>
      </c>
      <c r="BF284" s="42">
        <f>MAX(0,MIN(BC284+BD284-BE284,BB284))</f>
        <v/>
      </c>
      <c r="BG284" s="42">
        <f>ROUND(BC284+BD284-BE284-BF284,2)</f>
        <v/>
      </c>
      <c r="BH284">
        <f>BB284-BF284</f>
        <v/>
      </c>
      <c r="BI284" s="42">
        <f>BM283</f>
        <v/>
      </c>
      <c r="BJ284" s="42">
        <f>ROUND(BI284*BJ$6/12,2)</f>
        <v/>
      </c>
      <c r="BK284" s="42">
        <f>MIN(BK$6,BI284+BJ284)</f>
        <v/>
      </c>
      <c r="BL284" s="42">
        <f>MAX(0,MIN(BI284+BJ284-BK284,BH284))</f>
        <v/>
      </c>
      <c r="BM284" s="42">
        <f>ROUND(BI284+BJ284-BK284-BL284,2)</f>
        <v/>
      </c>
      <c r="BN284">
        <f>BH284-BL284</f>
        <v/>
      </c>
    </row>
    <row r="285">
      <c r="A285" s="43" t="n">
        <v>278</v>
      </c>
      <c r="B285" s="44">
        <f>EDATE('My Debts'!$C$6,A285-1)</f>
        <v/>
      </c>
      <c r="C285" s="45">
        <f>K285+Q285+W285+AC285+AI285+AO285+AU285+BA285+BG285+BM285</f>
        <v/>
      </c>
      <c r="D285" s="46">
        <f>I285+O285+U285+AA285+AG285+AM285+AS285+AY285+BE285+BK285+J285+P285+V285+AB285+AH285+AN285+AT285+AZ285+BF285+BL285</f>
        <v/>
      </c>
      <c r="E285" s="46">
        <f>H285+N285+T285+Z285+AF285+AL285+AR285+AX285+BD285+BJ285</f>
        <v/>
      </c>
      <c r="F285">
        <f>MAX(0,'My Debts'!$E$21-(I285+O285+U285+AA285+AG285+AM285+AS285+AY285+BE285+BK285))</f>
        <v/>
      </c>
      <c r="G285" s="42">
        <f>K284</f>
        <v/>
      </c>
      <c r="H285" s="42">
        <f>ROUND(G285*H$6/12,2)</f>
        <v/>
      </c>
      <c r="I285" s="42">
        <f>MIN(I$6,G285+H285)</f>
        <v/>
      </c>
      <c r="J285" s="42">
        <f>MAX(0,MIN(G285+H285-I285,$F285))</f>
        <v/>
      </c>
      <c r="K285" s="42">
        <f>ROUND(G285+H285-I285-J285,2)</f>
        <v/>
      </c>
      <c r="L285">
        <f>$F285-J285</f>
        <v/>
      </c>
      <c r="M285" s="42">
        <f>Q284</f>
        <v/>
      </c>
      <c r="N285" s="42">
        <f>ROUND(M285*N$6/12,2)</f>
        <v/>
      </c>
      <c r="O285" s="42">
        <f>MIN(O$6,M285+N285)</f>
        <v/>
      </c>
      <c r="P285" s="42">
        <f>MAX(0,MIN(M285+N285-O285,L285))</f>
        <v/>
      </c>
      <c r="Q285" s="42">
        <f>ROUND(M285+N285-O285-P285,2)</f>
        <v/>
      </c>
      <c r="R285">
        <f>L285-P285</f>
        <v/>
      </c>
      <c r="S285" s="42">
        <f>W284</f>
        <v/>
      </c>
      <c r="T285" s="42">
        <f>ROUND(S285*T$6/12,2)</f>
        <v/>
      </c>
      <c r="U285" s="42">
        <f>MIN(U$6,S285+T285)</f>
        <v/>
      </c>
      <c r="V285" s="42">
        <f>MAX(0,MIN(S285+T285-U285,R285))</f>
        <v/>
      </c>
      <c r="W285" s="42">
        <f>ROUND(S285+T285-U285-V285,2)</f>
        <v/>
      </c>
      <c r="X285">
        <f>R285-V285</f>
        <v/>
      </c>
      <c r="Y285" s="42">
        <f>AC284</f>
        <v/>
      </c>
      <c r="Z285" s="42">
        <f>ROUND(Y285*Z$6/12,2)</f>
        <v/>
      </c>
      <c r="AA285" s="42">
        <f>MIN(AA$6,Y285+Z285)</f>
        <v/>
      </c>
      <c r="AB285" s="42">
        <f>MAX(0,MIN(Y285+Z285-AA285,X285))</f>
        <v/>
      </c>
      <c r="AC285" s="42">
        <f>ROUND(Y285+Z285-AA285-AB285,2)</f>
        <v/>
      </c>
      <c r="AD285">
        <f>X285-AB285</f>
        <v/>
      </c>
      <c r="AE285" s="42">
        <f>AI284</f>
        <v/>
      </c>
      <c r="AF285" s="42">
        <f>ROUND(AE285*AF$6/12,2)</f>
        <v/>
      </c>
      <c r="AG285" s="42">
        <f>MIN(AG$6,AE285+AF285)</f>
        <v/>
      </c>
      <c r="AH285" s="42">
        <f>MAX(0,MIN(AE285+AF285-AG285,AD285))</f>
        <v/>
      </c>
      <c r="AI285" s="42">
        <f>ROUND(AE285+AF285-AG285-AH285,2)</f>
        <v/>
      </c>
      <c r="AJ285">
        <f>AD285-AH285</f>
        <v/>
      </c>
      <c r="AK285" s="42">
        <f>AO284</f>
        <v/>
      </c>
      <c r="AL285" s="42">
        <f>ROUND(AK285*AL$6/12,2)</f>
        <v/>
      </c>
      <c r="AM285" s="42">
        <f>MIN(AM$6,AK285+AL285)</f>
        <v/>
      </c>
      <c r="AN285" s="42">
        <f>MAX(0,MIN(AK285+AL285-AM285,AJ285))</f>
        <v/>
      </c>
      <c r="AO285" s="42">
        <f>ROUND(AK285+AL285-AM285-AN285,2)</f>
        <v/>
      </c>
      <c r="AP285">
        <f>AJ285-AN285</f>
        <v/>
      </c>
      <c r="AQ285" s="42">
        <f>AU284</f>
        <v/>
      </c>
      <c r="AR285" s="42">
        <f>ROUND(AQ285*AR$6/12,2)</f>
        <v/>
      </c>
      <c r="AS285" s="42">
        <f>MIN(AS$6,AQ285+AR285)</f>
        <v/>
      </c>
      <c r="AT285" s="42">
        <f>MAX(0,MIN(AQ285+AR285-AS285,AP285))</f>
        <v/>
      </c>
      <c r="AU285" s="42">
        <f>ROUND(AQ285+AR285-AS285-AT285,2)</f>
        <v/>
      </c>
      <c r="AV285">
        <f>AP285-AT285</f>
        <v/>
      </c>
      <c r="AW285" s="42">
        <f>BA284</f>
        <v/>
      </c>
      <c r="AX285" s="42">
        <f>ROUND(AW285*AX$6/12,2)</f>
        <v/>
      </c>
      <c r="AY285" s="42">
        <f>MIN(AY$6,AW285+AX285)</f>
        <v/>
      </c>
      <c r="AZ285" s="42">
        <f>MAX(0,MIN(AW285+AX285-AY285,AV285))</f>
        <v/>
      </c>
      <c r="BA285" s="42">
        <f>ROUND(AW285+AX285-AY285-AZ285,2)</f>
        <v/>
      </c>
      <c r="BB285">
        <f>AV285-AZ285</f>
        <v/>
      </c>
      <c r="BC285" s="42">
        <f>BG284</f>
        <v/>
      </c>
      <c r="BD285" s="42">
        <f>ROUND(BC285*BD$6/12,2)</f>
        <v/>
      </c>
      <c r="BE285" s="42">
        <f>MIN(BE$6,BC285+BD285)</f>
        <v/>
      </c>
      <c r="BF285" s="42">
        <f>MAX(0,MIN(BC285+BD285-BE285,BB285))</f>
        <v/>
      </c>
      <c r="BG285" s="42">
        <f>ROUND(BC285+BD285-BE285-BF285,2)</f>
        <v/>
      </c>
      <c r="BH285">
        <f>BB285-BF285</f>
        <v/>
      </c>
      <c r="BI285" s="42">
        <f>BM284</f>
        <v/>
      </c>
      <c r="BJ285" s="42">
        <f>ROUND(BI285*BJ$6/12,2)</f>
        <v/>
      </c>
      <c r="BK285" s="42">
        <f>MIN(BK$6,BI285+BJ285)</f>
        <v/>
      </c>
      <c r="BL285" s="42">
        <f>MAX(0,MIN(BI285+BJ285-BK285,BH285))</f>
        <v/>
      </c>
      <c r="BM285" s="42">
        <f>ROUND(BI285+BJ285-BK285-BL285,2)</f>
        <v/>
      </c>
      <c r="BN285">
        <f>BH285-BL285</f>
        <v/>
      </c>
    </row>
    <row r="286">
      <c r="A286" s="39" t="n">
        <v>279</v>
      </c>
      <c r="B286" s="40">
        <f>EDATE('My Debts'!$C$6,A286-1)</f>
        <v/>
      </c>
      <c r="C286" s="41">
        <f>K286+Q286+W286+AC286+AI286+AO286+AU286+BA286+BG286+BM286</f>
        <v/>
      </c>
      <c r="D286" s="42">
        <f>I286+O286+U286+AA286+AG286+AM286+AS286+AY286+BE286+BK286+J286+P286+V286+AB286+AH286+AN286+AT286+AZ286+BF286+BL286</f>
        <v/>
      </c>
      <c r="E286" s="42">
        <f>H286+N286+T286+Z286+AF286+AL286+AR286+AX286+BD286+BJ286</f>
        <v/>
      </c>
      <c r="F286">
        <f>MAX(0,'My Debts'!$E$21-(I286+O286+U286+AA286+AG286+AM286+AS286+AY286+BE286+BK286))</f>
        <v/>
      </c>
      <c r="G286" s="42">
        <f>K285</f>
        <v/>
      </c>
      <c r="H286" s="42">
        <f>ROUND(G286*H$6/12,2)</f>
        <v/>
      </c>
      <c r="I286" s="42">
        <f>MIN(I$6,G286+H286)</f>
        <v/>
      </c>
      <c r="J286" s="42">
        <f>MAX(0,MIN(G286+H286-I286,$F286))</f>
        <v/>
      </c>
      <c r="K286" s="42">
        <f>ROUND(G286+H286-I286-J286,2)</f>
        <v/>
      </c>
      <c r="L286">
        <f>$F286-J286</f>
        <v/>
      </c>
      <c r="M286" s="42">
        <f>Q285</f>
        <v/>
      </c>
      <c r="N286" s="42">
        <f>ROUND(M286*N$6/12,2)</f>
        <v/>
      </c>
      <c r="O286" s="42">
        <f>MIN(O$6,M286+N286)</f>
        <v/>
      </c>
      <c r="P286" s="42">
        <f>MAX(0,MIN(M286+N286-O286,L286))</f>
        <v/>
      </c>
      <c r="Q286" s="42">
        <f>ROUND(M286+N286-O286-P286,2)</f>
        <v/>
      </c>
      <c r="R286">
        <f>L286-P286</f>
        <v/>
      </c>
      <c r="S286" s="42">
        <f>W285</f>
        <v/>
      </c>
      <c r="T286" s="42">
        <f>ROUND(S286*T$6/12,2)</f>
        <v/>
      </c>
      <c r="U286" s="42">
        <f>MIN(U$6,S286+T286)</f>
        <v/>
      </c>
      <c r="V286" s="42">
        <f>MAX(0,MIN(S286+T286-U286,R286))</f>
        <v/>
      </c>
      <c r="W286" s="42">
        <f>ROUND(S286+T286-U286-V286,2)</f>
        <v/>
      </c>
      <c r="X286">
        <f>R286-V286</f>
        <v/>
      </c>
      <c r="Y286" s="42">
        <f>AC285</f>
        <v/>
      </c>
      <c r="Z286" s="42">
        <f>ROUND(Y286*Z$6/12,2)</f>
        <v/>
      </c>
      <c r="AA286" s="42">
        <f>MIN(AA$6,Y286+Z286)</f>
        <v/>
      </c>
      <c r="AB286" s="42">
        <f>MAX(0,MIN(Y286+Z286-AA286,X286))</f>
        <v/>
      </c>
      <c r="AC286" s="42">
        <f>ROUND(Y286+Z286-AA286-AB286,2)</f>
        <v/>
      </c>
      <c r="AD286">
        <f>X286-AB286</f>
        <v/>
      </c>
      <c r="AE286" s="42">
        <f>AI285</f>
        <v/>
      </c>
      <c r="AF286" s="42">
        <f>ROUND(AE286*AF$6/12,2)</f>
        <v/>
      </c>
      <c r="AG286" s="42">
        <f>MIN(AG$6,AE286+AF286)</f>
        <v/>
      </c>
      <c r="AH286" s="42">
        <f>MAX(0,MIN(AE286+AF286-AG286,AD286))</f>
        <v/>
      </c>
      <c r="AI286" s="42">
        <f>ROUND(AE286+AF286-AG286-AH286,2)</f>
        <v/>
      </c>
      <c r="AJ286">
        <f>AD286-AH286</f>
        <v/>
      </c>
      <c r="AK286" s="42">
        <f>AO285</f>
        <v/>
      </c>
      <c r="AL286" s="42">
        <f>ROUND(AK286*AL$6/12,2)</f>
        <v/>
      </c>
      <c r="AM286" s="42">
        <f>MIN(AM$6,AK286+AL286)</f>
        <v/>
      </c>
      <c r="AN286" s="42">
        <f>MAX(0,MIN(AK286+AL286-AM286,AJ286))</f>
        <v/>
      </c>
      <c r="AO286" s="42">
        <f>ROUND(AK286+AL286-AM286-AN286,2)</f>
        <v/>
      </c>
      <c r="AP286">
        <f>AJ286-AN286</f>
        <v/>
      </c>
      <c r="AQ286" s="42">
        <f>AU285</f>
        <v/>
      </c>
      <c r="AR286" s="42">
        <f>ROUND(AQ286*AR$6/12,2)</f>
        <v/>
      </c>
      <c r="AS286" s="42">
        <f>MIN(AS$6,AQ286+AR286)</f>
        <v/>
      </c>
      <c r="AT286" s="42">
        <f>MAX(0,MIN(AQ286+AR286-AS286,AP286))</f>
        <v/>
      </c>
      <c r="AU286" s="42">
        <f>ROUND(AQ286+AR286-AS286-AT286,2)</f>
        <v/>
      </c>
      <c r="AV286">
        <f>AP286-AT286</f>
        <v/>
      </c>
      <c r="AW286" s="42">
        <f>BA285</f>
        <v/>
      </c>
      <c r="AX286" s="42">
        <f>ROUND(AW286*AX$6/12,2)</f>
        <v/>
      </c>
      <c r="AY286" s="42">
        <f>MIN(AY$6,AW286+AX286)</f>
        <v/>
      </c>
      <c r="AZ286" s="42">
        <f>MAX(0,MIN(AW286+AX286-AY286,AV286))</f>
        <v/>
      </c>
      <c r="BA286" s="42">
        <f>ROUND(AW286+AX286-AY286-AZ286,2)</f>
        <v/>
      </c>
      <c r="BB286">
        <f>AV286-AZ286</f>
        <v/>
      </c>
      <c r="BC286" s="42">
        <f>BG285</f>
        <v/>
      </c>
      <c r="BD286" s="42">
        <f>ROUND(BC286*BD$6/12,2)</f>
        <v/>
      </c>
      <c r="BE286" s="42">
        <f>MIN(BE$6,BC286+BD286)</f>
        <v/>
      </c>
      <c r="BF286" s="42">
        <f>MAX(0,MIN(BC286+BD286-BE286,BB286))</f>
        <v/>
      </c>
      <c r="BG286" s="42">
        <f>ROUND(BC286+BD286-BE286-BF286,2)</f>
        <v/>
      </c>
      <c r="BH286">
        <f>BB286-BF286</f>
        <v/>
      </c>
      <c r="BI286" s="42">
        <f>BM285</f>
        <v/>
      </c>
      <c r="BJ286" s="42">
        <f>ROUND(BI286*BJ$6/12,2)</f>
        <v/>
      </c>
      <c r="BK286" s="42">
        <f>MIN(BK$6,BI286+BJ286)</f>
        <v/>
      </c>
      <c r="BL286" s="42">
        <f>MAX(0,MIN(BI286+BJ286-BK286,BH286))</f>
        <v/>
      </c>
      <c r="BM286" s="42">
        <f>ROUND(BI286+BJ286-BK286-BL286,2)</f>
        <v/>
      </c>
      <c r="BN286">
        <f>BH286-BL286</f>
        <v/>
      </c>
    </row>
    <row r="287">
      <c r="A287" s="43" t="n">
        <v>280</v>
      </c>
      <c r="B287" s="44">
        <f>EDATE('My Debts'!$C$6,A287-1)</f>
        <v/>
      </c>
      <c r="C287" s="45">
        <f>K287+Q287+W287+AC287+AI287+AO287+AU287+BA287+BG287+BM287</f>
        <v/>
      </c>
      <c r="D287" s="46">
        <f>I287+O287+U287+AA287+AG287+AM287+AS287+AY287+BE287+BK287+J287+P287+V287+AB287+AH287+AN287+AT287+AZ287+BF287+BL287</f>
        <v/>
      </c>
      <c r="E287" s="46">
        <f>H287+N287+T287+Z287+AF287+AL287+AR287+AX287+BD287+BJ287</f>
        <v/>
      </c>
      <c r="F287">
        <f>MAX(0,'My Debts'!$E$21-(I287+O287+U287+AA287+AG287+AM287+AS287+AY287+BE287+BK287))</f>
        <v/>
      </c>
      <c r="G287" s="42">
        <f>K286</f>
        <v/>
      </c>
      <c r="H287" s="42">
        <f>ROUND(G287*H$6/12,2)</f>
        <v/>
      </c>
      <c r="I287" s="42">
        <f>MIN(I$6,G287+H287)</f>
        <v/>
      </c>
      <c r="J287" s="42">
        <f>MAX(0,MIN(G287+H287-I287,$F287))</f>
        <v/>
      </c>
      <c r="K287" s="42">
        <f>ROUND(G287+H287-I287-J287,2)</f>
        <v/>
      </c>
      <c r="L287">
        <f>$F287-J287</f>
        <v/>
      </c>
      <c r="M287" s="42">
        <f>Q286</f>
        <v/>
      </c>
      <c r="N287" s="42">
        <f>ROUND(M287*N$6/12,2)</f>
        <v/>
      </c>
      <c r="O287" s="42">
        <f>MIN(O$6,M287+N287)</f>
        <v/>
      </c>
      <c r="P287" s="42">
        <f>MAX(0,MIN(M287+N287-O287,L287))</f>
        <v/>
      </c>
      <c r="Q287" s="42">
        <f>ROUND(M287+N287-O287-P287,2)</f>
        <v/>
      </c>
      <c r="R287">
        <f>L287-P287</f>
        <v/>
      </c>
      <c r="S287" s="42">
        <f>W286</f>
        <v/>
      </c>
      <c r="T287" s="42">
        <f>ROUND(S287*T$6/12,2)</f>
        <v/>
      </c>
      <c r="U287" s="42">
        <f>MIN(U$6,S287+T287)</f>
        <v/>
      </c>
      <c r="V287" s="42">
        <f>MAX(0,MIN(S287+T287-U287,R287))</f>
        <v/>
      </c>
      <c r="W287" s="42">
        <f>ROUND(S287+T287-U287-V287,2)</f>
        <v/>
      </c>
      <c r="X287">
        <f>R287-V287</f>
        <v/>
      </c>
      <c r="Y287" s="42">
        <f>AC286</f>
        <v/>
      </c>
      <c r="Z287" s="42">
        <f>ROUND(Y287*Z$6/12,2)</f>
        <v/>
      </c>
      <c r="AA287" s="42">
        <f>MIN(AA$6,Y287+Z287)</f>
        <v/>
      </c>
      <c r="AB287" s="42">
        <f>MAX(0,MIN(Y287+Z287-AA287,X287))</f>
        <v/>
      </c>
      <c r="AC287" s="42">
        <f>ROUND(Y287+Z287-AA287-AB287,2)</f>
        <v/>
      </c>
      <c r="AD287">
        <f>X287-AB287</f>
        <v/>
      </c>
      <c r="AE287" s="42">
        <f>AI286</f>
        <v/>
      </c>
      <c r="AF287" s="42">
        <f>ROUND(AE287*AF$6/12,2)</f>
        <v/>
      </c>
      <c r="AG287" s="42">
        <f>MIN(AG$6,AE287+AF287)</f>
        <v/>
      </c>
      <c r="AH287" s="42">
        <f>MAX(0,MIN(AE287+AF287-AG287,AD287))</f>
        <v/>
      </c>
      <c r="AI287" s="42">
        <f>ROUND(AE287+AF287-AG287-AH287,2)</f>
        <v/>
      </c>
      <c r="AJ287">
        <f>AD287-AH287</f>
        <v/>
      </c>
      <c r="AK287" s="42">
        <f>AO286</f>
        <v/>
      </c>
      <c r="AL287" s="42">
        <f>ROUND(AK287*AL$6/12,2)</f>
        <v/>
      </c>
      <c r="AM287" s="42">
        <f>MIN(AM$6,AK287+AL287)</f>
        <v/>
      </c>
      <c r="AN287" s="42">
        <f>MAX(0,MIN(AK287+AL287-AM287,AJ287))</f>
        <v/>
      </c>
      <c r="AO287" s="42">
        <f>ROUND(AK287+AL287-AM287-AN287,2)</f>
        <v/>
      </c>
      <c r="AP287">
        <f>AJ287-AN287</f>
        <v/>
      </c>
      <c r="AQ287" s="42">
        <f>AU286</f>
        <v/>
      </c>
      <c r="AR287" s="42">
        <f>ROUND(AQ287*AR$6/12,2)</f>
        <v/>
      </c>
      <c r="AS287" s="42">
        <f>MIN(AS$6,AQ287+AR287)</f>
        <v/>
      </c>
      <c r="AT287" s="42">
        <f>MAX(0,MIN(AQ287+AR287-AS287,AP287))</f>
        <v/>
      </c>
      <c r="AU287" s="42">
        <f>ROUND(AQ287+AR287-AS287-AT287,2)</f>
        <v/>
      </c>
      <c r="AV287">
        <f>AP287-AT287</f>
        <v/>
      </c>
      <c r="AW287" s="42">
        <f>BA286</f>
        <v/>
      </c>
      <c r="AX287" s="42">
        <f>ROUND(AW287*AX$6/12,2)</f>
        <v/>
      </c>
      <c r="AY287" s="42">
        <f>MIN(AY$6,AW287+AX287)</f>
        <v/>
      </c>
      <c r="AZ287" s="42">
        <f>MAX(0,MIN(AW287+AX287-AY287,AV287))</f>
        <v/>
      </c>
      <c r="BA287" s="42">
        <f>ROUND(AW287+AX287-AY287-AZ287,2)</f>
        <v/>
      </c>
      <c r="BB287">
        <f>AV287-AZ287</f>
        <v/>
      </c>
      <c r="BC287" s="42">
        <f>BG286</f>
        <v/>
      </c>
      <c r="BD287" s="42">
        <f>ROUND(BC287*BD$6/12,2)</f>
        <v/>
      </c>
      <c r="BE287" s="42">
        <f>MIN(BE$6,BC287+BD287)</f>
        <v/>
      </c>
      <c r="BF287" s="42">
        <f>MAX(0,MIN(BC287+BD287-BE287,BB287))</f>
        <v/>
      </c>
      <c r="BG287" s="42">
        <f>ROUND(BC287+BD287-BE287-BF287,2)</f>
        <v/>
      </c>
      <c r="BH287">
        <f>BB287-BF287</f>
        <v/>
      </c>
      <c r="BI287" s="42">
        <f>BM286</f>
        <v/>
      </c>
      <c r="BJ287" s="42">
        <f>ROUND(BI287*BJ$6/12,2)</f>
        <v/>
      </c>
      <c r="BK287" s="42">
        <f>MIN(BK$6,BI287+BJ287)</f>
        <v/>
      </c>
      <c r="BL287" s="42">
        <f>MAX(0,MIN(BI287+BJ287-BK287,BH287))</f>
        <v/>
      </c>
      <c r="BM287" s="42">
        <f>ROUND(BI287+BJ287-BK287-BL287,2)</f>
        <v/>
      </c>
      <c r="BN287">
        <f>BH287-BL287</f>
        <v/>
      </c>
    </row>
    <row r="288">
      <c r="A288" s="39" t="n">
        <v>281</v>
      </c>
      <c r="B288" s="40">
        <f>EDATE('My Debts'!$C$6,A288-1)</f>
        <v/>
      </c>
      <c r="C288" s="41">
        <f>K288+Q288+W288+AC288+AI288+AO288+AU288+BA288+BG288+BM288</f>
        <v/>
      </c>
      <c r="D288" s="42">
        <f>I288+O288+U288+AA288+AG288+AM288+AS288+AY288+BE288+BK288+J288+P288+V288+AB288+AH288+AN288+AT288+AZ288+BF288+BL288</f>
        <v/>
      </c>
      <c r="E288" s="42">
        <f>H288+N288+T288+Z288+AF288+AL288+AR288+AX288+BD288+BJ288</f>
        <v/>
      </c>
      <c r="F288">
        <f>MAX(0,'My Debts'!$E$21-(I288+O288+U288+AA288+AG288+AM288+AS288+AY288+BE288+BK288))</f>
        <v/>
      </c>
      <c r="G288" s="42">
        <f>K287</f>
        <v/>
      </c>
      <c r="H288" s="42">
        <f>ROUND(G288*H$6/12,2)</f>
        <v/>
      </c>
      <c r="I288" s="42">
        <f>MIN(I$6,G288+H288)</f>
        <v/>
      </c>
      <c r="J288" s="42">
        <f>MAX(0,MIN(G288+H288-I288,$F288))</f>
        <v/>
      </c>
      <c r="K288" s="42">
        <f>ROUND(G288+H288-I288-J288,2)</f>
        <v/>
      </c>
      <c r="L288">
        <f>$F288-J288</f>
        <v/>
      </c>
      <c r="M288" s="42">
        <f>Q287</f>
        <v/>
      </c>
      <c r="N288" s="42">
        <f>ROUND(M288*N$6/12,2)</f>
        <v/>
      </c>
      <c r="O288" s="42">
        <f>MIN(O$6,M288+N288)</f>
        <v/>
      </c>
      <c r="P288" s="42">
        <f>MAX(0,MIN(M288+N288-O288,L288))</f>
        <v/>
      </c>
      <c r="Q288" s="42">
        <f>ROUND(M288+N288-O288-P288,2)</f>
        <v/>
      </c>
      <c r="R288">
        <f>L288-P288</f>
        <v/>
      </c>
      <c r="S288" s="42">
        <f>W287</f>
        <v/>
      </c>
      <c r="T288" s="42">
        <f>ROUND(S288*T$6/12,2)</f>
        <v/>
      </c>
      <c r="U288" s="42">
        <f>MIN(U$6,S288+T288)</f>
        <v/>
      </c>
      <c r="V288" s="42">
        <f>MAX(0,MIN(S288+T288-U288,R288))</f>
        <v/>
      </c>
      <c r="W288" s="42">
        <f>ROUND(S288+T288-U288-V288,2)</f>
        <v/>
      </c>
      <c r="X288">
        <f>R288-V288</f>
        <v/>
      </c>
      <c r="Y288" s="42">
        <f>AC287</f>
        <v/>
      </c>
      <c r="Z288" s="42">
        <f>ROUND(Y288*Z$6/12,2)</f>
        <v/>
      </c>
      <c r="AA288" s="42">
        <f>MIN(AA$6,Y288+Z288)</f>
        <v/>
      </c>
      <c r="AB288" s="42">
        <f>MAX(0,MIN(Y288+Z288-AA288,X288))</f>
        <v/>
      </c>
      <c r="AC288" s="42">
        <f>ROUND(Y288+Z288-AA288-AB288,2)</f>
        <v/>
      </c>
      <c r="AD288">
        <f>X288-AB288</f>
        <v/>
      </c>
      <c r="AE288" s="42">
        <f>AI287</f>
        <v/>
      </c>
      <c r="AF288" s="42">
        <f>ROUND(AE288*AF$6/12,2)</f>
        <v/>
      </c>
      <c r="AG288" s="42">
        <f>MIN(AG$6,AE288+AF288)</f>
        <v/>
      </c>
      <c r="AH288" s="42">
        <f>MAX(0,MIN(AE288+AF288-AG288,AD288))</f>
        <v/>
      </c>
      <c r="AI288" s="42">
        <f>ROUND(AE288+AF288-AG288-AH288,2)</f>
        <v/>
      </c>
      <c r="AJ288">
        <f>AD288-AH288</f>
        <v/>
      </c>
      <c r="AK288" s="42">
        <f>AO287</f>
        <v/>
      </c>
      <c r="AL288" s="42">
        <f>ROUND(AK288*AL$6/12,2)</f>
        <v/>
      </c>
      <c r="AM288" s="42">
        <f>MIN(AM$6,AK288+AL288)</f>
        <v/>
      </c>
      <c r="AN288" s="42">
        <f>MAX(0,MIN(AK288+AL288-AM288,AJ288))</f>
        <v/>
      </c>
      <c r="AO288" s="42">
        <f>ROUND(AK288+AL288-AM288-AN288,2)</f>
        <v/>
      </c>
      <c r="AP288">
        <f>AJ288-AN288</f>
        <v/>
      </c>
      <c r="AQ288" s="42">
        <f>AU287</f>
        <v/>
      </c>
      <c r="AR288" s="42">
        <f>ROUND(AQ288*AR$6/12,2)</f>
        <v/>
      </c>
      <c r="AS288" s="42">
        <f>MIN(AS$6,AQ288+AR288)</f>
        <v/>
      </c>
      <c r="AT288" s="42">
        <f>MAX(0,MIN(AQ288+AR288-AS288,AP288))</f>
        <v/>
      </c>
      <c r="AU288" s="42">
        <f>ROUND(AQ288+AR288-AS288-AT288,2)</f>
        <v/>
      </c>
      <c r="AV288">
        <f>AP288-AT288</f>
        <v/>
      </c>
      <c r="AW288" s="42">
        <f>BA287</f>
        <v/>
      </c>
      <c r="AX288" s="42">
        <f>ROUND(AW288*AX$6/12,2)</f>
        <v/>
      </c>
      <c r="AY288" s="42">
        <f>MIN(AY$6,AW288+AX288)</f>
        <v/>
      </c>
      <c r="AZ288" s="42">
        <f>MAX(0,MIN(AW288+AX288-AY288,AV288))</f>
        <v/>
      </c>
      <c r="BA288" s="42">
        <f>ROUND(AW288+AX288-AY288-AZ288,2)</f>
        <v/>
      </c>
      <c r="BB288">
        <f>AV288-AZ288</f>
        <v/>
      </c>
      <c r="BC288" s="42">
        <f>BG287</f>
        <v/>
      </c>
      <c r="BD288" s="42">
        <f>ROUND(BC288*BD$6/12,2)</f>
        <v/>
      </c>
      <c r="BE288" s="42">
        <f>MIN(BE$6,BC288+BD288)</f>
        <v/>
      </c>
      <c r="BF288" s="42">
        <f>MAX(0,MIN(BC288+BD288-BE288,BB288))</f>
        <v/>
      </c>
      <c r="BG288" s="42">
        <f>ROUND(BC288+BD288-BE288-BF288,2)</f>
        <v/>
      </c>
      <c r="BH288">
        <f>BB288-BF288</f>
        <v/>
      </c>
      <c r="BI288" s="42">
        <f>BM287</f>
        <v/>
      </c>
      <c r="BJ288" s="42">
        <f>ROUND(BI288*BJ$6/12,2)</f>
        <v/>
      </c>
      <c r="BK288" s="42">
        <f>MIN(BK$6,BI288+BJ288)</f>
        <v/>
      </c>
      <c r="BL288" s="42">
        <f>MAX(0,MIN(BI288+BJ288-BK288,BH288))</f>
        <v/>
      </c>
      <c r="BM288" s="42">
        <f>ROUND(BI288+BJ288-BK288-BL288,2)</f>
        <v/>
      </c>
      <c r="BN288">
        <f>BH288-BL288</f>
        <v/>
      </c>
    </row>
    <row r="289">
      <c r="A289" s="43" t="n">
        <v>282</v>
      </c>
      <c r="B289" s="44">
        <f>EDATE('My Debts'!$C$6,A289-1)</f>
        <v/>
      </c>
      <c r="C289" s="45">
        <f>K289+Q289+W289+AC289+AI289+AO289+AU289+BA289+BG289+BM289</f>
        <v/>
      </c>
      <c r="D289" s="46">
        <f>I289+O289+U289+AA289+AG289+AM289+AS289+AY289+BE289+BK289+J289+P289+V289+AB289+AH289+AN289+AT289+AZ289+BF289+BL289</f>
        <v/>
      </c>
      <c r="E289" s="46">
        <f>H289+N289+T289+Z289+AF289+AL289+AR289+AX289+BD289+BJ289</f>
        <v/>
      </c>
      <c r="F289">
        <f>MAX(0,'My Debts'!$E$21-(I289+O289+U289+AA289+AG289+AM289+AS289+AY289+BE289+BK289))</f>
        <v/>
      </c>
      <c r="G289" s="42">
        <f>K288</f>
        <v/>
      </c>
      <c r="H289" s="42">
        <f>ROUND(G289*H$6/12,2)</f>
        <v/>
      </c>
      <c r="I289" s="42">
        <f>MIN(I$6,G289+H289)</f>
        <v/>
      </c>
      <c r="J289" s="42">
        <f>MAX(0,MIN(G289+H289-I289,$F289))</f>
        <v/>
      </c>
      <c r="K289" s="42">
        <f>ROUND(G289+H289-I289-J289,2)</f>
        <v/>
      </c>
      <c r="L289">
        <f>$F289-J289</f>
        <v/>
      </c>
      <c r="M289" s="42">
        <f>Q288</f>
        <v/>
      </c>
      <c r="N289" s="42">
        <f>ROUND(M289*N$6/12,2)</f>
        <v/>
      </c>
      <c r="O289" s="42">
        <f>MIN(O$6,M289+N289)</f>
        <v/>
      </c>
      <c r="P289" s="42">
        <f>MAX(0,MIN(M289+N289-O289,L289))</f>
        <v/>
      </c>
      <c r="Q289" s="42">
        <f>ROUND(M289+N289-O289-P289,2)</f>
        <v/>
      </c>
      <c r="R289">
        <f>L289-P289</f>
        <v/>
      </c>
      <c r="S289" s="42">
        <f>W288</f>
        <v/>
      </c>
      <c r="T289" s="42">
        <f>ROUND(S289*T$6/12,2)</f>
        <v/>
      </c>
      <c r="U289" s="42">
        <f>MIN(U$6,S289+T289)</f>
        <v/>
      </c>
      <c r="V289" s="42">
        <f>MAX(0,MIN(S289+T289-U289,R289))</f>
        <v/>
      </c>
      <c r="W289" s="42">
        <f>ROUND(S289+T289-U289-V289,2)</f>
        <v/>
      </c>
      <c r="X289">
        <f>R289-V289</f>
        <v/>
      </c>
      <c r="Y289" s="42">
        <f>AC288</f>
        <v/>
      </c>
      <c r="Z289" s="42">
        <f>ROUND(Y289*Z$6/12,2)</f>
        <v/>
      </c>
      <c r="AA289" s="42">
        <f>MIN(AA$6,Y289+Z289)</f>
        <v/>
      </c>
      <c r="AB289" s="42">
        <f>MAX(0,MIN(Y289+Z289-AA289,X289))</f>
        <v/>
      </c>
      <c r="AC289" s="42">
        <f>ROUND(Y289+Z289-AA289-AB289,2)</f>
        <v/>
      </c>
      <c r="AD289">
        <f>X289-AB289</f>
        <v/>
      </c>
      <c r="AE289" s="42">
        <f>AI288</f>
        <v/>
      </c>
      <c r="AF289" s="42">
        <f>ROUND(AE289*AF$6/12,2)</f>
        <v/>
      </c>
      <c r="AG289" s="42">
        <f>MIN(AG$6,AE289+AF289)</f>
        <v/>
      </c>
      <c r="AH289" s="42">
        <f>MAX(0,MIN(AE289+AF289-AG289,AD289))</f>
        <v/>
      </c>
      <c r="AI289" s="42">
        <f>ROUND(AE289+AF289-AG289-AH289,2)</f>
        <v/>
      </c>
      <c r="AJ289">
        <f>AD289-AH289</f>
        <v/>
      </c>
      <c r="AK289" s="42">
        <f>AO288</f>
        <v/>
      </c>
      <c r="AL289" s="42">
        <f>ROUND(AK289*AL$6/12,2)</f>
        <v/>
      </c>
      <c r="AM289" s="42">
        <f>MIN(AM$6,AK289+AL289)</f>
        <v/>
      </c>
      <c r="AN289" s="42">
        <f>MAX(0,MIN(AK289+AL289-AM289,AJ289))</f>
        <v/>
      </c>
      <c r="AO289" s="42">
        <f>ROUND(AK289+AL289-AM289-AN289,2)</f>
        <v/>
      </c>
      <c r="AP289">
        <f>AJ289-AN289</f>
        <v/>
      </c>
      <c r="AQ289" s="42">
        <f>AU288</f>
        <v/>
      </c>
      <c r="AR289" s="42">
        <f>ROUND(AQ289*AR$6/12,2)</f>
        <v/>
      </c>
      <c r="AS289" s="42">
        <f>MIN(AS$6,AQ289+AR289)</f>
        <v/>
      </c>
      <c r="AT289" s="42">
        <f>MAX(0,MIN(AQ289+AR289-AS289,AP289))</f>
        <v/>
      </c>
      <c r="AU289" s="42">
        <f>ROUND(AQ289+AR289-AS289-AT289,2)</f>
        <v/>
      </c>
      <c r="AV289">
        <f>AP289-AT289</f>
        <v/>
      </c>
      <c r="AW289" s="42">
        <f>BA288</f>
        <v/>
      </c>
      <c r="AX289" s="42">
        <f>ROUND(AW289*AX$6/12,2)</f>
        <v/>
      </c>
      <c r="AY289" s="42">
        <f>MIN(AY$6,AW289+AX289)</f>
        <v/>
      </c>
      <c r="AZ289" s="42">
        <f>MAX(0,MIN(AW289+AX289-AY289,AV289))</f>
        <v/>
      </c>
      <c r="BA289" s="42">
        <f>ROUND(AW289+AX289-AY289-AZ289,2)</f>
        <v/>
      </c>
      <c r="BB289">
        <f>AV289-AZ289</f>
        <v/>
      </c>
      <c r="BC289" s="42">
        <f>BG288</f>
        <v/>
      </c>
      <c r="BD289" s="42">
        <f>ROUND(BC289*BD$6/12,2)</f>
        <v/>
      </c>
      <c r="BE289" s="42">
        <f>MIN(BE$6,BC289+BD289)</f>
        <v/>
      </c>
      <c r="BF289" s="42">
        <f>MAX(0,MIN(BC289+BD289-BE289,BB289))</f>
        <v/>
      </c>
      <c r="BG289" s="42">
        <f>ROUND(BC289+BD289-BE289-BF289,2)</f>
        <v/>
      </c>
      <c r="BH289">
        <f>BB289-BF289</f>
        <v/>
      </c>
      <c r="BI289" s="42">
        <f>BM288</f>
        <v/>
      </c>
      <c r="BJ289" s="42">
        <f>ROUND(BI289*BJ$6/12,2)</f>
        <v/>
      </c>
      <c r="BK289" s="42">
        <f>MIN(BK$6,BI289+BJ289)</f>
        <v/>
      </c>
      <c r="BL289" s="42">
        <f>MAX(0,MIN(BI289+BJ289-BK289,BH289))</f>
        <v/>
      </c>
      <c r="BM289" s="42">
        <f>ROUND(BI289+BJ289-BK289-BL289,2)</f>
        <v/>
      </c>
      <c r="BN289">
        <f>BH289-BL289</f>
        <v/>
      </c>
    </row>
    <row r="290">
      <c r="A290" s="39" t="n">
        <v>283</v>
      </c>
      <c r="B290" s="40">
        <f>EDATE('My Debts'!$C$6,A290-1)</f>
        <v/>
      </c>
      <c r="C290" s="41">
        <f>K290+Q290+W290+AC290+AI290+AO290+AU290+BA290+BG290+BM290</f>
        <v/>
      </c>
      <c r="D290" s="42">
        <f>I290+O290+U290+AA290+AG290+AM290+AS290+AY290+BE290+BK290+J290+P290+V290+AB290+AH290+AN290+AT290+AZ290+BF290+BL290</f>
        <v/>
      </c>
      <c r="E290" s="42">
        <f>H290+N290+T290+Z290+AF290+AL290+AR290+AX290+BD290+BJ290</f>
        <v/>
      </c>
      <c r="F290">
        <f>MAX(0,'My Debts'!$E$21-(I290+O290+U290+AA290+AG290+AM290+AS290+AY290+BE290+BK290))</f>
        <v/>
      </c>
      <c r="G290" s="42">
        <f>K289</f>
        <v/>
      </c>
      <c r="H290" s="42">
        <f>ROUND(G290*H$6/12,2)</f>
        <v/>
      </c>
      <c r="I290" s="42">
        <f>MIN(I$6,G290+H290)</f>
        <v/>
      </c>
      <c r="J290" s="42">
        <f>MAX(0,MIN(G290+H290-I290,$F290))</f>
        <v/>
      </c>
      <c r="K290" s="42">
        <f>ROUND(G290+H290-I290-J290,2)</f>
        <v/>
      </c>
      <c r="L290">
        <f>$F290-J290</f>
        <v/>
      </c>
      <c r="M290" s="42">
        <f>Q289</f>
        <v/>
      </c>
      <c r="N290" s="42">
        <f>ROUND(M290*N$6/12,2)</f>
        <v/>
      </c>
      <c r="O290" s="42">
        <f>MIN(O$6,M290+N290)</f>
        <v/>
      </c>
      <c r="P290" s="42">
        <f>MAX(0,MIN(M290+N290-O290,L290))</f>
        <v/>
      </c>
      <c r="Q290" s="42">
        <f>ROUND(M290+N290-O290-P290,2)</f>
        <v/>
      </c>
      <c r="R290">
        <f>L290-P290</f>
        <v/>
      </c>
      <c r="S290" s="42">
        <f>W289</f>
        <v/>
      </c>
      <c r="T290" s="42">
        <f>ROUND(S290*T$6/12,2)</f>
        <v/>
      </c>
      <c r="U290" s="42">
        <f>MIN(U$6,S290+T290)</f>
        <v/>
      </c>
      <c r="V290" s="42">
        <f>MAX(0,MIN(S290+T290-U290,R290))</f>
        <v/>
      </c>
      <c r="W290" s="42">
        <f>ROUND(S290+T290-U290-V290,2)</f>
        <v/>
      </c>
      <c r="X290">
        <f>R290-V290</f>
        <v/>
      </c>
      <c r="Y290" s="42">
        <f>AC289</f>
        <v/>
      </c>
      <c r="Z290" s="42">
        <f>ROUND(Y290*Z$6/12,2)</f>
        <v/>
      </c>
      <c r="AA290" s="42">
        <f>MIN(AA$6,Y290+Z290)</f>
        <v/>
      </c>
      <c r="AB290" s="42">
        <f>MAX(0,MIN(Y290+Z290-AA290,X290))</f>
        <v/>
      </c>
      <c r="AC290" s="42">
        <f>ROUND(Y290+Z290-AA290-AB290,2)</f>
        <v/>
      </c>
      <c r="AD290">
        <f>X290-AB290</f>
        <v/>
      </c>
      <c r="AE290" s="42">
        <f>AI289</f>
        <v/>
      </c>
      <c r="AF290" s="42">
        <f>ROUND(AE290*AF$6/12,2)</f>
        <v/>
      </c>
      <c r="AG290" s="42">
        <f>MIN(AG$6,AE290+AF290)</f>
        <v/>
      </c>
      <c r="AH290" s="42">
        <f>MAX(0,MIN(AE290+AF290-AG290,AD290))</f>
        <v/>
      </c>
      <c r="AI290" s="42">
        <f>ROUND(AE290+AF290-AG290-AH290,2)</f>
        <v/>
      </c>
      <c r="AJ290">
        <f>AD290-AH290</f>
        <v/>
      </c>
      <c r="AK290" s="42">
        <f>AO289</f>
        <v/>
      </c>
      <c r="AL290" s="42">
        <f>ROUND(AK290*AL$6/12,2)</f>
        <v/>
      </c>
      <c r="AM290" s="42">
        <f>MIN(AM$6,AK290+AL290)</f>
        <v/>
      </c>
      <c r="AN290" s="42">
        <f>MAX(0,MIN(AK290+AL290-AM290,AJ290))</f>
        <v/>
      </c>
      <c r="AO290" s="42">
        <f>ROUND(AK290+AL290-AM290-AN290,2)</f>
        <v/>
      </c>
      <c r="AP290">
        <f>AJ290-AN290</f>
        <v/>
      </c>
      <c r="AQ290" s="42">
        <f>AU289</f>
        <v/>
      </c>
      <c r="AR290" s="42">
        <f>ROUND(AQ290*AR$6/12,2)</f>
        <v/>
      </c>
      <c r="AS290" s="42">
        <f>MIN(AS$6,AQ290+AR290)</f>
        <v/>
      </c>
      <c r="AT290" s="42">
        <f>MAX(0,MIN(AQ290+AR290-AS290,AP290))</f>
        <v/>
      </c>
      <c r="AU290" s="42">
        <f>ROUND(AQ290+AR290-AS290-AT290,2)</f>
        <v/>
      </c>
      <c r="AV290">
        <f>AP290-AT290</f>
        <v/>
      </c>
      <c r="AW290" s="42">
        <f>BA289</f>
        <v/>
      </c>
      <c r="AX290" s="42">
        <f>ROUND(AW290*AX$6/12,2)</f>
        <v/>
      </c>
      <c r="AY290" s="42">
        <f>MIN(AY$6,AW290+AX290)</f>
        <v/>
      </c>
      <c r="AZ290" s="42">
        <f>MAX(0,MIN(AW290+AX290-AY290,AV290))</f>
        <v/>
      </c>
      <c r="BA290" s="42">
        <f>ROUND(AW290+AX290-AY290-AZ290,2)</f>
        <v/>
      </c>
      <c r="BB290">
        <f>AV290-AZ290</f>
        <v/>
      </c>
      <c r="BC290" s="42">
        <f>BG289</f>
        <v/>
      </c>
      <c r="BD290" s="42">
        <f>ROUND(BC290*BD$6/12,2)</f>
        <v/>
      </c>
      <c r="BE290" s="42">
        <f>MIN(BE$6,BC290+BD290)</f>
        <v/>
      </c>
      <c r="BF290" s="42">
        <f>MAX(0,MIN(BC290+BD290-BE290,BB290))</f>
        <v/>
      </c>
      <c r="BG290" s="42">
        <f>ROUND(BC290+BD290-BE290-BF290,2)</f>
        <v/>
      </c>
      <c r="BH290">
        <f>BB290-BF290</f>
        <v/>
      </c>
      <c r="BI290" s="42">
        <f>BM289</f>
        <v/>
      </c>
      <c r="BJ290" s="42">
        <f>ROUND(BI290*BJ$6/12,2)</f>
        <v/>
      </c>
      <c r="BK290" s="42">
        <f>MIN(BK$6,BI290+BJ290)</f>
        <v/>
      </c>
      <c r="BL290" s="42">
        <f>MAX(0,MIN(BI290+BJ290-BK290,BH290))</f>
        <v/>
      </c>
      <c r="BM290" s="42">
        <f>ROUND(BI290+BJ290-BK290-BL290,2)</f>
        <v/>
      </c>
      <c r="BN290">
        <f>BH290-BL290</f>
        <v/>
      </c>
    </row>
    <row r="291">
      <c r="A291" s="43" t="n">
        <v>284</v>
      </c>
      <c r="B291" s="44">
        <f>EDATE('My Debts'!$C$6,A291-1)</f>
        <v/>
      </c>
      <c r="C291" s="45">
        <f>K291+Q291+W291+AC291+AI291+AO291+AU291+BA291+BG291+BM291</f>
        <v/>
      </c>
      <c r="D291" s="46">
        <f>I291+O291+U291+AA291+AG291+AM291+AS291+AY291+BE291+BK291+J291+P291+V291+AB291+AH291+AN291+AT291+AZ291+BF291+BL291</f>
        <v/>
      </c>
      <c r="E291" s="46">
        <f>H291+N291+T291+Z291+AF291+AL291+AR291+AX291+BD291+BJ291</f>
        <v/>
      </c>
      <c r="F291">
        <f>MAX(0,'My Debts'!$E$21-(I291+O291+U291+AA291+AG291+AM291+AS291+AY291+BE291+BK291))</f>
        <v/>
      </c>
      <c r="G291" s="42">
        <f>K290</f>
        <v/>
      </c>
      <c r="H291" s="42">
        <f>ROUND(G291*H$6/12,2)</f>
        <v/>
      </c>
      <c r="I291" s="42">
        <f>MIN(I$6,G291+H291)</f>
        <v/>
      </c>
      <c r="J291" s="42">
        <f>MAX(0,MIN(G291+H291-I291,$F291))</f>
        <v/>
      </c>
      <c r="K291" s="42">
        <f>ROUND(G291+H291-I291-J291,2)</f>
        <v/>
      </c>
      <c r="L291">
        <f>$F291-J291</f>
        <v/>
      </c>
      <c r="M291" s="42">
        <f>Q290</f>
        <v/>
      </c>
      <c r="N291" s="42">
        <f>ROUND(M291*N$6/12,2)</f>
        <v/>
      </c>
      <c r="O291" s="42">
        <f>MIN(O$6,M291+N291)</f>
        <v/>
      </c>
      <c r="P291" s="42">
        <f>MAX(0,MIN(M291+N291-O291,L291))</f>
        <v/>
      </c>
      <c r="Q291" s="42">
        <f>ROUND(M291+N291-O291-P291,2)</f>
        <v/>
      </c>
      <c r="R291">
        <f>L291-P291</f>
        <v/>
      </c>
      <c r="S291" s="42">
        <f>W290</f>
        <v/>
      </c>
      <c r="T291" s="42">
        <f>ROUND(S291*T$6/12,2)</f>
        <v/>
      </c>
      <c r="U291" s="42">
        <f>MIN(U$6,S291+T291)</f>
        <v/>
      </c>
      <c r="V291" s="42">
        <f>MAX(0,MIN(S291+T291-U291,R291))</f>
        <v/>
      </c>
      <c r="W291" s="42">
        <f>ROUND(S291+T291-U291-V291,2)</f>
        <v/>
      </c>
      <c r="X291">
        <f>R291-V291</f>
        <v/>
      </c>
      <c r="Y291" s="42">
        <f>AC290</f>
        <v/>
      </c>
      <c r="Z291" s="42">
        <f>ROUND(Y291*Z$6/12,2)</f>
        <v/>
      </c>
      <c r="AA291" s="42">
        <f>MIN(AA$6,Y291+Z291)</f>
        <v/>
      </c>
      <c r="AB291" s="42">
        <f>MAX(0,MIN(Y291+Z291-AA291,X291))</f>
        <v/>
      </c>
      <c r="AC291" s="42">
        <f>ROUND(Y291+Z291-AA291-AB291,2)</f>
        <v/>
      </c>
      <c r="AD291">
        <f>X291-AB291</f>
        <v/>
      </c>
      <c r="AE291" s="42">
        <f>AI290</f>
        <v/>
      </c>
      <c r="AF291" s="42">
        <f>ROUND(AE291*AF$6/12,2)</f>
        <v/>
      </c>
      <c r="AG291" s="42">
        <f>MIN(AG$6,AE291+AF291)</f>
        <v/>
      </c>
      <c r="AH291" s="42">
        <f>MAX(0,MIN(AE291+AF291-AG291,AD291))</f>
        <v/>
      </c>
      <c r="AI291" s="42">
        <f>ROUND(AE291+AF291-AG291-AH291,2)</f>
        <v/>
      </c>
      <c r="AJ291">
        <f>AD291-AH291</f>
        <v/>
      </c>
      <c r="AK291" s="42">
        <f>AO290</f>
        <v/>
      </c>
      <c r="AL291" s="42">
        <f>ROUND(AK291*AL$6/12,2)</f>
        <v/>
      </c>
      <c r="AM291" s="42">
        <f>MIN(AM$6,AK291+AL291)</f>
        <v/>
      </c>
      <c r="AN291" s="42">
        <f>MAX(0,MIN(AK291+AL291-AM291,AJ291))</f>
        <v/>
      </c>
      <c r="AO291" s="42">
        <f>ROUND(AK291+AL291-AM291-AN291,2)</f>
        <v/>
      </c>
      <c r="AP291">
        <f>AJ291-AN291</f>
        <v/>
      </c>
      <c r="AQ291" s="42">
        <f>AU290</f>
        <v/>
      </c>
      <c r="AR291" s="42">
        <f>ROUND(AQ291*AR$6/12,2)</f>
        <v/>
      </c>
      <c r="AS291" s="42">
        <f>MIN(AS$6,AQ291+AR291)</f>
        <v/>
      </c>
      <c r="AT291" s="42">
        <f>MAX(0,MIN(AQ291+AR291-AS291,AP291))</f>
        <v/>
      </c>
      <c r="AU291" s="42">
        <f>ROUND(AQ291+AR291-AS291-AT291,2)</f>
        <v/>
      </c>
      <c r="AV291">
        <f>AP291-AT291</f>
        <v/>
      </c>
      <c r="AW291" s="42">
        <f>BA290</f>
        <v/>
      </c>
      <c r="AX291" s="42">
        <f>ROUND(AW291*AX$6/12,2)</f>
        <v/>
      </c>
      <c r="AY291" s="42">
        <f>MIN(AY$6,AW291+AX291)</f>
        <v/>
      </c>
      <c r="AZ291" s="42">
        <f>MAX(0,MIN(AW291+AX291-AY291,AV291))</f>
        <v/>
      </c>
      <c r="BA291" s="42">
        <f>ROUND(AW291+AX291-AY291-AZ291,2)</f>
        <v/>
      </c>
      <c r="BB291">
        <f>AV291-AZ291</f>
        <v/>
      </c>
      <c r="BC291" s="42">
        <f>BG290</f>
        <v/>
      </c>
      <c r="BD291" s="42">
        <f>ROUND(BC291*BD$6/12,2)</f>
        <v/>
      </c>
      <c r="BE291" s="42">
        <f>MIN(BE$6,BC291+BD291)</f>
        <v/>
      </c>
      <c r="BF291" s="42">
        <f>MAX(0,MIN(BC291+BD291-BE291,BB291))</f>
        <v/>
      </c>
      <c r="BG291" s="42">
        <f>ROUND(BC291+BD291-BE291-BF291,2)</f>
        <v/>
      </c>
      <c r="BH291">
        <f>BB291-BF291</f>
        <v/>
      </c>
      <c r="BI291" s="42">
        <f>BM290</f>
        <v/>
      </c>
      <c r="BJ291" s="42">
        <f>ROUND(BI291*BJ$6/12,2)</f>
        <v/>
      </c>
      <c r="BK291" s="42">
        <f>MIN(BK$6,BI291+BJ291)</f>
        <v/>
      </c>
      <c r="BL291" s="42">
        <f>MAX(0,MIN(BI291+BJ291-BK291,BH291))</f>
        <v/>
      </c>
      <c r="BM291" s="42">
        <f>ROUND(BI291+BJ291-BK291-BL291,2)</f>
        <v/>
      </c>
      <c r="BN291">
        <f>BH291-BL291</f>
        <v/>
      </c>
    </row>
    <row r="292">
      <c r="A292" s="39" t="n">
        <v>285</v>
      </c>
      <c r="B292" s="40">
        <f>EDATE('My Debts'!$C$6,A292-1)</f>
        <v/>
      </c>
      <c r="C292" s="41">
        <f>K292+Q292+W292+AC292+AI292+AO292+AU292+BA292+BG292+BM292</f>
        <v/>
      </c>
      <c r="D292" s="42">
        <f>I292+O292+U292+AA292+AG292+AM292+AS292+AY292+BE292+BK292+J292+P292+V292+AB292+AH292+AN292+AT292+AZ292+BF292+BL292</f>
        <v/>
      </c>
      <c r="E292" s="42">
        <f>H292+N292+T292+Z292+AF292+AL292+AR292+AX292+BD292+BJ292</f>
        <v/>
      </c>
      <c r="F292">
        <f>MAX(0,'My Debts'!$E$21-(I292+O292+U292+AA292+AG292+AM292+AS292+AY292+BE292+BK292))</f>
        <v/>
      </c>
      <c r="G292" s="42">
        <f>K291</f>
        <v/>
      </c>
      <c r="H292" s="42">
        <f>ROUND(G292*H$6/12,2)</f>
        <v/>
      </c>
      <c r="I292" s="42">
        <f>MIN(I$6,G292+H292)</f>
        <v/>
      </c>
      <c r="J292" s="42">
        <f>MAX(0,MIN(G292+H292-I292,$F292))</f>
        <v/>
      </c>
      <c r="K292" s="42">
        <f>ROUND(G292+H292-I292-J292,2)</f>
        <v/>
      </c>
      <c r="L292">
        <f>$F292-J292</f>
        <v/>
      </c>
      <c r="M292" s="42">
        <f>Q291</f>
        <v/>
      </c>
      <c r="N292" s="42">
        <f>ROUND(M292*N$6/12,2)</f>
        <v/>
      </c>
      <c r="O292" s="42">
        <f>MIN(O$6,M292+N292)</f>
        <v/>
      </c>
      <c r="P292" s="42">
        <f>MAX(0,MIN(M292+N292-O292,L292))</f>
        <v/>
      </c>
      <c r="Q292" s="42">
        <f>ROUND(M292+N292-O292-P292,2)</f>
        <v/>
      </c>
      <c r="R292">
        <f>L292-P292</f>
        <v/>
      </c>
      <c r="S292" s="42">
        <f>W291</f>
        <v/>
      </c>
      <c r="T292" s="42">
        <f>ROUND(S292*T$6/12,2)</f>
        <v/>
      </c>
      <c r="U292" s="42">
        <f>MIN(U$6,S292+T292)</f>
        <v/>
      </c>
      <c r="V292" s="42">
        <f>MAX(0,MIN(S292+T292-U292,R292))</f>
        <v/>
      </c>
      <c r="W292" s="42">
        <f>ROUND(S292+T292-U292-V292,2)</f>
        <v/>
      </c>
      <c r="X292">
        <f>R292-V292</f>
        <v/>
      </c>
      <c r="Y292" s="42">
        <f>AC291</f>
        <v/>
      </c>
      <c r="Z292" s="42">
        <f>ROUND(Y292*Z$6/12,2)</f>
        <v/>
      </c>
      <c r="AA292" s="42">
        <f>MIN(AA$6,Y292+Z292)</f>
        <v/>
      </c>
      <c r="AB292" s="42">
        <f>MAX(0,MIN(Y292+Z292-AA292,X292))</f>
        <v/>
      </c>
      <c r="AC292" s="42">
        <f>ROUND(Y292+Z292-AA292-AB292,2)</f>
        <v/>
      </c>
      <c r="AD292">
        <f>X292-AB292</f>
        <v/>
      </c>
      <c r="AE292" s="42">
        <f>AI291</f>
        <v/>
      </c>
      <c r="AF292" s="42">
        <f>ROUND(AE292*AF$6/12,2)</f>
        <v/>
      </c>
      <c r="AG292" s="42">
        <f>MIN(AG$6,AE292+AF292)</f>
        <v/>
      </c>
      <c r="AH292" s="42">
        <f>MAX(0,MIN(AE292+AF292-AG292,AD292))</f>
        <v/>
      </c>
      <c r="AI292" s="42">
        <f>ROUND(AE292+AF292-AG292-AH292,2)</f>
        <v/>
      </c>
      <c r="AJ292">
        <f>AD292-AH292</f>
        <v/>
      </c>
      <c r="AK292" s="42">
        <f>AO291</f>
        <v/>
      </c>
      <c r="AL292" s="42">
        <f>ROUND(AK292*AL$6/12,2)</f>
        <v/>
      </c>
      <c r="AM292" s="42">
        <f>MIN(AM$6,AK292+AL292)</f>
        <v/>
      </c>
      <c r="AN292" s="42">
        <f>MAX(0,MIN(AK292+AL292-AM292,AJ292))</f>
        <v/>
      </c>
      <c r="AO292" s="42">
        <f>ROUND(AK292+AL292-AM292-AN292,2)</f>
        <v/>
      </c>
      <c r="AP292">
        <f>AJ292-AN292</f>
        <v/>
      </c>
      <c r="AQ292" s="42">
        <f>AU291</f>
        <v/>
      </c>
      <c r="AR292" s="42">
        <f>ROUND(AQ292*AR$6/12,2)</f>
        <v/>
      </c>
      <c r="AS292" s="42">
        <f>MIN(AS$6,AQ292+AR292)</f>
        <v/>
      </c>
      <c r="AT292" s="42">
        <f>MAX(0,MIN(AQ292+AR292-AS292,AP292))</f>
        <v/>
      </c>
      <c r="AU292" s="42">
        <f>ROUND(AQ292+AR292-AS292-AT292,2)</f>
        <v/>
      </c>
      <c r="AV292">
        <f>AP292-AT292</f>
        <v/>
      </c>
      <c r="AW292" s="42">
        <f>BA291</f>
        <v/>
      </c>
      <c r="AX292" s="42">
        <f>ROUND(AW292*AX$6/12,2)</f>
        <v/>
      </c>
      <c r="AY292" s="42">
        <f>MIN(AY$6,AW292+AX292)</f>
        <v/>
      </c>
      <c r="AZ292" s="42">
        <f>MAX(0,MIN(AW292+AX292-AY292,AV292))</f>
        <v/>
      </c>
      <c r="BA292" s="42">
        <f>ROUND(AW292+AX292-AY292-AZ292,2)</f>
        <v/>
      </c>
      <c r="BB292">
        <f>AV292-AZ292</f>
        <v/>
      </c>
      <c r="BC292" s="42">
        <f>BG291</f>
        <v/>
      </c>
      <c r="BD292" s="42">
        <f>ROUND(BC292*BD$6/12,2)</f>
        <v/>
      </c>
      <c r="BE292" s="42">
        <f>MIN(BE$6,BC292+BD292)</f>
        <v/>
      </c>
      <c r="BF292" s="42">
        <f>MAX(0,MIN(BC292+BD292-BE292,BB292))</f>
        <v/>
      </c>
      <c r="BG292" s="42">
        <f>ROUND(BC292+BD292-BE292-BF292,2)</f>
        <v/>
      </c>
      <c r="BH292">
        <f>BB292-BF292</f>
        <v/>
      </c>
      <c r="BI292" s="42">
        <f>BM291</f>
        <v/>
      </c>
      <c r="BJ292" s="42">
        <f>ROUND(BI292*BJ$6/12,2)</f>
        <v/>
      </c>
      <c r="BK292" s="42">
        <f>MIN(BK$6,BI292+BJ292)</f>
        <v/>
      </c>
      <c r="BL292" s="42">
        <f>MAX(0,MIN(BI292+BJ292-BK292,BH292))</f>
        <v/>
      </c>
      <c r="BM292" s="42">
        <f>ROUND(BI292+BJ292-BK292-BL292,2)</f>
        <v/>
      </c>
      <c r="BN292">
        <f>BH292-BL292</f>
        <v/>
      </c>
    </row>
    <row r="293">
      <c r="A293" s="43" t="n">
        <v>286</v>
      </c>
      <c r="B293" s="44">
        <f>EDATE('My Debts'!$C$6,A293-1)</f>
        <v/>
      </c>
      <c r="C293" s="45">
        <f>K293+Q293+W293+AC293+AI293+AO293+AU293+BA293+BG293+BM293</f>
        <v/>
      </c>
      <c r="D293" s="46">
        <f>I293+O293+U293+AA293+AG293+AM293+AS293+AY293+BE293+BK293+J293+P293+V293+AB293+AH293+AN293+AT293+AZ293+BF293+BL293</f>
        <v/>
      </c>
      <c r="E293" s="46">
        <f>H293+N293+T293+Z293+AF293+AL293+AR293+AX293+BD293+BJ293</f>
        <v/>
      </c>
      <c r="F293">
        <f>MAX(0,'My Debts'!$E$21-(I293+O293+U293+AA293+AG293+AM293+AS293+AY293+BE293+BK293))</f>
        <v/>
      </c>
      <c r="G293" s="42">
        <f>K292</f>
        <v/>
      </c>
      <c r="H293" s="42">
        <f>ROUND(G293*H$6/12,2)</f>
        <v/>
      </c>
      <c r="I293" s="42">
        <f>MIN(I$6,G293+H293)</f>
        <v/>
      </c>
      <c r="J293" s="42">
        <f>MAX(0,MIN(G293+H293-I293,$F293))</f>
        <v/>
      </c>
      <c r="K293" s="42">
        <f>ROUND(G293+H293-I293-J293,2)</f>
        <v/>
      </c>
      <c r="L293">
        <f>$F293-J293</f>
        <v/>
      </c>
      <c r="M293" s="42">
        <f>Q292</f>
        <v/>
      </c>
      <c r="N293" s="42">
        <f>ROUND(M293*N$6/12,2)</f>
        <v/>
      </c>
      <c r="O293" s="42">
        <f>MIN(O$6,M293+N293)</f>
        <v/>
      </c>
      <c r="P293" s="42">
        <f>MAX(0,MIN(M293+N293-O293,L293))</f>
        <v/>
      </c>
      <c r="Q293" s="42">
        <f>ROUND(M293+N293-O293-P293,2)</f>
        <v/>
      </c>
      <c r="R293">
        <f>L293-P293</f>
        <v/>
      </c>
      <c r="S293" s="42">
        <f>W292</f>
        <v/>
      </c>
      <c r="T293" s="42">
        <f>ROUND(S293*T$6/12,2)</f>
        <v/>
      </c>
      <c r="U293" s="42">
        <f>MIN(U$6,S293+T293)</f>
        <v/>
      </c>
      <c r="V293" s="42">
        <f>MAX(0,MIN(S293+T293-U293,R293))</f>
        <v/>
      </c>
      <c r="W293" s="42">
        <f>ROUND(S293+T293-U293-V293,2)</f>
        <v/>
      </c>
      <c r="X293">
        <f>R293-V293</f>
        <v/>
      </c>
      <c r="Y293" s="42">
        <f>AC292</f>
        <v/>
      </c>
      <c r="Z293" s="42">
        <f>ROUND(Y293*Z$6/12,2)</f>
        <v/>
      </c>
      <c r="AA293" s="42">
        <f>MIN(AA$6,Y293+Z293)</f>
        <v/>
      </c>
      <c r="AB293" s="42">
        <f>MAX(0,MIN(Y293+Z293-AA293,X293))</f>
        <v/>
      </c>
      <c r="AC293" s="42">
        <f>ROUND(Y293+Z293-AA293-AB293,2)</f>
        <v/>
      </c>
      <c r="AD293">
        <f>X293-AB293</f>
        <v/>
      </c>
      <c r="AE293" s="42">
        <f>AI292</f>
        <v/>
      </c>
      <c r="AF293" s="42">
        <f>ROUND(AE293*AF$6/12,2)</f>
        <v/>
      </c>
      <c r="AG293" s="42">
        <f>MIN(AG$6,AE293+AF293)</f>
        <v/>
      </c>
      <c r="AH293" s="42">
        <f>MAX(0,MIN(AE293+AF293-AG293,AD293))</f>
        <v/>
      </c>
      <c r="AI293" s="42">
        <f>ROUND(AE293+AF293-AG293-AH293,2)</f>
        <v/>
      </c>
      <c r="AJ293">
        <f>AD293-AH293</f>
        <v/>
      </c>
      <c r="AK293" s="42">
        <f>AO292</f>
        <v/>
      </c>
      <c r="AL293" s="42">
        <f>ROUND(AK293*AL$6/12,2)</f>
        <v/>
      </c>
      <c r="AM293" s="42">
        <f>MIN(AM$6,AK293+AL293)</f>
        <v/>
      </c>
      <c r="AN293" s="42">
        <f>MAX(0,MIN(AK293+AL293-AM293,AJ293))</f>
        <v/>
      </c>
      <c r="AO293" s="42">
        <f>ROUND(AK293+AL293-AM293-AN293,2)</f>
        <v/>
      </c>
      <c r="AP293">
        <f>AJ293-AN293</f>
        <v/>
      </c>
      <c r="AQ293" s="42">
        <f>AU292</f>
        <v/>
      </c>
      <c r="AR293" s="42">
        <f>ROUND(AQ293*AR$6/12,2)</f>
        <v/>
      </c>
      <c r="AS293" s="42">
        <f>MIN(AS$6,AQ293+AR293)</f>
        <v/>
      </c>
      <c r="AT293" s="42">
        <f>MAX(0,MIN(AQ293+AR293-AS293,AP293))</f>
        <v/>
      </c>
      <c r="AU293" s="42">
        <f>ROUND(AQ293+AR293-AS293-AT293,2)</f>
        <v/>
      </c>
      <c r="AV293">
        <f>AP293-AT293</f>
        <v/>
      </c>
      <c r="AW293" s="42">
        <f>BA292</f>
        <v/>
      </c>
      <c r="AX293" s="42">
        <f>ROUND(AW293*AX$6/12,2)</f>
        <v/>
      </c>
      <c r="AY293" s="42">
        <f>MIN(AY$6,AW293+AX293)</f>
        <v/>
      </c>
      <c r="AZ293" s="42">
        <f>MAX(0,MIN(AW293+AX293-AY293,AV293))</f>
        <v/>
      </c>
      <c r="BA293" s="42">
        <f>ROUND(AW293+AX293-AY293-AZ293,2)</f>
        <v/>
      </c>
      <c r="BB293">
        <f>AV293-AZ293</f>
        <v/>
      </c>
      <c r="BC293" s="42">
        <f>BG292</f>
        <v/>
      </c>
      <c r="BD293" s="42">
        <f>ROUND(BC293*BD$6/12,2)</f>
        <v/>
      </c>
      <c r="BE293" s="42">
        <f>MIN(BE$6,BC293+BD293)</f>
        <v/>
      </c>
      <c r="BF293" s="42">
        <f>MAX(0,MIN(BC293+BD293-BE293,BB293))</f>
        <v/>
      </c>
      <c r="BG293" s="42">
        <f>ROUND(BC293+BD293-BE293-BF293,2)</f>
        <v/>
      </c>
      <c r="BH293">
        <f>BB293-BF293</f>
        <v/>
      </c>
      <c r="BI293" s="42">
        <f>BM292</f>
        <v/>
      </c>
      <c r="BJ293" s="42">
        <f>ROUND(BI293*BJ$6/12,2)</f>
        <v/>
      </c>
      <c r="BK293" s="42">
        <f>MIN(BK$6,BI293+BJ293)</f>
        <v/>
      </c>
      <c r="BL293" s="42">
        <f>MAX(0,MIN(BI293+BJ293-BK293,BH293))</f>
        <v/>
      </c>
      <c r="BM293" s="42">
        <f>ROUND(BI293+BJ293-BK293-BL293,2)</f>
        <v/>
      </c>
      <c r="BN293">
        <f>BH293-BL293</f>
        <v/>
      </c>
    </row>
    <row r="294">
      <c r="A294" s="39" t="n">
        <v>287</v>
      </c>
      <c r="B294" s="40">
        <f>EDATE('My Debts'!$C$6,A294-1)</f>
        <v/>
      </c>
      <c r="C294" s="41">
        <f>K294+Q294+W294+AC294+AI294+AO294+AU294+BA294+BG294+BM294</f>
        <v/>
      </c>
      <c r="D294" s="42">
        <f>I294+O294+U294+AA294+AG294+AM294+AS294+AY294+BE294+BK294+J294+P294+V294+AB294+AH294+AN294+AT294+AZ294+BF294+BL294</f>
        <v/>
      </c>
      <c r="E294" s="42">
        <f>H294+N294+T294+Z294+AF294+AL294+AR294+AX294+BD294+BJ294</f>
        <v/>
      </c>
      <c r="F294">
        <f>MAX(0,'My Debts'!$E$21-(I294+O294+U294+AA294+AG294+AM294+AS294+AY294+BE294+BK294))</f>
        <v/>
      </c>
      <c r="G294" s="42">
        <f>K293</f>
        <v/>
      </c>
      <c r="H294" s="42">
        <f>ROUND(G294*H$6/12,2)</f>
        <v/>
      </c>
      <c r="I294" s="42">
        <f>MIN(I$6,G294+H294)</f>
        <v/>
      </c>
      <c r="J294" s="42">
        <f>MAX(0,MIN(G294+H294-I294,$F294))</f>
        <v/>
      </c>
      <c r="K294" s="42">
        <f>ROUND(G294+H294-I294-J294,2)</f>
        <v/>
      </c>
      <c r="L294">
        <f>$F294-J294</f>
        <v/>
      </c>
      <c r="M294" s="42">
        <f>Q293</f>
        <v/>
      </c>
      <c r="N294" s="42">
        <f>ROUND(M294*N$6/12,2)</f>
        <v/>
      </c>
      <c r="O294" s="42">
        <f>MIN(O$6,M294+N294)</f>
        <v/>
      </c>
      <c r="P294" s="42">
        <f>MAX(0,MIN(M294+N294-O294,L294))</f>
        <v/>
      </c>
      <c r="Q294" s="42">
        <f>ROUND(M294+N294-O294-P294,2)</f>
        <v/>
      </c>
      <c r="R294">
        <f>L294-P294</f>
        <v/>
      </c>
      <c r="S294" s="42">
        <f>W293</f>
        <v/>
      </c>
      <c r="T294" s="42">
        <f>ROUND(S294*T$6/12,2)</f>
        <v/>
      </c>
      <c r="U294" s="42">
        <f>MIN(U$6,S294+T294)</f>
        <v/>
      </c>
      <c r="V294" s="42">
        <f>MAX(0,MIN(S294+T294-U294,R294))</f>
        <v/>
      </c>
      <c r="W294" s="42">
        <f>ROUND(S294+T294-U294-V294,2)</f>
        <v/>
      </c>
      <c r="X294">
        <f>R294-V294</f>
        <v/>
      </c>
      <c r="Y294" s="42">
        <f>AC293</f>
        <v/>
      </c>
      <c r="Z294" s="42">
        <f>ROUND(Y294*Z$6/12,2)</f>
        <v/>
      </c>
      <c r="AA294" s="42">
        <f>MIN(AA$6,Y294+Z294)</f>
        <v/>
      </c>
      <c r="AB294" s="42">
        <f>MAX(0,MIN(Y294+Z294-AA294,X294))</f>
        <v/>
      </c>
      <c r="AC294" s="42">
        <f>ROUND(Y294+Z294-AA294-AB294,2)</f>
        <v/>
      </c>
      <c r="AD294">
        <f>X294-AB294</f>
        <v/>
      </c>
      <c r="AE294" s="42">
        <f>AI293</f>
        <v/>
      </c>
      <c r="AF294" s="42">
        <f>ROUND(AE294*AF$6/12,2)</f>
        <v/>
      </c>
      <c r="AG294" s="42">
        <f>MIN(AG$6,AE294+AF294)</f>
        <v/>
      </c>
      <c r="AH294" s="42">
        <f>MAX(0,MIN(AE294+AF294-AG294,AD294))</f>
        <v/>
      </c>
      <c r="AI294" s="42">
        <f>ROUND(AE294+AF294-AG294-AH294,2)</f>
        <v/>
      </c>
      <c r="AJ294">
        <f>AD294-AH294</f>
        <v/>
      </c>
      <c r="AK294" s="42">
        <f>AO293</f>
        <v/>
      </c>
      <c r="AL294" s="42">
        <f>ROUND(AK294*AL$6/12,2)</f>
        <v/>
      </c>
      <c r="AM294" s="42">
        <f>MIN(AM$6,AK294+AL294)</f>
        <v/>
      </c>
      <c r="AN294" s="42">
        <f>MAX(0,MIN(AK294+AL294-AM294,AJ294))</f>
        <v/>
      </c>
      <c r="AO294" s="42">
        <f>ROUND(AK294+AL294-AM294-AN294,2)</f>
        <v/>
      </c>
      <c r="AP294">
        <f>AJ294-AN294</f>
        <v/>
      </c>
      <c r="AQ294" s="42">
        <f>AU293</f>
        <v/>
      </c>
      <c r="AR294" s="42">
        <f>ROUND(AQ294*AR$6/12,2)</f>
        <v/>
      </c>
      <c r="AS294" s="42">
        <f>MIN(AS$6,AQ294+AR294)</f>
        <v/>
      </c>
      <c r="AT294" s="42">
        <f>MAX(0,MIN(AQ294+AR294-AS294,AP294))</f>
        <v/>
      </c>
      <c r="AU294" s="42">
        <f>ROUND(AQ294+AR294-AS294-AT294,2)</f>
        <v/>
      </c>
      <c r="AV294">
        <f>AP294-AT294</f>
        <v/>
      </c>
      <c r="AW294" s="42">
        <f>BA293</f>
        <v/>
      </c>
      <c r="AX294" s="42">
        <f>ROUND(AW294*AX$6/12,2)</f>
        <v/>
      </c>
      <c r="AY294" s="42">
        <f>MIN(AY$6,AW294+AX294)</f>
        <v/>
      </c>
      <c r="AZ294" s="42">
        <f>MAX(0,MIN(AW294+AX294-AY294,AV294))</f>
        <v/>
      </c>
      <c r="BA294" s="42">
        <f>ROUND(AW294+AX294-AY294-AZ294,2)</f>
        <v/>
      </c>
      <c r="BB294">
        <f>AV294-AZ294</f>
        <v/>
      </c>
      <c r="BC294" s="42">
        <f>BG293</f>
        <v/>
      </c>
      <c r="BD294" s="42">
        <f>ROUND(BC294*BD$6/12,2)</f>
        <v/>
      </c>
      <c r="BE294" s="42">
        <f>MIN(BE$6,BC294+BD294)</f>
        <v/>
      </c>
      <c r="BF294" s="42">
        <f>MAX(0,MIN(BC294+BD294-BE294,BB294))</f>
        <v/>
      </c>
      <c r="BG294" s="42">
        <f>ROUND(BC294+BD294-BE294-BF294,2)</f>
        <v/>
      </c>
      <c r="BH294">
        <f>BB294-BF294</f>
        <v/>
      </c>
      <c r="BI294" s="42">
        <f>BM293</f>
        <v/>
      </c>
      <c r="BJ294" s="42">
        <f>ROUND(BI294*BJ$6/12,2)</f>
        <v/>
      </c>
      <c r="BK294" s="42">
        <f>MIN(BK$6,BI294+BJ294)</f>
        <v/>
      </c>
      <c r="BL294" s="42">
        <f>MAX(0,MIN(BI294+BJ294-BK294,BH294))</f>
        <v/>
      </c>
      <c r="BM294" s="42">
        <f>ROUND(BI294+BJ294-BK294-BL294,2)</f>
        <v/>
      </c>
      <c r="BN294">
        <f>BH294-BL294</f>
        <v/>
      </c>
    </row>
    <row r="295">
      <c r="A295" s="43" t="n">
        <v>288</v>
      </c>
      <c r="B295" s="44">
        <f>EDATE('My Debts'!$C$6,A295-1)</f>
        <v/>
      </c>
      <c r="C295" s="45">
        <f>K295+Q295+W295+AC295+AI295+AO295+AU295+BA295+BG295+BM295</f>
        <v/>
      </c>
      <c r="D295" s="46">
        <f>I295+O295+U295+AA295+AG295+AM295+AS295+AY295+BE295+BK295+J295+P295+V295+AB295+AH295+AN295+AT295+AZ295+BF295+BL295</f>
        <v/>
      </c>
      <c r="E295" s="46">
        <f>H295+N295+T295+Z295+AF295+AL295+AR295+AX295+BD295+BJ295</f>
        <v/>
      </c>
      <c r="F295">
        <f>MAX(0,'My Debts'!$E$21-(I295+O295+U295+AA295+AG295+AM295+AS295+AY295+BE295+BK295))</f>
        <v/>
      </c>
      <c r="G295" s="42">
        <f>K294</f>
        <v/>
      </c>
      <c r="H295" s="42">
        <f>ROUND(G295*H$6/12,2)</f>
        <v/>
      </c>
      <c r="I295" s="42">
        <f>MIN(I$6,G295+H295)</f>
        <v/>
      </c>
      <c r="J295" s="42">
        <f>MAX(0,MIN(G295+H295-I295,$F295))</f>
        <v/>
      </c>
      <c r="K295" s="42">
        <f>ROUND(G295+H295-I295-J295,2)</f>
        <v/>
      </c>
      <c r="L295">
        <f>$F295-J295</f>
        <v/>
      </c>
      <c r="M295" s="42">
        <f>Q294</f>
        <v/>
      </c>
      <c r="N295" s="42">
        <f>ROUND(M295*N$6/12,2)</f>
        <v/>
      </c>
      <c r="O295" s="42">
        <f>MIN(O$6,M295+N295)</f>
        <v/>
      </c>
      <c r="P295" s="42">
        <f>MAX(0,MIN(M295+N295-O295,L295))</f>
        <v/>
      </c>
      <c r="Q295" s="42">
        <f>ROUND(M295+N295-O295-P295,2)</f>
        <v/>
      </c>
      <c r="R295">
        <f>L295-P295</f>
        <v/>
      </c>
      <c r="S295" s="42">
        <f>W294</f>
        <v/>
      </c>
      <c r="T295" s="42">
        <f>ROUND(S295*T$6/12,2)</f>
        <v/>
      </c>
      <c r="U295" s="42">
        <f>MIN(U$6,S295+T295)</f>
        <v/>
      </c>
      <c r="V295" s="42">
        <f>MAX(0,MIN(S295+T295-U295,R295))</f>
        <v/>
      </c>
      <c r="W295" s="42">
        <f>ROUND(S295+T295-U295-V295,2)</f>
        <v/>
      </c>
      <c r="X295">
        <f>R295-V295</f>
        <v/>
      </c>
      <c r="Y295" s="42">
        <f>AC294</f>
        <v/>
      </c>
      <c r="Z295" s="42">
        <f>ROUND(Y295*Z$6/12,2)</f>
        <v/>
      </c>
      <c r="AA295" s="42">
        <f>MIN(AA$6,Y295+Z295)</f>
        <v/>
      </c>
      <c r="AB295" s="42">
        <f>MAX(0,MIN(Y295+Z295-AA295,X295))</f>
        <v/>
      </c>
      <c r="AC295" s="42">
        <f>ROUND(Y295+Z295-AA295-AB295,2)</f>
        <v/>
      </c>
      <c r="AD295">
        <f>X295-AB295</f>
        <v/>
      </c>
      <c r="AE295" s="42">
        <f>AI294</f>
        <v/>
      </c>
      <c r="AF295" s="42">
        <f>ROUND(AE295*AF$6/12,2)</f>
        <v/>
      </c>
      <c r="AG295" s="42">
        <f>MIN(AG$6,AE295+AF295)</f>
        <v/>
      </c>
      <c r="AH295" s="42">
        <f>MAX(0,MIN(AE295+AF295-AG295,AD295))</f>
        <v/>
      </c>
      <c r="AI295" s="42">
        <f>ROUND(AE295+AF295-AG295-AH295,2)</f>
        <v/>
      </c>
      <c r="AJ295">
        <f>AD295-AH295</f>
        <v/>
      </c>
      <c r="AK295" s="42">
        <f>AO294</f>
        <v/>
      </c>
      <c r="AL295" s="42">
        <f>ROUND(AK295*AL$6/12,2)</f>
        <v/>
      </c>
      <c r="AM295" s="42">
        <f>MIN(AM$6,AK295+AL295)</f>
        <v/>
      </c>
      <c r="AN295" s="42">
        <f>MAX(0,MIN(AK295+AL295-AM295,AJ295))</f>
        <v/>
      </c>
      <c r="AO295" s="42">
        <f>ROUND(AK295+AL295-AM295-AN295,2)</f>
        <v/>
      </c>
      <c r="AP295">
        <f>AJ295-AN295</f>
        <v/>
      </c>
      <c r="AQ295" s="42">
        <f>AU294</f>
        <v/>
      </c>
      <c r="AR295" s="42">
        <f>ROUND(AQ295*AR$6/12,2)</f>
        <v/>
      </c>
      <c r="AS295" s="42">
        <f>MIN(AS$6,AQ295+AR295)</f>
        <v/>
      </c>
      <c r="AT295" s="42">
        <f>MAX(0,MIN(AQ295+AR295-AS295,AP295))</f>
        <v/>
      </c>
      <c r="AU295" s="42">
        <f>ROUND(AQ295+AR295-AS295-AT295,2)</f>
        <v/>
      </c>
      <c r="AV295">
        <f>AP295-AT295</f>
        <v/>
      </c>
      <c r="AW295" s="42">
        <f>BA294</f>
        <v/>
      </c>
      <c r="AX295" s="42">
        <f>ROUND(AW295*AX$6/12,2)</f>
        <v/>
      </c>
      <c r="AY295" s="42">
        <f>MIN(AY$6,AW295+AX295)</f>
        <v/>
      </c>
      <c r="AZ295" s="42">
        <f>MAX(0,MIN(AW295+AX295-AY295,AV295))</f>
        <v/>
      </c>
      <c r="BA295" s="42">
        <f>ROUND(AW295+AX295-AY295-AZ295,2)</f>
        <v/>
      </c>
      <c r="BB295">
        <f>AV295-AZ295</f>
        <v/>
      </c>
      <c r="BC295" s="42">
        <f>BG294</f>
        <v/>
      </c>
      <c r="BD295" s="42">
        <f>ROUND(BC295*BD$6/12,2)</f>
        <v/>
      </c>
      <c r="BE295" s="42">
        <f>MIN(BE$6,BC295+BD295)</f>
        <v/>
      </c>
      <c r="BF295" s="42">
        <f>MAX(0,MIN(BC295+BD295-BE295,BB295))</f>
        <v/>
      </c>
      <c r="BG295" s="42">
        <f>ROUND(BC295+BD295-BE295-BF295,2)</f>
        <v/>
      </c>
      <c r="BH295">
        <f>BB295-BF295</f>
        <v/>
      </c>
      <c r="BI295" s="42">
        <f>BM294</f>
        <v/>
      </c>
      <c r="BJ295" s="42">
        <f>ROUND(BI295*BJ$6/12,2)</f>
        <v/>
      </c>
      <c r="BK295" s="42">
        <f>MIN(BK$6,BI295+BJ295)</f>
        <v/>
      </c>
      <c r="BL295" s="42">
        <f>MAX(0,MIN(BI295+BJ295-BK295,BH295))</f>
        <v/>
      </c>
      <c r="BM295" s="42">
        <f>ROUND(BI295+BJ295-BK295-BL295,2)</f>
        <v/>
      </c>
      <c r="BN295">
        <f>BH295-BL295</f>
        <v/>
      </c>
    </row>
    <row r="296">
      <c r="A296" s="39" t="n">
        <v>289</v>
      </c>
      <c r="B296" s="40">
        <f>EDATE('My Debts'!$C$6,A296-1)</f>
        <v/>
      </c>
      <c r="C296" s="41">
        <f>K296+Q296+W296+AC296+AI296+AO296+AU296+BA296+BG296+BM296</f>
        <v/>
      </c>
      <c r="D296" s="42">
        <f>I296+O296+U296+AA296+AG296+AM296+AS296+AY296+BE296+BK296+J296+P296+V296+AB296+AH296+AN296+AT296+AZ296+BF296+BL296</f>
        <v/>
      </c>
      <c r="E296" s="42">
        <f>H296+N296+T296+Z296+AF296+AL296+AR296+AX296+BD296+BJ296</f>
        <v/>
      </c>
      <c r="F296">
        <f>MAX(0,'My Debts'!$E$21-(I296+O296+U296+AA296+AG296+AM296+AS296+AY296+BE296+BK296))</f>
        <v/>
      </c>
      <c r="G296" s="42">
        <f>K295</f>
        <v/>
      </c>
      <c r="H296" s="42">
        <f>ROUND(G296*H$6/12,2)</f>
        <v/>
      </c>
      <c r="I296" s="42">
        <f>MIN(I$6,G296+H296)</f>
        <v/>
      </c>
      <c r="J296" s="42">
        <f>MAX(0,MIN(G296+H296-I296,$F296))</f>
        <v/>
      </c>
      <c r="K296" s="42">
        <f>ROUND(G296+H296-I296-J296,2)</f>
        <v/>
      </c>
      <c r="L296">
        <f>$F296-J296</f>
        <v/>
      </c>
      <c r="M296" s="42">
        <f>Q295</f>
        <v/>
      </c>
      <c r="N296" s="42">
        <f>ROUND(M296*N$6/12,2)</f>
        <v/>
      </c>
      <c r="O296" s="42">
        <f>MIN(O$6,M296+N296)</f>
        <v/>
      </c>
      <c r="P296" s="42">
        <f>MAX(0,MIN(M296+N296-O296,L296))</f>
        <v/>
      </c>
      <c r="Q296" s="42">
        <f>ROUND(M296+N296-O296-P296,2)</f>
        <v/>
      </c>
      <c r="R296">
        <f>L296-P296</f>
        <v/>
      </c>
      <c r="S296" s="42">
        <f>W295</f>
        <v/>
      </c>
      <c r="T296" s="42">
        <f>ROUND(S296*T$6/12,2)</f>
        <v/>
      </c>
      <c r="U296" s="42">
        <f>MIN(U$6,S296+T296)</f>
        <v/>
      </c>
      <c r="V296" s="42">
        <f>MAX(0,MIN(S296+T296-U296,R296))</f>
        <v/>
      </c>
      <c r="W296" s="42">
        <f>ROUND(S296+T296-U296-V296,2)</f>
        <v/>
      </c>
      <c r="X296">
        <f>R296-V296</f>
        <v/>
      </c>
      <c r="Y296" s="42">
        <f>AC295</f>
        <v/>
      </c>
      <c r="Z296" s="42">
        <f>ROUND(Y296*Z$6/12,2)</f>
        <v/>
      </c>
      <c r="AA296" s="42">
        <f>MIN(AA$6,Y296+Z296)</f>
        <v/>
      </c>
      <c r="AB296" s="42">
        <f>MAX(0,MIN(Y296+Z296-AA296,X296))</f>
        <v/>
      </c>
      <c r="AC296" s="42">
        <f>ROUND(Y296+Z296-AA296-AB296,2)</f>
        <v/>
      </c>
      <c r="AD296">
        <f>X296-AB296</f>
        <v/>
      </c>
      <c r="AE296" s="42">
        <f>AI295</f>
        <v/>
      </c>
      <c r="AF296" s="42">
        <f>ROUND(AE296*AF$6/12,2)</f>
        <v/>
      </c>
      <c r="AG296" s="42">
        <f>MIN(AG$6,AE296+AF296)</f>
        <v/>
      </c>
      <c r="AH296" s="42">
        <f>MAX(0,MIN(AE296+AF296-AG296,AD296))</f>
        <v/>
      </c>
      <c r="AI296" s="42">
        <f>ROUND(AE296+AF296-AG296-AH296,2)</f>
        <v/>
      </c>
      <c r="AJ296">
        <f>AD296-AH296</f>
        <v/>
      </c>
      <c r="AK296" s="42">
        <f>AO295</f>
        <v/>
      </c>
      <c r="AL296" s="42">
        <f>ROUND(AK296*AL$6/12,2)</f>
        <v/>
      </c>
      <c r="AM296" s="42">
        <f>MIN(AM$6,AK296+AL296)</f>
        <v/>
      </c>
      <c r="AN296" s="42">
        <f>MAX(0,MIN(AK296+AL296-AM296,AJ296))</f>
        <v/>
      </c>
      <c r="AO296" s="42">
        <f>ROUND(AK296+AL296-AM296-AN296,2)</f>
        <v/>
      </c>
      <c r="AP296">
        <f>AJ296-AN296</f>
        <v/>
      </c>
      <c r="AQ296" s="42">
        <f>AU295</f>
        <v/>
      </c>
      <c r="AR296" s="42">
        <f>ROUND(AQ296*AR$6/12,2)</f>
        <v/>
      </c>
      <c r="AS296" s="42">
        <f>MIN(AS$6,AQ296+AR296)</f>
        <v/>
      </c>
      <c r="AT296" s="42">
        <f>MAX(0,MIN(AQ296+AR296-AS296,AP296))</f>
        <v/>
      </c>
      <c r="AU296" s="42">
        <f>ROUND(AQ296+AR296-AS296-AT296,2)</f>
        <v/>
      </c>
      <c r="AV296">
        <f>AP296-AT296</f>
        <v/>
      </c>
      <c r="AW296" s="42">
        <f>BA295</f>
        <v/>
      </c>
      <c r="AX296" s="42">
        <f>ROUND(AW296*AX$6/12,2)</f>
        <v/>
      </c>
      <c r="AY296" s="42">
        <f>MIN(AY$6,AW296+AX296)</f>
        <v/>
      </c>
      <c r="AZ296" s="42">
        <f>MAX(0,MIN(AW296+AX296-AY296,AV296))</f>
        <v/>
      </c>
      <c r="BA296" s="42">
        <f>ROUND(AW296+AX296-AY296-AZ296,2)</f>
        <v/>
      </c>
      <c r="BB296">
        <f>AV296-AZ296</f>
        <v/>
      </c>
      <c r="BC296" s="42">
        <f>BG295</f>
        <v/>
      </c>
      <c r="BD296" s="42">
        <f>ROUND(BC296*BD$6/12,2)</f>
        <v/>
      </c>
      <c r="BE296" s="42">
        <f>MIN(BE$6,BC296+BD296)</f>
        <v/>
      </c>
      <c r="BF296" s="42">
        <f>MAX(0,MIN(BC296+BD296-BE296,BB296))</f>
        <v/>
      </c>
      <c r="BG296" s="42">
        <f>ROUND(BC296+BD296-BE296-BF296,2)</f>
        <v/>
      </c>
      <c r="BH296">
        <f>BB296-BF296</f>
        <v/>
      </c>
      <c r="BI296" s="42">
        <f>BM295</f>
        <v/>
      </c>
      <c r="BJ296" s="42">
        <f>ROUND(BI296*BJ$6/12,2)</f>
        <v/>
      </c>
      <c r="BK296" s="42">
        <f>MIN(BK$6,BI296+BJ296)</f>
        <v/>
      </c>
      <c r="BL296" s="42">
        <f>MAX(0,MIN(BI296+BJ296-BK296,BH296))</f>
        <v/>
      </c>
      <c r="BM296" s="42">
        <f>ROUND(BI296+BJ296-BK296-BL296,2)</f>
        <v/>
      </c>
      <c r="BN296">
        <f>BH296-BL296</f>
        <v/>
      </c>
    </row>
    <row r="297">
      <c r="A297" s="43" t="n">
        <v>290</v>
      </c>
      <c r="B297" s="44">
        <f>EDATE('My Debts'!$C$6,A297-1)</f>
        <v/>
      </c>
      <c r="C297" s="45">
        <f>K297+Q297+W297+AC297+AI297+AO297+AU297+BA297+BG297+BM297</f>
        <v/>
      </c>
      <c r="D297" s="46">
        <f>I297+O297+U297+AA297+AG297+AM297+AS297+AY297+BE297+BK297+J297+P297+V297+AB297+AH297+AN297+AT297+AZ297+BF297+BL297</f>
        <v/>
      </c>
      <c r="E297" s="46">
        <f>H297+N297+T297+Z297+AF297+AL297+AR297+AX297+BD297+BJ297</f>
        <v/>
      </c>
      <c r="F297">
        <f>MAX(0,'My Debts'!$E$21-(I297+O297+U297+AA297+AG297+AM297+AS297+AY297+BE297+BK297))</f>
        <v/>
      </c>
      <c r="G297" s="42">
        <f>K296</f>
        <v/>
      </c>
      <c r="H297" s="42">
        <f>ROUND(G297*H$6/12,2)</f>
        <v/>
      </c>
      <c r="I297" s="42">
        <f>MIN(I$6,G297+H297)</f>
        <v/>
      </c>
      <c r="J297" s="42">
        <f>MAX(0,MIN(G297+H297-I297,$F297))</f>
        <v/>
      </c>
      <c r="K297" s="42">
        <f>ROUND(G297+H297-I297-J297,2)</f>
        <v/>
      </c>
      <c r="L297">
        <f>$F297-J297</f>
        <v/>
      </c>
      <c r="M297" s="42">
        <f>Q296</f>
        <v/>
      </c>
      <c r="N297" s="42">
        <f>ROUND(M297*N$6/12,2)</f>
        <v/>
      </c>
      <c r="O297" s="42">
        <f>MIN(O$6,M297+N297)</f>
        <v/>
      </c>
      <c r="P297" s="42">
        <f>MAX(0,MIN(M297+N297-O297,L297))</f>
        <v/>
      </c>
      <c r="Q297" s="42">
        <f>ROUND(M297+N297-O297-P297,2)</f>
        <v/>
      </c>
      <c r="R297">
        <f>L297-P297</f>
        <v/>
      </c>
      <c r="S297" s="42">
        <f>W296</f>
        <v/>
      </c>
      <c r="T297" s="42">
        <f>ROUND(S297*T$6/12,2)</f>
        <v/>
      </c>
      <c r="U297" s="42">
        <f>MIN(U$6,S297+T297)</f>
        <v/>
      </c>
      <c r="V297" s="42">
        <f>MAX(0,MIN(S297+T297-U297,R297))</f>
        <v/>
      </c>
      <c r="W297" s="42">
        <f>ROUND(S297+T297-U297-V297,2)</f>
        <v/>
      </c>
      <c r="X297">
        <f>R297-V297</f>
        <v/>
      </c>
      <c r="Y297" s="42">
        <f>AC296</f>
        <v/>
      </c>
      <c r="Z297" s="42">
        <f>ROUND(Y297*Z$6/12,2)</f>
        <v/>
      </c>
      <c r="AA297" s="42">
        <f>MIN(AA$6,Y297+Z297)</f>
        <v/>
      </c>
      <c r="AB297" s="42">
        <f>MAX(0,MIN(Y297+Z297-AA297,X297))</f>
        <v/>
      </c>
      <c r="AC297" s="42">
        <f>ROUND(Y297+Z297-AA297-AB297,2)</f>
        <v/>
      </c>
      <c r="AD297">
        <f>X297-AB297</f>
        <v/>
      </c>
      <c r="AE297" s="42">
        <f>AI296</f>
        <v/>
      </c>
      <c r="AF297" s="42">
        <f>ROUND(AE297*AF$6/12,2)</f>
        <v/>
      </c>
      <c r="AG297" s="42">
        <f>MIN(AG$6,AE297+AF297)</f>
        <v/>
      </c>
      <c r="AH297" s="42">
        <f>MAX(0,MIN(AE297+AF297-AG297,AD297))</f>
        <v/>
      </c>
      <c r="AI297" s="42">
        <f>ROUND(AE297+AF297-AG297-AH297,2)</f>
        <v/>
      </c>
      <c r="AJ297">
        <f>AD297-AH297</f>
        <v/>
      </c>
      <c r="AK297" s="42">
        <f>AO296</f>
        <v/>
      </c>
      <c r="AL297" s="42">
        <f>ROUND(AK297*AL$6/12,2)</f>
        <v/>
      </c>
      <c r="AM297" s="42">
        <f>MIN(AM$6,AK297+AL297)</f>
        <v/>
      </c>
      <c r="AN297" s="42">
        <f>MAX(0,MIN(AK297+AL297-AM297,AJ297))</f>
        <v/>
      </c>
      <c r="AO297" s="42">
        <f>ROUND(AK297+AL297-AM297-AN297,2)</f>
        <v/>
      </c>
      <c r="AP297">
        <f>AJ297-AN297</f>
        <v/>
      </c>
      <c r="AQ297" s="42">
        <f>AU296</f>
        <v/>
      </c>
      <c r="AR297" s="42">
        <f>ROUND(AQ297*AR$6/12,2)</f>
        <v/>
      </c>
      <c r="AS297" s="42">
        <f>MIN(AS$6,AQ297+AR297)</f>
        <v/>
      </c>
      <c r="AT297" s="42">
        <f>MAX(0,MIN(AQ297+AR297-AS297,AP297))</f>
        <v/>
      </c>
      <c r="AU297" s="42">
        <f>ROUND(AQ297+AR297-AS297-AT297,2)</f>
        <v/>
      </c>
      <c r="AV297">
        <f>AP297-AT297</f>
        <v/>
      </c>
      <c r="AW297" s="42">
        <f>BA296</f>
        <v/>
      </c>
      <c r="AX297" s="42">
        <f>ROUND(AW297*AX$6/12,2)</f>
        <v/>
      </c>
      <c r="AY297" s="42">
        <f>MIN(AY$6,AW297+AX297)</f>
        <v/>
      </c>
      <c r="AZ297" s="42">
        <f>MAX(0,MIN(AW297+AX297-AY297,AV297))</f>
        <v/>
      </c>
      <c r="BA297" s="42">
        <f>ROUND(AW297+AX297-AY297-AZ297,2)</f>
        <v/>
      </c>
      <c r="BB297">
        <f>AV297-AZ297</f>
        <v/>
      </c>
      <c r="BC297" s="42">
        <f>BG296</f>
        <v/>
      </c>
      <c r="BD297" s="42">
        <f>ROUND(BC297*BD$6/12,2)</f>
        <v/>
      </c>
      <c r="BE297" s="42">
        <f>MIN(BE$6,BC297+BD297)</f>
        <v/>
      </c>
      <c r="BF297" s="42">
        <f>MAX(0,MIN(BC297+BD297-BE297,BB297))</f>
        <v/>
      </c>
      <c r="BG297" s="42">
        <f>ROUND(BC297+BD297-BE297-BF297,2)</f>
        <v/>
      </c>
      <c r="BH297">
        <f>BB297-BF297</f>
        <v/>
      </c>
      <c r="BI297" s="42">
        <f>BM296</f>
        <v/>
      </c>
      <c r="BJ297" s="42">
        <f>ROUND(BI297*BJ$6/12,2)</f>
        <v/>
      </c>
      <c r="BK297" s="42">
        <f>MIN(BK$6,BI297+BJ297)</f>
        <v/>
      </c>
      <c r="BL297" s="42">
        <f>MAX(0,MIN(BI297+BJ297-BK297,BH297))</f>
        <v/>
      </c>
      <c r="BM297" s="42">
        <f>ROUND(BI297+BJ297-BK297-BL297,2)</f>
        <v/>
      </c>
      <c r="BN297">
        <f>BH297-BL297</f>
        <v/>
      </c>
    </row>
    <row r="298">
      <c r="A298" s="39" t="n">
        <v>291</v>
      </c>
      <c r="B298" s="40">
        <f>EDATE('My Debts'!$C$6,A298-1)</f>
        <v/>
      </c>
      <c r="C298" s="41">
        <f>K298+Q298+W298+AC298+AI298+AO298+AU298+BA298+BG298+BM298</f>
        <v/>
      </c>
      <c r="D298" s="42">
        <f>I298+O298+U298+AA298+AG298+AM298+AS298+AY298+BE298+BK298+J298+P298+V298+AB298+AH298+AN298+AT298+AZ298+BF298+BL298</f>
        <v/>
      </c>
      <c r="E298" s="42">
        <f>H298+N298+T298+Z298+AF298+AL298+AR298+AX298+BD298+BJ298</f>
        <v/>
      </c>
      <c r="F298">
        <f>MAX(0,'My Debts'!$E$21-(I298+O298+U298+AA298+AG298+AM298+AS298+AY298+BE298+BK298))</f>
        <v/>
      </c>
      <c r="G298" s="42">
        <f>K297</f>
        <v/>
      </c>
      <c r="H298" s="42">
        <f>ROUND(G298*H$6/12,2)</f>
        <v/>
      </c>
      <c r="I298" s="42">
        <f>MIN(I$6,G298+H298)</f>
        <v/>
      </c>
      <c r="J298" s="42">
        <f>MAX(0,MIN(G298+H298-I298,$F298))</f>
        <v/>
      </c>
      <c r="K298" s="42">
        <f>ROUND(G298+H298-I298-J298,2)</f>
        <v/>
      </c>
      <c r="L298">
        <f>$F298-J298</f>
        <v/>
      </c>
      <c r="M298" s="42">
        <f>Q297</f>
        <v/>
      </c>
      <c r="N298" s="42">
        <f>ROUND(M298*N$6/12,2)</f>
        <v/>
      </c>
      <c r="O298" s="42">
        <f>MIN(O$6,M298+N298)</f>
        <v/>
      </c>
      <c r="P298" s="42">
        <f>MAX(0,MIN(M298+N298-O298,L298))</f>
        <v/>
      </c>
      <c r="Q298" s="42">
        <f>ROUND(M298+N298-O298-P298,2)</f>
        <v/>
      </c>
      <c r="R298">
        <f>L298-P298</f>
        <v/>
      </c>
      <c r="S298" s="42">
        <f>W297</f>
        <v/>
      </c>
      <c r="T298" s="42">
        <f>ROUND(S298*T$6/12,2)</f>
        <v/>
      </c>
      <c r="U298" s="42">
        <f>MIN(U$6,S298+T298)</f>
        <v/>
      </c>
      <c r="V298" s="42">
        <f>MAX(0,MIN(S298+T298-U298,R298))</f>
        <v/>
      </c>
      <c r="W298" s="42">
        <f>ROUND(S298+T298-U298-V298,2)</f>
        <v/>
      </c>
      <c r="X298">
        <f>R298-V298</f>
        <v/>
      </c>
      <c r="Y298" s="42">
        <f>AC297</f>
        <v/>
      </c>
      <c r="Z298" s="42">
        <f>ROUND(Y298*Z$6/12,2)</f>
        <v/>
      </c>
      <c r="AA298" s="42">
        <f>MIN(AA$6,Y298+Z298)</f>
        <v/>
      </c>
      <c r="AB298" s="42">
        <f>MAX(0,MIN(Y298+Z298-AA298,X298))</f>
        <v/>
      </c>
      <c r="AC298" s="42">
        <f>ROUND(Y298+Z298-AA298-AB298,2)</f>
        <v/>
      </c>
      <c r="AD298">
        <f>X298-AB298</f>
        <v/>
      </c>
      <c r="AE298" s="42">
        <f>AI297</f>
        <v/>
      </c>
      <c r="AF298" s="42">
        <f>ROUND(AE298*AF$6/12,2)</f>
        <v/>
      </c>
      <c r="AG298" s="42">
        <f>MIN(AG$6,AE298+AF298)</f>
        <v/>
      </c>
      <c r="AH298" s="42">
        <f>MAX(0,MIN(AE298+AF298-AG298,AD298))</f>
        <v/>
      </c>
      <c r="AI298" s="42">
        <f>ROUND(AE298+AF298-AG298-AH298,2)</f>
        <v/>
      </c>
      <c r="AJ298">
        <f>AD298-AH298</f>
        <v/>
      </c>
      <c r="AK298" s="42">
        <f>AO297</f>
        <v/>
      </c>
      <c r="AL298" s="42">
        <f>ROUND(AK298*AL$6/12,2)</f>
        <v/>
      </c>
      <c r="AM298" s="42">
        <f>MIN(AM$6,AK298+AL298)</f>
        <v/>
      </c>
      <c r="AN298" s="42">
        <f>MAX(0,MIN(AK298+AL298-AM298,AJ298))</f>
        <v/>
      </c>
      <c r="AO298" s="42">
        <f>ROUND(AK298+AL298-AM298-AN298,2)</f>
        <v/>
      </c>
      <c r="AP298">
        <f>AJ298-AN298</f>
        <v/>
      </c>
      <c r="AQ298" s="42">
        <f>AU297</f>
        <v/>
      </c>
      <c r="AR298" s="42">
        <f>ROUND(AQ298*AR$6/12,2)</f>
        <v/>
      </c>
      <c r="AS298" s="42">
        <f>MIN(AS$6,AQ298+AR298)</f>
        <v/>
      </c>
      <c r="AT298" s="42">
        <f>MAX(0,MIN(AQ298+AR298-AS298,AP298))</f>
        <v/>
      </c>
      <c r="AU298" s="42">
        <f>ROUND(AQ298+AR298-AS298-AT298,2)</f>
        <v/>
      </c>
      <c r="AV298">
        <f>AP298-AT298</f>
        <v/>
      </c>
      <c r="AW298" s="42">
        <f>BA297</f>
        <v/>
      </c>
      <c r="AX298" s="42">
        <f>ROUND(AW298*AX$6/12,2)</f>
        <v/>
      </c>
      <c r="AY298" s="42">
        <f>MIN(AY$6,AW298+AX298)</f>
        <v/>
      </c>
      <c r="AZ298" s="42">
        <f>MAX(0,MIN(AW298+AX298-AY298,AV298))</f>
        <v/>
      </c>
      <c r="BA298" s="42">
        <f>ROUND(AW298+AX298-AY298-AZ298,2)</f>
        <v/>
      </c>
      <c r="BB298">
        <f>AV298-AZ298</f>
        <v/>
      </c>
      <c r="BC298" s="42">
        <f>BG297</f>
        <v/>
      </c>
      <c r="BD298" s="42">
        <f>ROUND(BC298*BD$6/12,2)</f>
        <v/>
      </c>
      <c r="BE298" s="42">
        <f>MIN(BE$6,BC298+BD298)</f>
        <v/>
      </c>
      <c r="BF298" s="42">
        <f>MAX(0,MIN(BC298+BD298-BE298,BB298))</f>
        <v/>
      </c>
      <c r="BG298" s="42">
        <f>ROUND(BC298+BD298-BE298-BF298,2)</f>
        <v/>
      </c>
      <c r="BH298">
        <f>BB298-BF298</f>
        <v/>
      </c>
      <c r="BI298" s="42">
        <f>BM297</f>
        <v/>
      </c>
      <c r="BJ298" s="42">
        <f>ROUND(BI298*BJ$6/12,2)</f>
        <v/>
      </c>
      <c r="BK298" s="42">
        <f>MIN(BK$6,BI298+BJ298)</f>
        <v/>
      </c>
      <c r="BL298" s="42">
        <f>MAX(0,MIN(BI298+BJ298-BK298,BH298))</f>
        <v/>
      </c>
      <c r="BM298" s="42">
        <f>ROUND(BI298+BJ298-BK298-BL298,2)</f>
        <v/>
      </c>
      <c r="BN298">
        <f>BH298-BL298</f>
        <v/>
      </c>
    </row>
    <row r="299">
      <c r="A299" s="43" t="n">
        <v>292</v>
      </c>
      <c r="B299" s="44">
        <f>EDATE('My Debts'!$C$6,A299-1)</f>
        <v/>
      </c>
      <c r="C299" s="45">
        <f>K299+Q299+W299+AC299+AI299+AO299+AU299+BA299+BG299+BM299</f>
        <v/>
      </c>
      <c r="D299" s="46">
        <f>I299+O299+U299+AA299+AG299+AM299+AS299+AY299+BE299+BK299+J299+P299+V299+AB299+AH299+AN299+AT299+AZ299+BF299+BL299</f>
        <v/>
      </c>
      <c r="E299" s="46">
        <f>H299+N299+T299+Z299+AF299+AL299+AR299+AX299+BD299+BJ299</f>
        <v/>
      </c>
      <c r="F299">
        <f>MAX(0,'My Debts'!$E$21-(I299+O299+U299+AA299+AG299+AM299+AS299+AY299+BE299+BK299))</f>
        <v/>
      </c>
      <c r="G299" s="42">
        <f>K298</f>
        <v/>
      </c>
      <c r="H299" s="42">
        <f>ROUND(G299*H$6/12,2)</f>
        <v/>
      </c>
      <c r="I299" s="42">
        <f>MIN(I$6,G299+H299)</f>
        <v/>
      </c>
      <c r="J299" s="42">
        <f>MAX(0,MIN(G299+H299-I299,$F299))</f>
        <v/>
      </c>
      <c r="K299" s="42">
        <f>ROUND(G299+H299-I299-J299,2)</f>
        <v/>
      </c>
      <c r="L299">
        <f>$F299-J299</f>
        <v/>
      </c>
      <c r="M299" s="42">
        <f>Q298</f>
        <v/>
      </c>
      <c r="N299" s="42">
        <f>ROUND(M299*N$6/12,2)</f>
        <v/>
      </c>
      <c r="O299" s="42">
        <f>MIN(O$6,M299+N299)</f>
        <v/>
      </c>
      <c r="P299" s="42">
        <f>MAX(0,MIN(M299+N299-O299,L299))</f>
        <v/>
      </c>
      <c r="Q299" s="42">
        <f>ROUND(M299+N299-O299-P299,2)</f>
        <v/>
      </c>
      <c r="R299">
        <f>L299-P299</f>
        <v/>
      </c>
      <c r="S299" s="42">
        <f>W298</f>
        <v/>
      </c>
      <c r="T299" s="42">
        <f>ROUND(S299*T$6/12,2)</f>
        <v/>
      </c>
      <c r="U299" s="42">
        <f>MIN(U$6,S299+T299)</f>
        <v/>
      </c>
      <c r="V299" s="42">
        <f>MAX(0,MIN(S299+T299-U299,R299))</f>
        <v/>
      </c>
      <c r="W299" s="42">
        <f>ROUND(S299+T299-U299-V299,2)</f>
        <v/>
      </c>
      <c r="X299">
        <f>R299-V299</f>
        <v/>
      </c>
      <c r="Y299" s="42">
        <f>AC298</f>
        <v/>
      </c>
      <c r="Z299" s="42">
        <f>ROUND(Y299*Z$6/12,2)</f>
        <v/>
      </c>
      <c r="AA299" s="42">
        <f>MIN(AA$6,Y299+Z299)</f>
        <v/>
      </c>
      <c r="AB299" s="42">
        <f>MAX(0,MIN(Y299+Z299-AA299,X299))</f>
        <v/>
      </c>
      <c r="AC299" s="42">
        <f>ROUND(Y299+Z299-AA299-AB299,2)</f>
        <v/>
      </c>
      <c r="AD299">
        <f>X299-AB299</f>
        <v/>
      </c>
      <c r="AE299" s="42">
        <f>AI298</f>
        <v/>
      </c>
      <c r="AF299" s="42">
        <f>ROUND(AE299*AF$6/12,2)</f>
        <v/>
      </c>
      <c r="AG299" s="42">
        <f>MIN(AG$6,AE299+AF299)</f>
        <v/>
      </c>
      <c r="AH299" s="42">
        <f>MAX(0,MIN(AE299+AF299-AG299,AD299))</f>
        <v/>
      </c>
      <c r="AI299" s="42">
        <f>ROUND(AE299+AF299-AG299-AH299,2)</f>
        <v/>
      </c>
      <c r="AJ299">
        <f>AD299-AH299</f>
        <v/>
      </c>
      <c r="AK299" s="42">
        <f>AO298</f>
        <v/>
      </c>
      <c r="AL299" s="42">
        <f>ROUND(AK299*AL$6/12,2)</f>
        <v/>
      </c>
      <c r="AM299" s="42">
        <f>MIN(AM$6,AK299+AL299)</f>
        <v/>
      </c>
      <c r="AN299" s="42">
        <f>MAX(0,MIN(AK299+AL299-AM299,AJ299))</f>
        <v/>
      </c>
      <c r="AO299" s="42">
        <f>ROUND(AK299+AL299-AM299-AN299,2)</f>
        <v/>
      </c>
      <c r="AP299">
        <f>AJ299-AN299</f>
        <v/>
      </c>
      <c r="AQ299" s="42">
        <f>AU298</f>
        <v/>
      </c>
      <c r="AR299" s="42">
        <f>ROUND(AQ299*AR$6/12,2)</f>
        <v/>
      </c>
      <c r="AS299" s="42">
        <f>MIN(AS$6,AQ299+AR299)</f>
        <v/>
      </c>
      <c r="AT299" s="42">
        <f>MAX(0,MIN(AQ299+AR299-AS299,AP299))</f>
        <v/>
      </c>
      <c r="AU299" s="42">
        <f>ROUND(AQ299+AR299-AS299-AT299,2)</f>
        <v/>
      </c>
      <c r="AV299">
        <f>AP299-AT299</f>
        <v/>
      </c>
      <c r="AW299" s="42">
        <f>BA298</f>
        <v/>
      </c>
      <c r="AX299" s="42">
        <f>ROUND(AW299*AX$6/12,2)</f>
        <v/>
      </c>
      <c r="AY299" s="42">
        <f>MIN(AY$6,AW299+AX299)</f>
        <v/>
      </c>
      <c r="AZ299" s="42">
        <f>MAX(0,MIN(AW299+AX299-AY299,AV299))</f>
        <v/>
      </c>
      <c r="BA299" s="42">
        <f>ROUND(AW299+AX299-AY299-AZ299,2)</f>
        <v/>
      </c>
      <c r="BB299">
        <f>AV299-AZ299</f>
        <v/>
      </c>
      <c r="BC299" s="42">
        <f>BG298</f>
        <v/>
      </c>
      <c r="BD299" s="42">
        <f>ROUND(BC299*BD$6/12,2)</f>
        <v/>
      </c>
      <c r="BE299" s="42">
        <f>MIN(BE$6,BC299+BD299)</f>
        <v/>
      </c>
      <c r="BF299" s="42">
        <f>MAX(0,MIN(BC299+BD299-BE299,BB299))</f>
        <v/>
      </c>
      <c r="BG299" s="42">
        <f>ROUND(BC299+BD299-BE299-BF299,2)</f>
        <v/>
      </c>
      <c r="BH299">
        <f>BB299-BF299</f>
        <v/>
      </c>
      <c r="BI299" s="42">
        <f>BM298</f>
        <v/>
      </c>
      <c r="BJ299" s="42">
        <f>ROUND(BI299*BJ$6/12,2)</f>
        <v/>
      </c>
      <c r="BK299" s="42">
        <f>MIN(BK$6,BI299+BJ299)</f>
        <v/>
      </c>
      <c r="BL299" s="42">
        <f>MAX(0,MIN(BI299+BJ299-BK299,BH299))</f>
        <v/>
      </c>
      <c r="BM299" s="42">
        <f>ROUND(BI299+BJ299-BK299-BL299,2)</f>
        <v/>
      </c>
      <c r="BN299">
        <f>BH299-BL299</f>
        <v/>
      </c>
    </row>
    <row r="300">
      <c r="A300" s="39" t="n">
        <v>293</v>
      </c>
      <c r="B300" s="40">
        <f>EDATE('My Debts'!$C$6,A300-1)</f>
        <v/>
      </c>
      <c r="C300" s="41">
        <f>K300+Q300+W300+AC300+AI300+AO300+AU300+BA300+BG300+BM300</f>
        <v/>
      </c>
      <c r="D300" s="42">
        <f>I300+O300+U300+AA300+AG300+AM300+AS300+AY300+BE300+BK300+J300+P300+V300+AB300+AH300+AN300+AT300+AZ300+BF300+BL300</f>
        <v/>
      </c>
      <c r="E300" s="42">
        <f>H300+N300+T300+Z300+AF300+AL300+AR300+AX300+BD300+BJ300</f>
        <v/>
      </c>
      <c r="F300">
        <f>MAX(0,'My Debts'!$E$21-(I300+O300+U300+AA300+AG300+AM300+AS300+AY300+BE300+BK300))</f>
        <v/>
      </c>
      <c r="G300" s="42">
        <f>K299</f>
        <v/>
      </c>
      <c r="H300" s="42">
        <f>ROUND(G300*H$6/12,2)</f>
        <v/>
      </c>
      <c r="I300" s="42">
        <f>MIN(I$6,G300+H300)</f>
        <v/>
      </c>
      <c r="J300" s="42">
        <f>MAX(0,MIN(G300+H300-I300,$F300))</f>
        <v/>
      </c>
      <c r="K300" s="42">
        <f>ROUND(G300+H300-I300-J300,2)</f>
        <v/>
      </c>
      <c r="L300">
        <f>$F300-J300</f>
        <v/>
      </c>
      <c r="M300" s="42">
        <f>Q299</f>
        <v/>
      </c>
      <c r="N300" s="42">
        <f>ROUND(M300*N$6/12,2)</f>
        <v/>
      </c>
      <c r="O300" s="42">
        <f>MIN(O$6,M300+N300)</f>
        <v/>
      </c>
      <c r="P300" s="42">
        <f>MAX(0,MIN(M300+N300-O300,L300))</f>
        <v/>
      </c>
      <c r="Q300" s="42">
        <f>ROUND(M300+N300-O300-P300,2)</f>
        <v/>
      </c>
      <c r="R300">
        <f>L300-P300</f>
        <v/>
      </c>
      <c r="S300" s="42">
        <f>W299</f>
        <v/>
      </c>
      <c r="T300" s="42">
        <f>ROUND(S300*T$6/12,2)</f>
        <v/>
      </c>
      <c r="U300" s="42">
        <f>MIN(U$6,S300+T300)</f>
        <v/>
      </c>
      <c r="V300" s="42">
        <f>MAX(0,MIN(S300+T300-U300,R300))</f>
        <v/>
      </c>
      <c r="W300" s="42">
        <f>ROUND(S300+T300-U300-V300,2)</f>
        <v/>
      </c>
      <c r="X300">
        <f>R300-V300</f>
        <v/>
      </c>
      <c r="Y300" s="42">
        <f>AC299</f>
        <v/>
      </c>
      <c r="Z300" s="42">
        <f>ROUND(Y300*Z$6/12,2)</f>
        <v/>
      </c>
      <c r="AA300" s="42">
        <f>MIN(AA$6,Y300+Z300)</f>
        <v/>
      </c>
      <c r="AB300" s="42">
        <f>MAX(0,MIN(Y300+Z300-AA300,X300))</f>
        <v/>
      </c>
      <c r="AC300" s="42">
        <f>ROUND(Y300+Z300-AA300-AB300,2)</f>
        <v/>
      </c>
      <c r="AD300">
        <f>X300-AB300</f>
        <v/>
      </c>
      <c r="AE300" s="42">
        <f>AI299</f>
        <v/>
      </c>
      <c r="AF300" s="42">
        <f>ROUND(AE300*AF$6/12,2)</f>
        <v/>
      </c>
      <c r="AG300" s="42">
        <f>MIN(AG$6,AE300+AF300)</f>
        <v/>
      </c>
      <c r="AH300" s="42">
        <f>MAX(0,MIN(AE300+AF300-AG300,AD300))</f>
        <v/>
      </c>
      <c r="AI300" s="42">
        <f>ROUND(AE300+AF300-AG300-AH300,2)</f>
        <v/>
      </c>
      <c r="AJ300">
        <f>AD300-AH300</f>
        <v/>
      </c>
      <c r="AK300" s="42">
        <f>AO299</f>
        <v/>
      </c>
      <c r="AL300" s="42">
        <f>ROUND(AK300*AL$6/12,2)</f>
        <v/>
      </c>
      <c r="AM300" s="42">
        <f>MIN(AM$6,AK300+AL300)</f>
        <v/>
      </c>
      <c r="AN300" s="42">
        <f>MAX(0,MIN(AK300+AL300-AM300,AJ300))</f>
        <v/>
      </c>
      <c r="AO300" s="42">
        <f>ROUND(AK300+AL300-AM300-AN300,2)</f>
        <v/>
      </c>
      <c r="AP300">
        <f>AJ300-AN300</f>
        <v/>
      </c>
      <c r="AQ300" s="42">
        <f>AU299</f>
        <v/>
      </c>
      <c r="AR300" s="42">
        <f>ROUND(AQ300*AR$6/12,2)</f>
        <v/>
      </c>
      <c r="AS300" s="42">
        <f>MIN(AS$6,AQ300+AR300)</f>
        <v/>
      </c>
      <c r="AT300" s="42">
        <f>MAX(0,MIN(AQ300+AR300-AS300,AP300))</f>
        <v/>
      </c>
      <c r="AU300" s="42">
        <f>ROUND(AQ300+AR300-AS300-AT300,2)</f>
        <v/>
      </c>
      <c r="AV300">
        <f>AP300-AT300</f>
        <v/>
      </c>
      <c r="AW300" s="42">
        <f>BA299</f>
        <v/>
      </c>
      <c r="AX300" s="42">
        <f>ROUND(AW300*AX$6/12,2)</f>
        <v/>
      </c>
      <c r="AY300" s="42">
        <f>MIN(AY$6,AW300+AX300)</f>
        <v/>
      </c>
      <c r="AZ300" s="42">
        <f>MAX(0,MIN(AW300+AX300-AY300,AV300))</f>
        <v/>
      </c>
      <c r="BA300" s="42">
        <f>ROUND(AW300+AX300-AY300-AZ300,2)</f>
        <v/>
      </c>
      <c r="BB300">
        <f>AV300-AZ300</f>
        <v/>
      </c>
      <c r="BC300" s="42">
        <f>BG299</f>
        <v/>
      </c>
      <c r="BD300" s="42">
        <f>ROUND(BC300*BD$6/12,2)</f>
        <v/>
      </c>
      <c r="BE300" s="42">
        <f>MIN(BE$6,BC300+BD300)</f>
        <v/>
      </c>
      <c r="BF300" s="42">
        <f>MAX(0,MIN(BC300+BD300-BE300,BB300))</f>
        <v/>
      </c>
      <c r="BG300" s="42">
        <f>ROUND(BC300+BD300-BE300-BF300,2)</f>
        <v/>
      </c>
      <c r="BH300">
        <f>BB300-BF300</f>
        <v/>
      </c>
      <c r="BI300" s="42">
        <f>BM299</f>
        <v/>
      </c>
      <c r="BJ300" s="42">
        <f>ROUND(BI300*BJ$6/12,2)</f>
        <v/>
      </c>
      <c r="BK300" s="42">
        <f>MIN(BK$6,BI300+BJ300)</f>
        <v/>
      </c>
      <c r="BL300" s="42">
        <f>MAX(0,MIN(BI300+BJ300-BK300,BH300))</f>
        <v/>
      </c>
      <c r="BM300" s="42">
        <f>ROUND(BI300+BJ300-BK300-BL300,2)</f>
        <v/>
      </c>
      <c r="BN300">
        <f>BH300-BL300</f>
        <v/>
      </c>
    </row>
    <row r="301">
      <c r="A301" s="43" t="n">
        <v>294</v>
      </c>
      <c r="B301" s="44">
        <f>EDATE('My Debts'!$C$6,A301-1)</f>
        <v/>
      </c>
      <c r="C301" s="45">
        <f>K301+Q301+W301+AC301+AI301+AO301+AU301+BA301+BG301+BM301</f>
        <v/>
      </c>
      <c r="D301" s="46">
        <f>I301+O301+U301+AA301+AG301+AM301+AS301+AY301+BE301+BK301+J301+P301+V301+AB301+AH301+AN301+AT301+AZ301+BF301+BL301</f>
        <v/>
      </c>
      <c r="E301" s="46">
        <f>H301+N301+T301+Z301+AF301+AL301+AR301+AX301+BD301+BJ301</f>
        <v/>
      </c>
      <c r="F301">
        <f>MAX(0,'My Debts'!$E$21-(I301+O301+U301+AA301+AG301+AM301+AS301+AY301+BE301+BK301))</f>
        <v/>
      </c>
      <c r="G301" s="42">
        <f>K300</f>
        <v/>
      </c>
      <c r="H301" s="42">
        <f>ROUND(G301*H$6/12,2)</f>
        <v/>
      </c>
      <c r="I301" s="42">
        <f>MIN(I$6,G301+H301)</f>
        <v/>
      </c>
      <c r="J301" s="42">
        <f>MAX(0,MIN(G301+H301-I301,$F301))</f>
        <v/>
      </c>
      <c r="K301" s="42">
        <f>ROUND(G301+H301-I301-J301,2)</f>
        <v/>
      </c>
      <c r="L301">
        <f>$F301-J301</f>
        <v/>
      </c>
      <c r="M301" s="42">
        <f>Q300</f>
        <v/>
      </c>
      <c r="N301" s="42">
        <f>ROUND(M301*N$6/12,2)</f>
        <v/>
      </c>
      <c r="O301" s="42">
        <f>MIN(O$6,M301+N301)</f>
        <v/>
      </c>
      <c r="P301" s="42">
        <f>MAX(0,MIN(M301+N301-O301,L301))</f>
        <v/>
      </c>
      <c r="Q301" s="42">
        <f>ROUND(M301+N301-O301-P301,2)</f>
        <v/>
      </c>
      <c r="R301">
        <f>L301-P301</f>
        <v/>
      </c>
      <c r="S301" s="42">
        <f>W300</f>
        <v/>
      </c>
      <c r="T301" s="42">
        <f>ROUND(S301*T$6/12,2)</f>
        <v/>
      </c>
      <c r="U301" s="42">
        <f>MIN(U$6,S301+T301)</f>
        <v/>
      </c>
      <c r="V301" s="42">
        <f>MAX(0,MIN(S301+T301-U301,R301))</f>
        <v/>
      </c>
      <c r="W301" s="42">
        <f>ROUND(S301+T301-U301-V301,2)</f>
        <v/>
      </c>
      <c r="X301">
        <f>R301-V301</f>
        <v/>
      </c>
      <c r="Y301" s="42">
        <f>AC300</f>
        <v/>
      </c>
      <c r="Z301" s="42">
        <f>ROUND(Y301*Z$6/12,2)</f>
        <v/>
      </c>
      <c r="AA301" s="42">
        <f>MIN(AA$6,Y301+Z301)</f>
        <v/>
      </c>
      <c r="AB301" s="42">
        <f>MAX(0,MIN(Y301+Z301-AA301,X301))</f>
        <v/>
      </c>
      <c r="AC301" s="42">
        <f>ROUND(Y301+Z301-AA301-AB301,2)</f>
        <v/>
      </c>
      <c r="AD301">
        <f>X301-AB301</f>
        <v/>
      </c>
      <c r="AE301" s="42">
        <f>AI300</f>
        <v/>
      </c>
      <c r="AF301" s="42">
        <f>ROUND(AE301*AF$6/12,2)</f>
        <v/>
      </c>
      <c r="AG301" s="42">
        <f>MIN(AG$6,AE301+AF301)</f>
        <v/>
      </c>
      <c r="AH301" s="42">
        <f>MAX(0,MIN(AE301+AF301-AG301,AD301))</f>
        <v/>
      </c>
      <c r="AI301" s="42">
        <f>ROUND(AE301+AF301-AG301-AH301,2)</f>
        <v/>
      </c>
      <c r="AJ301">
        <f>AD301-AH301</f>
        <v/>
      </c>
      <c r="AK301" s="42">
        <f>AO300</f>
        <v/>
      </c>
      <c r="AL301" s="42">
        <f>ROUND(AK301*AL$6/12,2)</f>
        <v/>
      </c>
      <c r="AM301" s="42">
        <f>MIN(AM$6,AK301+AL301)</f>
        <v/>
      </c>
      <c r="AN301" s="42">
        <f>MAX(0,MIN(AK301+AL301-AM301,AJ301))</f>
        <v/>
      </c>
      <c r="AO301" s="42">
        <f>ROUND(AK301+AL301-AM301-AN301,2)</f>
        <v/>
      </c>
      <c r="AP301">
        <f>AJ301-AN301</f>
        <v/>
      </c>
      <c r="AQ301" s="42">
        <f>AU300</f>
        <v/>
      </c>
      <c r="AR301" s="42">
        <f>ROUND(AQ301*AR$6/12,2)</f>
        <v/>
      </c>
      <c r="AS301" s="42">
        <f>MIN(AS$6,AQ301+AR301)</f>
        <v/>
      </c>
      <c r="AT301" s="42">
        <f>MAX(0,MIN(AQ301+AR301-AS301,AP301))</f>
        <v/>
      </c>
      <c r="AU301" s="42">
        <f>ROUND(AQ301+AR301-AS301-AT301,2)</f>
        <v/>
      </c>
      <c r="AV301">
        <f>AP301-AT301</f>
        <v/>
      </c>
      <c r="AW301" s="42">
        <f>BA300</f>
        <v/>
      </c>
      <c r="AX301" s="42">
        <f>ROUND(AW301*AX$6/12,2)</f>
        <v/>
      </c>
      <c r="AY301" s="42">
        <f>MIN(AY$6,AW301+AX301)</f>
        <v/>
      </c>
      <c r="AZ301" s="42">
        <f>MAX(0,MIN(AW301+AX301-AY301,AV301))</f>
        <v/>
      </c>
      <c r="BA301" s="42">
        <f>ROUND(AW301+AX301-AY301-AZ301,2)</f>
        <v/>
      </c>
      <c r="BB301">
        <f>AV301-AZ301</f>
        <v/>
      </c>
      <c r="BC301" s="42">
        <f>BG300</f>
        <v/>
      </c>
      <c r="BD301" s="42">
        <f>ROUND(BC301*BD$6/12,2)</f>
        <v/>
      </c>
      <c r="BE301" s="42">
        <f>MIN(BE$6,BC301+BD301)</f>
        <v/>
      </c>
      <c r="BF301" s="42">
        <f>MAX(0,MIN(BC301+BD301-BE301,BB301))</f>
        <v/>
      </c>
      <c r="BG301" s="42">
        <f>ROUND(BC301+BD301-BE301-BF301,2)</f>
        <v/>
      </c>
      <c r="BH301">
        <f>BB301-BF301</f>
        <v/>
      </c>
      <c r="BI301" s="42">
        <f>BM300</f>
        <v/>
      </c>
      <c r="BJ301" s="42">
        <f>ROUND(BI301*BJ$6/12,2)</f>
        <v/>
      </c>
      <c r="BK301" s="42">
        <f>MIN(BK$6,BI301+BJ301)</f>
        <v/>
      </c>
      <c r="BL301" s="42">
        <f>MAX(0,MIN(BI301+BJ301-BK301,BH301))</f>
        <v/>
      </c>
      <c r="BM301" s="42">
        <f>ROUND(BI301+BJ301-BK301-BL301,2)</f>
        <v/>
      </c>
      <c r="BN301">
        <f>BH301-BL301</f>
        <v/>
      </c>
    </row>
    <row r="302">
      <c r="A302" s="39" t="n">
        <v>295</v>
      </c>
      <c r="B302" s="40">
        <f>EDATE('My Debts'!$C$6,A302-1)</f>
        <v/>
      </c>
      <c r="C302" s="41">
        <f>K302+Q302+W302+AC302+AI302+AO302+AU302+BA302+BG302+BM302</f>
        <v/>
      </c>
      <c r="D302" s="42">
        <f>I302+O302+U302+AA302+AG302+AM302+AS302+AY302+BE302+BK302+J302+P302+V302+AB302+AH302+AN302+AT302+AZ302+BF302+BL302</f>
        <v/>
      </c>
      <c r="E302" s="42">
        <f>H302+N302+T302+Z302+AF302+AL302+AR302+AX302+BD302+BJ302</f>
        <v/>
      </c>
      <c r="F302">
        <f>MAX(0,'My Debts'!$E$21-(I302+O302+U302+AA302+AG302+AM302+AS302+AY302+BE302+BK302))</f>
        <v/>
      </c>
      <c r="G302" s="42">
        <f>K301</f>
        <v/>
      </c>
      <c r="H302" s="42">
        <f>ROUND(G302*H$6/12,2)</f>
        <v/>
      </c>
      <c r="I302" s="42">
        <f>MIN(I$6,G302+H302)</f>
        <v/>
      </c>
      <c r="J302" s="42">
        <f>MAX(0,MIN(G302+H302-I302,$F302))</f>
        <v/>
      </c>
      <c r="K302" s="42">
        <f>ROUND(G302+H302-I302-J302,2)</f>
        <v/>
      </c>
      <c r="L302">
        <f>$F302-J302</f>
        <v/>
      </c>
      <c r="M302" s="42">
        <f>Q301</f>
        <v/>
      </c>
      <c r="N302" s="42">
        <f>ROUND(M302*N$6/12,2)</f>
        <v/>
      </c>
      <c r="O302" s="42">
        <f>MIN(O$6,M302+N302)</f>
        <v/>
      </c>
      <c r="P302" s="42">
        <f>MAX(0,MIN(M302+N302-O302,L302))</f>
        <v/>
      </c>
      <c r="Q302" s="42">
        <f>ROUND(M302+N302-O302-P302,2)</f>
        <v/>
      </c>
      <c r="R302">
        <f>L302-P302</f>
        <v/>
      </c>
      <c r="S302" s="42">
        <f>W301</f>
        <v/>
      </c>
      <c r="T302" s="42">
        <f>ROUND(S302*T$6/12,2)</f>
        <v/>
      </c>
      <c r="U302" s="42">
        <f>MIN(U$6,S302+T302)</f>
        <v/>
      </c>
      <c r="V302" s="42">
        <f>MAX(0,MIN(S302+T302-U302,R302))</f>
        <v/>
      </c>
      <c r="W302" s="42">
        <f>ROUND(S302+T302-U302-V302,2)</f>
        <v/>
      </c>
      <c r="X302">
        <f>R302-V302</f>
        <v/>
      </c>
      <c r="Y302" s="42">
        <f>AC301</f>
        <v/>
      </c>
      <c r="Z302" s="42">
        <f>ROUND(Y302*Z$6/12,2)</f>
        <v/>
      </c>
      <c r="AA302" s="42">
        <f>MIN(AA$6,Y302+Z302)</f>
        <v/>
      </c>
      <c r="AB302" s="42">
        <f>MAX(0,MIN(Y302+Z302-AA302,X302))</f>
        <v/>
      </c>
      <c r="AC302" s="42">
        <f>ROUND(Y302+Z302-AA302-AB302,2)</f>
        <v/>
      </c>
      <c r="AD302">
        <f>X302-AB302</f>
        <v/>
      </c>
      <c r="AE302" s="42">
        <f>AI301</f>
        <v/>
      </c>
      <c r="AF302" s="42">
        <f>ROUND(AE302*AF$6/12,2)</f>
        <v/>
      </c>
      <c r="AG302" s="42">
        <f>MIN(AG$6,AE302+AF302)</f>
        <v/>
      </c>
      <c r="AH302" s="42">
        <f>MAX(0,MIN(AE302+AF302-AG302,AD302))</f>
        <v/>
      </c>
      <c r="AI302" s="42">
        <f>ROUND(AE302+AF302-AG302-AH302,2)</f>
        <v/>
      </c>
      <c r="AJ302">
        <f>AD302-AH302</f>
        <v/>
      </c>
      <c r="AK302" s="42">
        <f>AO301</f>
        <v/>
      </c>
      <c r="AL302" s="42">
        <f>ROUND(AK302*AL$6/12,2)</f>
        <v/>
      </c>
      <c r="AM302" s="42">
        <f>MIN(AM$6,AK302+AL302)</f>
        <v/>
      </c>
      <c r="AN302" s="42">
        <f>MAX(0,MIN(AK302+AL302-AM302,AJ302))</f>
        <v/>
      </c>
      <c r="AO302" s="42">
        <f>ROUND(AK302+AL302-AM302-AN302,2)</f>
        <v/>
      </c>
      <c r="AP302">
        <f>AJ302-AN302</f>
        <v/>
      </c>
      <c r="AQ302" s="42">
        <f>AU301</f>
        <v/>
      </c>
      <c r="AR302" s="42">
        <f>ROUND(AQ302*AR$6/12,2)</f>
        <v/>
      </c>
      <c r="AS302" s="42">
        <f>MIN(AS$6,AQ302+AR302)</f>
        <v/>
      </c>
      <c r="AT302" s="42">
        <f>MAX(0,MIN(AQ302+AR302-AS302,AP302))</f>
        <v/>
      </c>
      <c r="AU302" s="42">
        <f>ROUND(AQ302+AR302-AS302-AT302,2)</f>
        <v/>
      </c>
      <c r="AV302">
        <f>AP302-AT302</f>
        <v/>
      </c>
      <c r="AW302" s="42">
        <f>BA301</f>
        <v/>
      </c>
      <c r="AX302" s="42">
        <f>ROUND(AW302*AX$6/12,2)</f>
        <v/>
      </c>
      <c r="AY302" s="42">
        <f>MIN(AY$6,AW302+AX302)</f>
        <v/>
      </c>
      <c r="AZ302" s="42">
        <f>MAX(0,MIN(AW302+AX302-AY302,AV302))</f>
        <v/>
      </c>
      <c r="BA302" s="42">
        <f>ROUND(AW302+AX302-AY302-AZ302,2)</f>
        <v/>
      </c>
      <c r="BB302">
        <f>AV302-AZ302</f>
        <v/>
      </c>
      <c r="BC302" s="42">
        <f>BG301</f>
        <v/>
      </c>
      <c r="BD302" s="42">
        <f>ROUND(BC302*BD$6/12,2)</f>
        <v/>
      </c>
      <c r="BE302" s="42">
        <f>MIN(BE$6,BC302+BD302)</f>
        <v/>
      </c>
      <c r="BF302" s="42">
        <f>MAX(0,MIN(BC302+BD302-BE302,BB302))</f>
        <v/>
      </c>
      <c r="BG302" s="42">
        <f>ROUND(BC302+BD302-BE302-BF302,2)</f>
        <v/>
      </c>
      <c r="BH302">
        <f>BB302-BF302</f>
        <v/>
      </c>
      <c r="BI302" s="42">
        <f>BM301</f>
        <v/>
      </c>
      <c r="BJ302" s="42">
        <f>ROUND(BI302*BJ$6/12,2)</f>
        <v/>
      </c>
      <c r="BK302" s="42">
        <f>MIN(BK$6,BI302+BJ302)</f>
        <v/>
      </c>
      <c r="BL302" s="42">
        <f>MAX(0,MIN(BI302+BJ302-BK302,BH302))</f>
        <v/>
      </c>
      <c r="BM302" s="42">
        <f>ROUND(BI302+BJ302-BK302-BL302,2)</f>
        <v/>
      </c>
      <c r="BN302">
        <f>BH302-BL302</f>
        <v/>
      </c>
    </row>
    <row r="303">
      <c r="A303" s="43" t="n">
        <v>296</v>
      </c>
      <c r="B303" s="44">
        <f>EDATE('My Debts'!$C$6,A303-1)</f>
        <v/>
      </c>
      <c r="C303" s="45">
        <f>K303+Q303+W303+AC303+AI303+AO303+AU303+BA303+BG303+BM303</f>
        <v/>
      </c>
      <c r="D303" s="46">
        <f>I303+O303+U303+AA303+AG303+AM303+AS303+AY303+BE303+BK303+J303+P303+V303+AB303+AH303+AN303+AT303+AZ303+BF303+BL303</f>
        <v/>
      </c>
      <c r="E303" s="46">
        <f>H303+N303+T303+Z303+AF303+AL303+AR303+AX303+BD303+BJ303</f>
        <v/>
      </c>
      <c r="F303">
        <f>MAX(0,'My Debts'!$E$21-(I303+O303+U303+AA303+AG303+AM303+AS303+AY303+BE303+BK303))</f>
        <v/>
      </c>
      <c r="G303" s="42">
        <f>K302</f>
        <v/>
      </c>
      <c r="H303" s="42">
        <f>ROUND(G303*H$6/12,2)</f>
        <v/>
      </c>
      <c r="I303" s="42">
        <f>MIN(I$6,G303+H303)</f>
        <v/>
      </c>
      <c r="J303" s="42">
        <f>MAX(0,MIN(G303+H303-I303,$F303))</f>
        <v/>
      </c>
      <c r="K303" s="42">
        <f>ROUND(G303+H303-I303-J303,2)</f>
        <v/>
      </c>
      <c r="L303">
        <f>$F303-J303</f>
        <v/>
      </c>
      <c r="M303" s="42">
        <f>Q302</f>
        <v/>
      </c>
      <c r="N303" s="42">
        <f>ROUND(M303*N$6/12,2)</f>
        <v/>
      </c>
      <c r="O303" s="42">
        <f>MIN(O$6,M303+N303)</f>
        <v/>
      </c>
      <c r="P303" s="42">
        <f>MAX(0,MIN(M303+N303-O303,L303))</f>
        <v/>
      </c>
      <c r="Q303" s="42">
        <f>ROUND(M303+N303-O303-P303,2)</f>
        <v/>
      </c>
      <c r="R303">
        <f>L303-P303</f>
        <v/>
      </c>
      <c r="S303" s="42">
        <f>W302</f>
        <v/>
      </c>
      <c r="T303" s="42">
        <f>ROUND(S303*T$6/12,2)</f>
        <v/>
      </c>
      <c r="U303" s="42">
        <f>MIN(U$6,S303+T303)</f>
        <v/>
      </c>
      <c r="V303" s="42">
        <f>MAX(0,MIN(S303+T303-U303,R303))</f>
        <v/>
      </c>
      <c r="W303" s="42">
        <f>ROUND(S303+T303-U303-V303,2)</f>
        <v/>
      </c>
      <c r="X303">
        <f>R303-V303</f>
        <v/>
      </c>
      <c r="Y303" s="42">
        <f>AC302</f>
        <v/>
      </c>
      <c r="Z303" s="42">
        <f>ROUND(Y303*Z$6/12,2)</f>
        <v/>
      </c>
      <c r="AA303" s="42">
        <f>MIN(AA$6,Y303+Z303)</f>
        <v/>
      </c>
      <c r="AB303" s="42">
        <f>MAX(0,MIN(Y303+Z303-AA303,X303))</f>
        <v/>
      </c>
      <c r="AC303" s="42">
        <f>ROUND(Y303+Z303-AA303-AB303,2)</f>
        <v/>
      </c>
      <c r="AD303">
        <f>X303-AB303</f>
        <v/>
      </c>
      <c r="AE303" s="42">
        <f>AI302</f>
        <v/>
      </c>
      <c r="AF303" s="42">
        <f>ROUND(AE303*AF$6/12,2)</f>
        <v/>
      </c>
      <c r="AG303" s="42">
        <f>MIN(AG$6,AE303+AF303)</f>
        <v/>
      </c>
      <c r="AH303" s="42">
        <f>MAX(0,MIN(AE303+AF303-AG303,AD303))</f>
        <v/>
      </c>
      <c r="AI303" s="42">
        <f>ROUND(AE303+AF303-AG303-AH303,2)</f>
        <v/>
      </c>
      <c r="AJ303">
        <f>AD303-AH303</f>
        <v/>
      </c>
      <c r="AK303" s="42">
        <f>AO302</f>
        <v/>
      </c>
      <c r="AL303" s="42">
        <f>ROUND(AK303*AL$6/12,2)</f>
        <v/>
      </c>
      <c r="AM303" s="42">
        <f>MIN(AM$6,AK303+AL303)</f>
        <v/>
      </c>
      <c r="AN303" s="42">
        <f>MAX(0,MIN(AK303+AL303-AM303,AJ303))</f>
        <v/>
      </c>
      <c r="AO303" s="42">
        <f>ROUND(AK303+AL303-AM303-AN303,2)</f>
        <v/>
      </c>
      <c r="AP303">
        <f>AJ303-AN303</f>
        <v/>
      </c>
      <c r="AQ303" s="42">
        <f>AU302</f>
        <v/>
      </c>
      <c r="AR303" s="42">
        <f>ROUND(AQ303*AR$6/12,2)</f>
        <v/>
      </c>
      <c r="AS303" s="42">
        <f>MIN(AS$6,AQ303+AR303)</f>
        <v/>
      </c>
      <c r="AT303" s="42">
        <f>MAX(0,MIN(AQ303+AR303-AS303,AP303))</f>
        <v/>
      </c>
      <c r="AU303" s="42">
        <f>ROUND(AQ303+AR303-AS303-AT303,2)</f>
        <v/>
      </c>
      <c r="AV303">
        <f>AP303-AT303</f>
        <v/>
      </c>
      <c r="AW303" s="42">
        <f>BA302</f>
        <v/>
      </c>
      <c r="AX303" s="42">
        <f>ROUND(AW303*AX$6/12,2)</f>
        <v/>
      </c>
      <c r="AY303" s="42">
        <f>MIN(AY$6,AW303+AX303)</f>
        <v/>
      </c>
      <c r="AZ303" s="42">
        <f>MAX(0,MIN(AW303+AX303-AY303,AV303))</f>
        <v/>
      </c>
      <c r="BA303" s="42">
        <f>ROUND(AW303+AX303-AY303-AZ303,2)</f>
        <v/>
      </c>
      <c r="BB303">
        <f>AV303-AZ303</f>
        <v/>
      </c>
      <c r="BC303" s="42">
        <f>BG302</f>
        <v/>
      </c>
      <c r="BD303" s="42">
        <f>ROUND(BC303*BD$6/12,2)</f>
        <v/>
      </c>
      <c r="BE303" s="42">
        <f>MIN(BE$6,BC303+BD303)</f>
        <v/>
      </c>
      <c r="BF303" s="42">
        <f>MAX(0,MIN(BC303+BD303-BE303,BB303))</f>
        <v/>
      </c>
      <c r="BG303" s="42">
        <f>ROUND(BC303+BD303-BE303-BF303,2)</f>
        <v/>
      </c>
      <c r="BH303">
        <f>BB303-BF303</f>
        <v/>
      </c>
      <c r="BI303" s="42">
        <f>BM302</f>
        <v/>
      </c>
      <c r="BJ303" s="42">
        <f>ROUND(BI303*BJ$6/12,2)</f>
        <v/>
      </c>
      <c r="BK303" s="42">
        <f>MIN(BK$6,BI303+BJ303)</f>
        <v/>
      </c>
      <c r="BL303" s="42">
        <f>MAX(0,MIN(BI303+BJ303-BK303,BH303))</f>
        <v/>
      </c>
      <c r="BM303" s="42">
        <f>ROUND(BI303+BJ303-BK303-BL303,2)</f>
        <v/>
      </c>
      <c r="BN303">
        <f>BH303-BL303</f>
        <v/>
      </c>
    </row>
    <row r="304">
      <c r="A304" s="39" t="n">
        <v>297</v>
      </c>
      <c r="B304" s="40">
        <f>EDATE('My Debts'!$C$6,A304-1)</f>
        <v/>
      </c>
      <c r="C304" s="41">
        <f>K304+Q304+W304+AC304+AI304+AO304+AU304+BA304+BG304+BM304</f>
        <v/>
      </c>
      <c r="D304" s="42">
        <f>I304+O304+U304+AA304+AG304+AM304+AS304+AY304+BE304+BK304+J304+P304+V304+AB304+AH304+AN304+AT304+AZ304+BF304+BL304</f>
        <v/>
      </c>
      <c r="E304" s="42">
        <f>H304+N304+T304+Z304+AF304+AL304+AR304+AX304+BD304+BJ304</f>
        <v/>
      </c>
      <c r="F304">
        <f>MAX(0,'My Debts'!$E$21-(I304+O304+U304+AA304+AG304+AM304+AS304+AY304+BE304+BK304))</f>
        <v/>
      </c>
      <c r="G304" s="42">
        <f>K303</f>
        <v/>
      </c>
      <c r="H304" s="42">
        <f>ROUND(G304*H$6/12,2)</f>
        <v/>
      </c>
      <c r="I304" s="42">
        <f>MIN(I$6,G304+H304)</f>
        <v/>
      </c>
      <c r="J304" s="42">
        <f>MAX(0,MIN(G304+H304-I304,$F304))</f>
        <v/>
      </c>
      <c r="K304" s="42">
        <f>ROUND(G304+H304-I304-J304,2)</f>
        <v/>
      </c>
      <c r="L304">
        <f>$F304-J304</f>
        <v/>
      </c>
      <c r="M304" s="42">
        <f>Q303</f>
        <v/>
      </c>
      <c r="N304" s="42">
        <f>ROUND(M304*N$6/12,2)</f>
        <v/>
      </c>
      <c r="O304" s="42">
        <f>MIN(O$6,M304+N304)</f>
        <v/>
      </c>
      <c r="P304" s="42">
        <f>MAX(0,MIN(M304+N304-O304,L304))</f>
        <v/>
      </c>
      <c r="Q304" s="42">
        <f>ROUND(M304+N304-O304-P304,2)</f>
        <v/>
      </c>
      <c r="R304">
        <f>L304-P304</f>
        <v/>
      </c>
      <c r="S304" s="42">
        <f>W303</f>
        <v/>
      </c>
      <c r="T304" s="42">
        <f>ROUND(S304*T$6/12,2)</f>
        <v/>
      </c>
      <c r="U304" s="42">
        <f>MIN(U$6,S304+T304)</f>
        <v/>
      </c>
      <c r="V304" s="42">
        <f>MAX(0,MIN(S304+T304-U304,R304))</f>
        <v/>
      </c>
      <c r="W304" s="42">
        <f>ROUND(S304+T304-U304-V304,2)</f>
        <v/>
      </c>
      <c r="X304">
        <f>R304-V304</f>
        <v/>
      </c>
      <c r="Y304" s="42">
        <f>AC303</f>
        <v/>
      </c>
      <c r="Z304" s="42">
        <f>ROUND(Y304*Z$6/12,2)</f>
        <v/>
      </c>
      <c r="AA304" s="42">
        <f>MIN(AA$6,Y304+Z304)</f>
        <v/>
      </c>
      <c r="AB304" s="42">
        <f>MAX(0,MIN(Y304+Z304-AA304,X304))</f>
        <v/>
      </c>
      <c r="AC304" s="42">
        <f>ROUND(Y304+Z304-AA304-AB304,2)</f>
        <v/>
      </c>
      <c r="AD304">
        <f>X304-AB304</f>
        <v/>
      </c>
      <c r="AE304" s="42">
        <f>AI303</f>
        <v/>
      </c>
      <c r="AF304" s="42">
        <f>ROUND(AE304*AF$6/12,2)</f>
        <v/>
      </c>
      <c r="AG304" s="42">
        <f>MIN(AG$6,AE304+AF304)</f>
        <v/>
      </c>
      <c r="AH304" s="42">
        <f>MAX(0,MIN(AE304+AF304-AG304,AD304))</f>
        <v/>
      </c>
      <c r="AI304" s="42">
        <f>ROUND(AE304+AF304-AG304-AH304,2)</f>
        <v/>
      </c>
      <c r="AJ304">
        <f>AD304-AH304</f>
        <v/>
      </c>
      <c r="AK304" s="42">
        <f>AO303</f>
        <v/>
      </c>
      <c r="AL304" s="42">
        <f>ROUND(AK304*AL$6/12,2)</f>
        <v/>
      </c>
      <c r="AM304" s="42">
        <f>MIN(AM$6,AK304+AL304)</f>
        <v/>
      </c>
      <c r="AN304" s="42">
        <f>MAX(0,MIN(AK304+AL304-AM304,AJ304))</f>
        <v/>
      </c>
      <c r="AO304" s="42">
        <f>ROUND(AK304+AL304-AM304-AN304,2)</f>
        <v/>
      </c>
      <c r="AP304">
        <f>AJ304-AN304</f>
        <v/>
      </c>
      <c r="AQ304" s="42">
        <f>AU303</f>
        <v/>
      </c>
      <c r="AR304" s="42">
        <f>ROUND(AQ304*AR$6/12,2)</f>
        <v/>
      </c>
      <c r="AS304" s="42">
        <f>MIN(AS$6,AQ304+AR304)</f>
        <v/>
      </c>
      <c r="AT304" s="42">
        <f>MAX(0,MIN(AQ304+AR304-AS304,AP304))</f>
        <v/>
      </c>
      <c r="AU304" s="42">
        <f>ROUND(AQ304+AR304-AS304-AT304,2)</f>
        <v/>
      </c>
      <c r="AV304">
        <f>AP304-AT304</f>
        <v/>
      </c>
      <c r="AW304" s="42">
        <f>BA303</f>
        <v/>
      </c>
      <c r="AX304" s="42">
        <f>ROUND(AW304*AX$6/12,2)</f>
        <v/>
      </c>
      <c r="AY304" s="42">
        <f>MIN(AY$6,AW304+AX304)</f>
        <v/>
      </c>
      <c r="AZ304" s="42">
        <f>MAX(0,MIN(AW304+AX304-AY304,AV304))</f>
        <v/>
      </c>
      <c r="BA304" s="42">
        <f>ROUND(AW304+AX304-AY304-AZ304,2)</f>
        <v/>
      </c>
      <c r="BB304">
        <f>AV304-AZ304</f>
        <v/>
      </c>
      <c r="BC304" s="42">
        <f>BG303</f>
        <v/>
      </c>
      <c r="BD304" s="42">
        <f>ROUND(BC304*BD$6/12,2)</f>
        <v/>
      </c>
      <c r="BE304" s="42">
        <f>MIN(BE$6,BC304+BD304)</f>
        <v/>
      </c>
      <c r="BF304" s="42">
        <f>MAX(0,MIN(BC304+BD304-BE304,BB304))</f>
        <v/>
      </c>
      <c r="BG304" s="42">
        <f>ROUND(BC304+BD304-BE304-BF304,2)</f>
        <v/>
      </c>
      <c r="BH304">
        <f>BB304-BF304</f>
        <v/>
      </c>
      <c r="BI304" s="42">
        <f>BM303</f>
        <v/>
      </c>
      <c r="BJ304" s="42">
        <f>ROUND(BI304*BJ$6/12,2)</f>
        <v/>
      </c>
      <c r="BK304" s="42">
        <f>MIN(BK$6,BI304+BJ304)</f>
        <v/>
      </c>
      <c r="BL304" s="42">
        <f>MAX(0,MIN(BI304+BJ304-BK304,BH304))</f>
        <v/>
      </c>
      <c r="BM304" s="42">
        <f>ROUND(BI304+BJ304-BK304-BL304,2)</f>
        <v/>
      </c>
      <c r="BN304">
        <f>BH304-BL304</f>
        <v/>
      </c>
    </row>
    <row r="305">
      <c r="A305" s="43" t="n">
        <v>298</v>
      </c>
      <c r="B305" s="44">
        <f>EDATE('My Debts'!$C$6,A305-1)</f>
        <v/>
      </c>
      <c r="C305" s="45">
        <f>K305+Q305+W305+AC305+AI305+AO305+AU305+BA305+BG305+BM305</f>
        <v/>
      </c>
      <c r="D305" s="46">
        <f>I305+O305+U305+AA305+AG305+AM305+AS305+AY305+BE305+BK305+J305+P305+V305+AB305+AH305+AN305+AT305+AZ305+BF305+BL305</f>
        <v/>
      </c>
      <c r="E305" s="46">
        <f>H305+N305+T305+Z305+AF305+AL305+AR305+AX305+BD305+BJ305</f>
        <v/>
      </c>
      <c r="F305">
        <f>MAX(0,'My Debts'!$E$21-(I305+O305+U305+AA305+AG305+AM305+AS305+AY305+BE305+BK305))</f>
        <v/>
      </c>
      <c r="G305" s="42">
        <f>K304</f>
        <v/>
      </c>
      <c r="H305" s="42">
        <f>ROUND(G305*H$6/12,2)</f>
        <v/>
      </c>
      <c r="I305" s="42">
        <f>MIN(I$6,G305+H305)</f>
        <v/>
      </c>
      <c r="J305" s="42">
        <f>MAX(0,MIN(G305+H305-I305,$F305))</f>
        <v/>
      </c>
      <c r="K305" s="42">
        <f>ROUND(G305+H305-I305-J305,2)</f>
        <v/>
      </c>
      <c r="L305">
        <f>$F305-J305</f>
        <v/>
      </c>
      <c r="M305" s="42">
        <f>Q304</f>
        <v/>
      </c>
      <c r="N305" s="42">
        <f>ROUND(M305*N$6/12,2)</f>
        <v/>
      </c>
      <c r="O305" s="42">
        <f>MIN(O$6,M305+N305)</f>
        <v/>
      </c>
      <c r="P305" s="42">
        <f>MAX(0,MIN(M305+N305-O305,L305))</f>
        <v/>
      </c>
      <c r="Q305" s="42">
        <f>ROUND(M305+N305-O305-P305,2)</f>
        <v/>
      </c>
      <c r="R305">
        <f>L305-P305</f>
        <v/>
      </c>
      <c r="S305" s="42">
        <f>W304</f>
        <v/>
      </c>
      <c r="T305" s="42">
        <f>ROUND(S305*T$6/12,2)</f>
        <v/>
      </c>
      <c r="U305" s="42">
        <f>MIN(U$6,S305+T305)</f>
        <v/>
      </c>
      <c r="V305" s="42">
        <f>MAX(0,MIN(S305+T305-U305,R305))</f>
        <v/>
      </c>
      <c r="W305" s="42">
        <f>ROUND(S305+T305-U305-V305,2)</f>
        <v/>
      </c>
      <c r="X305">
        <f>R305-V305</f>
        <v/>
      </c>
      <c r="Y305" s="42">
        <f>AC304</f>
        <v/>
      </c>
      <c r="Z305" s="42">
        <f>ROUND(Y305*Z$6/12,2)</f>
        <v/>
      </c>
      <c r="AA305" s="42">
        <f>MIN(AA$6,Y305+Z305)</f>
        <v/>
      </c>
      <c r="AB305" s="42">
        <f>MAX(0,MIN(Y305+Z305-AA305,X305))</f>
        <v/>
      </c>
      <c r="AC305" s="42">
        <f>ROUND(Y305+Z305-AA305-AB305,2)</f>
        <v/>
      </c>
      <c r="AD305">
        <f>X305-AB305</f>
        <v/>
      </c>
      <c r="AE305" s="42">
        <f>AI304</f>
        <v/>
      </c>
      <c r="AF305" s="42">
        <f>ROUND(AE305*AF$6/12,2)</f>
        <v/>
      </c>
      <c r="AG305" s="42">
        <f>MIN(AG$6,AE305+AF305)</f>
        <v/>
      </c>
      <c r="AH305" s="42">
        <f>MAX(0,MIN(AE305+AF305-AG305,AD305))</f>
        <v/>
      </c>
      <c r="AI305" s="42">
        <f>ROUND(AE305+AF305-AG305-AH305,2)</f>
        <v/>
      </c>
      <c r="AJ305">
        <f>AD305-AH305</f>
        <v/>
      </c>
      <c r="AK305" s="42">
        <f>AO304</f>
        <v/>
      </c>
      <c r="AL305" s="42">
        <f>ROUND(AK305*AL$6/12,2)</f>
        <v/>
      </c>
      <c r="AM305" s="42">
        <f>MIN(AM$6,AK305+AL305)</f>
        <v/>
      </c>
      <c r="AN305" s="42">
        <f>MAX(0,MIN(AK305+AL305-AM305,AJ305))</f>
        <v/>
      </c>
      <c r="AO305" s="42">
        <f>ROUND(AK305+AL305-AM305-AN305,2)</f>
        <v/>
      </c>
      <c r="AP305">
        <f>AJ305-AN305</f>
        <v/>
      </c>
      <c r="AQ305" s="42">
        <f>AU304</f>
        <v/>
      </c>
      <c r="AR305" s="42">
        <f>ROUND(AQ305*AR$6/12,2)</f>
        <v/>
      </c>
      <c r="AS305" s="42">
        <f>MIN(AS$6,AQ305+AR305)</f>
        <v/>
      </c>
      <c r="AT305" s="42">
        <f>MAX(0,MIN(AQ305+AR305-AS305,AP305))</f>
        <v/>
      </c>
      <c r="AU305" s="42">
        <f>ROUND(AQ305+AR305-AS305-AT305,2)</f>
        <v/>
      </c>
      <c r="AV305">
        <f>AP305-AT305</f>
        <v/>
      </c>
      <c r="AW305" s="42">
        <f>BA304</f>
        <v/>
      </c>
      <c r="AX305" s="42">
        <f>ROUND(AW305*AX$6/12,2)</f>
        <v/>
      </c>
      <c r="AY305" s="42">
        <f>MIN(AY$6,AW305+AX305)</f>
        <v/>
      </c>
      <c r="AZ305" s="42">
        <f>MAX(0,MIN(AW305+AX305-AY305,AV305))</f>
        <v/>
      </c>
      <c r="BA305" s="42">
        <f>ROUND(AW305+AX305-AY305-AZ305,2)</f>
        <v/>
      </c>
      <c r="BB305">
        <f>AV305-AZ305</f>
        <v/>
      </c>
      <c r="BC305" s="42">
        <f>BG304</f>
        <v/>
      </c>
      <c r="BD305" s="42">
        <f>ROUND(BC305*BD$6/12,2)</f>
        <v/>
      </c>
      <c r="BE305" s="42">
        <f>MIN(BE$6,BC305+BD305)</f>
        <v/>
      </c>
      <c r="BF305" s="42">
        <f>MAX(0,MIN(BC305+BD305-BE305,BB305))</f>
        <v/>
      </c>
      <c r="BG305" s="42">
        <f>ROUND(BC305+BD305-BE305-BF305,2)</f>
        <v/>
      </c>
      <c r="BH305">
        <f>BB305-BF305</f>
        <v/>
      </c>
      <c r="BI305" s="42">
        <f>BM304</f>
        <v/>
      </c>
      <c r="BJ305" s="42">
        <f>ROUND(BI305*BJ$6/12,2)</f>
        <v/>
      </c>
      <c r="BK305" s="42">
        <f>MIN(BK$6,BI305+BJ305)</f>
        <v/>
      </c>
      <c r="BL305" s="42">
        <f>MAX(0,MIN(BI305+BJ305-BK305,BH305))</f>
        <v/>
      </c>
      <c r="BM305" s="42">
        <f>ROUND(BI305+BJ305-BK305-BL305,2)</f>
        <v/>
      </c>
      <c r="BN305">
        <f>BH305-BL305</f>
        <v/>
      </c>
    </row>
    <row r="306">
      <c r="A306" s="39" t="n">
        <v>299</v>
      </c>
      <c r="B306" s="40">
        <f>EDATE('My Debts'!$C$6,A306-1)</f>
        <v/>
      </c>
      <c r="C306" s="41">
        <f>K306+Q306+W306+AC306+AI306+AO306+AU306+BA306+BG306+BM306</f>
        <v/>
      </c>
      <c r="D306" s="42">
        <f>I306+O306+U306+AA306+AG306+AM306+AS306+AY306+BE306+BK306+J306+P306+V306+AB306+AH306+AN306+AT306+AZ306+BF306+BL306</f>
        <v/>
      </c>
      <c r="E306" s="42">
        <f>H306+N306+T306+Z306+AF306+AL306+AR306+AX306+BD306+BJ306</f>
        <v/>
      </c>
      <c r="F306">
        <f>MAX(0,'My Debts'!$E$21-(I306+O306+U306+AA306+AG306+AM306+AS306+AY306+BE306+BK306))</f>
        <v/>
      </c>
      <c r="G306" s="42">
        <f>K305</f>
        <v/>
      </c>
      <c r="H306" s="42">
        <f>ROUND(G306*H$6/12,2)</f>
        <v/>
      </c>
      <c r="I306" s="42">
        <f>MIN(I$6,G306+H306)</f>
        <v/>
      </c>
      <c r="J306" s="42">
        <f>MAX(0,MIN(G306+H306-I306,$F306))</f>
        <v/>
      </c>
      <c r="K306" s="42">
        <f>ROUND(G306+H306-I306-J306,2)</f>
        <v/>
      </c>
      <c r="L306">
        <f>$F306-J306</f>
        <v/>
      </c>
      <c r="M306" s="42">
        <f>Q305</f>
        <v/>
      </c>
      <c r="N306" s="42">
        <f>ROUND(M306*N$6/12,2)</f>
        <v/>
      </c>
      <c r="O306" s="42">
        <f>MIN(O$6,M306+N306)</f>
        <v/>
      </c>
      <c r="P306" s="42">
        <f>MAX(0,MIN(M306+N306-O306,L306))</f>
        <v/>
      </c>
      <c r="Q306" s="42">
        <f>ROUND(M306+N306-O306-P306,2)</f>
        <v/>
      </c>
      <c r="R306">
        <f>L306-P306</f>
        <v/>
      </c>
      <c r="S306" s="42">
        <f>W305</f>
        <v/>
      </c>
      <c r="T306" s="42">
        <f>ROUND(S306*T$6/12,2)</f>
        <v/>
      </c>
      <c r="U306" s="42">
        <f>MIN(U$6,S306+T306)</f>
        <v/>
      </c>
      <c r="V306" s="42">
        <f>MAX(0,MIN(S306+T306-U306,R306))</f>
        <v/>
      </c>
      <c r="W306" s="42">
        <f>ROUND(S306+T306-U306-V306,2)</f>
        <v/>
      </c>
      <c r="X306">
        <f>R306-V306</f>
        <v/>
      </c>
      <c r="Y306" s="42">
        <f>AC305</f>
        <v/>
      </c>
      <c r="Z306" s="42">
        <f>ROUND(Y306*Z$6/12,2)</f>
        <v/>
      </c>
      <c r="AA306" s="42">
        <f>MIN(AA$6,Y306+Z306)</f>
        <v/>
      </c>
      <c r="AB306" s="42">
        <f>MAX(0,MIN(Y306+Z306-AA306,X306))</f>
        <v/>
      </c>
      <c r="AC306" s="42">
        <f>ROUND(Y306+Z306-AA306-AB306,2)</f>
        <v/>
      </c>
      <c r="AD306">
        <f>X306-AB306</f>
        <v/>
      </c>
      <c r="AE306" s="42">
        <f>AI305</f>
        <v/>
      </c>
      <c r="AF306" s="42">
        <f>ROUND(AE306*AF$6/12,2)</f>
        <v/>
      </c>
      <c r="AG306" s="42">
        <f>MIN(AG$6,AE306+AF306)</f>
        <v/>
      </c>
      <c r="AH306" s="42">
        <f>MAX(0,MIN(AE306+AF306-AG306,AD306))</f>
        <v/>
      </c>
      <c r="AI306" s="42">
        <f>ROUND(AE306+AF306-AG306-AH306,2)</f>
        <v/>
      </c>
      <c r="AJ306">
        <f>AD306-AH306</f>
        <v/>
      </c>
      <c r="AK306" s="42">
        <f>AO305</f>
        <v/>
      </c>
      <c r="AL306" s="42">
        <f>ROUND(AK306*AL$6/12,2)</f>
        <v/>
      </c>
      <c r="AM306" s="42">
        <f>MIN(AM$6,AK306+AL306)</f>
        <v/>
      </c>
      <c r="AN306" s="42">
        <f>MAX(0,MIN(AK306+AL306-AM306,AJ306))</f>
        <v/>
      </c>
      <c r="AO306" s="42">
        <f>ROUND(AK306+AL306-AM306-AN306,2)</f>
        <v/>
      </c>
      <c r="AP306">
        <f>AJ306-AN306</f>
        <v/>
      </c>
      <c r="AQ306" s="42">
        <f>AU305</f>
        <v/>
      </c>
      <c r="AR306" s="42">
        <f>ROUND(AQ306*AR$6/12,2)</f>
        <v/>
      </c>
      <c r="AS306" s="42">
        <f>MIN(AS$6,AQ306+AR306)</f>
        <v/>
      </c>
      <c r="AT306" s="42">
        <f>MAX(0,MIN(AQ306+AR306-AS306,AP306))</f>
        <v/>
      </c>
      <c r="AU306" s="42">
        <f>ROUND(AQ306+AR306-AS306-AT306,2)</f>
        <v/>
      </c>
      <c r="AV306">
        <f>AP306-AT306</f>
        <v/>
      </c>
      <c r="AW306" s="42">
        <f>BA305</f>
        <v/>
      </c>
      <c r="AX306" s="42">
        <f>ROUND(AW306*AX$6/12,2)</f>
        <v/>
      </c>
      <c r="AY306" s="42">
        <f>MIN(AY$6,AW306+AX306)</f>
        <v/>
      </c>
      <c r="AZ306" s="42">
        <f>MAX(0,MIN(AW306+AX306-AY306,AV306))</f>
        <v/>
      </c>
      <c r="BA306" s="42">
        <f>ROUND(AW306+AX306-AY306-AZ306,2)</f>
        <v/>
      </c>
      <c r="BB306">
        <f>AV306-AZ306</f>
        <v/>
      </c>
      <c r="BC306" s="42">
        <f>BG305</f>
        <v/>
      </c>
      <c r="BD306" s="42">
        <f>ROUND(BC306*BD$6/12,2)</f>
        <v/>
      </c>
      <c r="BE306" s="42">
        <f>MIN(BE$6,BC306+BD306)</f>
        <v/>
      </c>
      <c r="BF306" s="42">
        <f>MAX(0,MIN(BC306+BD306-BE306,BB306))</f>
        <v/>
      </c>
      <c r="BG306" s="42">
        <f>ROUND(BC306+BD306-BE306-BF306,2)</f>
        <v/>
      </c>
      <c r="BH306">
        <f>BB306-BF306</f>
        <v/>
      </c>
      <c r="BI306" s="42">
        <f>BM305</f>
        <v/>
      </c>
      <c r="BJ306" s="42">
        <f>ROUND(BI306*BJ$6/12,2)</f>
        <v/>
      </c>
      <c r="BK306" s="42">
        <f>MIN(BK$6,BI306+BJ306)</f>
        <v/>
      </c>
      <c r="BL306" s="42">
        <f>MAX(0,MIN(BI306+BJ306-BK306,BH306))</f>
        <v/>
      </c>
      <c r="BM306" s="42">
        <f>ROUND(BI306+BJ306-BK306-BL306,2)</f>
        <v/>
      </c>
      <c r="BN306">
        <f>BH306-BL306</f>
        <v/>
      </c>
    </row>
    <row r="307">
      <c r="A307" s="43" t="n">
        <v>300</v>
      </c>
      <c r="B307" s="44">
        <f>EDATE('My Debts'!$C$6,A307-1)</f>
        <v/>
      </c>
      <c r="C307" s="45">
        <f>K307+Q307+W307+AC307+AI307+AO307+AU307+BA307+BG307+BM307</f>
        <v/>
      </c>
      <c r="D307" s="46">
        <f>I307+O307+U307+AA307+AG307+AM307+AS307+AY307+BE307+BK307+J307+P307+V307+AB307+AH307+AN307+AT307+AZ307+BF307+BL307</f>
        <v/>
      </c>
      <c r="E307" s="46">
        <f>H307+N307+T307+Z307+AF307+AL307+AR307+AX307+BD307+BJ307</f>
        <v/>
      </c>
      <c r="F307">
        <f>MAX(0,'My Debts'!$E$21-(I307+O307+U307+AA307+AG307+AM307+AS307+AY307+BE307+BK307))</f>
        <v/>
      </c>
      <c r="G307" s="42">
        <f>K306</f>
        <v/>
      </c>
      <c r="H307" s="42">
        <f>ROUND(G307*H$6/12,2)</f>
        <v/>
      </c>
      <c r="I307" s="42">
        <f>MIN(I$6,G307+H307)</f>
        <v/>
      </c>
      <c r="J307" s="42">
        <f>MAX(0,MIN(G307+H307-I307,$F307))</f>
        <v/>
      </c>
      <c r="K307" s="42">
        <f>ROUND(G307+H307-I307-J307,2)</f>
        <v/>
      </c>
      <c r="L307">
        <f>$F307-J307</f>
        <v/>
      </c>
      <c r="M307" s="42">
        <f>Q306</f>
        <v/>
      </c>
      <c r="N307" s="42">
        <f>ROUND(M307*N$6/12,2)</f>
        <v/>
      </c>
      <c r="O307" s="42">
        <f>MIN(O$6,M307+N307)</f>
        <v/>
      </c>
      <c r="P307" s="42">
        <f>MAX(0,MIN(M307+N307-O307,L307))</f>
        <v/>
      </c>
      <c r="Q307" s="42">
        <f>ROUND(M307+N307-O307-P307,2)</f>
        <v/>
      </c>
      <c r="R307">
        <f>L307-P307</f>
        <v/>
      </c>
      <c r="S307" s="42">
        <f>W306</f>
        <v/>
      </c>
      <c r="T307" s="42">
        <f>ROUND(S307*T$6/12,2)</f>
        <v/>
      </c>
      <c r="U307" s="42">
        <f>MIN(U$6,S307+T307)</f>
        <v/>
      </c>
      <c r="V307" s="42">
        <f>MAX(0,MIN(S307+T307-U307,R307))</f>
        <v/>
      </c>
      <c r="W307" s="42">
        <f>ROUND(S307+T307-U307-V307,2)</f>
        <v/>
      </c>
      <c r="X307">
        <f>R307-V307</f>
        <v/>
      </c>
      <c r="Y307" s="42">
        <f>AC306</f>
        <v/>
      </c>
      <c r="Z307" s="42">
        <f>ROUND(Y307*Z$6/12,2)</f>
        <v/>
      </c>
      <c r="AA307" s="42">
        <f>MIN(AA$6,Y307+Z307)</f>
        <v/>
      </c>
      <c r="AB307" s="42">
        <f>MAX(0,MIN(Y307+Z307-AA307,X307))</f>
        <v/>
      </c>
      <c r="AC307" s="42">
        <f>ROUND(Y307+Z307-AA307-AB307,2)</f>
        <v/>
      </c>
      <c r="AD307">
        <f>X307-AB307</f>
        <v/>
      </c>
      <c r="AE307" s="42">
        <f>AI306</f>
        <v/>
      </c>
      <c r="AF307" s="42">
        <f>ROUND(AE307*AF$6/12,2)</f>
        <v/>
      </c>
      <c r="AG307" s="42">
        <f>MIN(AG$6,AE307+AF307)</f>
        <v/>
      </c>
      <c r="AH307" s="42">
        <f>MAX(0,MIN(AE307+AF307-AG307,AD307))</f>
        <v/>
      </c>
      <c r="AI307" s="42">
        <f>ROUND(AE307+AF307-AG307-AH307,2)</f>
        <v/>
      </c>
      <c r="AJ307">
        <f>AD307-AH307</f>
        <v/>
      </c>
      <c r="AK307" s="42">
        <f>AO306</f>
        <v/>
      </c>
      <c r="AL307" s="42">
        <f>ROUND(AK307*AL$6/12,2)</f>
        <v/>
      </c>
      <c r="AM307" s="42">
        <f>MIN(AM$6,AK307+AL307)</f>
        <v/>
      </c>
      <c r="AN307" s="42">
        <f>MAX(0,MIN(AK307+AL307-AM307,AJ307))</f>
        <v/>
      </c>
      <c r="AO307" s="42">
        <f>ROUND(AK307+AL307-AM307-AN307,2)</f>
        <v/>
      </c>
      <c r="AP307">
        <f>AJ307-AN307</f>
        <v/>
      </c>
      <c r="AQ307" s="42">
        <f>AU306</f>
        <v/>
      </c>
      <c r="AR307" s="42">
        <f>ROUND(AQ307*AR$6/12,2)</f>
        <v/>
      </c>
      <c r="AS307" s="42">
        <f>MIN(AS$6,AQ307+AR307)</f>
        <v/>
      </c>
      <c r="AT307" s="42">
        <f>MAX(0,MIN(AQ307+AR307-AS307,AP307))</f>
        <v/>
      </c>
      <c r="AU307" s="42">
        <f>ROUND(AQ307+AR307-AS307-AT307,2)</f>
        <v/>
      </c>
      <c r="AV307">
        <f>AP307-AT307</f>
        <v/>
      </c>
      <c r="AW307" s="42">
        <f>BA306</f>
        <v/>
      </c>
      <c r="AX307" s="42">
        <f>ROUND(AW307*AX$6/12,2)</f>
        <v/>
      </c>
      <c r="AY307" s="42">
        <f>MIN(AY$6,AW307+AX307)</f>
        <v/>
      </c>
      <c r="AZ307" s="42">
        <f>MAX(0,MIN(AW307+AX307-AY307,AV307))</f>
        <v/>
      </c>
      <c r="BA307" s="42">
        <f>ROUND(AW307+AX307-AY307-AZ307,2)</f>
        <v/>
      </c>
      <c r="BB307">
        <f>AV307-AZ307</f>
        <v/>
      </c>
      <c r="BC307" s="42">
        <f>BG306</f>
        <v/>
      </c>
      <c r="BD307" s="42">
        <f>ROUND(BC307*BD$6/12,2)</f>
        <v/>
      </c>
      <c r="BE307" s="42">
        <f>MIN(BE$6,BC307+BD307)</f>
        <v/>
      </c>
      <c r="BF307" s="42">
        <f>MAX(0,MIN(BC307+BD307-BE307,BB307))</f>
        <v/>
      </c>
      <c r="BG307" s="42">
        <f>ROUND(BC307+BD307-BE307-BF307,2)</f>
        <v/>
      </c>
      <c r="BH307">
        <f>BB307-BF307</f>
        <v/>
      </c>
      <c r="BI307" s="42">
        <f>BM306</f>
        <v/>
      </c>
      <c r="BJ307" s="42">
        <f>ROUND(BI307*BJ$6/12,2)</f>
        <v/>
      </c>
      <c r="BK307" s="42">
        <f>MIN(BK$6,BI307+BJ307)</f>
        <v/>
      </c>
      <c r="BL307" s="42">
        <f>MAX(0,MIN(BI307+BJ307-BK307,BH307))</f>
        <v/>
      </c>
      <c r="BM307" s="42">
        <f>ROUND(BI307+BJ307-BK307-BL307,2)</f>
        <v/>
      </c>
      <c r="BN307">
        <f>BH307-BL307</f>
        <v/>
      </c>
    </row>
  </sheetData>
  <mergeCells count="10">
    <mergeCell ref="S5:W5"/>
    <mergeCell ref="AE5:AI5"/>
    <mergeCell ref="G5:K5"/>
    <mergeCell ref="Y5:AC5"/>
    <mergeCell ref="AK5:AO5"/>
    <mergeCell ref="AQ5:AU5"/>
    <mergeCell ref="BC5:BG5"/>
    <mergeCell ref="M5:Q5"/>
    <mergeCell ref="BI5:BM5"/>
    <mergeCell ref="AW5:BA5"/>
  </mergeCells>
  <conditionalFormatting sqref="A8:E307">
    <cfRule type="expression" priority="1" dxfId="0">
      <formula>$C8&lt;=0.005</formula>
    </cfRule>
  </conditionalFormatting>
  <printOptions horizontalCentered="1"/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DCE5EA"/>
    <outlinePr summaryBelow="1" summaryRight="1"/>
    <pageSetUpPr fitToPage="1"/>
  </sheetPr>
  <dimension ref="A2:BN30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13" customWidth="1" min="4" max="4"/>
    <col width="12" customWidth="1" min="5" max="5"/>
    <col hidden="1" width="3" customWidth="1" min="6" max="6"/>
    <col width="12" customWidth="1" min="7" max="7"/>
    <col width="10" customWidth="1" min="8" max="8"/>
    <col width="11" customWidth="1" min="9" max="9"/>
    <col width="11" customWidth="1" min="10" max="10"/>
    <col width="12" customWidth="1" min="11" max="11"/>
    <col hidden="1" width="3" customWidth="1" min="12" max="12"/>
    <col width="12" customWidth="1" min="13" max="13"/>
    <col width="10" customWidth="1" min="14" max="14"/>
    <col width="11" customWidth="1" min="15" max="15"/>
    <col width="11" customWidth="1" min="16" max="16"/>
    <col width="12" customWidth="1" min="17" max="17"/>
    <col hidden="1" width="3" customWidth="1" min="18" max="18"/>
    <col width="12" customWidth="1" min="19" max="19"/>
    <col width="10" customWidth="1" min="20" max="20"/>
    <col width="11" customWidth="1" min="21" max="21"/>
    <col width="11" customWidth="1" min="22" max="22"/>
    <col width="12" customWidth="1" min="23" max="23"/>
    <col hidden="1" width="3" customWidth="1" min="24" max="24"/>
    <col width="12" customWidth="1" min="25" max="25"/>
    <col width="10" customWidth="1" min="26" max="26"/>
    <col width="11" customWidth="1" min="27" max="27"/>
    <col width="11" customWidth="1" min="28" max="28"/>
    <col width="12" customWidth="1" min="29" max="29"/>
    <col hidden="1" width="3" customWidth="1" min="30" max="30"/>
    <col width="12" customWidth="1" min="31" max="31"/>
    <col width="10" customWidth="1" min="32" max="32"/>
    <col width="11" customWidth="1" min="33" max="33"/>
    <col width="11" customWidth="1" min="34" max="34"/>
    <col width="12" customWidth="1" min="35" max="35"/>
    <col hidden="1" width="3" customWidth="1" min="36" max="36"/>
    <col width="12" customWidth="1" min="37" max="37"/>
    <col width="10" customWidth="1" min="38" max="38"/>
    <col width="11" customWidth="1" min="39" max="39"/>
    <col width="11" customWidth="1" min="40" max="40"/>
    <col width="12" customWidth="1" min="41" max="41"/>
    <col hidden="1" width="3" customWidth="1" min="42" max="42"/>
    <col width="12" customWidth="1" min="43" max="43"/>
    <col width="10" customWidth="1" min="44" max="44"/>
    <col width="11" customWidth="1" min="45" max="45"/>
    <col width="11" customWidth="1" min="46" max="46"/>
    <col width="12" customWidth="1" min="47" max="47"/>
    <col hidden="1" width="3" customWidth="1" min="48" max="48"/>
    <col width="12" customWidth="1" min="49" max="49"/>
    <col width="10" customWidth="1" min="50" max="50"/>
    <col width="11" customWidth="1" min="51" max="51"/>
    <col width="11" customWidth="1" min="52" max="52"/>
    <col width="12" customWidth="1" min="53" max="53"/>
    <col hidden="1" width="3" customWidth="1" min="54" max="54"/>
    <col width="12" customWidth="1" min="55" max="55"/>
    <col width="10" customWidth="1" min="56" max="56"/>
    <col width="11" customWidth="1" min="57" max="57"/>
    <col width="11" customWidth="1" min="58" max="58"/>
    <col width="12" customWidth="1" min="59" max="59"/>
    <col hidden="1" width="3" customWidth="1" min="60" max="60"/>
    <col width="12" customWidth="1" min="61" max="61"/>
    <col width="10" customWidth="1" min="62" max="62"/>
    <col width="11" customWidth="1" min="63" max="63"/>
    <col width="11" customWidth="1" min="64" max="64"/>
    <col width="12" customWidth="1" min="65" max="65"/>
    <col hidden="1" width="3" customWidth="1" min="66" max="66"/>
  </cols>
  <sheetData>
    <row r="1" ht="10" customHeight="1"/>
    <row r="2" ht="32" customHeight="1">
      <c r="B2" s="9" t="inlineStr">
        <is>
          <t>Minimum-only schedule</t>
        </is>
      </c>
    </row>
    <row r="3">
      <c r="B3" s="10" t="inlineStr">
        <is>
          <t>What happens if you only ever pay the minimums. Shown for comparison.</t>
        </is>
      </c>
    </row>
    <row r="4" ht="8" customHeight="1">
      <c r="B4" s="11" t="n"/>
      <c r="C4" s="11" t="n"/>
      <c r="D4" s="11" t="n"/>
      <c r="E4" s="11" t="n"/>
      <c r="F4" s="11" t="n"/>
    </row>
    <row r="5">
      <c r="G5" s="38">
        <f>"Debt 1: "&amp;IF(K6="","(empty)",K6)</f>
        <v/>
      </c>
      <c r="M5" s="38">
        <f>"Debt 2: "&amp;IF(Q6="","(empty)",Q6)</f>
        <v/>
      </c>
      <c r="S5" s="38">
        <f>"Debt 3: "&amp;IF(W6="","(empty)",W6)</f>
        <v/>
      </c>
      <c r="Y5" s="38">
        <f>"Debt 4: "&amp;IF(AC6="","(empty)",AC6)</f>
        <v/>
      </c>
      <c r="AE5" s="38">
        <f>"Debt 5: "&amp;IF(AI6="","(empty)",AI6)</f>
        <v/>
      </c>
      <c r="AK5" s="38">
        <f>"Debt 6: "&amp;IF(AO6="","(empty)",AO6)</f>
        <v/>
      </c>
      <c r="AQ5" s="38">
        <f>"Debt 7: "&amp;IF(AU6="","(empty)",AU6)</f>
        <v/>
      </c>
      <c r="AW5" s="38">
        <f>"Debt 8: "&amp;IF(BA6="","(empty)",BA6)</f>
        <v/>
      </c>
      <c r="BC5" s="38">
        <f>"Debt 9: "&amp;IF(BG6="","(empty)",BG6)</f>
        <v/>
      </c>
      <c r="BI5" s="38">
        <f>"Debt 10: "&amp;IF(BM6="","(empty)",BM6)</f>
        <v/>
      </c>
    </row>
    <row r="6" hidden="1">
      <c r="G6">
        <f>1</f>
        <v/>
      </c>
      <c r="H6">
        <f>N(INDEX('My Debts'!$D$10:$D$19,G$6))/100</f>
        <v/>
      </c>
      <c r="I6">
        <f>IF(INDEX('My Debts'!$B$10:$B$19,G$6)="",0,N(INDEX('My Debts'!$E$10:$E$19,G$6)))</f>
        <v/>
      </c>
      <c r="J6">
        <f>IF(INDEX('My Debts'!$B$10:$B$19,G$6)="",0,N(INDEX('My Debts'!$C$10:$C$19,G$6)))</f>
        <v/>
      </c>
      <c r="K6">
        <f>IF(INDEX('My Debts'!$B$10:$B$19,G$6)="","",INDEX('My Debts'!$B$10:$B$19,G$6))</f>
        <v/>
      </c>
      <c r="M6">
        <f>2</f>
        <v/>
      </c>
      <c r="N6">
        <f>N(INDEX('My Debts'!$D$10:$D$19,M$6))/100</f>
        <v/>
      </c>
      <c r="O6">
        <f>IF(INDEX('My Debts'!$B$10:$B$19,M$6)="",0,N(INDEX('My Debts'!$E$10:$E$19,M$6)))</f>
        <v/>
      </c>
      <c r="P6">
        <f>IF(INDEX('My Debts'!$B$10:$B$19,M$6)="",0,N(INDEX('My Debts'!$C$10:$C$19,M$6)))</f>
        <v/>
      </c>
      <c r="Q6">
        <f>IF(INDEX('My Debts'!$B$10:$B$19,M$6)="","",INDEX('My Debts'!$B$10:$B$19,M$6))</f>
        <v/>
      </c>
      <c r="S6">
        <f>3</f>
        <v/>
      </c>
      <c r="T6">
        <f>N(INDEX('My Debts'!$D$10:$D$19,S$6))/100</f>
        <v/>
      </c>
      <c r="U6">
        <f>IF(INDEX('My Debts'!$B$10:$B$19,S$6)="",0,N(INDEX('My Debts'!$E$10:$E$19,S$6)))</f>
        <v/>
      </c>
      <c r="V6">
        <f>IF(INDEX('My Debts'!$B$10:$B$19,S$6)="",0,N(INDEX('My Debts'!$C$10:$C$19,S$6)))</f>
        <v/>
      </c>
      <c r="W6">
        <f>IF(INDEX('My Debts'!$B$10:$B$19,S$6)="","",INDEX('My Debts'!$B$10:$B$19,S$6))</f>
        <v/>
      </c>
      <c r="Y6">
        <f>4</f>
        <v/>
      </c>
      <c r="Z6">
        <f>N(INDEX('My Debts'!$D$10:$D$19,Y$6))/100</f>
        <v/>
      </c>
      <c r="AA6">
        <f>IF(INDEX('My Debts'!$B$10:$B$19,Y$6)="",0,N(INDEX('My Debts'!$E$10:$E$19,Y$6)))</f>
        <v/>
      </c>
      <c r="AB6">
        <f>IF(INDEX('My Debts'!$B$10:$B$19,Y$6)="",0,N(INDEX('My Debts'!$C$10:$C$19,Y$6)))</f>
        <v/>
      </c>
      <c r="AC6">
        <f>IF(INDEX('My Debts'!$B$10:$B$19,Y$6)="","",INDEX('My Debts'!$B$10:$B$19,Y$6))</f>
        <v/>
      </c>
      <c r="AE6">
        <f>5</f>
        <v/>
      </c>
      <c r="AF6">
        <f>N(INDEX('My Debts'!$D$10:$D$19,AE$6))/100</f>
        <v/>
      </c>
      <c r="AG6">
        <f>IF(INDEX('My Debts'!$B$10:$B$19,AE$6)="",0,N(INDEX('My Debts'!$E$10:$E$19,AE$6)))</f>
        <v/>
      </c>
      <c r="AH6">
        <f>IF(INDEX('My Debts'!$B$10:$B$19,AE$6)="",0,N(INDEX('My Debts'!$C$10:$C$19,AE$6)))</f>
        <v/>
      </c>
      <c r="AI6">
        <f>IF(INDEX('My Debts'!$B$10:$B$19,AE$6)="","",INDEX('My Debts'!$B$10:$B$19,AE$6))</f>
        <v/>
      </c>
      <c r="AK6">
        <f>6</f>
        <v/>
      </c>
      <c r="AL6">
        <f>N(INDEX('My Debts'!$D$10:$D$19,AK$6))/100</f>
        <v/>
      </c>
      <c r="AM6">
        <f>IF(INDEX('My Debts'!$B$10:$B$19,AK$6)="",0,N(INDEX('My Debts'!$E$10:$E$19,AK$6)))</f>
        <v/>
      </c>
      <c r="AN6">
        <f>IF(INDEX('My Debts'!$B$10:$B$19,AK$6)="",0,N(INDEX('My Debts'!$C$10:$C$19,AK$6)))</f>
        <v/>
      </c>
      <c r="AO6">
        <f>IF(INDEX('My Debts'!$B$10:$B$19,AK$6)="","",INDEX('My Debts'!$B$10:$B$19,AK$6))</f>
        <v/>
      </c>
      <c r="AQ6">
        <f>7</f>
        <v/>
      </c>
      <c r="AR6">
        <f>N(INDEX('My Debts'!$D$10:$D$19,AQ$6))/100</f>
        <v/>
      </c>
      <c r="AS6">
        <f>IF(INDEX('My Debts'!$B$10:$B$19,AQ$6)="",0,N(INDEX('My Debts'!$E$10:$E$19,AQ$6)))</f>
        <v/>
      </c>
      <c r="AT6">
        <f>IF(INDEX('My Debts'!$B$10:$B$19,AQ$6)="",0,N(INDEX('My Debts'!$C$10:$C$19,AQ$6)))</f>
        <v/>
      </c>
      <c r="AU6">
        <f>IF(INDEX('My Debts'!$B$10:$B$19,AQ$6)="","",INDEX('My Debts'!$B$10:$B$19,AQ$6))</f>
        <v/>
      </c>
      <c r="AW6">
        <f>8</f>
        <v/>
      </c>
      <c r="AX6">
        <f>N(INDEX('My Debts'!$D$10:$D$19,AW$6))/100</f>
        <v/>
      </c>
      <c r="AY6">
        <f>IF(INDEX('My Debts'!$B$10:$B$19,AW$6)="",0,N(INDEX('My Debts'!$E$10:$E$19,AW$6)))</f>
        <v/>
      </c>
      <c r="AZ6">
        <f>IF(INDEX('My Debts'!$B$10:$B$19,AW$6)="",0,N(INDEX('My Debts'!$C$10:$C$19,AW$6)))</f>
        <v/>
      </c>
      <c r="BA6">
        <f>IF(INDEX('My Debts'!$B$10:$B$19,AW$6)="","",INDEX('My Debts'!$B$10:$B$19,AW$6))</f>
        <v/>
      </c>
      <c r="BC6">
        <f>9</f>
        <v/>
      </c>
      <c r="BD6">
        <f>N(INDEX('My Debts'!$D$10:$D$19,BC$6))/100</f>
        <v/>
      </c>
      <c r="BE6">
        <f>IF(INDEX('My Debts'!$B$10:$B$19,BC$6)="",0,N(INDEX('My Debts'!$E$10:$E$19,BC$6)))</f>
        <v/>
      </c>
      <c r="BF6">
        <f>IF(INDEX('My Debts'!$B$10:$B$19,BC$6)="",0,N(INDEX('My Debts'!$C$10:$C$19,BC$6)))</f>
        <v/>
      </c>
      <c r="BG6">
        <f>IF(INDEX('My Debts'!$B$10:$B$19,BC$6)="","",INDEX('My Debts'!$B$10:$B$19,BC$6))</f>
        <v/>
      </c>
      <c r="BI6">
        <f>10</f>
        <v/>
      </c>
      <c r="BJ6">
        <f>N(INDEX('My Debts'!$D$10:$D$19,BI$6))/100</f>
        <v/>
      </c>
      <c r="BK6">
        <f>IF(INDEX('My Debts'!$B$10:$B$19,BI$6)="",0,N(INDEX('My Debts'!$E$10:$E$19,BI$6)))</f>
        <v/>
      </c>
      <c r="BL6">
        <f>IF(INDEX('My Debts'!$B$10:$B$19,BI$6)="",0,N(INDEX('My Debts'!$C$10:$C$19,BI$6)))</f>
        <v/>
      </c>
      <c r="BM6">
        <f>IF(INDEX('My Debts'!$B$10:$B$19,BI$6)="","",INDEX('My Debts'!$B$10:$B$19,BI$6))</f>
        <v/>
      </c>
    </row>
    <row r="7" ht="30" customHeight="1">
      <c r="A7" s="17" t="inlineStr">
        <is>
          <t>Month</t>
        </is>
      </c>
      <c r="B7" s="17" t="inlineStr">
        <is>
          <t>Date</t>
        </is>
      </c>
      <c r="C7" s="17" t="inlineStr">
        <is>
          <t>Total owed (end)</t>
        </is>
      </c>
      <c r="D7" s="17" t="inlineStr">
        <is>
          <t>Paid this month</t>
        </is>
      </c>
      <c r="E7" s="17" t="inlineStr">
        <is>
          <t>Interest this month</t>
        </is>
      </c>
      <c r="G7" s="17" t="inlineStr">
        <is>
          <t>Start balance</t>
        </is>
      </c>
      <c r="H7" s="17" t="inlineStr">
        <is>
          <t>Interest</t>
        </is>
      </c>
      <c r="I7" s="17" t="inlineStr">
        <is>
          <t>Minimum paid</t>
        </is>
      </c>
      <c r="J7" s="17" t="inlineStr">
        <is>
          <t>Extra paid</t>
        </is>
      </c>
      <c r="K7" s="17" t="inlineStr">
        <is>
          <t>End balance</t>
        </is>
      </c>
      <c r="M7" s="17" t="inlineStr">
        <is>
          <t>Start balance</t>
        </is>
      </c>
      <c r="N7" s="17" t="inlineStr">
        <is>
          <t>Interest</t>
        </is>
      </c>
      <c r="O7" s="17" t="inlineStr">
        <is>
          <t>Minimum paid</t>
        </is>
      </c>
      <c r="P7" s="17" t="inlineStr">
        <is>
          <t>Extra paid</t>
        </is>
      </c>
      <c r="Q7" s="17" t="inlineStr">
        <is>
          <t>End balance</t>
        </is>
      </c>
      <c r="S7" s="17" t="inlineStr">
        <is>
          <t>Start balance</t>
        </is>
      </c>
      <c r="T7" s="17" t="inlineStr">
        <is>
          <t>Interest</t>
        </is>
      </c>
      <c r="U7" s="17" t="inlineStr">
        <is>
          <t>Minimum paid</t>
        </is>
      </c>
      <c r="V7" s="17" t="inlineStr">
        <is>
          <t>Extra paid</t>
        </is>
      </c>
      <c r="W7" s="17" t="inlineStr">
        <is>
          <t>End balance</t>
        </is>
      </c>
      <c r="Y7" s="17" t="inlineStr">
        <is>
          <t>Start balance</t>
        </is>
      </c>
      <c r="Z7" s="17" t="inlineStr">
        <is>
          <t>Interest</t>
        </is>
      </c>
      <c r="AA7" s="17" t="inlineStr">
        <is>
          <t>Minimum paid</t>
        </is>
      </c>
      <c r="AB7" s="17" t="inlineStr">
        <is>
          <t>Extra paid</t>
        </is>
      </c>
      <c r="AC7" s="17" t="inlineStr">
        <is>
          <t>End balance</t>
        </is>
      </c>
      <c r="AE7" s="17" t="inlineStr">
        <is>
          <t>Start balance</t>
        </is>
      </c>
      <c r="AF7" s="17" t="inlineStr">
        <is>
          <t>Interest</t>
        </is>
      </c>
      <c r="AG7" s="17" t="inlineStr">
        <is>
          <t>Minimum paid</t>
        </is>
      </c>
      <c r="AH7" s="17" t="inlineStr">
        <is>
          <t>Extra paid</t>
        </is>
      </c>
      <c r="AI7" s="17" t="inlineStr">
        <is>
          <t>End balance</t>
        </is>
      </c>
      <c r="AK7" s="17" t="inlineStr">
        <is>
          <t>Start balance</t>
        </is>
      </c>
      <c r="AL7" s="17" t="inlineStr">
        <is>
          <t>Interest</t>
        </is>
      </c>
      <c r="AM7" s="17" t="inlineStr">
        <is>
          <t>Minimum paid</t>
        </is>
      </c>
      <c r="AN7" s="17" t="inlineStr">
        <is>
          <t>Extra paid</t>
        </is>
      </c>
      <c r="AO7" s="17" t="inlineStr">
        <is>
          <t>End balance</t>
        </is>
      </c>
      <c r="AQ7" s="17" t="inlineStr">
        <is>
          <t>Start balance</t>
        </is>
      </c>
      <c r="AR7" s="17" t="inlineStr">
        <is>
          <t>Interest</t>
        </is>
      </c>
      <c r="AS7" s="17" t="inlineStr">
        <is>
          <t>Minimum paid</t>
        </is>
      </c>
      <c r="AT7" s="17" t="inlineStr">
        <is>
          <t>Extra paid</t>
        </is>
      </c>
      <c r="AU7" s="17" t="inlineStr">
        <is>
          <t>End balance</t>
        </is>
      </c>
      <c r="AW7" s="17" t="inlineStr">
        <is>
          <t>Start balance</t>
        </is>
      </c>
      <c r="AX7" s="17" t="inlineStr">
        <is>
          <t>Interest</t>
        </is>
      </c>
      <c r="AY7" s="17" t="inlineStr">
        <is>
          <t>Minimum paid</t>
        </is>
      </c>
      <c r="AZ7" s="17" t="inlineStr">
        <is>
          <t>Extra paid</t>
        </is>
      </c>
      <c r="BA7" s="17" t="inlineStr">
        <is>
          <t>End balance</t>
        </is>
      </c>
      <c r="BC7" s="17" t="inlineStr">
        <is>
          <t>Start balance</t>
        </is>
      </c>
      <c r="BD7" s="17" t="inlineStr">
        <is>
          <t>Interest</t>
        </is>
      </c>
      <c r="BE7" s="17" t="inlineStr">
        <is>
          <t>Minimum paid</t>
        </is>
      </c>
      <c r="BF7" s="17" t="inlineStr">
        <is>
          <t>Extra paid</t>
        </is>
      </c>
      <c r="BG7" s="17" t="inlineStr">
        <is>
          <t>End balance</t>
        </is>
      </c>
      <c r="BI7" s="17" t="inlineStr">
        <is>
          <t>Start balance</t>
        </is>
      </c>
      <c r="BJ7" s="17" t="inlineStr">
        <is>
          <t>Interest</t>
        </is>
      </c>
      <c r="BK7" s="17" t="inlineStr">
        <is>
          <t>Minimum paid</t>
        </is>
      </c>
      <c r="BL7" s="17" t="inlineStr">
        <is>
          <t>Extra paid</t>
        </is>
      </c>
      <c r="BM7" s="17" t="inlineStr">
        <is>
          <t>End balance</t>
        </is>
      </c>
    </row>
    <row r="8">
      <c r="A8" s="39" t="n">
        <v>1</v>
      </c>
      <c r="B8" s="40">
        <f>EDATE('My Debts'!$C$6,A8-1)</f>
        <v/>
      </c>
      <c r="C8" s="41">
        <f>K8+Q8+W8+AC8+AI8+AO8+AU8+BA8+BG8+BM8</f>
        <v/>
      </c>
      <c r="D8" s="42">
        <f>I8+O8+U8+AA8+AG8+AM8+AS8+AY8+BE8+BK8+J8+P8+V8+AB8+AH8+AN8+AT8+AZ8+BF8+BL8</f>
        <v/>
      </c>
      <c r="E8" s="42">
        <f>H8+N8+T8+Z8+AF8+AL8+AR8+AX8+BD8+BJ8</f>
        <v/>
      </c>
      <c r="F8" t="n">
        <v>0</v>
      </c>
      <c r="G8" s="42">
        <f>J$6</f>
        <v/>
      </c>
      <c r="H8" s="42">
        <f>ROUND(G8*H$6/12,2)</f>
        <v/>
      </c>
      <c r="I8" s="42">
        <f>MIN(I$6,G8+H8)</f>
        <v/>
      </c>
      <c r="J8" s="42">
        <f>MAX(0,MIN(G8+H8-I8,$F8))</f>
        <v/>
      </c>
      <c r="K8" s="42">
        <f>ROUND(G8+H8-I8-J8,2)</f>
        <v/>
      </c>
      <c r="L8">
        <f>$F8-J8</f>
        <v/>
      </c>
      <c r="M8" s="42">
        <f>P$6</f>
        <v/>
      </c>
      <c r="N8" s="42">
        <f>ROUND(M8*N$6/12,2)</f>
        <v/>
      </c>
      <c r="O8" s="42">
        <f>MIN(O$6,M8+N8)</f>
        <v/>
      </c>
      <c r="P8" s="42">
        <f>MAX(0,MIN(M8+N8-O8,L8))</f>
        <v/>
      </c>
      <c r="Q8" s="42">
        <f>ROUND(M8+N8-O8-P8,2)</f>
        <v/>
      </c>
      <c r="R8">
        <f>L8-P8</f>
        <v/>
      </c>
      <c r="S8" s="42">
        <f>V$6</f>
        <v/>
      </c>
      <c r="T8" s="42">
        <f>ROUND(S8*T$6/12,2)</f>
        <v/>
      </c>
      <c r="U8" s="42">
        <f>MIN(U$6,S8+T8)</f>
        <v/>
      </c>
      <c r="V8" s="42">
        <f>MAX(0,MIN(S8+T8-U8,R8))</f>
        <v/>
      </c>
      <c r="W8" s="42">
        <f>ROUND(S8+T8-U8-V8,2)</f>
        <v/>
      </c>
      <c r="X8">
        <f>R8-V8</f>
        <v/>
      </c>
      <c r="Y8" s="42">
        <f>AB$6</f>
        <v/>
      </c>
      <c r="Z8" s="42">
        <f>ROUND(Y8*Z$6/12,2)</f>
        <v/>
      </c>
      <c r="AA8" s="42">
        <f>MIN(AA$6,Y8+Z8)</f>
        <v/>
      </c>
      <c r="AB8" s="42">
        <f>MAX(0,MIN(Y8+Z8-AA8,X8))</f>
        <v/>
      </c>
      <c r="AC8" s="42">
        <f>ROUND(Y8+Z8-AA8-AB8,2)</f>
        <v/>
      </c>
      <c r="AD8">
        <f>X8-AB8</f>
        <v/>
      </c>
      <c r="AE8" s="42">
        <f>AH$6</f>
        <v/>
      </c>
      <c r="AF8" s="42">
        <f>ROUND(AE8*AF$6/12,2)</f>
        <v/>
      </c>
      <c r="AG8" s="42">
        <f>MIN(AG$6,AE8+AF8)</f>
        <v/>
      </c>
      <c r="AH8" s="42">
        <f>MAX(0,MIN(AE8+AF8-AG8,AD8))</f>
        <v/>
      </c>
      <c r="AI8" s="42">
        <f>ROUND(AE8+AF8-AG8-AH8,2)</f>
        <v/>
      </c>
      <c r="AJ8">
        <f>AD8-AH8</f>
        <v/>
      </c>
      <c r="AK8" s="42">
        <f>AN$6</f>
        <v/>
      </c>
      <c r="AL8" s="42">
        <f>ROUND(AK8*AL$6/12,2)</f>
        <v/>
      </c>
      <c r="AM8" s="42">
        <f>MIN(AM$6,AK8+AL8)</f>
        <v/>
      </c>
      <c r="AN8" s="42">
        <f>MAX(0,MIN(AK8+AL8-AM8,AJ8))</f>
        <v/>
      </c>
      <c r="AO8" s="42">
        <f>ROUND(AK8+AL8-AM8-AN8,2)</f>
        <v/>
      </c>
      <c r="AP8">
        <f>AJ8-AN8</f>
        <v/>
      </c>
      <c r="AQ8" s="42">
        <f>AT$6</f>
        <v/>
      </c>
      <c r="AR8" s="42">
        <f>ROUND(AQ8*AR$6/12,2)</f>
        <v/>
      </c>
      <c r="AS8" s="42">
        <f>MIN(AS$6,AQ8+AR8)</f>
        <v/>
      </c>
      <c r="AT8" s="42">
        <f>MAX(0,MIN(AQ8+AR8-AS8,AP8))</f>
        <v/>
      </c>
      <c r="AU8" s="42">
        <f>ROUND(AQ8+AR8-AS8-AT8,2)</f>
        <v/>
      </c>
      <c r="AV8">
        <f>AP8-AT8</f>
        <v/>
      </c>
      <c r="AW8" s="42">
        <f>AZ$6</f>
        <v/>
      </c>
      <c r="AX8" s="42">
        <f>ROUND(AW8*AX$6/12,2)</f>
        <v/>
      </c>
      <c r="AY8" s="42">
        <f>MIN(AY$6,AW8+AX8)</f>
        <v/>
      </c>
      <c r="AZ8" s="42">
        <f>MAX(0,MIN(AW8+AX8-AY8,AV8))</f>
        <v/>
      </c>
      <c r="BA8" s="42">
        <f>ROUND(AW8+AX8-AY8-AZ8,2)</f>
        <v/>
      </c>
      <c r="BB8">
        <f>AV8-AZ8</f>
        <v/>
      </c>
      <c r="BC8" s="42">
        <f>BF$6</f>
        <v/>
      </c>
      <c r="BD8" s="42">
        <f>ROUND(BC8*BD$6/12,2)</f>
        <v/>
      </c>
      <c r="BE8" s="42">
        <f>MIN(BE$6,BC8+BD8)</f>
        <v/>
      </c>
      <c r="BF8" s="42">
        <f>MAX(0,MIN(BC8+BD8-BE8,BB8))</f>
        <v/>
      </c>
      <c r="BG8" s="42">
        <f>ROUND(BC8+BD8-BE8-BF8,2)</f>
        <v/>
      </c>
      <c r="BH8">
        <f>BB8-BF8</f>
        <v/>
      </c>
      <c r="BI8" s="42">
        <f>BL$6</f>
        <v/>
      </c>
      <c r="BJ8" s="42">
        <f>ROUND(BI8*BJ$6/12,2)</f>
        <v/>
      </c>
      <c r="BK8" s="42">
        <f>MIN(BK$6,BI8+BJ8)</f>
        <v/>
      </c>
      <c r="BL8" s="42">
        <f>MAX(0,MIN(BI8+BJ8-BK8,BH8))</f>
        <v/>
      </c>
      <c r="BM8" s="42">
        <f>ROUND(BI8+BJ8-BK8-BL8,2)</f>
        <v/>
      </c>
      <c r="BN8">
        <f>BH8-BL8</f>
        <v/>
      </c>
    </row>
    <row r="9">
      <c r="A9" s="43" t="n">
        <v>2</v>
      </c>
      <c r="B9" s="44">
        <f>EDATE('My Debts'!$C$6,A9-1)</f>
        <v/>
      </c>
      <c r="C9" s="45">
        <f>K9+Q9+W9+AC9+AI9+AO9+AU9+BA9+BG9+BM9</f>
        <v/>
      </c>
      <c r="D9" s="46">
        <f>I9+O9+U9+AA9+AG9+AM9+AS9+AY9+BE9+BK9+J9+P9+V9+AB9+AH9+AN9+AT9+AZ9+BF9+BL9</f>
        <v/>
      </c>
      <c r="E9" s="46">
        <f>H9+N9+T9+Z9+AF9+AL9+AR9+AX9+BD9+BJ9</f>
        <v/>
      </c>
      <c r="F9" t="n">
        <v>0</v>
      </c>
      <c r="G9" s="42">
        <f>K8</f>
        <v/>
      </c>
      <c r="H9" s="42">
        <f>ROUND(G9*H$6/12,2)</f>
        <v/>
      </c>
      <c r="I9" s="42">
        <f>MIN(I$6,G9+H9)</f>
        <v/>
      </c>
      <c r="J9" s="42">
        <f>MAX(0,MIN(G9+H9-I9,$F9))</f>
        <v/>
      </c>
      <c r="K9" s="42">
        <f>ROUND(G9+H9-I9-J9,2)</f>
        <v/>
      </c>
      <c r="L9">
        <f>$F9-J9</f>
        <v/>
      </c>
      <c r="M9" s="42">
        <f>Q8</f>
        <v/>
      </c>
      <c r="N9" s="42">
        <f>ROUND(M9*N$6/12,2)</f>
        <v/>
      </c>
      <c r="O9" s="42">
        <f>MIN(O$6,M9+N9)</f>
        <v/>
      </c>
      <c r="P9" s="42">
        <f>MAX(0,MIN(M9+N9-O9,L9))</f>
        <v/>
      </c>
      <c r="Q9" s="42">
        <f>ROUND(M9+N9-O9-P9,2)</f>
        <v/>
      </c>
      <c r="R9">
        <f>L9-P9</f>
        <v/>
      </c>
      <c r="S9" s="42">
        <f>W8</f>
        <v/>
      </c>
      <c r="T9" s="42">
        <f>ROUND(S9*T$6/12,2)</f>
        <v/>
      </c>
      <c r="U9" s="42">
        <f>MIN(U$6,S9+T9)</f>
        <v/>
      </c>
      <c r="V9" s="42">
        <f>MAX(0,MIN(S9+T9-U9,R9))</f>
        <v/>
      </c>
      <c r="W9" s="42">
        <f>ROUND(S9+T9-U9-V9,2)</f>
        <v/>
      </c>
      <c r="X9">
        <f>R9-V9</f>
        <v/>
      </c>
      <c r="Y9" s="42">
        <f>AC8</f>
        <v/>
      </c>
      <c r="Z9" s="42">
        <f>ROUND(Y9*Z$6/12,2)</f>
        <v/>
      </c>
      <c r="AA9" s="42">
        <f>MIN(AA$6,Y9+Z9)</f>
        <v/>
      </c>
      <c r="AB9" s="42">
        <f>MAX(0,MIN(Y9+Z9-AA9,X9))</f>
        <v/>
      </c>
      <c r="AC9" s="42">
        <f>ROUND(Y9+Z9-AA9-AB9,2)</f>
        <v/>
      </c>
      <c r="AD9">
        <f>X9-AB9</f>
        <v/>
      </c>
      <c r="AE9" s="42">
        <f>AI8</f>
        <v/>
      </c>
      <c r="AF9" s="42">
        <f>ROUND(AE9*AF$6/12,2)</f>
        <v/>
      </c>
      <c r="AG9" s="42">
        <f>MIN(AG$6,AE9+AF9)</f>
        <v/>
      </c>
      <c r="AH9" s="42">
        <f>MAX(0,MIN(AE9+AF9-AG9,AD9))</f>
        <v/>
      </c>
      <c r="AI9" s="42">
        <f>ROUND(AE9+AF9-AG9-AH9,2)</f>
        <v/>
      </c>
      <c r="AJ9">
        <f>AD9-AH9</f>
        <v/>
      </c>
      <c r="AK9" s="42">
        <f>AO8</f>
        <v/>
      </c>
      <c r="AL9" s="42">
        <f>ROUND(AK9*AL$6/12,2)</f>
        <v/>
      </c>
      <c r="AM9" s="42">
        <f>MIN(AM$6,AK9+AL9)</f>
        <v/>
      </c>
      <c r="AN9" s="42">
        <f>MAX(0,MIN(AK9+AL9-AM9,AJ9))</f>
        <v/>
      </c>
      <c r="AO9" s="42">
        <f>ROUND(AK9+AL9-AM9-AN9,2)</f>
        <v/>
      </c>
      <c r="AP9">
        <f>AJ9-AN9</f>
        <v/>
      </c>
      <c r="AQ9" s="42">
        <f>AU8</f>
        <v/>
      </c>
      <c r="AR9" s="42">
        <f>ROUND(AQ9*AR$6/12,2)</f>
        <v/>
      </c>
      <c r="AS9" s="42">
        <f>MIN(AS$6,AQ9+AR9)</f>
        <v/>
      </c>
      <c r="AT9" s="42">
        <f>MAX(0,MIN(AQ9+AR9-AS9,AP9))</f>
        <v/>
      </c>
      <c r="AU9" s="42">
        <f>ROUND(AQ9+AR9-AS9-AT9,2)</f>
        <v/>
      </c>
      <c r="AV9">
        <f>AP9-AT9</f>
        <v/>
      </c>
      <c r="AW9" s="42">
        <f>BA8</f>
        <v/>
      </c>
      <c r="AX9" s="42">
        <f>ROUND(AW9*AX$6/12,2)</f>
        <v/>
      </c>
      <c r="AY9" s="42">
        <f>MIN(AY$6,AW9+AX9)</f>
        <v/>
      </c>
      <c r="AZ9" s="42">
        <f>MAX(0,MIN(AW9+AX9-AY9,AV9))</f>
        <v/>
      </c>
      <c r="BA9" s="42">
        <f>ROUND(AW9+AX9-AY9-AZ9,2)</f>
        <v/>
      </c>
      <c r="BB9">
        <f>AV9-AZ9</f>
        <v/>
      </c>
      <c r="BC9" s="42">
        <f>BG8</f>
        <v/>
      </c>
      <c r="BD9" s="42">
        <f>ROUND(BC9*BD$6/12,2)</f>
        <v/>
      </c>
      <c r="BE9" s="42">
        <f>MIN(BE$6,BC9+BD9)</f>
        <v/>
      </c>
      <c r="BF9" s="42">
        <f>MAX(0,MIN(BC9+BD9-BE9,BB9))</f>
        <v/>
      </c>
      <c r="BG9" s="42">
        <f>ROUND(BC9+BD9-BE9-BF9,2)</f>
        <v/>
      </c>
      <c r="BH9">
        <f>BB9-BF9</f>
        <v/>
      </c>
      <c r="BI9" s="42">
        <f>BM8</f>
        <v/>
      </c>
      <c r="BJ9" s="42">
        <f>ROUND(BI9*BJ$6/12,2)</f>
        <v/>
      </c>
      <c r="BK9" s="42">
        <f>MIN(BK$6,BI9+BJ9)</f>
        <v/>
      </c>
      <c r="BL9" s="42">
        <f>MAX(0,MIN(BI9+BJ9-BK9,BH9))</f>
        <v/>
      </c>
      <c r="BM9" s="42">
        <f>ROUND(BI9+BJ9-BK9-BL9,2)</f>
        <v/>
      </c>
      <c r="BN9">
        <f>BH9-BL9</f>
        <v/>
      </c>
    </row>
    <row r="10">
      <c r="A10" s="39" t="n">
        <v>3</v>
      </c>
      <c r="B10" s="40">
        <f>EDATE('My Debts'!$C$6,A10-1)</f>
        <v/>
      </c>
      <c r="C10" s="41">
        <f>K10+Q10+W10+AC10+AI10+AO10+AU10+BA10+BG10+BM10</f>
        <v/>
      </c>
      <c r="D10" s="42">
        <f>I10+O10+U10+AA10+AG10+AM10+AS10+AY10+BE10+BK10+J10+P10+V10+AB10+AH10+AN10+AT10+AZ10+BF10+BL10</f>
        <v/>
      </c>
      <c r="E10" s="42">
        <f>H10+N10+T10+Z10+AF10+AL10+AR10+AX10+BD10+BJ10</f>
        <v/>
      </c>
      <c r="F10" t="n">
        <v>0</v>
      </c>
      <c r="G10" s="42">
        <f>K9</f>
        <v/>
      </c>
      <c r="H10" s="42">
        <f>ROUND(G10*H$6/12,2)</f>
        <v/>
      </c>
      <c r="I10" s="42">
        <f>MIN(I$6,G10+H10)</f>
        <v/>
      </c>
      <c r="J10" s="42">
        <f>MAX(0,MIN(G10+H10-I10,$F10))</f>
        <v/>
      </c>
      <c r="K10" s="42">
        <f>ROUND(G10+H10-I10-J10,2)</f>
        <v/>
      </c>
      <c r="L10">
        <f>$F10-J10</f>
        <v/>
      </c>
      <c r="M10" s="42">
        <f>Q9</f>
        <v/>
      </c>
      <c r="N10" s="42">
        <f>ROUND(M10*N$6/12,2)</f>
        <v/>
      </c>
      <c r="O10" s="42">
        <f>MIN(O$6,M10+N10)</f>
        <v/>
      </c>
      <c r="P10" s="42">
        <f>MAX(0,MIN(M10+N10-O10,L10))</f>
        <v/>
      </c>
      <c r="Q10" s="42">
        <f>ROUND(M10+N10-O10-P10,2)</f>
        <v/>
      </c>
      <c r="R10">
        <f>L10-P10</f>
        <v/>
      </c>
      <c r="S10" s="42">
        <f>W9</f>
        <v/>
      </c>
      <c r="T10" s="42">
        <f>ROUND(S10*T$6/12,2)</f>
        <v/>
      </c>
      <c r="U10" s="42">
        <f>MIN(U$6,S10+T10)</f>
        <v/>
      </c>
      <c r="V10" s="42">
        <f>MAX(0,MIN(S10+T10-U10,R10))</f>
        <v/>
      </c>
      <c r="W10" s="42">
        <f>ROUND(S10+T10-U10-V10,2)</f>
        <v/>
      </c>
      <c r="X10">
        <f>R10-V10</f>
        <v/>
      </c>
      <c r="Y10" s="42">
        <f>AC9</f>
        <v/>
      </c>
      <c r="Z10" s="42">
        <f>ROUND(Y10*Z$6/12,2)</f>
        <v/>
      </c>
      <c r="AA10" s="42">
        <f>MIN(AA$6,Y10+Z10)</f>
        <v/>
      </c>
      <c r="AB10" s="42">
        <f>MAX(0,MIN(Y10+Z10-AA10,X10))</f>
        <v/>
      </c>
      <c r="AC10" s="42">
        <f>ROUND(Y10+Z10-AA10-AB10,2)</f>
        <v/>
      </c>
      <c r="AD10">
        <f>X10-AB10</f>
        <v/>
      </c>
      <c r="AE10" s="42">
        <f>AI9</f>
        <v/>
      </c>
      <c r="AF10" s="42">
        <f>ROUND(AE10*AF$6/12,2)</f>
        <v/>
      </c>
      <c r="AG10" s="42">
        <f>MIN(AG$6,AE10+AF10)</f>
        <v/>
      </c>
      <c r="AH10" s="42">
        <f>MAX(0,MIN(AE10+AF10-AG10,AD10))</f>
        <v/>
      </c>
      <c r="AI10" s="42">
        <f>ROUND(AE10+AF10-AG10-AH10,2)</f>
        <v/>
      </c>
      <c r="AJ10">
        <f>AD10-AH10</f>
        <v/>
      </c>
      <c r="AK10" s="42">
        <f>AO9</f>
        <v/>
      </c>
      <c r="AL10" s="42">
        <f>ROUND(AK10*AL$6/12,2)</f>
        <v/>
      </c>
      <c r="AM10" s="42">
        <f>MIN(AM$6,AK10+AL10)</f>
        <v/>
      </c>
      <c r="AN10" s="42">
        <f>MAX(0,MIN(AK10+AL10-AM10,AJ10))</f>
        <v/>
      </c>
      <c r="AO10" s="42">
        <f>ROUND(AK10+AL10-AM10-AN10,2)</f>
        <v/>
      </c>
      <c r="AP10">
        <f>AJ10-AN10</f>
        <v/>
      </c>
      <c r="AQ10" s="42">
        <f>AU9</f>
        <v/>
      </c>
      <c r="AR10" s="42">
        <f>ROUND(AQ10*AR$6/12,2)</f>
        <v/>
      </c>
      <c r="AS10" s="42">
        <f>MIN(AS$6,AQ10+AR10)</f>
        <v/>
      </c>
      <c r="AT10" s="42">
        <f>MAX(0,MIN(AQ10+AR10-AS10,AP10))</f>
        <v/>
      </c>
      <c r="AU10" s="42">
        <f>ROUND(AQ10+AR10-AS10-AT10,2)</f>
        <v/>
      </c>
      <c r="AV10">
        <f>AP10-AT10</f>
        <v/>
      </c>
      <c r="AW10" s="42">
        <f>BA9</f>
        <v/>
      </c>
      <c r="AX10" s="42">
        <f>ROUND(AW10*AX$6/12,2)</f>
        <v/>
      </c>
      <c r="AY10" s="42">
        <f>MIN(AY$6,AW10+AX10)</f>
        <v/>
      </c>
      <c r="AZ10" s="42">
        <f>MAX(0,MIN(AW10+AX10-AY10,AV10))</f>
        <v/>
      </c>
      <c r="BA10" s="42">
        <f>ROUND(AW10+AX10-AY10-AZ10,2)</f>
        <v/>
      </c>
      <c r="BB10">
        <f>AV10-AZ10</f>
        <v/>
      </c>
      <c r="BC10" s="42">
        <f>BG9</f>
        <v/>
      </c>
      <c r="BD10" s="42">
        <f>ROUND(BC10*BD$6/12,2)</f>
        <v/>
      </c>
      <c r="BE10" s="42">
        <f>MIN(BE$6,BC10+BD10)</f>
        <v/>
      </c>
      <c r="BF10" s="42">
        <f>MAX(0,MIN(BC10+BD10-BE10,BB10))</f>
        <v/>
      </c>
      <c r="BG10" s="42">
        <f>ROUND(BC10+BD10-BE10-BF10,2)</f>
        <v/>
      </c>
      <c r="BH10">
        <f>BB10-BF10</f>
        <v/>
      </c>
      <c r="BI10" s="42">
        <f>BM9</f>
        <v/>
      </c>
      <c r="BJ10" s="42">
        <f>ROUND(BI10*BJ$6/12,2)</f>
        <v/>
      </c>
      <c r="BK10" s="42">
        <f>MIN(BK$6,BI10+BJ10)</f>
        <v/>
      </c>
      <c r="BL10" s="42">
        <f>MAX(0,MIN(BI10+BJ10-BK10,BH10))</f>
        <v/>
      </c>
      <c r="BM10" s="42">
        <f>ROUND(BI10+BJ10-BK10-BL10,2)</f>
        <v/>
      </c>
      <c r="BN10">
        <f>BH10-BL10</f>
        <v/>
      </c>
    </row>
    <row r="11">
      <c r="A11" s="43" t="n">
        <v>4</v>
      </c>
      <c r="B11" s="44">
        <f>EDATE('My Debts'!$C$6,A11-1)</f>
        <v/>
      </c>
      <c r="C11" s="45">
        <f>K11+Q11+W11+AC11+AI11+AO11+AU11+BA11+BG11+BM11</f>
        <v/>
      </c>
      <c r="D11" s="46">
        <f>I11+O11+U11+AA11+AG11+AM11+AS11+AY11+BE11+BK11+J11+P11+V11+AB11+AH11+AN11+AT11+AZ11+BF11+BL11</f>
        <v/>
      </c>
      <c r="E11" s="46">
        <f>H11+N11+T11+Z11+AF11+AL11+AR11+AX11+BD11+BJ11</f>
        <v/>
      </c>
      <c r="F11" t="n">
        <v>0</v>
      </c>
      <c r="G11" s="42">
        <f>K10</f>
        <v/>
      </c>
      <c r="H11" s="42">
        <f>ROUND(G11*H$6/12,2)</f>
        <v/>
      </c>
      <c r="I11" s="42">
        <f>MIN(I$6,G11+H11)</f>
        <v/>
      </c>
      <c r="J11" s="42">
        <f>MAX(0,MIN(G11+H11-I11,$F11))</f>
        <v/>
      </c>
      <c r="K11" s="42">
        <f>ROUND(G11+H11-I11-J11,2)</f>
        <v/>
      </c>
      <c r="L11">
        <f>$F11-J11</f>
        <v/>
      </c>
      <c r="M11" s="42">
        <f>Q10</f>
        <v/>
      </c>
      <c r="N11" s="42">
        <f>ROUND(M11*N$6/12,2)</f>
        <v/>
      </c>
      <c r="O11" s="42">
        <f>MIN(O$6,M11+N11)</f>
        <v/>
      </c>
      <c r="P11" s="42">
        <f>MAX(0,MIN(M11+N11-O11,L11))</f>
        <v/>
      </c>
      <c r="Q11" s="42">
        <f>ROUND(M11+N11-O11-P11,2)</f>
        <v/>
      </c>
      <c r="R11">
        <f>L11-P11</f>
        <v/>
      </c>
      <c r="S11" s="42">
        <f>W10</f>
        <v/>
      </c>
      <c r="T11" s="42">
        <f>ROUND(S11*T$6/12,2)</f>
        <v/>
      </c>
      <c r="U11" s="42">
        <f>MIN(U$6,S11+T11)</f>
        <v/>
      </c>
      <c r="V11" s="42">
        <f>MAX(0,MIN(S11+T11-U11,R11))</f>
        <v/>
      </c>
      <c r="W11" s="42">
        <f>ROUND(S11+T11-U11-V11,2)</f>
        <v/>
      </c>
      <c r="X11">
        <f>R11-V11</f>
        <v/>
      </c>
      <c r="Y11" s="42">
        <f>AC10</f>
        <v/>
      </c>
      <c r="Z11" s="42">
        <f>ROUND(Y11*Z$6/12,2)</f>
        <v/>
      </c>
      <c r="AA11" s="42">
        <f>MIN(AA$6,Y11+Z11)</f>
        <v/>
      </c>
      <c r="AB11" s="42">
        <f>MAX(0,MIN(Y11+Z11-AA11,X11))</f>
        <v/>
      </c>
      <c r="AC11" s="42">
        <f>ROUND(Y11+Z11-AA11-AB11,2)</f>
        <v/>
      </c>
      <c r="AD11">
        <f>X11-AB11</f>
        <v/>
      </c>
      <c r="AE11" s="42">
        <f>AI10</f>
        <v/>
      </c>
      <c r="AF11" s="42">
        <f>ROUND(AE11*AF$6/12,2)</f>
        <v/>
      </c>
      <c r="AG11" s="42">
        <f>MIN(AG$6,AE11+AF11)</f>
        <v/>
      </c>
      <c r="AH11" s="42">
        <f>MAX(0,MIN(AE11+AF11-AG11,AD11))</f>
        <v/>
      </c>
      <c r="AI11" s="42">
        <f>ROUND(AE11+AF11-AG11-AH11,2)</f>
        <v/>
      </c>
      <c r="AJ11">
        <f>AD11-AH11</f>
        <v/>
      </c>
      <c r="AK11" s="42">
        <f>AO10</f>
        <v/>
      </c>
      <c r="AL11" s="42">
        <f>ROUND(AK11*AL$6/12,2)</f>
        <v/>
      </c>
      <c r="AM11" s="42">
        <f>MIN(AM$6,AK11+AL11)</f>
        <v/>
      </c>
      <c r="AN11" s="42">
        <f>MAX(0,MIN(AK11+AL11-AM11,AJ11))</f>
        <v/>
      </c>
      <c r="AO11" s="42">
        <f>ROUND(AK11+AL11-AM11-AN11,2)</f>
        <v/>
      </c>
      <c r="AP11">
        <f>AJ11-AN11</f>
        <v/>
      </c>
      <c r="AQ11" s="42">
        <f>AU10</f>
        <v/>
      </c>
      <c r="AR11" s="42">
        <f>ROUND(AQ11*AR$6/12,2)</f>
        <v/>
      </c>
      <c r="AS11" s="42">
        <f>MIN(AS$6,AQ11+AR11)</f>
        <v/>
      </c>
      <c r="AT11" s="42">
        <f>MAX(0,MIN(AQ11+AR11-AS11,AP11))</f>
        <v/>
      </c>
      <c r="AU11" s="42">
        <f>ROUND(AQ11+AR11-AS11-AT11,2)</f>
        <v/>
      </c>
      <c r="AV11">
        <f>AP11-AT11</f>
        <v/>
      </c>
      <c r="AW11" s="42">
        <f>BA10</f>
        <v/>
      </c>
      <c r="AX11" s="42">
        <f>ROUND(AW11*AX$6/12,2)</f>
        <v/>
      </c>
      <c r="AY11" s="42">
        <f>MIN(AY$6,AW11+AX11)</f>
        <v/>
      </c>
      <c r="AZ11" s="42">
        <f>MAX(0,MIN(AW11+AX11-AY11,AV11))</f>
        <v/>
      </c>
      <c r="BA11" s="42">
        <f>ROUND(AW11+AX11-AY11-AZ11,2)</f>
        <v/>
      </c>
      <c r="BB11">
        <f>AV11-AZ11</f>
        <v/>
      </c>
      <c r="BC11" s="42">
        <f>BG10</f>
        <v/>
      </c>
      <c r="BD11" s="42">
        <f>ROUND(BC11*BD$6/12,2)</f>
        <v/>
      </c>
      <c r="BE11" s="42">
        <f>MIN(BE$6,BC11+BD11)</f>
        <v/>
      </c>
      <c r="BF11" s="42">
        <f>MAX(0,MIN(BC11+BD11-BE11,BB11))</f>
        <v/>
      </c>
      <c r="BG11" s="42">
        <f>ROUND(BC11+BD11-BE11-BF11,2)</f>
        <v/>
      </c>
      <c r="BH11">
        <f>BB11-BF11</f>
        <v/>
      </c>
      <c r="BI11" s="42">
        <f>BM10</f>
        <v/>
      </c>
      <c r="BJ11" s="42">
        <f>ROUND(BI11*BJ$6/12,2)</f>
        <v/>
      </c>
      <c r="BK11" s="42">
        <f>MIN(BK$6,BI11+BJ11)</f>
        <v/>
      </c>
      <c r="BL11" s="42">
        <f>MAX(0,MIN(BI11+BJ11-BK11,BH11))</f>
        <v/>
      </c>
      <c r="BM11" s="42">
        <f>ROUND(BI11+BJ11-BK11-BL11,2)</f>
        <v/>
      </c>
      <c r="BN11">
        <f>BH11-BL11</f>
        <v/>
      </c>
    </row>
    <row r="12">
      <c r="A12" s="39" t="n">
        <v>5</v>
      </c>
      <c r="B12" s="40">
        <f>EDATE('My Debts'!$C$6,A12-1)</f>
        <v/>
      </c>
      <c r="C12" s="41">
        <f>K12+Q12+W12+AC12+AI12+AO12+AU12+BA12+BG12+BM12</f>
        <v/>
      </c>
      <c r="D12" s="42">
        <f>I12+O12+U12+AA12+AG12+AM12+AS12+AY12+BE12+BK12+J12+P12+V12+AB12+AH12+AN12+AT12+AZ12+BF12+BL12</f>
        <v/>
      </c>
      <c r="E12" s="42">
        <f>H12+N12+T12+Z12+AF12+AL12+AR12+AX12+BD12+BJ12</f>
        <v/>
      </c>
      <c r="F12" t="n">
        <v>0</v>
      </c>
      <c r="G12" s="42">
        <f>K11</f>
        <v/>
      </c>
      <c r="H12" s="42">
        <f>ROUND(G12*H$6/12,2)</f>
        <v/>
      </c>
      <c r="I12" s="42">
        <f>MIN(I$6,G12+H12)</f>
        <v/>
      </c>
      <c r="J12" s="42">
        <f>MAX(0,MIN(G12+H12-I12,$F12))</f>
        <v/>
      </c>
      <c r="K12" s="42">
        <f>ROUND(G12+H12-I12-J12,2)</f>
        <v/>
      </c>
      <c r="L12">
        <f>$F12-J12</f>
        <v/>
      </c>
      <c r="M12" s="42">
        <f>Q11</f>
        <v/>
      </c>
      <c r="N12" s="42">
        <f>ROUND(M12*N$6/12,2)</f>
        <v/>
      </c>
      <c r="O12" s="42">
        <f>MIN(O$6,M12+N12)</f>
        <v/>
      </c>
      <c r="P12" s="42">
        <f>MAX(0,MIN(M12+N12-O12,L12))</f>
        <v/>
      </c>
      <c r="Q12" s="42">
        <f>ROUND(M12+N12-O12-P12,2)</f>
        <v/>
      </c>
      <c r="R12">
        <f>L12-P12</f>
        <v/>
      </c>
      <c r="S12" s="42">
        <f>W11</f>
        <v/>
      </c>
      <c r="T12" s="42">
        <f>ROUND(S12*T$6/12,2)</f>
        <v/>
      </c>
      <c r="U12" s="42">
        <f>MIN(U$6,S12+T12)</f>
        <v/>
      </c>
      <c r="V12" s="42">
        <f>MAX(0,MIN(S12+T12-U12,R12))</f>
        <v/>
      </c>
      <c r="W12" s="42">
        <f>ROUND(S12+T12-U12-V12,2)</f>
        <v/>
      </c>
      <c r="X12">
        <f>R12-V12</f>
        <v/>
      </c>
      <c r="Y12" s="42">
        <f>AC11</f>
        <v/>
      </c>
      <c r="Z12" s="42">
        <f>ROUND(Y12*Z$6/12,2)</f>
        <v/>
      </c>
      <c r="AA12" s="42">
        <f>MIN(AA$6,Y12+Z12)</f>
        <v/>
      </c>
      <c r="AB12" s="42">
        <f>MAX(0,MIN(Y12+Z12-AA12,X12))</f>
        <v/>
      </c>
      <c r="AC12" s="42">
        <f>ROUND(Y12+Z12-AA12-AB12,2)</f>
        <v/>
      </c>
      <c r="AD12">
        <f>X12-AB12</f>
        <v/>
      </c>
      <c r="AE12" s="42">
        <f>AI11</f>
        <v/>
      </c>
      <c r="AF12" s="42">
        <f>ROUND(AE12*AF$6/12,2)</f>
        <v/>
      </c>
      <c r="AG12" s="42">
        <f>MIN(AG$6,AE12+AF12)</f>
        <v/>
      </c>
      <c r="AH12" s="42">
        <f>MAX(0,MIN(AE12+AF12-AG12,AD12))</f>
        <v/>
      </c>
      <c r="AI12" s="42">
        <f>ROUND(AE12+AF12-AG12-AH12,2)</f>
        <v/>
      </c>
      <c r="AJ12">
        <f>AD12-AH12</f>
        <v/>
      </c>
      <c r="AK12" s="42">
        <f>AO11</f>
        <v/>
      </c>
      <c r="AL12" s="42">
        <f>ROUND(AK12*AL$6/12,2)</f>
        <v/>
      </c>
      <c r="AM12" s="42">
        <f>MIN(AM$6,AK12+AL12)</f>
        <v/>
      </c>
      <c r="AN12" s="42">
        <f>MAX(0,MIN(AK12+AL12-AM12,AJ12))</f>
        <v/>
      </c>
      <c r="AO12" s="42">
        <f>ROUND(AK12+AL12-AM12-AN12,2)</f>
        <v/>
      </c>
      <c r="AP12">
        <f>AJ12-AN12</f>
        <v/>
      </c>
      <c r="AQ12" s="42">
        <f>AU11</f>
        <v/>
      </c>
      <c r="AR12" s="42">
        <f>ROUND(AQ12*AR$6/12,2)</f>
        <v/>
      </c>
      <c r="AS12" s="42">
        <f>MIN(AS$6,AQ12+AR12)</f>
        <v/>
      </c>
      <c r="AT12" s="42">
        <f>MAX(0,MIN(AQ12+AR12-AS12,AP12))</f>
        <v/>
      </c>
      <c r="AU12" s="42">
        <f>ROUND(AQ12+AR12-AS12-AT12,2)</f>
        <v/>
      </c>
      <c r="AV12">
        <f>AP12-AT12</f>
        <v/>
      </c>
      <c r="AW12" s="42">
        <f>BA11</f>
        <v/>
      </c>
      <c r="AX12" s="42">
        <f>ROUND(AW12*AX$6/12,2)</f>
        <v/>
      </c>
      <c r="AY12" s="42">
        <f>MIN(AY$6,AW12+AX12)</f>
        <v/>
      </c>
      <c r="AZ12" s="42">
        <f>MAX(0,MIN(AW12+AX12-AY12,AV12))</f>
        <v/>
      </c>
      <c r="BA12" s="42">
        <f>ROUND(AW12+AX12-AY12-AZ12,2)</f>
        <v/>
      </c>
      <c r="BB12">
        <f>AV12-AZ12</f>
        <v/>
      </c>
      <c r="BC12" s="42">
        <f>BG11</f>
        <v/>
      </c>
      <c r="BD12" s="42">
        <f>ROUND(BC12*BD$6/12,2)</f>
        <v/>
      </c>
      <c r="BE12" s="42">
        <f>MIN(BE$6,BC12+BD12)</f>
        <v/>
      </c>
      <c r="BF12" s="42">
        <f>MAX(0,MIN(BC12+BD12-BE12,BB12))</f>
        <v/>
      </c>
      <c r="BG12" s="42">
        <f>ROUND(BC12+BD12-BE12-BF12,2)</f>
        <v/>
      </c>
      <c r="BH12">
        <f>BB12-BF12</f>
        <v/>
      </c>
      <c r="BI12" s="42">
        <f>BM11</f>
        <v/>
      </c>
      <c r="BJ12" s="42">
        <f>ROUND(BI12*BJ$6/12,2)</f>
        <v/>
      </c>
      <c r="BK12" s="42">
        <f>MIN(BK$6,BI12+BJ12)</f>
        <v/>
      </c>
      <c r="BL12" s="42">
        <f>MAX(0,MIN(BI12+BJ12-BK12,BH12))</f>
        <v/>
      </c>
      <c r="BM12" s="42">
        <f>ROUND(BI12+BJ12-BK12-BL12,2)</f>
        <v/>
      </c>
      <c r="BN12">
        <f>BH12-BL12</f>
        <v/>
      </c>
    </row>
    <row r="13">
      <c r="A13" s="43" t="n">
        <v>6</v>
      </c>
      <c r="B13" s="44">
        <f>EDATE('My Debts'!$C$6,A13-1)</f>
        <v/>
      </c>
      <c r="C13" s="45">
        <f>K13+Q13+W13+AC13+AI13+AO13+AU13+BA13+BG13+BM13</f>
        <v/>
      </c>
      <c r="D13" s="46">
        <f>I13+O13+U13+AA13+AG13+AM13+AS13+AY13+BE13+BK13+J13+P13+V13+AB13+AH13+AN13+AT13+AZ13+BF13+BL13</f>
        <v/>
      </c>
      <c r="E13" s="46">
        <f>H13+N13+T13+Z13+AF13+AL13+AR13+AX13+BD13+BJ13</f>
        <v/>
      </c>
      <c r="F13" t="n">
        <v>0</v>
      </c>
      <c r="G13" s="42">
        <f>K12</f>
        <v/>
      </c>
      <c r="H13" s="42">
        <f>ROUND(G13*H$6/12,2)</f>
        <v/>
      </c>
      <c r="I13" s="42">
        <f>MIN(I$6,G13+H13)</f>
        <v/>
      </c>
      <c r="J13" s="42">
        <f>MAX(0,MIN(G13+H13-I13,$F13))</f>
        <v/>
      </c>
      <c r="K13" s="42">
        <f>ROUND(G13+H13-I13-J13,2)</f>
        <v/>
      </c>
      <c r="L13">
        <f>$F13-J13</f>
        <v/>
      </c>
      <c r="M13" s="42">
        <f>Q12</f>
        <v/>
      </c>
      <c r="N13" s="42">
        <f>ROUND(M13*N$6/12,2)</f>
        <v/>
      </c>
      <c r="O13" s="42">
        <f>MIN(O$6,M13+N13)</f>
        <v/>
      </c>
      <c r="P13" s="42">
        <f>MAX(0,MIN(M13+N13-O13,L13))</f>
        <v/>
      </c>
      <c r="Q13" s="42">
        <f>ROUND(M13+N13-O13-P13,2)</f>
        <v/>
      </c>
      <c r="R13">
        <f>L13-P13</f>
        <v/>
      </c>
      <c r="S13" s="42">
        <f>W12</f>
        <v/>
      </c>
      <c r="T13" s="42">
        <f>ROUND(S13*T$6/12,2)</f>
        <v/>
      </c>
      <c r="U13" s="42">
        <f>MIN(U$6,S13+T13)</f>
        <v/>
      </c>
      <c r="V13" s="42">
        <f>MAX(0,MIN(S13+T13-U13,R13))</f>
        <v/>
      </c>
      <c r="W13" s="42">
        <f>ROUND(S13+T13-U13-V13,2)</f>
        <v/>
      </c>
      <c r="X13">
        <f>R13-V13</f>
        <v/>
      </c>
      <c r="Y13" s="42">
        <f>AC12</f>
        <v/>
      </c>
      <c r="Z13" s="42">
        <f>ROUND(Y13*Z$6/12,2)</f>
        <v/>
      </c>
      <c r="AA13" s="42">
        <f>MIN(AA$6,Y13+Z13)</f>
        <v/>
      </c>
      <c r="AB13" s="42">
        <f>MAX(0,MIN(Y13+Z13-AA13,X13))</f>
        <v/>
      </c>
      <c r="AC13" s="42">
        <f>ROUND(Y13+Z13-AA13-AB13,2)</f>
        <v/>
      </c>
      <c r="AD13">
        <f>X13-AB13</f>
        <v/>
      </c>
      <c r="AE13" s="42">
        <f>AI12</f>
        <v/>
      </c>
      <c r="AF13" s="42">
        <f>ROUND(AE13*AF$6/12,2)</f>
        <v/>
      </c>
      <c r="AG13" s="42">
        <f>MIN(AG$6,AE13+AF13)</f>
        <v/>
      </c>
      <c r="AH13" s="42">
        <f>MAX(0,MIN(AE13+AF13-AG13,AD13))</f>
        <v/>
      </c>
      <c r="AI13" s="42">
        <f>ROUND(AE13+AF13-AG13-AH13,2)</f>
        <v/>
      </c>
      <c r="AJ13">
        <f>AD13-AH13</f>
        <v/>
      </c>
      <c r="AK13" s="42">
        <f>AO12</f>
        <v/>
      </c>
      <c r="AL13" s="42">
        <f>ROUND(AK13*AL$6/12,2)</f>
        <v/>
      </c>
      <c r="AM13" s="42">
        <f>MIN(AM$6,AK13+AL13)</f>
        <v/>
      </c>
      <c r="AN13" s="42">
        <f>MAX(0,MIN(AK13+AL13-AM13,AJ13))</f>
        <v/>
      </c>
      <c r="AO13" s="42">
        <f>ROUND(AK13+AL13-AM13-AN13,2)</f>
        <v/>
      </c>
      <c r="AP13">
        <f>AJ13-AN13</f>
        <v/>
      </c>
      <c r="AQ13" s="42">
        <f>AU12</f>
        <v/>
      </c>
      <c r="AR13" s="42">
        <f>ROUND(AQ13*AR$6/12,2)</f>
        <v/>
      </c>
      <c r="AS13" s="42">
        <f>MIN(AS$6,AQ13+AR13)</f>
        <v/>
      </c>
      <c r="AT13" s="42">
        <f>MAX(0,MIN(AQ13+AR13-AS13,AP13))</f>
        <v/>
      </c>
      <c r="AU13" s="42">
        <f>ROUND(AQ13+AR13-AS13-AT13,2)</f>
        <v/>
      </c>
      <c r="AV13">
        <f>AP13-AT13</f>
        <v/>
      </c>
      <c r="AW13" s="42">
        <f>BA12</f>
        <v/>
      </c>
      <c r="AX13" s="42">
        <f>ROUND(AW13*AX$6/12,2)</f>
        <v/>
      </c>
      <c r="AY13" s="42">
        <f>MIN(AY$6,AW13+AX13)</f>
        <v/>
      </c>
      <c r="AZ13" s="42">
        <f>MAX(0,MIN(AW13+AX13-AY13,AV13))</f>
        <v/>
      </c>
      <c r="BA13" s="42">
        <f>ROUND(AW13+AX13-AY13-AZ13,2)</f>
        <v/>
      </c>
      <c r="BB13">
        <f>AV13-AZ13</f>
        <v/>
      </c>
      <c r="BC13" s="42">
        <f>BG12</f>
        <v/>
      </c>
      <c r="BD13" s="42">
        <f>ROUND(BC13*BD$6/12,2)</f>
        <v/>
      </c>
      <c r="BE13" s="42">
        <f>MIN(BE$6,BC13+BD13)</f>
        <v/>
      </c>
      <c r="BF13" s="42">
        <f>MAX(0,MIN(BC13+BD13-BE13,BB13))</f>
        <v/>
      </c>
      <c r="BG13" s="42">
        <f>ROUND(BC13+BD13-BE13-BF13,2)</f>
        <v/>
      </c>
      <c r="BH13">
        <f>BB13-BF13</f>
        <v/>
      </c>
      <c r="BI13" s="42">
        <f>BM12</f>
        <v/>
      </c>
      <c r="BJ13" s="42">
        <f>ROUND(BI13*BJ$6/12,2)</f>
        <v/>
      </c>
      <c r="BK13" s="42">
        <f>MIN(BK$6,BI13+BJ13)</f>
        <v/>
      </c>
      <c r="BL13" s="42">
        <f>MAX(0,MIN(BI13+BJ13-BK13,BH13))</f>
        <v/>
      </c>
      <c r="BM13" s="42">
        <f>ROUND(BI13+BJ13-BK13-BL13,2)</f>
        <v/>
      </c>
      <c r="BN13">
        <f>BH13-BL13</f>
        <v/>
      </c>
    </row>
    <row r="14">
      <c r="A14" s="39" t="n">
        <v>7</v>
      </c>
      <c r="B14" s="40">
        <f>EDATE('My Debts'!$C$6,A14-1)</f>
        <v/>
      </c>
      <c r="C14" s="41">
        <f>K14+Q14+W14+AC14+AI14+AO14+AU14+BA14+BG14+BM14</f>
        <v/>
      </c>
      <c r="D14" s="42">
        <f>I14+O14+U14+AA14+AG14+AM14+AS14+AY14+BE14+BK14+J14+P14+V14+AB14+AH14+AN14+AT14+AZ14+BF14+BL14</f>
        <v/>
      </c>
      <c r="E14" s="42">
        <f>H14+N14+T14+Z14+AF14+AL14+AR14+AX14+BD14+BJ14</f>
        <v/>
      </c>
      <c r="F14" t="n">
        <v>0</v>
      </c>
      <c r="G14" s="42">
        <f>K13</f>
        <v/>
      </c>
      <c r="H14" s="42">
        <f>ROUND(G14*H$6/12,2)</f>
        <v/>
      </c>
      <c r="I14" s="42">
        <f>MIN(I$6,G14+H14)</f>
        <v/>
      </c>
      <c r="J14" s="42">
        <f>MAX(0,MIN(G14+H14-I14,$F14))</f>
        <v/>
      </c>
      <c r="K14" s="42">
        <f>ROUND(G14+H14-I14-J14,2)</f>
        <v/>
      </c>
      <c r="L14">
        <f>$F14-J14</f>
        <v/>
      </c>
      <c r="M14" s="42">
        <f>Q13</f>
        <v/>
      </c>
      <c r="N14" s="42">
        <f>ROUND(M14*N$6/12,2)</f>
        <v/>
      </c>
      <c r="O14" s="42">
        <f>MIN(O$6,M14+N14)</f>
        <v/>
      </c>
      <c r="P14" s="42">
        <f>MAX(0,MIN(M14+N14-O14,L14))</f>
        <v/>
      </c>
      <c r="Q14" s="42">
        <f>ROUND(M14+N14-O14-P14,2)</f>
        <v/>
      </c>
      <c r="R14">
        <f>L14-P14</f>
        <v/>
      </c>
      <c r="S14" s="42">
        <f>W13</f>
        <v/>
      </c>
      <c r="T14" s="42">
        <f>ROUND(S14*T$6/12,2)</f>
        <v/>
      </c>
      <c r="U14" s="42">
        <f>MIN(U$6,S14+T14)</f>
        <v/>
      </c>
      <c r="V14" s="42">
        <f>MAX(0,MIN(S14+T14-U14,R14))</f>
        <v/>
      </c>
      <c r="W14" s="42">
        <f>ROUND(S14+T14-U14-V14,2)</f>
        <v/>
      </c>
      <c r="X14">
        <f>R14-V14</f>
        <v/>
      </c>
      <c r="Y14" s="42">
        <f>AC13</f>
        <v/>
      </c>
      <c r="Z14" s="42">
        <f>ROUND(Y14*Z$6/12,2)</f>
        <v/>
      </c>
      <c r="AA14" s="42">
        <f>MIN(AA$6,Y14+Z14)</f>
        <v/>
      </c>
      <c r="AB14" s="42">
        <f>MAX(0,MIN(Y14+Z14-AA14,X14))</f>
        <v/>
      </c>
      <c r="AC14" s="42">
        <f>ROUND(Y14+Z14-AA14-AB14,2)</f>
        <v/>
      </c>
      <c r="AD14">
        <f>X14-AB14</f>
        <v/>
      </c>
      <c r="AE14" s="42">
        <f>AI13</f>
        <v/>
      </c>
      <c r="AF14" s="42">
        <f>ROUND(AE14*AF$6/12,2)</f>
        <v/>
      </c>
      <c r="AG14" s="42">
        <f>MIN(AG$6,AE14+AF14)</f>
        <v/>
      </c>
      <c r="AH14" s="42">
        <f>MAX(0,MIN(AE14+AF14-AG14,AD14))</f>
        <v/>
      </c>
      <c r="AI14" s="42">
        <f>ROUND(AE14+AF14-AG14-AH14,2)</f>
        <v/>
      </c>
      <c r="AJ14">
        <f>AD14-AH14</f>
        <v/>
      </c>
      <c r="AK14" s="42">
        <f>AO13</f>
        <v/>
      </c>
      <c r="AL14" s="42">
        <f>ROUND(AK14*AL$6/12,2)</f>
        <v/>
      </c>
      <c r="AM14" s="42">
        <f>MIN(AM$6,AK14+AL14)</f>
        <v/>
      </c>
      <c r="AN14" s="42">
        <f>MAX(0,MIN(AK14+AL14-AM14,AJ14))</f>
        <v/>
      </c>
      <c r="AO14" s="42">
        <f>ROUND(AK14+AL14-AM14-AN14,2)</f>
        <v/>
      </c>
      <c r="AP14">
        <f>AJ14-AN14</f>
        <v/>
      </c>
      <c r="AQ14" s="42">
        <f>AU13</f>
        <v/>
      </c>
      <c r="AR14" s="42">
        <f>ROUND(AQ14*AR$6/12,2)</f>
        <v/>
      </c>
      <c r="AS14" s="42">
        <f>MIN(AS$6,AQ14+AR14)</f>
        <v/>
      </c>
      <c r="AT14" s="42">
        <f>MAX(0,MIN(AQ14+AR14-AS14,AP14))</f>
        <v/>
      </c>
      <c r="AU14" s="42">
        <f>ROUND(AQ14+AR14-AS14-AT14,2)</f>
        <v/>
      </c>
      <c r="AV14">
        <f>AP14-AT14</f>
        <v/>
      </c>
      <c r="AW14" s="42">
        <f>BA13</f>
        <v/>
      </c>
      <c r="AX14" s="42">
        <f>ROUND(AW14*AX$6/12,2)</f>
        <v/>
      </c>
      <c r="AY14" s="42">
        <f>MIN(AY$6,AW14+AX14)</f>
        <v/>
      </c>
      <c r="AZ14" s="42">
        <f>MAX(0,MIN(AW14+AX14-AY14,AV14))</f>
        <v/>
      </c>
      <c r="BA14" s="42">
        <f>ROUND(AW14+AX14-AY14-AZ14,2)</f>
        <v/>
      </c>
      <c r="BB14">
        <f>AV14-AZ14</f>
        <v/>
      </c>
      <c r="BC14" s="42">
        <f>BG13</f>
        <v/>
      </c>
      <c r="BD14" s="42">
        <f>ROUND(BC14*BD$6/12,2)</f>
        <v/>
      </c>
      <c r="BE14" s="42">
        <f>MIN(BE$6,BC14+BD14)</f>
        <v/>
      </c>
      <c r="BF14" s="42">
        <f>MAX(0,MIN(BC14+BD14-BE14,BB14))</f>
        <v/>
      </c>
      <c r="BG14" s="42">
        <f>ROUND(BC14+BD14-BE14-BF14,2)</f>
        <v/>
      </c>
      <c r="BH14">
        <f>BB14-BF14</f>
        <v/>
      </c>
      <c r="BI14" s="42">
        <f>BM13</f>
        <v/>
      </c>
      <c r="BJ14" s="42">
        <f>ROUND(BI14*BJ$6/12,2)</f>
        <v/>
      </c>
      <c r="BK14" s="42">
        <f>MIN(BK$6,BI14+BJ14)</f>
        <v/>
      </c>
      <c r="BL14" s="42">
        <f>MAX(0,MIN(BI14+BJ14-BK14,BH14))</f>
        <v/>
      </c>
      <c r="BM14" s="42">
        <f>ROUND(BI14+BJ14-BK14-BL14,2)</f>
        <v/>
      </c>
      <c r="BN14">
        <f>BH14-BL14</f>
        <v/>
      </c>
    </row>
    <row r="15">
      <c r="A15" s="43" t="n">
        <v>8</v>
      </c>
      <c r="B15" s="44">
        <f>EDATE('My Debts'!$C$6,A15-1)</f>
        <v/>
      </c>
      <c r="C15" s="45">
        <f>K15+Q15+W15+AC15+AI15+AO15+AU15+BA15+BG15+BM15</f>
        <v/>
      </c>
      <c r="D15" s="46">
        <f>I15+O15+U15+AA15+AG15+AM15+AS15+AY15+BE15+BK15+J15+P15+V15+AB15+AH15+AN15+AT15+AZ15+BF15+BL15</f>
        <v/>
      </c>
      <c r="E15" s="46">
        <f>H15+N15+T15+Z15+AF15+AL15+AR15+AX15+BD15+BJ15</f>
        <v/>
      </c>
      <c r="F15" t="n">
        <v>0</v>
      </c>
      <c r="G15" s="42">
        <f>K14</f>
        <v/>
      </c>
      <c r="H15" s="42">
        <f>ROUND(G15*H$6/12,2)</f>
        <v/>
      </c>
      <c r="I15" s="42">
        <f>MIN(I$6,G15+H15)</f>
        <v/>
      </c>
      <c r="J15" s="42">
        <f>MAX(0,MIN(G15+H15-I15,$F15))</f>
        <v/>
      </c>
      <c r="K15" s="42">
        <f>ROUND(G15+H15-I15-J15,2)</f>
        <v/>
      </c>
      <c r="L15">
        <f>$F15-J15</f>
        <v/>
      </c>
      <c r="M15" s="42">
        <f>Q14</f>
        <v/>
      </c>
      <c r="N15" s="42">
        <f>ROUND(M15*N$6/12,2)</f>
        <v/>
      </c>
      <c r="O15" s="42">
        <f>MIN(O$6,M15+N15)</f>
        <v/>
      </c>
      <c r="P15" s="42">
        <f>MAX(0,MIN(M15+N15-O15,L15))</f>
        <v/>
      </c>
      <c r="Q15" s="42">
        <f>ROUND(M15+N15-O15-P15,2)</f>
        <v/>
      </c>
      <c r="R15">
        <f>L15-P15</f>
        <v/>
      </c>
      <c r="S15" s="42">
        <f>W14</f>
        <v/>
      </c>
      <c r="T15" s="42">
        <f>ROUND(S15*T$6/12,2)</f>
        <v/>
      </c>
      <c r="U15" s="42">
        <f>MIN(U$6,S15+T15)</f>
        <v/>
      </c>
      <c r="V15" s="42">
        <f>MAX(0,MIN(S15+T15-U15,R15))</f>
        <v/>
      </c>
      <c r="W15" s="42">
        <f>ROUND(S15+T15-U15-V15,2)</f>
        <v/>
      </c>
      <c r="X15">
        <f>R15-V15</f>
        <v/>
      </c>
      <c r="Y15" s="42">
        <f>AC14</f>
        <v/>
      </c>
      <c r="Z15" s="42">
        <f>ROUND(Y15*Z$6/12,2)</f>
        <v/>
      </c>
      <c r="AA15" s="42">
        <f>MIN(AA$6,Y15+Z15)</f>
        <v/>
      </c>
      <c r="AB15" s="42">
        <f>MAX(0,MIN(Y15+Z15-AA15,X15))</f>
        <v/>
      </c>
      <c r="AC15" s="42">
        <f>ROUND(Y15+Z15-AA15-AB15,2)</f>
        <v/>
      </c>
      <c r="AD15">
        <f>X15-AB15</f>
        <v/>
      </c>
      <c r="AE15" s="42">
        <f>AI14</f>
        <v/>
      </c>
      <c r="AF15" s="42">
        <f>ROUND(AE15*AF$6/12,2)</f>
        <v/>
      </c>
      <c r="AG15" s="42">
        <f>MIN(AG$6,AE15+AF15)</f>
        <v/>
      </c>
      <c r="AH15" s="42">
        <f>MAX(0,MIN(AE15+AF15-AG15,AD15))</f>
        <v/>
      </c>
      <c r="AI15" s="42">
        <f>ROUND(AE15+AF15-AG15-AH15,2)</f>
        <v/>
      </c>
      <c r="AJ15">
        <f>AD15-AH15</f>
        <v/>
      </c>
      <c r="AK15" s="42">
        <f>AO14</f>
        <v/>
      </c>
      <c r="AL15" s="42">
        <f>ROUND(AK15*AL$6/12,2)</f>
        <v/>
      </c>
      <c r="AM15" s="42">
        <f>MIN(AM$6,AK15+AL15)</f>
        <v/>
      </c>
      <c r="AN15" s="42">
        <f>MAX(0,MIN(AK15+AL15-AM15,AJ15))</f>
        <v/>
      </c>
      <c r="AO15" s="42">
        <f>ROUND(AK15+AL15-AM15-AN15,2)</f>
        <v/>
      </c>
      <c r="AP15">
        <f>AJ15-AN15</f>
        <v/>
      </c>
      <c r="AQ15" s="42">
        <f>AU14</f>
        <v/>
      </c>
      <c r="AR15" s="42">
        <f>ROUND(AQ15*AR$6/12,2)</f>
        <v/>
      </c>
      <c r="AS15" s="42">
        <f>MIN(AS$6,AQ15+AR15)</f>
        <v/>
      </c>
      <c r="AT15" s="42">
        <f>MAX(0,MIN(AQ15+AR15-AS15,AP15))</f>
        <v/>
      </c>
      <c r="AU15" s="42">
        <f>ROUND(AQ15+AR15-AS15-AT15,2)</f>
        <v/>
      </c>
      <c r="AV15">
        <f>AP15-AT15</f>
        <v/>
      </c>
      <c r="AW15" s="42">
        <f>BA14</f>
        <v/>
      </c>
      <c r="AX15" s="42">
        <f>ROUND(AW15*AX$6/12,2)</f>
        <v/>
      </c>
      <c r="AY15" s="42">
        <f>MIN(AY$6,AW15+AX15)</f>
        <v/>
      </c>
      <c r="AZ15" s="42">
        <f>MAX(0,MIN(AW15+AX15-AY15,AV15))</f>
        <v/>
      </c>
      <c r="BA15" s="42">
        <f>ROUND(AW15+AX15-AY15-AZ15,2)</f>
        <v/>
      </c>
      <c r="BB15">
        <f>AV15-AZ15</f>
        <v/>
      </c>
      <c r="BC15" s="42">
        <f>BG14</f>
        <v/>
      </c>
      <c r="BD15" s="42">
        <f>ROUND(BC15*BD$6/12,2)</f>
        <v/>
      </c>
      <c r="BE15" s="42">
        <f>MIN(BE$6,BC15+BD15)</f>
        <v/>
      </c>
      <c r="BF15" s="42">
        <f>MAX(0,MIN(BC15+BD15-BE15,BB15))</f>
        <v/>
      </c>
      <c r="BG15" s="42">
        <f>ROUND(BC15+BD15-BE15-BF15,2)</f>
        <v/>
      </c>
      <c r="BH15">
        <f>BB15-BF15</f>
        <v/>
      </c>
      <c r="BI15" s="42">
        <f>BM14</f>
        <v/>
      </c>
      <c r="BJ15" s="42">
        <f>ROUND(BI15*BJ$6/12,2)</f>
        <v/>
      </c>
      <c r="BK15" s="42">
        <f>MIN(BK$6,BI15+BJ15)</f>
        <v/>
      </c>
      <c r="BL15" s="42">
        <f>MAX(0,MIN(BI15+BJ15-BK15,BH15))</f>
        <v/>
      </c>
      <c r="BM15" s="42">
        <f>ROUND(BI15+BJ15-BK15-BL15,2)</f>
        <v/>
      </c>
      <c r="BN15">
        <f>BH15-BL15</f>
        <v/>
      </c>
    </row>
    <row r="16">
      <c r="A16" s="39" t="n">
        <v>9</v>
      </c>
      <c r="B16" s="40">
        <f>EDATE('My Debts'!$C$6,A16-1)</f>
        <v/>
      </c>
      <c r="C16" s="41">
        <f>K16+Q16+W16+AC16+AI16+AO16+AU16+BA16+BG16+BM16</f>
        <v/>
      </c>
      <c r="D16" s="42">
        <f>I16+O16+U16+AA16+AG16+AM16+AS16+AY16+BE16+BK16+J16+P16+V16+AB16+AH16+AN16+AT16+AZ16+BF16+BL16</f>
        <v/>
      </c>
      <c r="E16" s="42">
        <f>H16+N16+T16+Z16+AF16+AL16+AR16+AX16+BD16+BJ16</f>
        <v/>
      </c>
      <c r="F16" t="n">
        <v>0</v>
      </c>
      <c r="G16" s="42">
        <f>K15</f>
        <v/>
      </c>
      <c r="H16" s="42">
        <f>ROUND(G16*H$6/12,2)</f>
        <v/>
      </c>
      <c r="I16" s="42">
        <f>MIN(I$6,G16+H16)</f>
        <v/>
      </c>
      <c r="J16" s="42">
        <f>MAX(0,MIN(G16+H16-I16,$F16))</f>
        <v/>
      </c>
      <c r="K16" s="42">
        <f>ROUND(G16+H16-I16-J16,2)</f>
        <v/>
      </c>
      <c r="L16">
        <f>$F16-J16</f>
        <v/>
      </c>
      <c r="M16" s="42">
        <f>Q15</f>
        <v/>
      </c>
      <c r="N16" s="42">
        <f>ROUND(M16*N$6/12,2)</f>
        <v/>
      </c>
      <c r="O16" s="42">
        <f>MIN(O$6,M16+N16)</f>
        <v/>
      </c>
      <c r="P16" s="42">
        <f>MAX(0,MIN(M16+N16-O16,L16))</f>
        <v/>
      </c>
      <c r="Q16" s="42">
        <f>ROUND(M16+N16-O16-P16,2)</f>
        <v/>
      </c>
      <c r="R16">
        <f>L16-P16</f>
        <v/>
      </c>
      <c r="S16" s="42">
        <f>W15</f>
        <v/>
      </c>
      <c r="T16" s="42">
        <f>ROUND(S16*T$6/12,2)</f>
        <v/>
      </c>
      <c r="U16" s="42">
        <f>MIN(U$6,S16+T16)</f>
        <v/>
      </c>
      <c r="V16" s="42">
        <f>MAX(0,MIN(S16+T16-U16,R16))</f>
        <v/>
      </c>
      <c r="W16" s="42">
        <f>ROUND(S16+T16-U16-V16,2)</f>
        <v/>
      </c>
      <c r="X16">
        <f>R16-V16</f>
        <v/>
      </c>
      <c r="Y16" s="42">
        <f>AC15</f>
        <v/>
      </c>
      <c r="Z16" s="42">
        <f>ROUND(Y16*Z$6/12,2)</f>
        <v/>
      </c>
      <c r="AA16" s="42">
        <f>MIN(AA$6,Y16+Z16)</f>
        <v/>
      </c>
      <c r="AB16" s="42">
        <f>MAX(0,MIN(Y16+Z16-AA16,X16))</f>
        <v/>
      </c>
      <c r="AC16" s="42">
        <f>ROUND(Y16+Z16-AA16-AB16,2)</f>
        <v/>
      </c>
      <c r="AD16">
        <f>X16-AB16</f>
        <v/>
      </c>
      <c r="AE16" s="42">
        <f>AI15</f>
        <v/>
      </c>
      <c r="AF16" s="42">
        <f>ROUND(AE16*AF$6/12,2)</f>
        <v/>
      </c>
      <c r="AG16" s="42">
        <f>MIN(AG$6,AE16+AF16)</f>
        <v/>
      </c>
      <c r="AH16" s="42">
        <f>MAX(0,MIN(AE16+AF16-AG16,AD16))</f>
        <v/>
      </c>
      <c r="AI16" s="42">
        <f>ROUND(AE16+AF16-AG16-AH16,2)</f>
        <v/>
      </c>
      <c r="AJ16">
        <f>AD16-AH16</f>
        <v/>
      </c>
      <c r="AK16" s="42">
        <f>AO15</f>
        <v/>
      </c>
      <c r="AL16" s="42">
        <f>ROUND(AK16*AL$6/12,2)</f>
        <v/>
      </c>
      <c r="AM16" s="42">
        <f>MIN(AM$6,AK16+AL16)</f>
        <v/>
      </c>
      <c r="AN16" s="42">
        <f>MAX(0,MIN(AK16+AL16-AM16,AJ16))</f>
        <v/>
      </c>
      <c r="AO16" s="42">
        <f>ROUND(AK16+AL16-AM16-AN16,2)</f>
        <v/>
      </c>
      <c r="AP16">
        <f>AJ16-AN16</f>
        <v/>
      </c>
      <c r="AQ16" s="42">
        <f>AU15</f>
        <v/>
      </c>
      <c r="AR16" s="42">
        <f>ROUND(AQ16*AR$6/12,2)</f>
        <v/>
      </c>
      <c r="AS16" s="42">
        <f>MIN(AS$6,AQ16+AR16)</f>
        <v/>
      </c>
      <c r="AT16" s="42">
        <f>MAX(0,MIN(AQ16+AR16-AS16,AP16))</f>
        <v/>
      </c>
      <c r="AU16" s="42">
        <f>ROUND(AQ16+AR16-AS16-AT16,2)</f>
        <v/>
      </c>
      <c r="AV16">
        <f>AP16-AT16</f>
        <v/>
      </c>
      <c r="AW16" s="42">
        <f>BA15</f>
        <v/>
      </c>
      <c r="AX16" s="42">
        <f>ROUND(AW16*AX$6/12,2)</f>
        <v/>
      </c>
      <c r="AY16" s="42">
        <f>MIN(AY$6,AW16+AX16)</f>
        <v/>
      </c>
      <c r="AZ16" s="42">
        <f>MAX(0,MIN(AW16+AX16-AY16,AV16))</f>
        <v/>
      </c>
      <c r="BA16" s="42">
        <f>ROUND(AW16+AX16-AY16-AZ16,2)</f>
        <v/>
      </c>
      <c r="BB16">
        <f>AV16-AZ16</f>
        <v/>
      </c>
      <c r="BC16" s="42">
        <f>BG15</f>
        <v/>
      </c>
      <c r="BD16" s="42">
        <f>ROUND(BC16*BD$6/12,2)</f>
        <v/>
      </c>
      <c r="BE16" s="42">
        <f>MIN(BE$6,BC16+BD16)</f>
        <v/>
      </c>
      <c r="BF16" s="42">
        <f>MAX(0,MIN(BC16+BD16-BE16,BB16))</f>
        <v/>
      </c>
      <c r="BG16" s="42">
        <f>ROUND(BC16+BD16-BE16-BF16,2)</f>
        <v/>
      </c>
      <c r="BH16">
        <f>BB16-BF16</f>
        <v/>
      </c>
      <c r="BI16" s="42">
        <f>BM15</f>
        <v/>
      </c>
      <c r="BJ16" s="42">
        <f>ROUND(BI16*BJ$6/12,2)</f>
        <v/>
      </c>
      <c r="BK16" s="42">
        <f>MIN(BK$6,BI16+BJ16)</f>
        <v/>
      </c>
      <c r="BL16" s="42">
        <f>MAX(0,MIN(BI16+BJ16-BK16,BH16))</f>
        <v/>
      </c>
      <c r="BM16" s="42">
        <f>ROUND(BI16+BJ16-BK16-BL16,2)</f>
        <v/>
      </c>
      <c r="BN16">
        <f>BH16-BL16</f>
        <v/>
      </c>
    </row>
    <row r="17">
      <c r="A17" s="43" t="n">
        <v>10</v>
      </c>
      <c r="B17" s="44">
        <f>EDATE('My Debts'!$C$6,A17-1)</f>
        <v/>
      </c>
      <c r="C17" s="45">
        <f>K17+Q17+W17+AC17+AI17+AO17+AU17+BA17+BG17+BM17</f>
        <v/>
      </c>
      <c r="D17" s="46">
        <f>I17+O17+U17+AA17+AG17+AM17+AS17+AY17+BE17+BK17+J17+P17+V17+AB17+AH17+AN17+AT17+AZ17+BF17+BL17</f>
        <v/>
      </c>
      <c r="E17" s="46">
        <f>H17+N17+T17+Z17+AF17+AL17+AR17+AX17+BD17+BJ17</f>
        <v/>
      </c>
      <c r="F17" t="n">
        <v>0</v>
      </c>
      <c r="G17" s="42">
        <f>K16</f>
        <v/>
      </c>
      <c r="H17" s="42">
        <f>ROUND(G17*H$6/12,2)</f>
        <v/>
      </c>
      <c r="I17" s="42">
        <f>MIN(I$6,G17+H17)</f>
        <v/>
      </c>
      <c r="J17" s="42">
        <f>MAX(0,MIN(G17+H17-I17,$F17))</f>
        <v/>
      </c>
      <c r="K17" s="42">
        <f>ROUND(G17+H17-I17-J17,2)</f>
        <v/>
      </c>
      <c r="L17">
        <f>$F17-J17</f>
        <v/>
      </c>
      <c r="M17" s="42">
        <f>Q16</f>
        <v/>
      </c>
      <c r="N17" s="42">
        <f>ROUND(M17*N$6/12,2)</f>
        <v/>
      </c>
      <c r="O17" s="42">
        <f>MIN(O$6,M17+N17)</f>
        <v/>
      </c>
      <c r="P17" s="42">
        <f>MAX(0,MIN(M17+N17-O17,L17))</f>
        <v/>
      </c>
      <c r="Q17" s="42">
        <f>ROUND(M17+N17-O17-P17,2)</f>
        <v/>
      </c>
      <c r="R17">
        <f>L17-P17</f>
        <v/>
      </c>
      <c r="S17" s="42">
        <f>W16</f>
        <v/>
      </c>
      <c r="T17" s="42">
        <f>ROUND(S17*T$6/12,2)</f>
        <v/>
      </c>
      <c r="U17" s="42">
        <f>MIN(U$6,S17+T17)</f>
        <v/>
      </c>
      <c r="V17" s="42">
        <f>MAX(0,MIN(S17+T17-U17,R17))</f>
        <v/>
      </c>
      <c r="W17" s="42">
        <f>ROUND(S17+T17-U17-V17,2)</f>
        <v/>
      </c>
      <c r="X17">
        <f>R17-V17</f>
        <v/>
      </c>
      <c r="Y17" s="42">
        <f>AC16</f>
        <v/>
      </c>
      <c r="Z17" s="42">
        <f>ROUND(Y17*Z$6/12,2)</f>
        <v/>
      </c>
      <c r="AA17" s="42">
        <f>MIN(AA$6,Y17+Z17)</f>
        <v/>
      </c>
      <c r="AB17" s="42">
        <f>MAX(0,MIN(Y17+Z17-AA17,X17))</f>
        <v/>
      </c>
      <c r="AC17" s="42">
        <f>ROUND(Y17+Z17-AA17-AB17,2)</f>
        <v/>
      </c>
      <c r="AD17">
        <f>X17-AB17</f>
        <v/>
      </c>
      <c r="AE17" s="42">
        <f>AI16</f>
        <v/>
      </c>
      <c r="AF17" s="42">
        <f>ROUND(AE17*AF$6/12,2)</f>
        <v/>
      </c>
      <c r="AG17" s="42">
        <f>MIN(AG$6,AE17+AF17)</f>
        <v/>
      </c>
      <c r="AH17" s="42">
        <f>MAX(0,MIN(AE17+AF17-AG17,AD17))</f>
        <v/>
      </c>
      <c r="AI17" s="42">
        <f>ROUND(AE17+AF17-AG17-AH17,2)</f>
        <v/>
      </c>
      <c r="AJ17">
        <f>AD17-AH17</f>
        <v/>
      </c>
      <c r="AK17" s="42">
        <f>AO16</f>
        <v/>
      </c>
      <c r="AL17" s="42">
        <f>ROUND(AK17*AL$6/12,2)</f>
        <v/>
      </c>
      <c r="AM17" s="42">
        <f>MIN(AM$6,AK17+AL17)</f>
        <v/>
      </c>
      <c r="AN17" s="42">
        <f>MAX(0,MIN(AK17+AL17-AM17,AJ17))</f>
        <v/>
      </c>
      <c r="AO17" s="42">
        <f>ROUND(AK17+AL17-AM17-AN17,2)</f>
        <v/>
      </c>
      <c r="AP17">
        <f>AJ17-AN17</f>
        <v/>
      </c>
      <c r="AQ17" s="42">
        <f>AU16</f>
        <v/>
      </c>
      <c r="AR17" s="42">
        <f>ROUND(AQ17*AR$6/12,2)</f>
        <v/>
      </c>
      <c r="AS17" s="42">
        <f>MIN(AS$6,AQ17+AR17)</f>
        <v/>
      </c>
      <c r="AT17" s="42">
        <f>MAX(0,MIN(AQ17+AR17-AS17,AP17))</f>
        <v/>
      </c>
      <c r="AU17" s="42">
        <f>ROUND(AQ17+AR17-AS17-AT17,2)</f>
        <v/>
      </c>
      <c r="AV17">
        <f>AP17-AT17</f>
        <v/>
      </c>
      <c r="AW17" s="42">
        <f>BA16</f>
        <v/>
      </c>
      <c r="AX17" s="42">
        <f>ROUND(AW17*AX$6/12,2)</f>
        <v/>
      </c>
      <c r="AY17" s="42">
        <f>MIN(AY$6,AW17+AX17)</f>
        <v/>
      </c>
      <c r="AZ17" s="42">
        <f>MAX(0,MIN(AW17+AX17-AY17,AV17))</f>
        <v/>
      </c>
      <c r="BA17" s="42">
        <f>ROUND(AW17+AX17-AY17-AZ17,2)</f>
        <v/>
      </c>
      <c r="BB17">
        <f>AV17-AZ17</f>
        <v/>
      </c>
      <c r="BC17" s="42">
        <f>BG16</f>
        <v/>
      </c>
      <c r="BD17" s="42">
        <f>ROUND(BC17*BD$6/12,2)</f>
        <v/>
      </c>
      <c r="BE17" s="42">
        <f>MIN(BE$6,BC17+BD17)</f>
        <v/>
      </c>
      <c r="BF17" s="42">
        <f>MAX(0,MIN(BC17+BD17-BE17,BB17))</f>
        <v/>
      </c>
      <c r="BG17" s="42">
        <f>ROUND(BC17+BD17-BE17-BF17,2)</f>
        <v/>
      </c>
      <c r="BH17">
        <f>BB17-BF17</f>
        <v/>
      </c>
      <c r="BI17" s="42">
        <f>BM16</f>
        <v/>
      </c>
      <c r="BJ17" s="42">
        <f>ROUND(BI17*BJ$6/12,2)</f>
        <v/>
      </c>
      <c r="BK17" s="42">
        <f>MIN(BK$6,BI17+BJ17)</f>
        <v/>
      </c>
      <c r="BL17" s="42">
        <f>MAX(0,MIN(BI17+BJ17-BK17,BH17))</f>
        <v/>
      </c>
      <c r="BM17" s="42">
        <f>ROUND(BI17+BJ17-BK17-BL17,2)</f>
        <v/>
      </c>
      <c r="BN17">
        <f>BH17-BL17</f>
        <v/>
      </c>
    </row>
    <row r="18">
      <c r="A18" s="39" t="n">
        <v>11</v>
      </c>
      <c r="B18" s="40">
        <f>EDATE('My Debts'!$C$6,A18-1)</f>
        <v/>
      </c>
      <c r="C18" s="41">
        <f>K18+Q18+W18+AC18+AI18+AO18+AU18+BA18+BG18+BM18</f>
        <v/>
      </c>
      <c r="D18" s="42">
        <f>I18+O18+U18+AA18+AG18+AM18+AS18+AY18+BE18+BK18+J18+P18+V18+AB18+AH18+AN18+AT18+AZ18+BF18+BL18</f>
        <v/>
      </c>
      <c r="E18" s="42">
        <f>H18+N18+T18+Z18+AF18+AL18+AR18+AX18+BD18+BJ18</f>
        <v/>
      </c>
      <c r="F18" t="n">
        <v>0</v>
      </c>
      <c r="G18" s="42">
        <f>K17</f>
        <v/>
      </c>
      <c r="H18" s="42">
        <f>ROUND(G18*H$6/12,2)</f>
        <v/>
      </c>
      <c r="I18" s="42">
        <f>MIN(I$6,G18+H18)</f>
        <v/>
      </c>
      <c r="J18" s="42">
        <f>MAX(0,MIN(G18+H18-I18,$F18))</f>
        <v/>
      </c>
      <c r="K18" s="42">
        <f>ROUND(G18+H18-I18-J18,2)</f>
        <v/>
      </c>
      <c r="L18">
        <f>$F18-J18</f>
        <v/>
      </c>
      <c r="M18" s="42">
        <f>Q17</f>
        <v/>
      </c>
      <c r="N18" s="42">
        <f>ROUND(M18*N$6/12,2)</f>
        <v/>
      </c>
      <c r="O18" s="42">
        <f>MIN(O$6,M18+N18)</f>
        <v/>
      </c>
      <c r="P18" s="42">
        <f>MAX(0,MIN(M18+N18-O18,L18))</f>
        <v/>
      </c>
      <c r="Q18" s="42">
        <f>ROUND(M18+N18-O18-P18,2)</f>
        <v/>
      </c>
      <c r="R18">
        <f>L18-P18</f>
        <v/>
      </c>
      <c r="S18" s="42">
        <f>W17</f>
        <v/>
      </c>
      <c r="T18" s="42">
        <f>ROUND(S18*T$6/12,2)</f>
        <v/>
      </c>
      <c r="U18" s="42">
        <f>MIN(U$6,S18+T18)</f>
        <v/>
      </c>
      <c r="V18" s="42">
        <f>MAX(0,MIN(S18+T18-U18,R18))</f>
        <v/>
      </c>
      <c r="W18" s="42">
        <f>ROUND(S18+T18-U18-V18,2)</f>
        <v/>
      </c>
      <c r="X18">
        <f>R18-V18</f>
        <v/>
      </c>
      <c r="Y18" s="42">
        <f>AC17</f>
        <v/>
      </c>
      <c r="Z18" s="42">
        <f>ROUND(Y18*Z$6/12,2)</f>
        <v/>
      </c>
      <c r="AA18" s="42">
        <f>MIN(AA$6,Y18+Z18)</f>
        <v/>
      </c>
      <c r="AB18" s="42">
        <f>MAX(0,MIN(Y18+Z18-AA18,X18))</f>
        <v/>
      </c>
      <c r="AC18" s="42">
        <f>ROUND(Y18+Z18-AA18-AB18,2)</f>
        <v/>
      </c>
      <c r="AD18">
        <f>X18-AB18</f>
        <v/>
      </c>
      <c r="AE18" s="42">
        <f>AI17</f>
        <v/>
      </c>
      <c r="AF18" s="42">
        <f>ROUND(AE18*AF$6/12,2)</f>
        <v/>
      </c>
      <c r="AG18" s="42">
        <f>MIN(AG$6,AE18+AF18)</f>
        <v/>
      </c>
      <c r="AH18" s="42">
        <f>MAX(0,MIN(AE18+AF18-AG18,AD18))</f>
        <v/>
      </c>
      <c r="AI18" s="42">
        <f>ROUND(AE18+AF18-AG18-AH18,2)</f>
        <v/>
      </c>
      <c r="AJ18">
        <f>AD18-AH18</f>
        <v/>
      </c>
      <c r="AK18" s="42">
        <f>AO17</f>
        <v/>
      </c>
      <c r="AL18" s="42">
        <f>ROUND(AK18*AL$6/12,2)</f>
        <v/>
      </c>
      <c r="AM18" s="42">
        <f>MIN(AM$6,AK18+AL18)</f>
        <v/>
      </c>
      <c r="AN18" s="42">
        <f>MAX(0,MIN(AK18+AL18-AM18,AJ18))</f>
        <v/>
      </c>
      <c r="AO18" s="42">
        <f>ROUND(AK18+AL18-AM18-AN18,2)</f>
        <v/>
      </c>
      <c r="AP18">
        <f>AJ18-AN18</f>
        <v/>
      </c>
      <c r="AQ18" s="42">
        <f>AU17</f>
        <v/>
      </c>
      <c r="AR18" s="42">
        <f>ROUND(AQ18*AR$6/12,2)</f>
        <v/>
      </c>
      <c r="AS18" s="42">
        <f>MIN(AS$6,AQ18+AR18)</f>
        <v/>
      </c>
      <c r="AT18" s="42">
        <f>MAX(0,MIN(AQ18+AR18-AS18,AP18))</f>
        <v/>
      </c>
      <c r="AU18" s="42">
        <f>ROUND(AQ18+AR18-AS18-AT18,2)</f>
        <v/>
      </c>
      <c r="AV18">
        <f>AP18-AT18</f>
        <v/>
      </c>
      <c r="AW18" s="42">
        <f>BA17</f>
        <v/>
      </c>
      <c r="AX18" s="42">
        <f>ROUND(AW18*AX$6/12,2)</f>
        <v/>
      </c>
      <c r="AY18" s="42">
        <f>MIN(AY$6,AW18+AX18)</f>
        <v/>
      </c>
      <c r="AZ18" s="42">
        <f>MAX(0,MIN(AW18+AX18-AY18,AV18))</f>
        <v/>
      </c>
      <c r="BA18" s="42">
        <f>ROUND(AW18+AX18-AY18-AZ18,2)</f>
        <v/>
      </c>
      <c r="BB18">
        <f>AV18-AZ18</f>
        <v/>
      </c>
      <c r="BC18" s="42">
        <f>BG17</f>
        <v/>
      </c>
      <c r="BD18" s="42">
        <f>ROUND(BC18*BD$6/12,2)</f>
        <v/>
      </c>
      <c r="BE18" s="42">
        <f>MIN(BE$6,BC18+BD18)</f>
        <v/>
      </c>
      <c r="BF18" s="42">
        <f>MAX(0,MIN(BC18+BD18-BE18,BB18))</f>
        <v/>
      </c>
      <c r="BG18" s="42">
        <f>ROUND(BC18+BD18-BE18-BF18,2)</f>
        <v/>
      </c>
      <c r="BH18">
        <f>BB18-BF18</f>
        <v/>
      </c>
      <c r="BI18" s="42">
        <f>BM17</f>
        <v/>
      </c>
      <c r="BJ18" s="42">
        <f>ROUND(BI18*BJ$6/12,2)</f>
        <v/>
      </c>
      <c r="BK18" s="42">
        <f>MIN(BK$6,BI18+BJ18)</f>
        <v/>
      </c>
      <c r="BL18" s="42">
        <f>MAX(0,MIN(BI18+BJ18-BK18,BH18))</f>
        <v/>
      </c>
      <c r="BM18" s="42">
        <f>ROUND(BI18+BJ18-BK18-BL18,2)</f>
        <v/>
      </c>
      <c r="BN18">
        <f>BH18-BL18</f>
        <v/>
      </c>
    </row>
    <row r="19">
      <c r="A19" s="43" t="n">
        <v>12</v>
      </c>
      <c r="B19" s="44">
        <f>EDATE('My Debts'!$C$6,A19-1)</f>
        <v/>
      </c>
      <c r="C19" s="45">
        <f>K19+Q19+W19+AC19+AI19+AO19+AU19+BA19+BG19+BM19</f>
        <v/>
      </c>
      <c r="D19" s="46">
        <f>I19+O19+U19+AA19+AG19+AM19+AS19+AY19+BE19+BK19+J19+P19+V19+AB19+AH19+AN19+AT19+AZ19+BF19+BL19</f>
        <v/>
      </c>
      <c r="E19" s="46">
        <f>H19+N19+T19+Z19+AF19+AL19+AR19+AX19+BD19+BJ19</f>
        <v/>
      </c>
      <c r="F19" t="n">
        <v>0</v>
      </c>
      <c r="G19" s="42">
        <f>K18</f>
        <v/>
      </c>
      <c r="H19" s="42">
        <f>ROUND(G19*H$6/12,2)</f>
        <v/>
      </c>
      <c r="I19" s="42">
        <f>MIN(I$6,G19+H19)</f>
        <v/>
      </c>
      <c r="J19" s="42">
        <f>MAX(0,MIN(G19+H19-I19,$F19))</f>
        <v/>
      </c>
      <c r="K19" s="42">
        <f>ROUND(G19+H19-I19-J19,2)</f>
        <v/>
      </c>
      <c r="L19">
        <f>$F19-J19</f>
        <v/>
      </c>
      <c r="M19" s="42">
        <f>Q18</f>
        <v/>
      </c>
      <c r="N19" s="42">
        <f>ROUND(M19*N$6/12,2)</f>
        <v/>
      </c>
      <c r="O19" s="42">
        <f>MIN(O$6,M19+N19)</f>
        <v/>
      </c>
      <c r="P19" s="42">
        <f>MAX(0,MIN(M19+N19-O19,L19))</f>
        <v/>
      </c>
      <c r="Q19" s="42">
        <f>ROUND(M19+N19-O19-P19,2)</f>
        <v/>
      </c>
      <c r="R19">
        <f>L19-P19</f>
        <v/>
      </c>
      <c r="S19" s="42">
        <f>W18</f>
        <v/>
      </c>
      <c r="T19" s="42">
        <f>ROUND(S19*T$6/12,2)</f>
        <v/>
      </c>
      <c r="U19" s="42">
        <f>MIN(U$6,S19+T19)</f>
        <v/>
      </c>
      <c r="V19" s="42">
        <f>MAX(0,MIN(S19+T19-U19,R19))</f>
        <v/>
      </c>
      <c r="W19" s="42">
        <f>ROUND(S19+T19-U19-V19,2)</f>
        <v/>
      </c>
      <c r="X19">
        <f>R19-V19</f>
        <v/>
      </c>
      <c r="Y19" s="42">
        <f>AC18</f>
        <v/>
      </c>
      <c r="Z19" s="42">
        <f>ROUND(Y19*Z$6/12,2)</f>
        <v/>
      </c>
      <c r="AA19" s="42">
        <f>MIN(AA$6,Y19+Z19)</f>
        <v/>
      </c>
      <c r="AB19" s="42">
        <f>MAX(0,MIN(Y19+Z19-AA19,X19))</f>
        <v/>
      </c>
      <c r="AC19" s="42">
        <f>ROUND(Y19+Z19-AA19-AB19,2)</f>
        <v/>
      </c>
      <c r="AD19">
        <f>X19-AB19</f>
        <v/>
      </c>
      <c r="AE19" s="42">
        <f>AI18</f>
        <v/>
      </c>
      <c r="AF19" s="42">
        <f>ROUND(AE19*AF$6/12,2)</f>
        <v/>
      </c>
      <c r="AG19" s="42">
        <f>MIN(AG$6,AE19+AF19)</f>
        <v/>
      </c>
      <c r="AH19" s="42">
        <f>MAX(0,MIN(AE19+AF19-AG19,AD19))</f>
        <v/>
      </c>
      <c r="AI19" s="42">
        <f>ROUND(AE19+AF19-AG19-AH19,2)</f>
        <v/>
      </c>
      <c r="AJ19">
        <f>AD19-AH19</f>
        <v/>
      </c>
      <c r="AK19" s="42">
        <f>AO18</f>
        <v/>
      </c>
      <c r="AL19" s="42">
        <f>ROUND(AK19*AL$6/12,2)</f>
        <v/>
      </c>
      <c r="AM19" s="42">
        <f>MIN(AM$6,AK19+AL19)</f>
        <v/>
      </c>
      <c r="AN19" s="42">
        <f>MAX(0,MIN(AK19+AL19-AM19,AJ19))</f>
        <v/>
      </c>
      <c r="AO19" s="42">
        <f>ROUND(AK19+AL19-AM19-AN19,2)</f>
        <v/>
      </c>
      <c r="AP19">
        <f>AJ19-AN19</f>
        <v/>
      </c>
      <c r="AQ19" s="42">
        <f>AU18</f>
        <v/>
      </c>
      <c r="AR19" s="42">
        <f>ROUND(AQ19*AR$6/12,2)</f>
        <v/>
      </c>
      <c r="AS19" s="42">
        <f>MIN(AS$6,AQ19+AR19)</f>
        <v/>
      </c>
      <c r="AT19" s="42">
        <f>MAX(0,MIN(AQ19+AR19-AS19,AP19))</f>
        <v/>
      </c>
      <c r="AU19" s="42">
        <f>ROUND(AQ19+AR19-AS19-AT19,2)</f>
        <v/>
      </c>
      <c r="AV19">
        <f>AP19-AT19</f>
        <v/>
      </c>
      <c r="AW19" s="42">
        <f>BA18</f>
        <v/>
      </c>
      <c r="AX19" s="42">
        <f>ROUND(AW19*AX$6/12,2)</f>
        <v/>
      </c>
      <c r="AY19" s="42">
        <f>MIN(AY$6,AW19+AX19)</f>
        <v/>
      </c>
      <c r="AZ19" s="42">
        <f>MAX(0,MIN(AW19+AX19-AY19,AV19))</f>
        <v/>
      </c>
      <c r="BA19" s="42">
        <f>ROUND(AW19+AX19-AY19-AZ19,2)</f>
        <v/>
      </c>
      <c r="BB19">
        <f>AV19-AZ19</f>
        <v/>
      </c>
      <c r="BC19" s="42">
        <f>BG18</f>
        <v/>
      </c>
      <c r="BD19" s="42">
        <f>ROUND(BC19*BD$6/12,2)</f>
        <v/>
      </c>
      <c r="BE19" s="42">
        <f>MIN(BE$6,BC19+BD19)</f>
        <v/>
      </c>
      <c r="BF19" s="42">
        <f>MAX(0,MIN(BC19+BD19-BE19,BB19))</f>
        <v/>
      </c>
      <c r="BG19" s="42">
        <f>ROUND(BC19+BD19-BE19-BF19,2)</f>
        <v/>
      </c>
      <c r="BH19">
        <f>BB19-BF19</f>
        <v/>
      </c>
      <c r="BI19" s="42">
        <f>BM18</f>
        <v/>
      </c>
      <c r="BJ19" s="42">
        <f>ROUND(BI19*BJ$6/12,2)</f>
        <v/>
      </c>
      <c r="BK19" s="42">
        <f>MIN(BK$6,BI19+BJ19)</f>
        <v/>
      </c>
      <c r="BL19" s="42">
        <f>MAX(0,MIN(BI19+BJ19-BK19,BH19))</f>
        <v/>
      </c>
      <c r="BM19" s="42">
        <f>ROUND(BI19+BJ19-BK19-BL19,2)</f>
        <v/>
      </c>
      <c r="BN19">
        <f>BH19-BL19</f>
        <v/>
      </c>
    </row>
    <row r="20">
      <c r="A20" s="39" t="n">
        <v>13</v>
      </c>
      <c r="B20" s="40">
        <f>EDATE('My Debts'!$C$6,A20-1)</f>
        <v/>
      </c>
      <c r="C20" s="41">
        <f>K20+Q20+W20+AC20+AI20+AO20+AU20+BA20+BG20+BM20</f>
        <v/>
      </c>
      <c r="D20" s="42">
        <f>I20+O20+U20+AA20+AG20+AM20+AS20+AY20+BE20+BK20+J20+P20+V20+AB20+AH20+AN20+AT20+AZ20+BF20+BL20</f>
        <v/>
      </c>
      <c r="E20" s="42">
        <f>H20+N20+T20+Z20+AF20+AL20+AR20+AX20+BD20+BJ20</f>
        <v/>
      </c>
      <c r="F20" t="n">
        <v>0</v>
      </c>
      <c r="G20" s="42">
        <f>K19</f>
        <v/>
      </c>
      <c r="H20" s="42">
        <f>ROUND(G20*H$6/12,2)</f>
        <v/>
      </c>
      <c r="I20" s="42">
        <f>MIN(I$6,G20+H20)</f>
        <v/>
      </c>
      <c r="J20" s="42">
        <f>MAX(0,MIN(G20+H20-I20,$F20))</f>
        <v/>
      </c>
      <c r="K20" s="42">
        <f>ROUND(G20+H20-I20-J20,2)</f>
        <v/>
      </c>
      <c r="L20">
        <f>$F20-J20</f>
        <v/>
      </c>
      <c r="M20" s="42">
        <f>Q19</f>
        <v/>
      </c>
      <c r="N20" s="42">
        <f>ROUND(M20*N$6/12,2)</f>
        <v/>
      </c>
      <c r="O20" s="42">
        <f>MIN(O$6,M20+N20)</f>
        <v/>
      </c>
      <c r="P20" s="42">
        <f>MAX(0,MIN(M20+N20-O20,L20))</f>
        <v/>
      </c>
      <c r="Q20" s="42">
        <f>ROUND(M20+N20-O20-P20,2)</f>
        <v/>
      </c>
      <c r="R20">
        <f>L20-P20</f>
        <v/>
      </c>
      <c r="S20" s="42">
        <f>W19</f>
        <v/>
      </c>
      <c r="T20" s="42">
        <f>ROUND(S20*T$6/12,2)</f>
        <v/>
      </c>
      <c r="U20" s="42">
        <f>MIN(U$6,S20+T20)</f>
        <v/>
      </c>
      <c r="V20" s="42">
        <f>MAX(0,MIN(S20+T20-U20,R20))</f>
        <v/>
      </c>
      <c r="W20" s="42">
        <f>ROUND(S20+T20-U20-V20,2)</f>
        <v/>
      </c>
      <c r="X20">
        <f>R20-V20</f>
        <v/>
      </c>
      <c r="Y20" s="42">
        <f>AC19</f>
        <v/>
      </c>
      <c r="Z20" s="42">
        <f>ROUND(Y20*Z$6/12,2)</f>
        <v/>
      </c>
      <c r="AA20" s="42">
        <f>MIN(AA$6,Y20+Z20)</f>
        <v/>
      </c>
      <c r="AB20" s="42">
        <f>MAX(0,MIN(Y20+Z20-AA20,X20))</f>
        <v/>
      </c>
      <c r="AC20" s="42">
        <f>ROUND(Y20+Z20-AA20-AB20,2)</f>
        <v/>
      </c>
      <c r="AD20">
        <f>X20-AB20</f>
        <v/>
      </c>
      <c r="AE20" s="42">
        <f>AI19</f>
        <v/>
      </c>
      <c r="AF20" s="42">
        <f>ROUND(AE20*AF$6/12,2)</f>
        <v/>
      </c>
      <c r="AG20" s="42">
        <f>MIN(AG$6,AE20+AF20)</f>
        <v/>
      </c>
      <c r="AH20" s="42">
        <f>MAX(0,MIN(AE20+AF20-AG20,AD20))</f>
        <v/>
      </c>
      <c r="AI20" s="42">
        <f>ROUND(AE20+AF20-AG20-AH20,2)</f>
        <v/>
      </c>
      <c r="AJ20">
        <f>AD20-AH20</f>
        <v/>
      </c>
      <c r="AK20" s="42">
        <f>AO19</f>
        <v/>
      </c>
      <c r="AL20" s="42">
        <f>ROUND(AK20*AL$6/12,2)</f>
        <v/>
      </c>
      <c r="AM20" s="42">
        <f>MIN(AM$6,AK20+AL20)</f>
        <v/>
      </c>
      <c r="AN20" s="42">
        <f>MAX(0,MIN(AK20+AL20-AM20,AJ20))</f>
        <v/>
      </c>
      <c r="AO20" s="42">
        <f>ROUND(AK20+AL20-AM20-AN20,2)</f>
        <v/>
      </c>
      <c r="AP20">
        <f>AJ20-AN20</f>
        <v/>
      </c>
      <c r="AQ20" s="42">
        <f>AU19</f>
        <v/>
      </c>
      <c r="AR20" s="42">
        <f>ROUND(AQ20*AR$6/12,2)</f>
        <v/>
      </c>
      <c r="AS20" s="42">
        <f>MIN(AS$6,AQ20+AR20)</f>
        <v/>
      </c>
      <c r="AT20" s="42">
        <f>MAX(0,MIN(AQ20+AR20-AS20,AP20))</f>
        <v/>
      </c>
      <c r="AU20" s="42">
        <f>ROUND(AQ20+AR20-AS20-AT20,2)</f>
        <v/>
      </c>
      <c r="AV20">
        <f>AP20-AT20</f>
        <v/>
      </c>
      <c r="AW20" s="42">
        <f>BA19</f>
        <v/>
      </c>
      <c r="AX20" s="42">
        <f>ROUND(AW20*AX$6/12,2)</f>
        <v/>
      </c>
      <c r="AY20" s="42">
        <f>MIN(AY$6,AW20+AX20)</f>
        <v/>
      </c>
      <c r="AZ20" s="42">
        <f>MAX(0,MIN(AW20+AX20-AY20,AV20))</f>
        <v/>
      </c>
      <c r="BA20" s="42">
        <f>ROUND(AW20+AX20-AY20-AZ20,2)</f>
        <v/>
      </c>
      <c r="BB20">
        <f>AV20-AZ20</f>
        <v/>
      </c>
      <c r="BC20" s="42">
        <f>BG19</f>
        <v/>
      </c>
      <c r="BD20" s="42">
        <f>ROUND(BC20*BD$6/12,2)</f>
        <v/>
      </c>
      <c r="BE20" s="42">
        <f>MIN(BE$6,BC20+BD20)</f>
        <v/>
      </c>
      <c r="BF20" s="42">
        <f>MAX(0,MIN(BC20+BD20-BE20,BB20))</f>
        <v/>
      </c>
      <c r="BG20" s="42">
        <f>ROUND(BC20+BD20-BE20-BF20,2)</f>
        <v/>
      </c>
      <c r="BH20">
        <f>BB20-BF20</f>
        <v/>
      </c>
      <c r="BI20" s="42">
        <f>BM19</f>
        <v/>
      </c>
      <c r="BJ20" s="42">
        <f>ROUND(BI20*BJ$6/12,2)</f>
        <v/>
      </c>
      <c r="BK20" s="42">
        <f>MIN(BK$6,BI20+BJ20)</f>
        <v/>
      </c>
      <c r="BL20" s="42">
        <f>MAX(0,MIN(BI20+BJ20-BK20,BH20))</f>
        <v/>
      </c>
      <c r="BM20" s="42">
        <f>ROUND(BI20+BJ20-BK20-BL20,2)</f>
        <v/>
      </c>
      <c r="BN20">
        <f>BH20-BL20</f>
        <v/>
      </c>
    </row>
    <row r="21">
      <c r="A21" s="43" t="n">
        <v>14</v>
      </c>
      <c r="B21" s="44">
        <f>EDATE('My Debts'!$C$6,A21-1)</f>
        <v/>
      </c>
      <c r="C21" s="45">
        <f>K21+Q21+W21+AC21+AI21+AO21+AU21+BA21+BG21+BM21</f>
        <v/>
      </c>
      <c r="D21" s="46">
        <f>I21+O21+U21+AA21+AG21+AM21+AS21+AY21+BE21+BK21+J21+P21+V21+AB21+AH21+AN21+AT21+AZ21+BF21+BL21</f>
        <v/>
      </c>
      <c r="E21" s="46">
        <f>H21+N21+T21+Z21+AF21+AL21+AR21+AX21+BD21+BJ21</f>
        <v/>
      </c>
      <c r="F21" t="n">
        <v>0</v>
      </c>
      <c r="G21" s="42">
        <f>K20</f>
        <v/>
      </c>
      <c r="H21" s="42">
        <f>ROUND(G21*H$6/12,2)</f>
        <v/>
      </c>
      <c r="I21" s="42">
        <f>MIN(I$6,G21+H21)</f>
        <v/>
      </c>
      <c r="J21" s="42">
        <f>MAX(0,MIN(G21+H21-I21,$F21))</f>
        <v/>
      </c>
      <c r="K21" s="42">
        <f>ROUND(G21+H21-I21-J21,2)</f>
        <v/>
      </c>
      <c r="L21">
        <f>$F21-J21</f>
        <v/>
      </c>
      <c r="M21" s="42">
        <f>Q20</f>
        <v/>
      </c>
      <c r="N21" s="42">
        <f>ROUND(M21*N$6/12,2)</f>
        <v/>
      </c>
      <c r="O21" s="42">
        <f>MIN(O$6,M21+N21)</f>
        <v/>
      </c>
      <c r="P21" s="42">
        <f>MAX(0,MIN(M21+N21-O21,L21))</f>
        <v/>
      </c>
      <c r="Q21" s="42">
        <f>ROUND(M21+N21-O21-P21,2)</f>
        <v/>
      </c>
      <c r="R21">
        <f>L21-P21</f>
        <v/>
      </c>
      <c r="S21" s="42">
        <f>W20</f>
        <v/>
      </c>
      <c r="T21" s="42">
        <f>ROUND(S21*T$6/12,2)</f>
        <v/>
      </c>
      <c r="U21" s="42">
        <f>MIN(U$6,S21+T21)</f>
        <v/>
      </c>
      <c r="V21" s="42">
        <f>MAX(0,MIN(S21+T21-U21,R21))</f>
        <v/>
      </c>
      <c r="W21" s="42">
        <f>ROUND(S21+T21-U21-V21,2)</f>
        <v/>
      </c>
      <c r="X21">
        <f>R21-V21</f>
        <v/>
      </c>
      <c r="Y21" s="42">
        <f>AC20</f>
        <v/>
      </c>
      <c r="Z21" s="42">
        <f>ROUND(Y21*Z$6/12,2)</f>
        <v/>
      </c>
      <c r="AA21" s="42">
        <f>MIN(AA$6,Y21+Z21)</f>
        <v/>
      </c>
      <c r="AB21" s="42">
        <f>MAX(0,MIN(Y21+Z21-AA21,X21))</f>
        <v/>
      </c>
      <c r="AC21" s="42">
        <f>ROUND(Y21+Z21-AA21-AB21,2)</f>
        <v/>
      </c>
      <c r="AD21">
        <f>X21-AB21</f>
        <v/>
      </c>
      <c r="AE21" s="42">
        <f>AI20</f>
        <v/>
      </c>
      <c r="AF21" s="42">
        <f>ROUND(AE21*AF$6/12,2)</f>
        <v/>
      </c>
      <c r="AG21" s="42">
        <f>MIN(AG$6,AE21+AF21)</f>
        <v/>
      </c>
      <c r="AH21" s="42">
        <f>MAX(0,MIN(AE21+AF21-AG21,AD21))</f>
        <v/>
      </c>
      <c r="AI21" s="42">
        <f>ROUND(AE21+AF21-AG21-AH21,2)</f>
        <v/>
      </c>
      <c r="AJ21">
        <f>AD21-AH21</f>
        <v/>
      </c>
      <c r="AK21" s="42">
        <f>AO20</f>
        <v/>
      </c>
      <c r="AL21" s="42">
        <f>ROUND(AK21*AL$6/12,2)</f>
        <v/>
      </c>
      <c r="AM21" s="42">
        <f>MIN(AM$6,AK21+AL21)</f>
        <v/>
      </c>
      <c r="AN21" s="42">
        <f>MAX(0,MIN(AK21+AL21-AM21,AJ21))</f>
        <v/>
      </c>
      <c r="AO21" s="42">
        <f>ROUND(AK21+AL21-AM21-AN21,2)</f>
        <v/>
      </c>
      <c r="AP21">
        <f>AJ21-AN21</f>
        <v/>
      </c>
      <c r="AQ21" s="42">
        <f>AU20</f>
        <v/>
      </c>
      <c r="AR21" s="42">
        <f>ROUND(AQ21*AR$6/12,2)</f>
        <v/>
      </c>
      <c r="AS21" s="42">
        <f>MIN(AS$6,AQ21+AR21)</f>
        <v/>
      </c>
      <c r="AT21" s="42">
        <f>MAX(0,MIN(AQ21+AR21-AS21,AP21))</f>
        <v/>
      </c>
      <c r="AU21" s="42">
        <f>ROUND(AQ21+AR21-AS21-AT21,2)</f>
        <v/>
      </c>
      <c r="AV21">
        <f>AP21-AT21</f>
        <v/>
      </c>
      <c r="AW21" s="42">
        <f>BA20</f>
        <v/>
      </c>
      <c r="AX21" s="42">
        <f>ROUND(AW21*AX$6/12,2)</f>
        <v/>
      </c>
      <c r="AY21" s="42">
        <f>MIN(AY$6,AW21+AX21)</f>
        <v/>
      </c>
      <c r="AZ21" s="42">
        <f>MAX(0,MIN(AW21+AX21-AY21,AV21))</f>
        <v/>
      </c>
      <c r="BA21" s="42">
        <f>ROUND(AW21+AX21-AY21-AZ21,2)</f>
        <v/>
      </c>
      <c r="BB21">
        <f>AV21-AZ21</f>
        <v/>
      </c>
      <c r="BC21" s="42">
        <f>BG20</f>
        <v/>
      </c>
      <c r="BD21" s="42">
        <f>ROUND(BC21*BD$6/12,2)</f>
        <v/>
      </c>
      <c r="BE21" s="42">
        <f>MIN(BE$6,BC21+BD21)</f>
        <v/>
      </c>
      <c r="BF21" s="42">
        <f>MAX(0,MIN(BC21+BD21-BE21,BB21))</f>
        <v/>
      </c>
      <c r="BG21" s="42">
        <f>ROUND(BC21+BD21-BE21-BF21,2)</f>
        <v/>
      </c>
      <c r="BH21">
        <f>BB21-BF21</f>
        <v/>
      </c>
      <c r="BI21" s="42">
        <f>BM20</f>
        <v/>
      </c>
      <c r="BJ21" s="42">
        <f>ROUND(BI21*BJ$6/12,2)</f>
        <v/>
      </c>
      <c r="BK21" s="42">
        <f>MIN(BK$6,BI21+BJ21)</f>
        <v/>
      </c>
      <c r="BL21" s="42">
        <f>MAX(0,MIN(BI21+BJ21-BK21,BH21))</f>
        <v/>
      </c>
      <c r="BM21" s="42">
        <f>ROUND(BI21+BJ21-BK21-BL21,2)</f>
        <v/>
      </c>
      <c r="BN21">
        <f>BH21-BL21</f>
        <v/>
      </c>
    </row>
    <row r="22">
      <c r="A22" s="39" t="n">
        <v>15</v>
      </c>
      <c r="B22" s="40">
        <f>EDATE('My Debts'!$C$6,A22-1)</f>
        <v/>
      </c>
      <c r="C22" s="41">
        <f>K22+Q22+W22+AC22+AI22+AO22+AU22+BA22+BG22+BM22</f>
        <v/>
      </c>
      <c r="D22" s="42">
        <f>I22+O22+U22+AA22+AG22+AM22+AS22+AY22+BE22+BK22+J22+P22+V22+AB22+AH22+AN22+AT22+AZ22+BF22+BL22</f>
        <v/>
      </c>
      <c r="E22" s="42">
        <f>H22+N22+T22+Z22+AF22+AL22+AR22+AX22+BD22+BJ22</f>
        <v/>
      </c>
      <c r="F22" t="n">
        <v>0</v>
      </c>
      <c r="G22" s="42">
        <f>K21</f>
        <v/>
      </c>
      <c r="H22" s="42">
        <f>ROUND(G22*H$6/12,2)</f>
        <v/>
      </c>
      <c r="I22" s="42">
        <f>MIN(I$6,G22+H22)</f>
        <v/>
      </c>
      <c r="J22" s="42">
        <f>MAX(0,MIN(G22+H22-I22,$F22))</f>
        <v/>
      </c>
      <c r="K22" s="42">
        <f>ROUND(G22+H22-I22-J22,2)</f>
        <v/>
      </c>
      <c r="L22">
        <f>$F22-J22</f>
        <v/>
      </c>
      <c r="M22" s="42">
        <f>Q21</f>
        <v/>
      </c>
      <c r="N22" s="42">
        <f>ROUND(M22*N$6/12,2)</f>
        <v/>
      </c>
      <c r="O22" s="42">
        <f>MIN(O$6,M22+N22)</f>
        <v/>
      </c>
      <c r="P22" s="42">
        <f>MAX(0,MIN(M22+N22-O22,L22))</f>
        <v/>
      </c>
      <c r="Q22" s="42">
        <f>ROUND(M22+N22-O22-P22,2)</f>
        <v/>
      </c>
      <c r="R22">
        <f>L22-P22</f>
        <v/>
      </c>
      <c r="S22" s="42">
        <f>W21</f>
        <v/>
      </c>
      <c r="T22" s="42">
        <f>ROUND(S22*T$6/12,2)</f>
        <v/>
      </c>
      <c r="U22" s="42">
        <f>MIN(U$6,S22+T22)</f>
        <v/>
      </c>
      <c r="V22" s="42">
        <f>MAX(0,MIN(S22+T22-U22,R22))</f>
        <v/>
      </c>
      <c r="W22" s="42">
        <f>ROUND(S22+T22-U22-V22,2)</f>
        <v/>
      </c>
      <c r="X22">
        <f>R22-V22</f>
        <v/>
      </c>
      <c r="Y22" s="42">
        <f>AC21</f>
        <v/>
      </c>
      <c r="Z22" s="42">
        <f>ROUND(Y22*Z$6/12,2)</f>
        <v/>
      </c>
      <c r="AA22" s="42">
        <f>MIN(AA$6,Y22+Z22)</f>
        <v/>
      </c>
      <c r="AB22" s="42">
        <f>MAX(0,MIN(Y22+Z22-AA22,X22))</f>
        <v/>
      </c>
      <c r="AC22" s="42">
        <f>ROUND(Y22+Z22-AA22-AB22,2)</f>
        <v/>
      </c>
      <c r="AD22">
        <f>X22-AB22</f>
        <v/>
      </c>
      <c r="AE22" s="42">
        <f>AI21</f>
        <v/>
      </c>
      <c r="AF22" s="42">
        <f>ROUND(AE22*AF$6/12,2)</f>
        <v/>
      </c>
      <c r="AG22" s="42">
        <f>MIN(AG$6,AE22+AF22)</f>
        <v/>
      </c>
      <c r="AH22" s="42">
        <f>MAX(0,MIN(AE22+AF22-AG22,AD22))</f>
        <v/>
      </c>
      <c r="AI22" s="42">
        <f>ROUND(AE22+AF22-AG22-AH22,2)</f>
        <v/>
      </c>
      <c r="AJ22">
        <f>AD22-AH22</f>
        <v/>
      </c>
      <c r="AK22" s="42">
        <f>AO21</f>
        <v/>
      </c>
      <c r="AL22" s="42">
        <f>ROUND(AK22*AL$6/12,2)</f>
        <v/>
      </c>
      <c r="AM22" s="42">
        <f>MIN(AM$6,AK22+AL22)</f>
        <v/>
      </c>
      <c r="AN22" s="42">
        <f>MAX(0,MIN(AK22+AL22-AM22,AJ22))</f>
        <v/>
      </c>
      <c r="AO22" s="42">
        <f>ROUND(AK22+AL22-AM22-AN22,2)</f>
        <v/>
      </c>
      <c r="AP22">
        <f>AJ22-AN22</f>
        <v/>
      </c>
      <c r="AQ22" s="42">
        <f>AU21</f>
        <v/>
      </c>
      <c r="AR22" s="42">
        <f>ROUND(AQ22*AR$6/12,2)</f>
        <v/>
      </c>
      <c r="AS22" s="42">
        <f>MIN(AS$6,AQ22+AR22)</f>
        <v/>
      </c>
      <c r="AT22" s="42">
        <f>MAX(0,MIN(AQ22+AR22-AS22,AP22))</f>
        <v/>
      </c>
      <c r="AU22" s="42">
        <f>ROUND(AQ22+AR22-AS22-AT22,2)</f>
        <v/>
      </c>
      <c r="AV22">
        <f>AP22-AT22</f>
        <v/>
      </c>
      <c r="AW22" s="42">
        <f>BA21</f>
        <v/>
      </c>
      <c r="AX22" s="42">
        <f>ROUND(AW22*AX$6/12,2)</f>
        <v/>
      </c>
      <c r="AY22" s="42">
        <f>MIN(AY$6,AW22+AX22)</f>
        <v/>
      </c>
      <c r="AZ22" s="42">
        <f>MAX(0,MIN(AW22+AX22-AY22,AV22))</f>
        <v/>
      </c>
      <c r="BA22" s="42">
        <f>ROUND(AW22+AX22-AY22-AZ22,2)</f>
        <v/>
      </c>
      <c r="BB22">
        <f>AV22-AZ22</f>
        <v/>
      </c>
      <c r="BC22" s="42">
        <f>BG21</f>
        <v/>
      </c>
      <c r="BD22" s="42">
        <f>ROUND(BC22*BD$6/12,2)</f>
        <v/>
      </c>
      <c r="BE22" s="42">
        <f>MIN(BE$6,BC22+BD22)</f>
        <v/>
      </c>
      <c r="BF22" s="42">
        <f>MAX(0,MIN(BC22+BD22-BE22,BB22))</f>
        <v/>
      </c>
      <c r="BG22" s="42">
        <f>ROUND(BC22+BD22-BE22-BF22,2)</f>
        <v/>
      </c>
      <c r="BH22">
        <f>BB22-BF22</f>
        <v/>
      </c>
      <c r="BI22" s="42">
        <f>BM21</f>
        <v/>
      </c>
      <c r="BJ22" s="42">
        <f>ROUND(BI22*BJ$6/12,2)</f>
        <v/>
      </c>
      <c r="BK22" s="42">
        <f>MIN(BK$6,BI22+BJ22)</f>
        <v/>
      </c>
      <c r="BL22" s="42">
        <f>MAX(0,MIN(BI22+BJ22-BK22,BH22))</f>
        <v/>
      </c>
      <c r="BM22" s="42">
        <f>ROUND(BI22+BJ22-BK22-BL22,2)</f>
        <v/>
      </c>
      <c r="BN22">
        <f>BH22-BL22</f>
        <v/>
      </c>
    </row>
    <row r="23">
      <c r="A23" s="43" t="n">
        <v>16</v>
      </c>
      <c r="B23" s="44">
        <f>EDATE('My Debts'!$C$6,A23-1)</f>
        <v/>
      </c>
      <c r="C23" s="45">
        <f>K23+Q23+W23+AC23+AI23+AO23+AU23+BA23+BG23+BM23</f>
        <v/>
      </c>
      <c r="D23" s="46">
        <f>I23+O23+U23+AA23+AG23+AM23+AS23+AY23+BE23+BK23+J23+P23+V23+AB23+AH23+AN23+AT23+AZ23+BF23+BL23</f>
        <v/>
      </c>
      <c r="E23" s="46">
        <f>H23+N23+T23+Z23+AF23+AL23+AR23+AX23+BD23+BJ23</f>
        <v/>
      </c>
      <c r="F23" t="n">
        <v>0</v>
      </c>
      <c r="G23" s="42">
        <f>K22</f>
        <v/>
      </c>
      <c r="H23" s="42">
        <f>ROUND(G23*H$6/12,2)</f>
        <v/>
      </c>
      <c r="I23" s="42">
        <f>MIN(I$6,G23+H23)</f>
        <v/>
      </c>
      <c r="J23" s="42">
        <f>MAX(0,MIN(G23+H23-I23,$F23))</f>
        <v/>
      </c>
      <c r="K23" s="42">
        <f>ROUND(G23+H23-I23-J23,2)</f>
        <v/>
      </c>
      <c r="L23">
        <f>$F23-J23</f>
        <v/>
      </c>
      <c r="M23" s="42">
        <f>Q22</f>
        <v/>
      </c>
      <c r="N23" s="42">
        <f>ROUND(M23*N$6/12,2)</f>
        <v/>
      </c>
      <c r="O23" s="42">
        <f>MIN(O$6,M23+N23)</f>
        <v/>
      </c>
      <c r="P23" s="42">
        <f>MAX(0,MIN(M23+N23-O23,L23))</f>
        <v/>
      </c>
      <c r="Q23" s="42">
        <f>ROUND(M23+N23-O23-P23,2)</f>
        <v/>
      </c>
      <c r="R23">
        <f>L23-P23</f>
        <v/>
      </c>
      <c r="S23" s="42">
        <f>W22</f>
        <v/>
      </c>
      <c r="T23" s="42">
        <f>ROUND(S23*T$6/12,2)</f>
        <v/>
      </c>
      <c r="U23" s="42">
        <f>MIN(U$6,S23+T23)</f>
        <v/>
      </c>
      <c r="V23" s="42">
        <f>MAX(0,MIN(S23+T23-U23,R23))</f>
        <v/>
      </c>
      <c r="W23" s="42">
        <f>ROUND(S23+T23-U23-V23,2)</f>
        <v/>
      </c>
      <c r="X23">
        <f>R23-V23</f>
        <v/>
      </c>
      <c r="Y23" s="42">
        <f>AC22</f>
        <v/>
      </c>
      <c r="Z23" s="42">
        <f>ROUND(Y23*Z$6/12,2)</f>
        <v/>
      </c>
      <c r="AA23" s="42">
        <f>MIN(AA$6,Y23+Z23)</f>
        <v/>
      </c>
      <c r="AB23" s="42">
        <f>MAX(0,MIN(Y23+Z23-AA23,X23))</f>
        <v/>
      </c>
      <c r="AC23" s="42">
        <f>ROUND(Y23+Z23-AA23-AB23,2)</f>
        <v/>
      </c>
      <c r="AD23">
        <f>X23-AB23</f>
        <v/>
      </c>
      <c r="AE23" s="42">
        <f>AI22</f>
        <v/>
      </c>
      <c r="AF23" s="42">
        <f>ROUND(AE23*AF$6/12,2)</f>
        <v/>
      </c>
      <c r="AG23" s="42">
        <f>MIN(AG$6,AE23+AF23)</f>
        <v/>
      </c>
      <c r="AH23" s="42">
        <f>MAX(0,MIN(AE23+AF23-AG23,AD23))</f>
        <v/>
      </c>
      <c r="AI23" s="42">
        <f>ROUND(AE23+AF23-AG23-AH23,2)</f>
        <v/>
      </c>
      <c r="AJ23">
        <f>AD23-AH23</f>
        <v/>
      </c>
      <c r="AK23" s="42">
        <f>AO22</f>
        <v/>
      </c>
      <c r="AL23" s="42">
        <f>ROUND(AK23*AL$6/12,2)</f>
        <v/>
      </c>
      <c r="AM23" s="42">
        <f>MIN(AM$6,AK23+AL23)</f>
        <v/>
      </c>
      <c r="AN23" s="42">
        <f>MAX(0,MIN(AK23+AL23-AM23,AJ23))</f>
        <v/>
      </c>
      <c r="AO23" s="42">
        <f>ROUND(AK23+AL23-AM23-AN23,2)</f>
        <v/>
      </c>
      <c r="AP23">
        <f>AJ23-AN23</f>
        <v/>
      </c>
      <c r="AQ23" s="42">
        <f>AU22</f>
        <v/>
      </c>
      <c r="AR23" s="42">
        <f>ROUND(AQ23*AR$6/12,2)</f>
        <v/>
      </c>
      <c r="AS23" s="42">
        <f>MIN(AS$6,AQ23+AR23)</f>
        <v/>
      </c>
      <c r="AT23" s="42">
        <f>MAX(0,MIN(AQ23+AR23-AS23,AP23))</f>
        <v/>
      </c>
      <c r="AU23" s="42">
        <f>ROUND(AQ23+AR23-AS23-AT23,2)</f>
        <v/>
      </c>
      <c r="AV23">
        <f>AP23-AT23</f>
        <v/>
      </c>
      <c r="AW23" s="42">
        <f>BA22</f>
        <v/>
      </c>
      <c r="AX23" s="42">
        <f>ROUND(AW23*AX$6/12,2)</f>
        <v/>
      </c>
      <c r="AY23" s="42">
        <f>MIN(AY$6,AW23+AX23)</f>
        <v/>
      </c>
      <c r="AZ23" s="42">
        <f>MAX(0,MIN(AW23+AX23-AY23,AV23))</f>
        <v/>
      </c>
      <c r="BA23" s="42">
        <f>ROUND(AW23+AX23-AY23-AZ23,2)</f>
        <v/>
      </c>
      <c r="BB23">
        <f>AV23-AZ23</f>
        <v/>
      </c>
      <c r="BC23" s="42">
        <f>BG22</f>
        <v/>
      </c>
      <c r="BD23" s="42">
        <f>ROUND(BC23*BD$6/12,2)</f>
        <v/>
      </c>
      <c r="BE23" s="42">
        <f>MIN(BE$6,BC23+BD23)</f>
        <v/>
      </c>
      <c r="BF23" s="42">
        <f>MAX(0,MIN(BC23+BD23-BE23,BB23))</f>
        <v/>
      </c>
      <c r="BG23" s="42">
        <f>ROUND(BC23+BD23-BE23-BF23,2)</f>
        <v/>
      </c>
      <c r="BH23">
        <f>BB23-BF23</f>
        <v/>
      </c>
      <c r="BI23" s="42">
        <f>BM22</f>
        <v/>
      </c>
      <c r="BJ23" s="42">
        <f>ROUND(BI23*BJ$6/12,2)</f>
        <v/>
      </c>
      <c r="BK23" s="42">
        <f>MIN(BK$6,BI23+BJ23)</f>
        <v/>
      </c>
      <c r="BL23" s="42">
        <f>MAX(0,MIN(BI23+BJ23-BK23,BH23))</f>
        <v/>
      </c>
      <c r="BM23" s="42">
        <f>ROUND(BI23+BJ23-BK23-BL23,2)</f>
        <v/>
      </c>
      <c r="BN23">
        <f>BH23-BL23</f>
        <v/>
      </c>
    </row>
    <row r="24">
      <c r="A24" s="39" t="n">
        <v>17</v>
      </c>
      <c r="B24" s="40">
        <f>EDATE('My Debts'!$C$6,A24-1)</f>
        <v/>
      </c>
      <c r="C24" s="41">
        <f>K24+Q24+W24+AC24+AI24+AO24+AU24+BA24+BG24+BM24</f>
        <v/>
      </c>
      <c r="D24" s="42">
        <f>I24+O24+U24+AA24+AG24+AM24+AS24+AY24+BE24+BK24+J24+P24+V24+AB24+AH24+AN24+AT24+AZ24+BF24+BL24</f>
        <v/>
      </c>
      <c r="E24" s="42">
        <f>H24+N24+T24+Z24+AF24+AL24+AR24+AX24+BD24+BJ24</f>
        <v/>
      </c>
      <c r="F24" t="n">
        <v>0</v>
      </c>
      <c r="G24" s="42">
        <f>K23</f>
        <v/>
      </c>
      <c r="H24" s="42">
        <f>ROUND(G24*H$6/12,2)</f>
        <v/>
      </c>
      <c r="I24" s="42">
        <f>MIN(I$6,G24+H24)</f>
        <v/>
      </c>
      <c r="J24" s="42">
        <f>MAX(0,MIN(G24+H24-I24,$F24))</f>
        <v/>
      </c>
      <c r="K24" s="42">
        <f>ROUND(G24+H24-I24-J24,2)</f>
        <v/>
      </c>
      <c r="L24">
        <f>$F24-J24</f>
        <v/>
      </c>
      <c r="M24" s="42">
        <f>Q23</f>
        <v/>
      </c>
      <c r="N24" s="42">
        <f>ROUND(M24*N$6/12,2)</f>
        <v/>
      </c>
      <c r="O24" s="42">
        <f>MIN(O$6,M24+N24)</f>
        <v/>
      </c>
      <c r="P24" s="42">
        <f>MAX(0,MIN(M24+N24-O24,L24))</f>
        <v/>
      </c>
      <c r="Q24" s="42">
        <f>ROUND(M24+N24-O24-P24,2)</f>
        <v/>
      </c>
      <c r="R24">
        <f>L24-P24</f>
        <v/>
      </c>
      <c r="S24" s="42">
        <f>W23</f>
        <v/>
      </c>
      <c r="T24" s="42">
        <f>ROUND(S24*T$6/12,2)</f>
        <v/>
      </c>
      <c r="U24" s="42">
        <f>MIN(U$6,S24+T24)</f>
        <v/>
      </c>
      <c r="V24" s="42">
        <f>MAX(0,MIN(S24+T24-U24,R24))</f>
        <v/>
      </c>
      <c r="W24" s="42">
        <f>ROUND(S24+T24-U24-V24,2)</f>
        <v/>
      </c>
      <c r="X24">
        <f>R24-V24</f>
        <v/>
      </c>
      <c r="Y24" s="42">
        <f>AC23</f>
        <v/>
      </c>
      <c r="Z24" s="42">
        <f>ROUND(Y24*Z$6/12,2)</f>
        <v/>
      </c>
      <c r="AA24" s="42">
        <f>MIN(AA$6,Y24+Z24)</f>
        <v/>
      </c>
      <c r="AB24" s="42">
        <f>MAX(0,MIN(Y24+Z24-AA24,X24))</f>
        <v/>
      </c>
      <c r="AC24" s="42">
        <f>ROUND(Y24+Z24-AA24-AB24,2)</f>
        <v/>
      </c>
      <c r="AD24">
        <f>X24-AB24</f>
        <v/>
      </c>
      <c r="AE24" s="42">
        <f>AI23</f>
        <v/>
      </c>
      <c r="AF24" s="42">
        <f>ROUND(AE24*AF$6/12,2)</f>
        <v/>
      </c>
      <c r="AG24" s="42">
        <f>MIN(AG$6,AE24+AF24)</f>
        <v/>
      </c>
      <c r="AH24" s="42">
        <f>MAX(0,MIN(AE24+AF24-AG24,AD24))</f>
        <v/>
      </c>
      <c r="AI24" s="42">
        <f>ROUND(AE24+AF24-AG24-AH24,2)</f>
        <v/>
      </c>
      <c r="AJ24">
        <f>AD24-AH24</f>
        <v/>
      </c>
      <c r="AK24" s="42">
        <f>AO23</f>
        <v/>
      </c>
      <c r="AL24" s="42">
        <f>ROUND(AK24*AL$6/12,2)</f>
        <v/>
      </c>
      <c r="AM24" s="42">
        <f>MIN(AM$6,AK24+AL24)</f>
        <v/>
      </c>
      <c r="AN24" s="42">
        <f>MAX(0,MIN(AK24+AL24-AM24,AJ24))</f>
        <v/>
      </c>
      <c r="AO24" s="42">
        <f>ROUND(AK24+AL24-AM24-AN24,2)</f>
        <v/>
      </c>
      <c r="AP24">
        <f>AJ24-AN24</f>
        <v/>
      </c>
      <c r="AQ24" s="42">
        <f>AU23</f>
        <v/>
      </c>
      <c r="AR24" s="42">
        <f>ROUND(AQ24*AR$6/12,2)</f>
        <v/>
      </c>
      <c r="AS24" s="42">
        <f>MIN(AS$6,AQ24+AR24)</f>
        <v/>
      </c>
      <c r="AT24" s="42">
        <f>MAX(0,MIN(AQ24+AR24-AS24,AP24))</f>
        <v/>
      </c>
      <c r="AU24" s="42">
        <f>ROUND(AQ24+AR24-AS24-AT24,2)</f>
        <v/>
      </c>
      <c r="AV24">
        <f>AP24-AT24</f>
        <v/>
      </c>
      <c r="AW24" s="42">
        <f>BA23</f>
        <v/>
      </c>
      <c r="AX24" s="42">
        <f>ROUND(AW24*AX$6/12,2)</f>
        <v/>
      </c>
      <c r="AY24" s="42">
        <f>MIN(AY$6,AW24+AX24)</f>
        <v/>
      </c>
      <c r="AZ24" s="42">
        <f>MAX(0,MIN(AW24+AX24-AY24,AV24))</f>
        <v/>
      </c>
      <c r="BA24" s="42">
        <f>ROUND(AW24+AX24-AY24-AZ24,2)</f>
        <v/>
      </c>
      <c r="BB24">
        <f>AV24-AZ24</f>
        <v/>
      </c>
      <c r="BC24" s="42">
        <f>BG23</f>
        <v/>
      </c>
      <c r="BD24" s="42">
        <f>ROUND(BC24*BD$6/12,2)</f>
        <v/>
      </c>
      <c r="BE24" s="42">
        <f>MIN(BE$6,BC24+BD24)</f>
        <v/>
      </c>
      <c r="BF24" s="42">
        <f>MAX(0,MIN(BC24+BD24-BE24,BB24))</f>
        <v/>
      </c>
      <c r="BG24" s="42">
        <f>ROUND(BC24+BD24-BE24-BF24,2)</f>
        <v/>
      </c>
      <c r="BH24">
        <f>BB24-BF24</f>
        <v/>
      </c>
      <c r="BI24" s="42">
        <f>BM23</f>
        <v/>
      </c>
      <c r="BJ24" s="42">
        <f>ROUND(BI24*BJ$6/12,2)</f>
        <v/>
      </c>
      <c r="BK24" s="42">
        <f>MIN(BK$6,BI24+BJ24)</f>
        <v/>
      </c>
      <c r="BL24" s="42">
        <f>MAX(0,MIN(BI24+BJ24-BK24,BH24))</f>
        <v/>
      </c>
      <c r="BM24" s="42">
        <f>ROUND(BI24+BJ24-BK24-BL24,2)</f>
        <v/>
      </c>
      <c r="BN24">
        <f>BH24-BL24</f>
        <v/>
      </c>
    </row>
    <row r="25">
      <c r="A25" s="43" t="n">
        <v>18</v>
      </c>
      <c r="B25" s="44">
        <f>EDATE('My Debts'!$C$6,A25-1)</f>
        <v/>
      </c>
      <c r="C25" s="45">
        <f>K25+Q25+W25+AC25+AI25+AO25+AU25+BA25+BG25+BM25</f>
        <v/>
      </c>
      <c r="D25" s="46">
        <f>I25+O25+U25+AA25+AG25+AM25+AS25+AY25+BE25+BK25+J25+P25+V25+AB25+AH25+AN25+AT25+AZ25+BF25+BL25</f>
        <v/>
      </c>
      <c r="E25" s="46">
        <f>H25+N25+T25+Z25+AF25+AL25+AR25+AX25+BD25+BJ25</f>
        <v/>
      </c>
      <c r="F25" t="n">
        <v>0</v>
      </c>
      <c r="G25" s="42">
        <f>K24</f>
        <v/>
      </c>
      <c r="H25" s="42">
        <f>ROUND(G25*H$6/12,2)</f>
        <v/>
      </c>
      <c r="I25" s="42">
        <f>MIN(I$6,G25+H25)</f>
        <v/>
      </c>
      <c r="J25" s="42">
        <f>MAX(0,MIN(G25+H25-I25,$F25))</f>
        <v/>
      </c>
      <c r="K25" s="42">
        <f>ROUND(G25+H25-I25-J25,2)</f>
        <v/>
      </c>
      <c r="L25">
        <f>$F25-J25</f>
        <v/>
      </c>
      <c r="M25" s="42">
        <f>Q24</f>
        <v/>
      </c>
      <c r="N25" s="42">
        <f>ROUND(M25*N$6/12,2)</f>
        <v/>
      </c>
      <c r="O25" s="42">
        <f>MIN(O$6,M25+N25)</f>
        <v/>
      </c>
      <c r="P25" s="42">
        <f>MAX(0,MIN(M25+N25-O25,L25))</f>
        <v/>
      </c>
      <c r="Q25" s="42">
        <f>ROUND(M25+N25-O25-P25,2)</f>
        <v/>
      </c>
      <c r="R25">
        <f>L25-P25</f>
        <v/>
      </c>
      <c r="S25" s="42">
        <f>W24</f>
        <v/>
      </c>
      <c r="T25" s="42">
        <f>ROUND(S25*T$6/12,2)</f>
        <v/>
      </c>
      <c r="U25" s="42">
        <f>MIN(U$6,S25+T25)</f>
        <v/>
      </c>
      <c r="V25" s="42">
        <f>MAX(0,MIN(S25+T25-U25,R25))</f>
        <v/>
      </c>
      <c r="W25" s="42">
        <f>ROUND(S25+T25-U25-V25,2)</f>
        <v/>
      </c>
      <c r="X25">
        <f>R25-V25</f>
        <v/>
      </c>
      <c r="Y25" s="42">
        <f>AC24</f>
        <v/>
      </c>
      <c r="Z25" s="42">
        <f>ROUND(Y25*Z$6/12,2)</f>
        <v/>
      </c>
      <c r="AA25" s="42">
        <f>MIN(AA$6,Y25+Z25)</f>
        <v/>
      </c>
      <c r="AB25" s="42">
        <f>MAX(0,MIN(Y25+Z25-AA25,X25))</f>
        <v/>
      </c>
      <c r="AC25" s="42">
        <f>ROUND(Y25+Z25-AA25-AB25,2)</f>
        <v/>
      </c>
      <c r="AD25">
        <f>X25-AB25</f>
        <v/>
      </c>
      <c r="AE25" s="42">
        <f>AI24</f>
        <v/>
      </c>
      <c r="AF25" s="42">
        <f>ROUND(AE25*AF$6/12,2)</f>
        <v/>
      </c>
      <c r="AG25" s="42">
        <f>MIN(AG$6,AE25+AF25)</f>
        <v/>
      </c>
      <c r="AH25" s="42">
        <f>MAX(0,MIN(AE25+AF25-AG25,AD25))</f>
        <v/>
      </c>
      <c r="AI25" s="42">
        <f>ROUND(AE25+AF25-AG25-AH25,2)</f>
        <v/>
      </c>
      <c r="AJ25">
        <f>AD25-AH25</f>
        <v/>
      </c>
      <c r="AK25" s="42">
        <f>AO24</f>
        <v/>
      </c>
      <c r="AL25" s="42">
        <f>ROUND(AK25*AL$6/12,2)</f>
        <v/>
      </c>
      <c r="AM25" s="42">
        <f>MIN(AM$6,AK25+AL25)</f>
        <v/>
      </c>
      <c r="AN25" s="42">
        <f>MAX(0,MIN(AK25+AL25-AM25,AJ25))</f>
        <v/>
      </c>
      <c r="AO25" s="42">
        <f>ROUND(AK25+AL25-AM25-AN25,2)</f>
        <v/>
      </c>
      <c r="AP25">
        <f>AJ25-AN25</f>
        <v/>
      </c>
      <c r="AQ25" s="42">
        <f>AU24</f>
        <v/>
      </c>
      <c r="AR25" s="42">
        <f>ROUND(AQ25*AR$6/12,2)</f>
        <v/>
      </c>
      <c r="AS25" s="42">
        <f>MIN(AS$6,AQ25+AR25)</f>
        <v/>
      </c>
      <c r="AT25" s="42">
        <f>MAX(0,MIN(AQ25+AR25-AS25,AP25))</f>
        <v/>
      </c>
      <c r="AU25" s="42">
        <f>ROUND(AQ25+AR25-AS25-AT25,2)</f>
        <v/>
      </c>
      <c r="AV25">
        <f>AP25-AT25</f>
        <v/>
      </c>
      <c r="AW25" s="42">
        <f>BA24</f>
        <v/>
      </c>
      <c r="AX25" s="42">
        <f>ROUND(AW25*AX$6/12,2)</f>
        <v/>
      </c>
      <c r="AY25" s="42">
        <f>MIN(AY$6,AW25+AX25)</f>
        <v/>
      </c>
      <c r="AZ25" s="42">
        <f>MAX(0,MIN(AW25+AX25-AY25,AV25))</f>
        <v/>
      </c>
      <c r="BA25" s="42">
        <f>ROUND(AW25+AX25-AY25-AZ25,2)</f>
        <v/>
      </c>
      <c r="BB25">
        <f>AV25-AZ25</f>
        <v/>
      </c>
      <c r="BC25" s="42">
        <f>BG24</f>
        <v/>
      </c>
      <c r="BD25" s="42">
        <f>ROUND(BC25*BD$6/12,2)</f>
        <v/>
      </c>
      <c r="BE25" s="42">
        <f>MIN(BE$6,BC25+BD25)</f>
        <v/>
      </c>
      <c r="BF25" s="42">
        <f>MAX(0,MIN(BC25+BD25-BE25,BB25))</f>
        <v/>
      </c>
      <c r="BG25" s="42">
        <f>ROUND(BC25+BD25-BE25-BF25,2)</f>
        <v/>
      </c>
      <c r="BH25">
        <f>BB25-BF25</f>
        <v/>
      </c>
      <c r="BI25" s="42">
        <f>BM24</f>
        <v/>
      </c>
      <c r="BJ25" s="42">
        <f>ROUND(BI25*BJ$6/12,2)</f>
        <v/>
      </c>
      <c r="BK25" s="42">
        <f>MIN(BK$6,BI25+BJ25)</f>
        <v/>
      </c>
      <c r="BL25" s="42">
        <f>MAX(0,MIN(BI25+BJ25-BK25,BH25))</f>
        <v/>
      </c>
      <c r="BM25" s="42">
        <f>ROUND(BI25+BJ25-BK25-BL25,2)</f>
        <v/>
      </c>
      <c r="BN25">
        <f>BH25-BL25</f>
        <v/>
      </c>
    </row>
    <row r="26">
      <c r="A26" s="39" t="n">
        <v>19</v>
      </c>
      <c r="B26" s="40">
        <f>EDATE('My Debts'!$C$6,A26-1)</f>
        <v/>
      </c>
      <c r="C26" s="41">
        <f>K26+Q26+W26+AC26+AI26+AO26+AU26+BA26+BG26+BM26</f>
        <v/>
      </c>
      <c r="D26" s="42">
        <f>I26+O26+U26+AA26+AG26+AM26+AS26+AY26+BE26+BK26+J26+P26+V26+AB26+AH26+AN26+AT26+AZ26+BF26+BL26</f>
        <v/>
      </c>
      <c r="E26" s="42">
        <f>H26+N26+T26+Z26+AF26+AL26+AR26+AX26+BD26+BJ26</f>
        <v/>
      </c>
      <c r="F26" t="n">
        <v>0</v>
      </c>
      <c r="G26" s="42">
        <f>K25</f>
        <v/>
      </c>
      <c r="H26" s="42">
        <f>ROUND(G26*H$6/12,2)</f>
        <v/>
      </c>
      <c r="I26" s="42">
        <f>MIN(I$6,G26+H26)</f>
        <v/>
      </c>
      <c r="J26" s="42">
        <f>MAX(0,MIN(G26+H26-I26,$F26))</f>
        <v/>
      </c>
      <c r="K26" s="42">
        <f>ROUND(G26+H26-I26-J26,2)</f>
        <v/>
      </c>
      <c r="L26">
        <f>$F26-J26</f>
        <v/>
      </c>
      <c r="M26" s="42">
        <f>Q25</f>
        <v/>
      </c>
      <c r="N26" s="42">
        <f>ROUND(M26*N$6/12,2)</f>
        <v/>
      </c>
      <c r="O26" s="42">
        <f>MIN(O$6,M26+N26)</f>
        <v/>
      </c>
      <c r="P26" s="42">
        <f>MAX(0,MIN(M26+N26-O26,L26))</f>
        <v/>
      </c>
      <c r="Q26" s="42">
        <f>ROUND(M26+N26-O26-P26,2)</f>
        <v/>
      </c>
      <c r="R26">
        <f>L26-P26</f>
        <v/>
      </c>
      <c r="S26" s="42">
        <f>W25</f>
        <v/>
      </c>
      <c r="T26" s="42">
        <f>ROUND(S26*T$6/12,2)</f>
        <v/>
      </c>
      <c r="U26" s="42">
        <f>MIN(U$6,S26+T26)</f>
        <v/>
      </c>
      <c r="V26" s="42">
        <f>MAX(0,MIN(S26+T26-U26,R26))</f>
        <v/>
      </c>
      <c r="W26" s="42">
        <f>ROUND(S26+T26-U26-V26,2)</f>
        <v/>
      </c>
      <c r="X26">
        <f>R26-V26</f>
        <v/>
      </c>
      <c r="Y26" s="42">
        <f>AC25</f>
        <v/>
      </c>
      <c r="Z26" s="42">
        <f>ROUND(Y26*Z$6/12,2)</f>
        <v/>
      </c>
      <c r="AA26" s="42">
        <f>MIN(AA$6,Y26+Z26)</f>
        <v/>
      </c>
      <c r="AB26" s="42">
        <f>MAX(0,MIN(Y26+Z26-AA26,X26))</f>
        <v/>
      </c>
      <c r="AC26" s="42">
        <f>ROUND(Y26+Z26-AA26-AB26,2)</f>
        <v/>
      </c>
      <c r="AD26">
        <f>X26-AB26</f>
        <v/>
      </c>
      <c r="AE26" s="42">
        <f>AI25</f>
        <v/>
      </c>
      <c r="AF26" s="42">
        <f>ROUND(AE26*AF$6/12,2)</f>
        <v/>
      </c>
      <c r="AG26" s="42">
        <f>MIN(AG$6,AE26+AF26)</f>
        <v/>
      </c>
      <c r="AH26" s="42">
        <f>MAX(0,MIN(AE26+AF26-AG26,AD26))</f>
        <v/>
      </c>
      <c r="AI26" s="42">
        <f>ROUND(AE26+AF26-AG26-AH26,2)</f>
        <v/>
      </c>
      <c r="AJ26">
        <f>AD26-AH26</f>
        <v/>
      </c>
      <c r="AK26" s="42">
        <f>AO25</f>
        <v/>
      </c>
      <c r="AL26" s="42">
        <f>ROUND(AK26*AL$6/12,2)</f>
        <v/>
      </c>
      <c r="AM26" s="42">
        <f>MIN(AM$6,AK26+AL26)</f>
        <v/>
      </c>
      <c r="AN26" s="42">
        <f>MAX(0,MIN(AK26+AL26-AM26,AJ26))</f>
        <v/>
      </c>
      <c r="AO26" s="42">
        <f>ROUND(AK26+AL26-AM26-AN26,2)</f>
        <v/>
      </c>
      <c r="AP26">
        <f>AJ26-AN26</f>
        <v/>
      </c>
      <c r="AQ26" s="42">
        <f>AU25</f>
        <v/>
      </c>
      <c r="AR26" s="42">
        <f>ROUND(AQ26*AR$6/12,2)</f>
        <v/>
      </c>
      <c r="AS26" s="42">
        <f>MIN(AS$6,AQ26+AR26)</f>
        <v/>
      </c>
      <c r="AT26" s="42">
        <f>MAX(0,MIN(AQ26+AR26-AS26,AP26))</f>
        <v/>
      </c>
      <c r="AU26" s="42">
        <f>ROUND(AQ26+AR26-AS26-AT26,2)</f>
        <v/>
      </c>
      <c r="AV26">
        <f>AP26-AT26</f>
        <v/>
      </c>
      <c r="AW26" s="42">
        <f>BA25</f>
        <v/>
      </c>
      <c r="AX26" s="42">
        <f>ROUND(AW26*AX$6/12,2)</f>
        <v/>
      </c>
      <c r="AY26" s="42">
        <f>MIN(AY$6,AW26+AX26)</f>
        <v/>
      </c>
      <c r="AZ26" s="42">
        <f>MAX(0,MIN(AW26+AX26-AY26,AV26))</f>
        <v/>
      </c>
      <c r="BA26" s="42">
        <f>ROUND(AW26+AX26-AY26-AZ26,2)</f>
        <v/>
      </c>
      <c r="BB26">
        <f>AV26-AZ26</f>
        <v/>
      </c>
      <c r="BC26" s="42">
        <f>BG25</f>
        <v/>
      </c>
      <c r="BD26" s="42">
        <f>ROUND(BC26*BD$6/12,2)</f>
        <v/>
      </c>
      <c r="BE26" s="42">
        <f>MIN(BE$6,BC26+BD26)</f>
        <v/>
      </c>
      <c r="BF26" s="42">
        <f>MAX(0,MIN(BC26+BD26-BE26,BB26))</f>
        <v/>
      </c>
      <c r="BG26" s="42">
        <f>ROUND(BC26+BD26-BE26-BF26,2)</f>
        <v/>
      </c>
      <c r="BH26">
        <f>BB26-BF26</f>
        <v/>
      </c>
      <c r="BI26" s="42">
        <f>BM25</f>
        <v/>
      </c>
      <c r="BJ26" s="42">
        <f>ROUND(BI26*BJ$6/12,2)</f>
        <v/>
      </c>
      <c r="BK26" s="42">
        <f>MIN(BK$6,BI26+BJ26)</f>
        <v/>
      </c>
      <c r="BL26" s="42">
        <f>MAX(0,MIN(BI26+BJ26-BK26,BH26))</f>
        <v/>
      </c>
      <c r="BM26" s="42">
        <f>ROUND(BI26+BJ26-BK26-BL26,2)</f>
        <v/>
      </c>
      <c r="BN26">
        <f>BH26-BL26</f>
        <v/>
      </c>
    </row>
    <row r="27">
      <c r="A27" s="43" t="n">
        <v>20</v>
      </c>
      <c r="B27" s="44">
        <f>EDATE('My Debts'!$C$6,A27-1)</f>
        <v/>
      </c>
      <c r="C27" s="45">
        <f>K27+Q27+W27+AC27+AI27+AO27+AU27+BA27+BG27+BM27</f>
        <v/>
      </c>
      <c r="D27" s="46">
        <f>I27+O27+U27+AA27+AG27+AM27+AS27+AY27+BE27+BK27+J27+P27+V27+AB27+AH27+AN27+AT27+AZ27+BF27+BL27</f>
        <v/>
      </c>
      <c r="E27" s="46">
        <f>H27+N27+T27+Z27+AF27+AL27+AR27+AX27+BD27+BJ27</f>
        <v/>
      </c>
      <c r="F27" t="n">
        <v>0</v>
      </c>
      <c r="G27" s="42">
        <f>K26</f>
        <v/>
      </c>
      <c r="H27" s="42">
        <f>ROUND(G27*H$6/12,2)</f>
        <v/>
      </c>
      <c r="I27" s="42">
        <f>MIN(I$6,G27+H27)</f>
        <v/>
      </c>
      <c r="J27" s="42">
        <f>MAX(0,MIN(G27+H27-I27,$F27))</f>
        <v/>
      </c>
      <c r="K27" s="42">
        <f>ROUND(G27+H27-I27-J27,2)</f>
        <v/>
      </c>
      <c r="L27">
        <f>$F27-J27</f>
        <v/>
      </c>
      <c r="M27" s="42">
        <f>Q26</f>
        <v/>
      </c>
      <c r="N27" s="42">
        <f>ROUND(M27*N$6/12,2)</f>
        <v/>
      </c>
      <c r="O27" s="42">
        <f>MIN(O$6,M27+N27)</f>
        <v/>
      </c>
      <c r="P27" s="42">
        <f>MAX(0,MIN(M27+N27-O27,L27))</f>
        <v/>
      </c>
      <c r="Q27" s="42">
        <f>ROUND(M27+N27-O27-P27,2)</f>
        <v/>
      </c>
      <c r="R27">
        <f>L27-P27</f>
        <v/>
      </c>
      <c r="S27" s="42">
        <f>W26</f>
        <v/>
      </c>
      <c r="T27" s="42">
        <f>ROUND(S27*T$6/12,2)</f>
        <v/>
      </c>
      <c r="U27" s="42">
        <f>MIN(U$6,S27+T27)</f>
        <v/>
      </c>
      <c r="V27" s="42">
        <f>MAX(0,MIN(S27+T27-U27,R27))</f>
        <v/>
      </c>
      <c r="W27" s="42">
        <f>ROUND(S27+T27-U27-V27,2)</f>
        <v/>
      </c>
      <c r="X27">
        <f>R27-V27</f>
        <v/>
      </c>
      <c r="Y27" s="42">
        <f>AC26</f>
        <v/>
      </c>
      <c r="Z27" s="42">
        <f>ROUND(Y27*Z$6/12,2)</f>
        <v/>
      </c>
      <c r="AA27" s="42">
        <f>MIN(AA$6,Y27+Z27)</f>
        <v/>
      </c>
      <c r="AB27" s="42">
        <f>MAX(0,MIN(Y27+Z27-AA27,X27))</f>
        <v/>
      </c>
      <c r="AC27" s="42">
        <f>ROUND(Y27+Z27-AA27-AB27,2)</f>
        <v/>
      </c>
      <c r="AD27">
        <f>X27-AB27</f>
        <v/>
      </c>
      <c r="AE27" s="42">
        <f>AI26</f>
        <v/>
      </c>
      <c r="AF27" s="42">
        <f>ROUND(AE27*AF$6/12,2)</f>
        <v/>
      </c>
      <c r="AG27" s="42">
        <f>MIN(AG$6,AE27+AF27)</f>
        <v/>
      </c>
      <c r="AH27" s="42">
        <f>MAX(0,MIN(AE27+AF27-AG27,AD27))</f>
        <v/>
      </c>
      <c r="AI27" s="42">
        <f>ROUND(AE27+AF27-AG27-AH27,2)</f>
        <v/>
      </c>
      <c r="AJ27">
        <f>AD27-AH27</f>
        <v/>
      </c>
      <c r="AK27" s="42">
        <f>AO26</f>
        <v/>
      </c>
      <c r="AL27" s="42">
        <f>ROUND(AK27*AL$6/12,2)</f>
        <v/>
      </c>
      <c r="AM27" s="42">
        <f>MIN(AM$6,AK27+AL27)</f>
        <v/>
      </c>
      <c r="AN27" s="42">
        <f>MAX(0,MIN(AK27+AL27-AM27,AJ27))</f>
        <v/>
      </c>
      <c r="AO27" s="42">
        <f>ROUND(AK27+AL27-AM27-AN27,2)</f>
        <v/>
      </c>
      <c r="AP27">
        <f>AJ27-AN27</f>
        <v/>
      </c>
      <c r="AQ27" s="42">
        <f>AU26</f>
        <v/>
      </c>
      <c r="AR27" s="42">
        <f>ROUND(AQ27*AR$6/12,2)</f>
        <v/>
      </c>
      <c r="AS27" s="42">
        <f>MIN(AS$6,AQ27+AR27)</f>
        <v/>
      </c>
      <c r="AT27" s="42">
        <f>MAX(0,MIN(AQ27+AR27-AS27,AP27))</f>
        <v/>
      </c>
      <c r="AU27" s="42">
        <f>ROUND(AQ27+AR27-AS27-AT27,2)</f>
        <v/>
      </c>
      <c r="AV27">
        <f>AP27-AT27</f>
        <v/>
      </c>
      <c r="AW27" s="42">
        <f>BA26</f>
        <v/>
      </c>
      <c r="AX27" s="42">
        <f>ROUND(AW27*AX$6/12,2)</f>
        <v/>
      </c>
      <c r="AY27" s="42">
        <f>MIN(AY$6,AW27+AX27)</f>
        <v/>
      </c>
      <c r="AZ27" s="42">
        <f>MAX(0,MIN(AW27+AX27-AY27,AV27))</f>
        <v/>
      </c>
      <c r="BA27" s="42">
        <f>ROUND(AW27+AX27-AY27-AZ27,2)</f>
        <v/>
      </c>
      <c r="BB27">
        <f>AV27-AZ27</f>
        <v/>
      </c>
      <c r="BC27" s="42">
        <f>BG26</f>
        <v/>
      </c>
      <c r="BD27" s="42">
        <f>ROUND(BC27*BD$6/12,2)</f>
        <v/>
      </c>
      <c r="BE27" s="42">
        <f>MIN(BE$6,BC27+BD27)</f>
        <v/>
      </c>
      <c r="BF27" s="42">
        <f>MAX(0,MIN(BC27+BD27-BE27,BB27))</f>
        <v/>
      </c>
      <c r="BG27" s="42">
        <f>ROUND(BC27+BD27-BE27-BF27,2)</f>
        <v/>
      </c>
      <c r="BH27">
        <f>BB27-BF27</f>
        <v/>
      </c>
      <c r="BI27" s="42">
        <f>BM26</f>
        <v/>
      </c>
      <c r="BJ27" s="42">
        <f>ROUND(BI27*BJ$6/12,2)</f>
        <v/>
      </c>
      <c r="BK27" s="42">
        <f>MIN(BK$6,BI27+BJ27)</f>
        <v/>
      </c>
      <c r="BL27" s="42">
        <f>MAX(0,MIN(BI27+BJ27-BK27,BH27))</f>
        <v/>
      </c>
      <c r="BM27" s="42">
        <f>ROUND(BI27+BJ27-BK27-BL27,2)</f>
        <v/>
      </c>
      <c r="BN27">
        <f>BH27-BL27</f>
        <v/>
      </c>
    </row>
    <row r="28">
      <c r="A28" s="39" t="n">
        <v>21</v>
      </c>
      <c r="B28" s="40">
        <f>EDATE('My Debts'!$C$6,A28-1)</f>
        <v/>
      </c>
      <c r="C28" s="41">
        <f>K28+Q28+W28+AC28+AI28+AO28+AU28+BA28+BG28+BM28</f>
        <v/>
      </c>
      <c r="D28" s="42">
        <f>I28+O28+U28+AA28+AG28+AM28+AS28+AY28+BE28+BK28+J28+P28+V28+AB28+AH28+AN28+AT28+AZ28+BF28+BL28</f>
        <v/>
      </c>
      <c r="E28" s="42">
        <f>H28+N28+T28+Z28+AF28+AL28+AR28+AX28+BD28+BJ28</f>
        <v/>
      </c>
      <c r="F28" t="n">
        <v>0</v>
      </c>
      <c r="G28" s="42">
        <f>K27</f>
        <v/>
      </c>
      <c r="H28" s="42">
        <f>ROUND(G28*H$6/12,2)</f>
        <v/>
      </c>
      <c r="I28" s="42">
        <f>MIN(I$6,G28+H28)</f>
        <v/>
      </c>
      <c r="J28" s="42">
        <f>MAX(0,MIN(G28+H28-I28,$F28))</f>
        <v/>
      </c>
      <c r="K28" s="42">
        <f>ROUND(G28+H28-I28-J28,2)</f>
        <v/>
      </c>
      <c r="L28">
        <f>$F28-J28</f>
        <v/>
      </c>
      <c r="M28" s="42">
        <f>Q27</f>
        <v/>
      </c>
      <c r="N28" s="42">
        <f>ROUND(M28*N$6/12,2)</f>
        <v/>
      </c>
      <c r="O28" s="42">
        <f>MIN(O$6,M28+N28)</f>
        <v/>
      </c>
      <c r="P28" s="42">
        <f>MAX(0,MIN(M28+N28-O28,L28))</f>
        <v/>
      </c>
      <c r="Q28" s="42">
        <f>ROUND(M28+N28-O28-P28,2)</f>
        <v/>
      </c>
      <c r="R28">
        <f>L28-P28</f>
        <v/>
      </c>
      <c r="S28" s="42">
        <f>W27</f>
        <v/>
      </c>
      <c r="T28" s="42">
        <f>ROUND(S28*T$6/12,2)</f>
        <v/>
      </c>
      <c r="U28" s="42">
        <f>MIN(U$6,S28+T28)</f>
        <v/>
      </c>
      <c r="V28" s="42">
        <f>MAX(0,MIN(S28+T28-U28,R28))</f>
        <v/>
      </c>
      <c r="W28" s="42">
        <f>ROUND(S28+T28-U28-V28,2)</f>
        <v/>
      </c>
      <c r="X28">
        <f>R28-V28</f>
        <v/>
      </c>
      <c r="Y28" s="42">
        <f>AC27</f>
        <v/>
      </c>
      <c r="Z28" s="42">
        <f>ROUND(Y28*Z$6/12,2)</f>
        <v/>
      </c>
      <c r="AA28" s="42">
        <f>MIN(AA$6,Y28+Z28)</f>
        <v/>
      </c>
      <c r="AB28" s="42">
        <f>MAX(0,MIN(Y28+Z28-AA28,X28))</f>
        <v/>
      </c>
      <c r="AC28" s="42">
        <f>ROUND(Y28+Z28-AA28-AB28,2)</f>
        <v/>
      </c>
      <c r="AD28">
        <f>X28-AB28</f>
        <v/>
      </c>
      <c r="AE28" s="42">
        <f>AI27</f>
        <v/>
      </c>
      <c r="AF28" s="42">
        <f>ROUND(AE28*AF$6/12,2)</f>
        <v/>
      </c>
      <c r="AG28" s="42">
        <f>MIN(AG$6,AE28+AF28)</f>
        <v/>
      </c>
      <c r="AH28" s="42">
        <f>MAX(0,MIN(AE28+AF28-AG28,AD28))</f>
        <v/>
      </c>
      <c r="AI28" s="42">
        <f>ROUND(AE28+AF28-AG28-AH28,2)</f>
        <v/>
      </c>
      <c r="AJ28">
        <f>AD28-AH28</f>
        <v/>
      </c>
      <c r="AK28" s="42">
        <f>AO27</f>
        <v/>
      </c>
      <c r="AL28" s="42">
        <f>ROUND(AK28*AL$6/12,2)</f>
        <v/>
      </c>
      <c r="AM28" s="42">
        <f>MIN(AM$6,AK28+AL28)</f>
        <v/>
      </c>
      <c r="AN28" s="42">
        <f>MAX(0,MIN(AK28+AL28-AM28,AJ28))</f>
        <v/>
      </c>
      <c r="AO28" s="42">
        <f>ROUND(AK28+AL28-AM28-AN28,2)</f>
        <v/>
      </c>
      <c r="AP28">
        <f>AJ28-AN28</f>
        <v/>
      </c>
      <c r="AQ28" s="42">
        <f>AU27</f>
        <v/>
      </c>
      <c r="AR28" s="42">
        <f>ROUND(AQ28*AR$6/12,2)</f>
        <v/>
      </c>
      <c r="AS28" s="42">
        <f>MIN(AS$6,AQ28+AR28)</f>
        <v/>
      </c>
      <c r="AT28" s="42">
        <f>MAX(0,MIN(AQ28+AR28-AS28,AP28))</f>
        <v/>
      </c>
      <c r="AU28" s="42">
        <f>ROUND(AQ28+AR28-AS28-AT28,2)</f>
        <v/>
      </c>
      <c r="AV28">
        <f>AP28-AT28</f>
        <v/>
      </c>
      <c r="AW28" s="42">
        <f>BA27</f>
        <v/>
      </c>
      <c r="AX28" s="42">
        <f>ROUND(AW28*AX$6/12,2)</f>
        <v/>
      </c>
      <c r="AY28" s="42">
        <f>MIN(AY$6,AW28+AX28)</f>
        <v/>
      </c>
      <c r="AZ28" s="42">
        <f>MAX(0,MIN(AW28+AX28-AY28,AV28))</f>
        <v/>
      </c>
      <c r="BA28" s="42">
        <f>ROUND(AW28+AX28-AY28-AZ28,2)</f>
        <v/>
      </c>
      <c r="BB28">
        <f>AV28-AZ28</f>
        <v/>
      </c>
      <c r="BC28" s="42">
        <f>BG27</f>
        <v/>
      </c>
      <c r="BD28" s="42">
        <f>ROUND(BC28*BD$6/12,2)</f>
        <v/>
      </c>
      <c r="BE28" s="42">
        <f>MIN(BE$6,BC28+BD28)</f>
        <v/>
      </c>
      <c r="BF28" s="42">
        <f>MAX(0,MIN(BC28+BD28-BE28,BB28))</f>
        <v/>
      </c>
      <c r="BG28" s="42">
        <f>ROUND(BC28+BD28-BE28-BF28,2)</f>
        <v/>
      </c>
      <c r="BH28">
        <f>BB28-BF28</f>
        <v/>
      </c>
      <c r="BI28" s="42">
        <f>BM27</f>
        <v/>
      </c>
      <c r="BJ28" s="42">
        <f>ROUND(BI28*BJ$6/12,2)</f>
        <v/>
      </c>
      <c r="BK28" s="42">
        <f>MIN(BK$6,BI28+BJ28)</f>
        <v/>
      </c>
      <c r="BL28" s="42">
        <f>MAX(0,MIN(BI28+BJ28-BK28,BH28))</f>
        <v/>
      </c>
      <c r="BM28" s="42">
        <f>ROUND(BI28+BJ28-BK28-BL28,2)</f>
        <v/>
      </c>
      <c r="BN28">
        <f>BH28-BL28</f>
        <v/>
      </c>
    </row>
    <row r="29">
      <c r="A29" s="43" t="n">
        <v>22</v>
      </c>
      <c r="B29" s="44">
        <f>EDATE('My Debts'!$C$6,A29-1)</f>
        <v/>
      </c>
      <c r="C29" s="45">
        <f>K29+Q29+W29+AC29+AI29+AO29+AU29+BA29+BG29+BM29</f>
        <v/>
      </c>
      <c r="D29" s="46">
        <f>I29+O29+U29+AA29+AG29+AM29+AS29+AY29+BE29+BK29+J29+P29+V29+AB29+AH29+AN29+AT29+AZ29+BF29+BL29</f>
        <v/>
      </c>
      <c r="E29" s="46">
        <f>H29+N29+T29+Z29+AF29+AL29+AR29+AX29+BD29+BJ29</f>
        <v/>
      </c>
      <c r="F29" t="n">
        <v>0</v>
      </c>
      <c r="G29" s="42">
        <f>K28</f>
        <v/>
      </c>
      <c r="H29" s="42">
        <f>ROUND(G29*H$6/12,2)</f>
        <v/>
      </c>
      <c r="I29" s="42">
        <f>MIN(I$6,G29+H29)</f>
        <v/>
      </c>
      <c r="J29" s="42">
        <f>MAX(0,MIN(G29+H29-I29,$F29))</f>
        <v/>
      </c>
      <c r="K29" s="42">
        <f>ROUND(G29+H29-I29-J29,2)</f>
        <v/>
      </c>
      <c r="L29">
        <f>$F29-J29</f>
        <v/>
      </c>
      <c r="M29" s="42">
        <f>Q28</f>
        <v/>
      </c>
      <c r="N29" s="42">
        <f>ROUND(M29*N$6/12,2)</f>
        <v/>
      </c>
      <c r="O29" s="42">
        <f>MIN(O$6,M29+N29)</f>
        <v/>
      </c>
      <c r="P29" s="42">
        <f>MAX(0,MIN(M29+N29-O29,L29))</f>
        <v/>
      </c>
      <c r="Q29" s="42">
        <f>ROUND(M29+N29-O29-P29,2)</f>
        <v/>
      </c>
      <c r="R29">
        <f>L29-P29</f>
        <v/>
      </c>
      <c r="S29" s="42">
        <f>W28</f>
        <v/>
      </c>
      <c r="T29" s="42">
        <f>ROUND(S29*T$6/12,2)</f>
        <v/>
      </c>
      <c r="U29" s="42">
        <f>MIN(U$6,S29+T29)</f>
        <v/>
      </c>
      <c r="V29" s="42">
        <f>MAX(0,MIN(S29+T29-U29,R29))</f>
        <v/>
      </c>
      <c r="W29" s="42">
        <f>ROUND(S29+T29-U29-V29,2)</f>
        <v/>
      </c>
      <c r="X29">
        <f>R29-V29</f>
        <v/>
      </c>
      <c r="Y29" s="42">
        <f>AC28</f>
        <v/>
      </c>
      <c r="Z29" s="42">
        <f>ROUND(Y29*Z$6/12,2)</f>
        <v/>
      </c>
      <c r="AA29" s="42">
        <f>MIN(AA$6,Y29+Z29)</f>
        <v/>
      </c>
      <c r="AB29" s="42">
        <f>MAX(0,MIN(Y29+Z29-AA29,X29))</f>
        <v/>
      </c>
      <c r="AC29" s="42">
        <f>ROUND(Y29+Z29-AA29-AB29,2)</f>
        <v/>
      </c>
      <c r="AD29">
        <f>X29-AB29</f>
        <v/>
      </c>
      <c r="AE29" s="42">
        <f>AI28</f>
        <v/>
      </c>
      <c r="AF29" s="42">
        <f>ROUND(AE29*AF$6/12,2)</f>
        <v/>
      </c>
      <c r="AG29" s="42">
        <f>MIN(AG$6,AE29+AF29)</f>
        <v/>
      </c>
      <c r="AH29" s="42">
        <f>MAX(0,MIN(AE29+AF29-AG29,AD29))</f>
        <v/>
      </c>
      <c r="AI29" s="42">
        <f>ROUND(AE29+AF29-AG29-AH29,2)</f>
        <v/>
      </c>
      <c r="AJ29">
        <f>AD29-AH29</f>
        <v/>
      </c>
      <c r="AK29" s="42">
        <f>AO28</f>
        <v/>
      </c>
      <c r="AL29" s="42">
        <f>ROUND(AK29*AL$6/12,2)</f>
        <v/>
      </c>
      <c r="AM29" s="42">
        <f>MIN(AM$6,AK29+AL29)</f>
        <v/>
      </c>
      <c r="AN29" s="42">
        <f>MAX(0,MIN(AK29+AL29-AM29,AJ29))</f>
        <v/>
      </c>
      <c r="AO29" s="42">
        <f>ROUND(AK29+AL29-AM29-AN29,2)</f>
        <v/>
      </c>
      <c r="AP29">
        <f>AJ29-AN29</f>
        <v/>
      </c>
      <c r="AQ29" s="42">
        <f>AU28</f>
        <v/>
      </c>
      <c r="AR29" s="42">
        <f>ROUND(AQ29*AR$6/12,2)</f>
        <v/>
      </c>
      <c r="AS29" s="42">
        <f>MIN(AS$6,AQ29+AR29)</f>
        <v/>
      </c>
      <c r="AT29" s="42">
        <f>MAX(0,MIN(AQ29+AR29-AS29,AP29))</f>
        <v/>
      </c>
      <c r="AU29" s="42">
        <f>ROUND(AQ29+AR29-AS29-AT29,2)</f>
        <v/>
      </c>
      <c r="AV29">
        <f>AP29-AT29</f>
        <v/>
      </c>
      <c r="AW29" s="42">
        <f>BA28</f>
        <v/>
      </c>
      <c r="AX29" s="42">
        <f>ROUND(AW29*AX$6/12,2)</f>
        <v/>
      </c>
      <c r="AY29" s="42">
        <f>MIN(AY$6,AW29+AX29)</f>
        <v/>
      </c>
      <c r="AZ29" s="42">
        <f>MAX(0,MIN(AW29+AX29-AY29,AV29))</f>
        <v/>
      </c>
      <c r="BA29" s="42">
        <f>ROUND(AW29+AX29-AY29-AZ29,2)</f>
        <v/>
      </c>
      <c r="BB29">
        <f>AV29-AZ29</f>
        <v/>
      </c>
      <c r="BC29" s="42">
        <f>BG28</f>
        <v/>
      </c>
      <c r="BD29" s="42">
        <f>ROUND(BC29*BD$6/12,2)</f>
        <v/>
      </c>
      <c r="BE29" s="42">
        <f>MIN(BE$6,BC29+BD29)</f>
        <v/>
      </c>
      <c r="BF29" s="42">
        <f>MAX(0,MIN(BC29+BD29-BE29,BB29))</f>
        <v/>
      </c>
      <c r="BG29" s="42">
        <f>ROUND(BC29+BD29-BE29-BF29,2)</f>
        <v/>
      </c>
      <c r="BH29">
        <f>BB29-BF29</f>
        <v/>
      </c>
      <c r="BI29" s="42">
        <f>BM28</f>
        <v/>
      </c>
      <c r="BJ29" s="42">
        <f>ROUND(BI29*BJ$6/12,2)</f>
        <v/>
      </c>
      <c r="BK29" s="42">
        <f>MIN(BK$6,BI29+BJ29)</f>
        <v/>
      </c>
      <c r="BL29" s="42">
        <f>MAX(0,MIN(BI29+BJ29-BK29,BH29))</f>
        <v/>
      </c>
      <c r="BM29" s="42">
        <f>ROUND(BI29+BJ29-BK29-BL29,2)</f>
        <v/>
      </c>
      <c r="BN29">
        <f>BH29-BL29</f>
        <v/>
      </c>
    </row>
    <row r="30">
      <c r="A30" s="39" t="n">
        <v>23</v>
      </c>
      <c r="B30" s="40">
        <f>EDATE('My Debts'!$C$6,A30-1)</f>
        <v/>
      </c>
      <c r="C30" s="41">
        <f>K30+Q30+W30+AC30+AI30+AO30+AU30+BA30+BG30+BM30</f>
        <v/>
      </c>
      <c r="D30" s="42">
        <f>I30+O30+U30+AA30+AG30+AM30+AS30+AY30+BE30+BK30+J30+P30+V30+AB30+AH30+AN30+AT30+AZ30+BF30+BL30</f>
        <v/>
      </c>
      <c r="E30" s="42">
        <f>H30+N30+T30+Z30+AF30+AL30+AR30+AX30+BD30+BJ30</f>
        <v/>
      </c>
      <c r="F30" t="n">
        <v>0</v>
      </c>
      <c r="G30" s="42">
        <f>K29</f>
        <v/>
      </c>
      <c r="H30" s="42">
        <f>ROUND(G30*H$6/12,2)</f>
        <v/>
      </c>
      <c r="I30" s="42">
        <f>MIN(I$6,G30+H30)</f>
        <v/>
      </c>
      <c r="J30" s="42">
        <f>MAX(0,MIN(G30+H30-I30,$F30))</f>
        <v/>
      </c>
      <c r="K30" s="42">
        <f>ROUND(G30+H30-I30-J30,2)</f>
        <v/>
      </c>
      <c r="L30">
        <f>$F30-J30</f>
        <v/>
      </c>
      <c r="M30" s="42">
        <f>Q29</f>
        <v/>
      </c>
      <c r="N30" s="42">
        <f>ROUND(M30*N$6/12,2)</f>
        <v/>
      </c>
      <c r="O30" s="42">
        <f>MIN(O$6,M30+N30)</f>
        <v/>
      </c>
      <c r="P30" s="42">
        <f>MAX(0,MIN(M30+N30-O30,L30))</f>
        <v/>
      </c>
      <c r="Q30" s="42">
        <f>ROUND(M30+N30-O30-P30,2)</f>
        <v/>
      </c>
      <c r="R30">
        <f>L30-P30</f>
        <v/>
      </c>
      <c r="S30" s="42">
        <f>W29</f>
        <v/>
      </c>
      <c r="T30" s="42">
        <f>ROUND(S30*T$6/12,2)</f>
        <v/>
      </c>
      <c r="U30" s="42">
        <f>MIN(U$6,S30+T30)</f>
        <v/>
      </c>
      <c r="V30" s="42">
        <f>MAX(0,MIN(S30+T30-U30,R30))</f>
        <v/>
      </c>
      <c r="W30" s="42">
        <f>ROUND(S30+T30-U30-V30,2)</f>
        <v/>
      </c>
      <c r="X30">
        <f>R30-V30</f>
        <v/>
      </c>
      <c r="Y30" s="42">
        <f>AC29</f>
        <v/>
      </c>
      <c r="Z30" s="42">
        <f>ROUND(Y30*Z$6/12,2)</f>
        <v/>
      </c>
      <c r="AA30" s="42">
        <f>MIN(AA$6,Y30+Z30)</f>
        <v/>
      </c>
      <c r="AB30" s="42">
        <f>MAX(0,MIN(Y30+Z30-AA30,X30))</f>
        <v/>
      </c>
      <c r="AC30" s="42">
        <f>ROUND(Y30+Z30-AA30-AB30,2)</f>
        <v/>
      </c>
      <c r="AD30">
        <f>X30-AB30</f>
        <v/>
      </c>
      <c r="AE30" s="42">
        <f>AI29</f>
        <v/>
      </c>
      <c r="AF30" s="42">
        <f>ROUND(AE30*AF$6/12,2)</f>
        <v/>
      </c>
      <c r="AG30" s="42">
        <f>MIN(AG$6,AE30+AF30)</f>
        <v/>
      </c>
      <c r="AH30" s="42">
        <f>MAX(0,MIN(AE30+AF30-AG30,AD30))</f>
        <v/>
      </c>
      <c r="AI30" s="42">
        <f>ROUND(AE30+AF30-AG30-AH30,2)</f>
        <v/>
      </c>
      <c r="AJ30">
        <f>AD30-AH30</f>
        <v/>
      </c>
      <c r="AK30" s="42">
        <f>AO29</f>
        <v/>
      </c>
      <c r="AL30" s="42">
        <f>ROUND(AK30*AL$6/12,2)</f>
        <v/>
      </c>
      <c r="AM30" s="42">
        <f>MIN(AM$6,AK30+AL30)</f>
        <v/>
      </c>
      <c r="AN30" s="42">
        <f>MAX(0,MIN(AK30+AL30-AM30,AJ30))</f>
        <v/>
      </c>
      <c r="AO30" s="42">
        <f>ROUND(AK30+AL30-AM30-AN30,2)</f>
        <v/>
      </c>
      <c r="AP30">
        <f>AJ30-AN30</f>
        <v/>
      </c>
      <c r="AQ30" s="42">
        <f>AU29</f>
        <v/>
      </c>
      <c r="AR30" s="42">
        <f>ROUND(AQ30*AR$6/12,2)</f>
        <v/>
      </c>
      <c r="AS30" s="42">
        <f>MIN(AS$6,AQ30+AR30)</f>
        <v/>
      </c>
      <c r="AT30" s="42">
        <f>MAX(0,MIN(AQ30+AR30-AS30,AP30))</f>
        <v/>
      </c>
      <c r="AU30" s="42">
        <f>ROUND(AQ30+AR30-AS30-AT30,2)</f>
        <v/>
      </c>
      <c r="AV30">
        <f>AP30-AT30</f>
        <v/>
      </c>
      <c r="AW30" s="42">
        <f>BA29</f>
        <v/>
      </c>
      <c r="AX30" s="42">
        <f>ROUND(AW30*AX$6/12,2)</f>
        <v/>
      </c>
      <c r="AY30" s="42">
        <f>MIN(AY$6,AW30+AX30)</f>
        <v/>
      </c>
      <c r="AZ30" s="42">
        <f>MAX(0,MIN(AW30+AX30-AY30,AV30))</f>
        <v/>
      </c>
      <c r="BA30" s="42">
        <f>ROUND(AW30+AX30-AY30-AZ30,2)</f>
        <v/>
      </c>
      <c r="BB30">
        <f>AV30-AZ30</f>
        <v/>
      </c>
      <c r="BC30" s="42">
        <f>BG29</f>
        <v/>
      </c>
      <c r="BD30" s="42">
        <f>ROUND(BC30*BD$6/12,2)</f>
        <v/>
      </c>
      <c r="BE30" s="42">
        <f>MIN(BE$6,BC30+BD30)</f>
        <v/>
      </c>
      <c r="BF30" s="42">
        <f>MAX(0,MIN(BC30+BD30-BE30,BB30))</f>
        <v/>
      </c>
      <c r="BG30" s="42">
        <f>ROUND(BC30+BD30-BE30-BF30,2)</f>
        <v/>
      </c>
      <c r="BH30">
        <f>BB30-BF30</f>
        <v/>
      </c>
      <c r="BI30" s="42">
        <f>BM29</f>
        <v/>
      </c>
      <c r="BJ30" s="42">
        <f>ROUND(BI30*BJ$6/12,2)</f>
        <v/>
      </c>
      <c r="BK30" s="42">
        <f>MIN(BK$6,BI30+BJ30)</f>
        <v/>
      </c>
      <c r="BL30" s="42">
        <f>MAX(0,MIN(BI30+BJ30-BK30,BH30))</f>
        <v/>
      </c>
      <c r="BM30" s="42">
        <f>ROUND(BI30+BJ30-BK30-BL30,2)</f>
        <v/>
      </c>
      <c r="BN30">
        <f>BH30-BL30</f>
        <v/>
      </c>
    </row>
    <row r="31">
      <c r="A31" s="43" t="n">
        <v>24</v>
      </c>
      <c r="B31" s="44">
        <f>EDATE('My Debts'!$C$6,A31-1)</f>
        <v/>
      </c>
      <c r="C31" s="45">
        <f>K31+Q31+W31+AC31+AI31+AO31+AU31+BA31+BG31+BM31</f>
        <v/>
      </c>
      <c r="D31" s="46">
        <f>I31+O31+U31+AA31+AG31+AM31+AS31+AY31+BE31+BK31+J31+P31+V31+AB31+AH31+AN31+AT31+AZ31+BF31+BL31</f>
        <v/>
      </c>
      <c r="E31" s="46">
        <f>H31+N31+T31+Z31+AF31+AL31+AR31+AX31+BD31+BJ31</f>
        <v/>
      </c>
      <c r="F31" t="n">
        <v>0</v>
      </c>
      <c r="G31" s="42">
        <f>K30</f>
        <v/>
      </c>
      <c r="H31" s="42">
        <f>ROUND(G31*H$6/12,2)</f>
        <v/>
      </c>
      <c r="I31" s="42">
        <f>MIN(I$6,G31+H31)</f>
        <v/>
      </c>
      <c r="J31" s="42">
        <f>MAX(0,MIN(G31+H31-I31,$F31))</f>
        <v/>
      </c>
      <c r="K31" s="42">
        <f>ROUND(G31+H31-I31-J31,2)</f>
        <v/>
      </c>
      <c r="L31">
        <f>$F31-J31</f>
        <v/>
      </c>
      <c r="M31" s="42">
        <f>Q30</f>
        <v/>
      </c>
      <c r="N31" s="42">
        <f>ROUND(M31*N$6/12,2)</f>
        <v/>
      </c>
      <c r="O31" s="42">
        <f>MIN(O$6,M31+N31)</f>
        <v/>
      </c>
      <c r="P31" s="42">
        <f>MAX(0,MIN(M31+N31-O31,L31))</f>
        <v/>
      </c>
      <c r="Q31" s="42">
        <f>ROUND(M31+N31-O31-P31,2)</f>
        <v/>
      </c>
      <c r="R31">
        <f>L31-P31</f>
        <v/>
      </c>
      <c r="S31" s="42">
        <f>W30</f>
        <v/>
      </c>
      <c r="T31" s="42">
        <f>ROUND(S31*T$6/12,2)</f>
        <v/>
      </c>
      <c r="U31" s="42">
        <f>MIN(U$6,S31+T31)</f>
        <v/>
      </c>
      <c r="V31" s="42">
        <f>MAX(0,MIN(S31+T31-U31,R31))</f>
        <v/>
      </c>
      <c r="W31" s="42">
        <f>ROUND(S31+T31-U31-V31,2)</f>
        <v/>
      </c>
      <c r="X31">
        <f>R31-V31</f>
        <v/>
      </c>
      <c r="Y31" s="42">
        <f>AC30</f>
        <v/>
      </c>
      <c r="Z31" s="42">
        <f>ROUND(Y31*Z$6/12,2)</f>
        <v/>
      </c>
      <c r="AA31" s="42">
        <f>MIN(AA$6,Y31+Z31)</f>
        <v/>
      </c>
      <c r="AB31" s="42">
        <f>MAX(0,MIN(Y31+Z31-AA31,X31))</f>
        <v/>
      </c>
      <c r="AC31" s="42">
        <f>ROUND(Y31+Z31-AA31-AB31,2)</f>
        <v/>
      </c>
      <c r="AD31">
        <f>X31-AB31</f>
        <v/>
      </c>
      <c r="AE31" s="42">
        <f>AI30</f>
        <v/>
      </c>
      <c r="AF31" s="42">
        <f>ROUND(AE31*AF$6/12,2)</f>
        <v/>
      </c>
      <c r="AG31" s="42">
        <f>MIN(AG$6,AE31+AF31)</f>
        <v/>
      </c>
      <c r="AH31" s="42">
        <f>MAX(0,MIN(AE31+AF31-AG31,AD31))</f>
        <v/>
      </c>
      <c r="AI31" s="42">
        <f>ROUND(AE31+AF31-AG31-AH31,2)</f>
        <v/>
      </c>
      <c r="AJ31">
        <f>AD31-AH31</f>
        <v/>
      </c>
      <c r="AK31" s="42">
        <f>AO30</f>
        <v/>
      </c>
      <c r="AL31" s="42">
        <f>ROUND(AK31*AL$6/12,2)</f>
        <v/>
      </c>
      <c r="AM31" s="42">
        <f>MIN(AM$6,AK31+AL31)</f>
        <v/>
      </c>
      <c r="AN31" s="42">
        <f>MAX(0,MIN(AK31+AL31-AM31,AJ31))</f>
        <v/>
      </c>
      <c r="AO31" s="42">
        <f>ROUND(AK31+AL31-AM31-AN31,2)</f>
        <v/>
      </c>
      <c r="AP31">
        <f>AJ31-AN31</f>
        <v/>
      </c>
      <c r="AQ31" s="42">
        <f>AU30</f>
        <v/>
      </c>
      <c r="AR31" s="42">
        <f>ROUND(AQ31*AR$6/12,2)</f>
        <v/>
      </c>
      <c r="AS31" s="42">
        <f>MIN(AS$6,AQ31+AR31)</f>
        <v/>
      </c>
      <c r="AT31" s="42">
        <f>MAX(0,MIN(AQ31+AR31-AS31,AP31))</f>
        <v/>
      </c>
      <c r="AU31" s="42">
        <f>ROUND(AQ31+AR31-AS31-AT31,2)</f>
        <v/>
      </c>
      <c r="AV31">
        <f>AP31-AT31</f>
        <v/>
      </c>
      <c r="AW31" s="42">
        <f>BA30</f>
        <v/>
      </c>
      <c r="AX31" s="42">
        <f>ROUND(AW31*AX$6/12,2)</f>
        <v/>
      </c>
      <c r="AY31" s="42">
        <f>MIN(AY$6,AW31+AX31)</f>
        <v/>
      </c>
      <c r="AZ31" s="42">
        <f>MAX(0,MIN(AW31+AX31-AY31,AV31))</f>
        <v/>
      </c>
      <c r="BA31" s="42">
        <f>ROUND(AW31+AX31-AY31-AZ31,2)</f>
        <v/>
      </c>
      <c r="BB31">
        <f>AV31-AZ31</f>
        <v/>
      </c>
      <c r="BC31" s="42">
        <f>BG30</f>
        <v/>
      </c>
      <c r="BD31" s="42">
        <f>ROUND(BC31*BD$6/12,2)</f>
        <v/>
      </c>
      <c r="BE31" s="42">
        <f>MIN(BE$6,BC31+BD31)</f>
        <v/>
      </c>
      <c r="BF31" s="42">
        <f>MAX(0,MIN(BC31+BD31-BE31,BB31))</f>
        <v/>
      </c>
      <c r="BG31" s="42">
        <f>ROUND(BC31+BD31-BE31-BF31,2)</f>
        <v/>
      </c>
      <c r="BH31">
        <f>BB31-BF31</f>
        <v/>
      </c>
      <c r="BI31" s="42">
        <f>BM30</f>
        <v/>
      </c>
      <c r="BJ31" s="42">
        <f>ROUND(BI31*BJ$6/12,2)</f>
        <v/>
      </c>
      <c r="BK31" s="42">
        <f>MIN(BK$6,BI31+BJ31)</f>
        <v/>
      </c>
      <c r="BL31" s="42">
        <f>MAX(0,MIN(BI31+BJ31-BK31,BH31))</f>
        <v/>
      </c>
      <c r="BM31" s="42">
        <f>ROUND(BI31+BJ31-BK31-BL31,2)</f>
        <v/>
      </c>
      <c r="BN31">
        <f>BH31-BL31</f>
        <v/>
      </c>
    </row>
    <row r="32">
      <c r="A32" s="39" t="n">
        <v>25</v>
      </c>
      <c r="B32" s="40">
        <f>EDATE('My Debts'!$C$6,A32-1)</f>
        <v/>
      </c>
      <c r="C32" s="41">
        <f>K32+Q32+W32+AC32+AI32+AO32+AU32+BA32+BG32+BM32</f>
        <v/>
      </c>
      <c r="D32" s="42">
        <f>I32+O32+U32+AA32+AG32+AM32+AS32+AY32+BE32+BK32+J32+P32+V32+AB32+AH32+AN32+AT32+AZ32+BF32+BL32</f>
        <v/>
      </c>
      <c r="E32" s="42">
        <f>H32+N32+T32+Z32+AF32+AL32+AR32+AX32+BD32+BJ32</f>
        <v/>
      </c>
      <c r="F32" t="n">
        <v>0</v>
      </c>
      <c r="G32" s="42">
        <f>K31</f>
        <v/>
      </c>
      <c r="H32" s="42">
        <f>ROUND(G32*H$6/12,2)</f>
        <v/>
      </c>
      <c r="I32" s="42">
        <f>MIN(I$6,G32+H32)</f>
        <v/>
      </c>
      <c r="J32" s="42">
        <f>MAX(0,MIN(G32+H32-I32,$F32))</f>
        <v/>
      </c>
      <c r="K32" s="42">
        <f>ROUND(G32+H32-I32-J32,2)</f>
        <v/>
      </c>
      <c r="L32">
        <f>$F32-J32</f>
        <v/>
      </c>
      <c r="M32" s="42">
        <f>Q31</f>
        <v/>
      </c>
      <c r="N32" s="42">
        <f>ROUND(M32*N$6/12,2)</f>
        <v/>
      </c>
      <c r="O32" s="42">
        <f>MIN(O$6,M32+N32)</f>
        <v/>
      </c>
      <c r="P32" s="42">
        <f>MAX(0,MIN(M32+N32-O32,L32))</f>
        <v/>
      </c>
      <c r="Q32" s="42">
        <f>ROUND(M32+N32-O32-P32,2)</f>
        <v/>
      </c>
      <c r="R32">
        <f>L32-P32</f>
        <v/>
      </c>
      <c r="S32" s="42">
        <f>W31</f>
        <v/>
      </c>
      <c r="T32" s="42">
        <f>ROUND(S32*T$6/12,2)</f>
        <v/>
      </c>
      <c r="U32" s="42">
        <f>MIN(U$6,S32+T32)</f>
        <v/>
      </c>
      <c r="V32" s="42">
        <f>MAX(0,MIN(S32+T32-U32,R32))</f>
        <v/>
      </c>
      <c r="W32" s="42">
        <f>ROUND(S32+T32-U32-V32,2)</f>
        <v/>
      </c>
      <c r="X32">
        <f>R32-V32</f>
        <v/>
      </c>
      <c r="Y32" s="42">
        <f>AC31</f>
        <v/>
      </c>
      <c r="Z32" s="42">
        <f>ROUND(Y32*Z$6/12,2)</f>
        <v/>
      </c>
      <c r="AA32" s="42">
        <f>MIN(AA$6,Y32+Z32)</f>
        <v/>
      </c>
      <c r="AB32" s="42">
        <f>MAX(0,MIN(Y32+Z32-AA32,X32))</f>
        <v/>
      </c>
      <c r="AC32" s="42">
        <f>ROUND(Y32+Z32-AA32-AB32,2)</f>
        <v/>
      </c>
      <c r="AD32">
        <f>X32-AB32</f>
        <v/>
      </c>
      <c r="AE32" s="42">
        <f>AI31</f>
        <v/>
      </c>
      <c r="AF32" s="42">
        <f>ROUND(AE32*AF$6/12,2)</f>
        <v/>
      </c>
      <c r="AG32" s="42">
        <f>MIN(AG$6,AE32+AF32)</f>
        <v/>
      </c>
      <c r="AH32" s="42">
        <f>MAX(0,MIN(AE32+AF32-AG32,AD32))</f>
        <v/>
      </c>
      <c r="AI32" s="42">
        <f>ROUND(AE32+AF32-AG32-AH32,2)</f>
        <v/>
      </c>
      <c r="AJ32">
        <f>AD32-AH32</f>
        <v/>
      </c>
      <c r="AK32" s="42">
        <f>AO31</f>
        <v/>
      </c>
      <c r="AL32" s="42">
        <f>ROUND(AK32*AL$6/12,2)</f>
        <v/>
      </c>
      <c r="AM32" s="42">
        <f>MIN(AM$6,AK32+AL32)</f>
        <v/>
      </c>
      <c r="AN32" s="42">
        <f>MAX(0,MIN(AK32+AL32-AM32,AJ32))</f>
        <v/>
      </c>
      <c r="AO32" s="42">
        <f>ROUND(AK32+AL32-AM32-AN32,2)</f>
        <v/>
      </c>
      <c r="AP32">
        <f>AJ32-AN32</f>
        <v/>
      </c>
      <c r="AQ32" s="42">
        <f>AU31</f>
        <v/>
      </c>
      <c r="AR32" s="42">
        <f>ROUND(AQ32*AR$6/12,2)</f>
        <v/>
      </c>
      <c r="AS32" s="42">
        <f>MIN(AS$6,AQ32+AR32)</f>
        <v/>
      </c>
      <c r="AT32" s="42">
        <f>MAX(0,MIN(AQ32+AR32-AS32,AP32))</f>
        <v/>
      </c>
      <c r="AU32" s="42">
        <f>ROUND(AQ32+AR32-AS32-AT32,2)</f>
        <v/>
      </c>
      <c r="AV32">
        <f>AP32-AT32</f>
        <v/>
      </c>
      <c r="AW32" s="42">
        <f>BA31</f>
        <v/>
      </c>
      <c r="AX32" s="42">
        <f>ROUND(AW32*AX$6/12,2)</f>
        <v/>
      </c>
      <c r="AY32" s="42">
        <f>MIN(AY$6,AW32+AX32)</f>
        <v/>
      </c>
      <c r="AZ32" s="42">
        <f>MAX(0,MIN(AW32+AX32-AY32,AV32))</f>
        <v/>
      </c>
      <c r="BA32" s="42">
        <f>ROUND(AW32+AX32-AY32-AZ32,2)</f>
        <v/>
      </c>
      <c r="BB32">
        <f>AV32-AZ32</f>
        <v/>
      </c>
      <c r="BC32" s="42">
        <f>BG31</f>
        <v/>
      </c>
      <c r="BD32" s="42">
        <f>ROUND(BC32*BD$6/12,2)</f>
        <v/>
      </c>
      <c r="BE32" s="42">
        <f>MIN(BE$6,BC32+BD32)</f>
        <v/>
      </c>
      <c r="BF32" s="42">
        <f>MAX(0,MIN(BC32+BD32-BE32,BB32))</f>
        <v/>
      </c>
      <c r="BG32" s="42">
        <f>ROUND(BC32+BD32-BE32-BF32,2)</f>
        <v/>
      </c>
      <c r="BH32">
        <f>BB32-BF32</f>
        <v/>
      </c>
      <c r="BI32" s="42">
        <f>BM31</f>
        <v/>
      </c>
      <c r="BJ32" s="42">
        <f>ROUND(BI32*BJ$6/12,2)</f>
        <v/>
      </c>
      <c r="BK32" s="42">
        <f>MIN(BK$6,BI32+BJ32)</f>
        <v/>
      </c>
      <c r="BL32" s="42">
        <f>MAX(0,MIN(BI32+BJ32-BK32,BH32))</f>
        <v/>
      </c>
      <c r="BM32" s="42">
        <f>ROUND(BI32+BJ32-BK32-BL32,2)</f>
        <v/>
      </c>
      <c r="BN32">
        <f>BH32-BL32</f>
        <v/>
      </c>
    </row>
    <row r="33">
      <c r="A33" s="43" t="n">
        <v>26</v>
      </c>
      <c r="B33" s="44">
        <f>EDATE('My Debts'!$C$6,A33-1)</f>
        <v/>
      </c>
      <c r="C33" s="45">
        <f>K33+Q33+W33+AC33+AI33+AO33+AU33+BA33+BG33+BM33</f>
        <v/>
      </c>
      <c r="D33" s="46">
        <f>I33+O33+U33+AA33+AG33+AM33+AS33+AY33+BE33+BK33+J33+P33+V33+AB33+AH33+AN33+AT33+AZ33+BF33+BL33</f>
        <v/>
      </c>
      <c r="E33" s="46">
        <f>H33+N33+T33+Z33+AF33+AL33+AR33+AX33+BD33+BJ33</f>
        <v/>
      </c>
      <c r="F33" t="n">
        <v>0</v>
      </c>
      <c r="G33" s="42">
        <f>K32</f>
        <v/>
      </c>
      <c r="H33" s="42">
        <f>ROUND(G33*H$6/12,2)</f>
        <v/>
      </c>
      <c r="I33" s="42">
        <f>MIN(I$6,G33+H33)</f>
        <v/>
      </c>
      <c r="J33" s="42">
        <f>MAX(0,MIN(G33+H33-I33,$F33))</f>
        <v/>
      </c>
      <c r="K33" s="42">
        <f>ROUND(G33+H33-I33-J33,2)</f>
        <v/>
      </c>
      <c r="L33">
        <f>$F33-J33</f>
        <v/>
      </c>
      <c r="M33" s="42">
        <f>Q32</f>
        <v/>
      </c>
      <c r="N33" s="42">
        <f>ROUND(M33*N$6/12,2)</f>
        <v/>
      </c>
      <c r="O33" s="42">
        <f>MIN(O$6,M33+N33)</f>
        <v/>
      </c>
      <c r="P33" s="42">
        <f>MAX(0,MIN(M33+N33-O33,L33))</f>
        <v/>
      </c>
      <c r="Q33" s="42">
        <f>ROUND(M33+N33-O33-P33,2)</f>
        <v/>
      </c>
      <c r="R33">
        <f>L33-P33</f>
        <v/>
      </c>
      <c r="S33" s="42">
        <f>W32</f>
        <v/>
      </c>
      <c r="T33" s="42">
        <f>ROUND(S33*T$6/12,2)</f>
        <v/>
      </c>
      <c r="U33" s="42">
        <f>MIN(U$6,S33+T33)</f>
        <v/>
      </c>
      <c r="V33" s="42">
        <f>MAX(0,MIN(S33+T33-U33,R33))</f>
        <v/>
      </c>
      <c r="W33" s="42">
        <f>ROUND(S33+T33-U33-V33,2)</f>
        <v/>
      </c>
      <c r="X33">
        <f>R33-V33</f>
        <v/>
      </c>
      <c r="Y33" s="42">
        <f>AC32</f>
        <v/>
      </c>
      <c r="Z33" s="42">
        <f>ROUND(Y33*Z$6/12,2)</f>
        <v/>
      </c>
      <c r="AA33" s="42">
        <f>MIN(AA$6,Y33+Z33)</f>
        <v/>
      </c>
      <c r="AB33" s="42">
        <f>MAX(0,MIN(Y33+Z33-AA33,X33))</f>
        <v/>
      </c>
      <c r="AC33" s="42">
        <f>ROUND(Y33+Z33-AA33-AB33,2)</f>
        <v/>
      </c>
      <c r="AD33">
        <f>X33-AB33</f>
        <v/>
      </c>
      <c r="AE33" s="42">
        <f>AI32</f>
        <v/>
      </c>
      <c r="AF33" s="42">
        <f>ROUND(AE33*AF$6/12,2)</f>
        <v/>
      </c>
      <c r="AG33" s="42">
        <f>MIN(AG$6,AE33+AF33)</f>
        <v/>
      </c>
      <c r="AH33" s="42">
        <f>MAX(0,MIN(AE33+AF33-AG33,AD33))</f>
        <v/>
      </c>
      <c r="AI33" s="42">
        <f>ROUND(AE33+AF33-AG33-AH33,2)</f>
        <v/>
      </c>
      <c r="AJ33">
        <f>AD33-AH33</f>
        <v/>
      </c>
      <c r="AK33" s="42">
        <f>AO32</f>
        <v/>
      </c>
      <c r="AL33" s="42">
        <f>ROUND(AK33*AL$6/12,2)</f>
        <v/>
      </c>
      <c r="AM33" s="42">
        <f>MIN(AM$6,AK33+AL33)</f>
        <v/>
      </c>
      <c r="AN33" s="42">
        <f>MAX(0,MIN(AK33+AL33-AM33,AJ33))</f>
        <v/>
      </c>
      <c r="AO33" s="42">
        <f>ROUND(AK33+AL33-AM33-AN33,2)</f>
        <v/>
      </c>
      <c r="AP33">
        <f>AJ33-AN33</f>
        <v/>
      </c>
      <c r="AQ33" s="42">
        <f>AU32</f>
        <v/>
      </c>
      <c r="AR33" s="42">
        <f>ROUND(AQ33*AR$6/12,2)</f>
        <v/>
      </c>
      <c r="AS33" s="42">
        <f>MIN(AS$6,AQ33+AR33)</f>
        <v/>
      </c>
      <c r="AT33" s="42">
        <f>MAX(0,MIN(AQ33+AR33-AS33,AP33))</f>
        <v/>
      </c>
      <c r="AU33" s="42">
        <f>ROUND(AQ33+AR33-AS33-AT33,2)</f>
        <v/>
      </c>
      <c r="AV33">
        <f>AP33-AT33</f>
        <v/>
      </c>
      <c r="AW33" s="42">
        <f>BA32</f>
        <v/>
      </c>
      <c r="AX33" s="42">
        <f>ROUND(AW33*AX$6/12,2)</f>
        <v/>
      </c>
      <c r="AY33" s="42">
        <f>MIN(AY$6,AW33+AX33)</f>
        <v/>
      </c>
      <c r="AZ33" s="42">
        <f>MAX(0,MIN(AW33+AX33-AY33,AV33))</f>
        <v/>
      </c>
      <c r="BA33" s="42">
        <f>ROUND(AW33+AX33-AY33-AZ33,2)</f>
        <v/>
      </c>
      <c r="BB33">
        <f>AV33-AZ33</f>
        <v/>
      </c>
      <c r="BC33" s="42">
        <f>BG32</f>
        <v/>
      </c>
      <c r="BD33" s="42">
        <f>ROUND(BC33*BD$6/12,2)</f>
        <v/>
      </c>
      <c r="BE33" s="42">
        <f>MIN(BE$6,BC33+BD33)</f>
        <v/>
      </c>
      <c r="BF33" s="42">
        <f>MAX(0,MIN(BC33+BD33-BE33,BB33))</f>
        <v/>
      </c>
      <c r="BG33" s="42">
        <f>ROUND(BC33+BD33-BE33-BF33,2)</f>
        <v/>
      </c>
      <c r="BH33">
        <f>BB33-BF33</f>
        <v/>
      </c>
      <c r="BI33" s="42">
        <f>BM32</f>
        <v/>
      </c>
      <c r="BJ33" s="42">
        <f>ROUND(BI33*BJ$6/12,2)</f>
        <v/>
      </c>
      <c r="BK33" s="42">
        <f>MIN(BK$6,BI33+BJ33)</f>
        <v/>
      </c>
      <c r="BL33" s="42">
        <f>MAX(0,MIN(BI33+BJ33-BK33,BH33))</f>
        <v/>
      </c>
      <c r="BM33" s="42">
        <f>ROUND(BI33+BJ33-BK33-BL33,2)</f>
        <v/>
      </c>
      <c r="BN33">
        <f>BH33-BL33</f>
        <v/>
      </c>
    </row>
    <row r="34">
      <c r="A34" s="39" t="n">
        <v>27</v>
      </c>
      <c r="B34" s="40">
        <f>EDATE('My Debts'!$C$6,A34-1)</f>
        <v/>
      </c>
      <c r="C34" s="41">
        <f>K34+Q34+W34+AC34+AI34+AO34+AU34+BA34+BG34+BM34</f>
        <v/>
      </c>
      <c r="D34" s="42">
        <f>I34+O34+U34+AA34+AG34+AM34+AS34+AY34+BE34+BK34+J34+P34+V34+AB34+AH34+AN34+AT34+AZ34+BF34+BL34</f>
        <v/>
      </c>
      <c r="E34" s="42">
        <f>H34+N34+T34+Z34+AF34+AL34+AR34+AX34+BD34+BJ34</f>
        <v/>
      </c>
      <c r="F34" t="n">
        <v>0</v>
      </c>
      <c r="G34" s="42">
        <f>K33</f>
        <v/>
      </c>
      <c r="H34" s="42">
        <f>ROUND(G34*H$6/12,2)</f>
        <v/>
      </c>
      <c r="I34" s="42">
        <f>MIN(I$6,G34+H34)</f>
        <v/>
      </c>
      <c r="J34" s="42">
        <f>MAX(0,MIN(G34+H34-I34,$F34))</f>
        <v/>
      </c>
      <c r="K34" s="42">
        <f>ROUND(G34+H34-I34-J34,2)</f>
        <v/>
      </c>
      <c r="L34">
        <f>$F34-J34</f>
        <v/>
      </c>
      <c r="M34" s="42">
        <f>Q33</f>
        <v/>
      </c>
      <c r="N34" s="42">
        <f>ROUND(M34*N$6/12,2)</f>
        <v/>
      </c>
      <c r="O34" s="42">
        <f>MIN(O$6,M34+N34)</f>
        <v/>
      </c>
      <c r="P34" s="42">
        <f>MAX(0,MIN(M34+N34-O34,L34))</f>
        <v/>
      </c>
      <c r="Q34" s="42">
        <f>ROUND(M34+N34-O34-P34,2)</f>
        <v/>
      </c>
      <c r="R34">
        <f>L34-P34</f>
        <v/>
      </c>
      <c r="S34" s="42">
        <f>W33</f>
        <v/>
      </c>
      <c r="T34" s="42">
        <f>ROUND(S34*T$6/12,2)</f>
        <v/>
      </c>
      <c r="U34" s="42">
        <f>MIN(U$6,S34+T34)</f>
        <v/>
      </c>
      <c r="V34" s="42">
        <f>MAX(0,MIN(S34+T34-U34,R34))</f>
        <v/>
      </c>
      <c r="W34" s="42">
        <f>ROUND(S34+T34-U34-V34,2)</f>
        <v/>
      </c>
      <c r="X34">
        <f>R34-V34</f>
        <v/>
      </c>
      <c r="Y34" s="42">
        <f>AC33</f>
        <v/>
      </c>
      <c r="Z34" s="42">
        <f>ROUND(Y34*Z$6/12,2)</f>
        <v/>
      </c>
      <c r="AA34" s="42">
        <f>MIN(AA$6,Y34+Z34)</f>
        <v/>
      </c>
      <c r="AB34" s="42">
        <f>MAX(0,MIN(Y34+Z34-AA34,X34))</f>
        <v/>
      </c>
      <c r="AC34" s="42">
        <f>ROUND(Y34+Z34-AA34-AB34,2)</f>
        <v/>
      </c>
      <c r="AD34">
        <f>X34-AB34</f>
        <v/>
      </c>
      <c r="AE34" s="42">
        <f>AI33</f>
        <v/>
      </c>
      <c r="AF34" s="42">
        <f>ROUND(AE34*AF$6/12,2)</f>
        <v/>
      </c>
      <c r="AG34" s="42">
        <f>MIN(AG$6,AE34+AF34)</f>
        <v/>
      </c>
      <c r="AH34" s="42">
        <f>MAX(0,MIN(AE34+AF34-AG34,AD34))</f>
        <v/>
      </c>
      <c r="AI34" s="42">
        <f>ROUND(AE34+AF34-AG34-AH34,2)</f>
        <v/>
      </c>
      <c r="AJ34">
        <f>AD34-AH34</f>
        <v/>
      </c>
      <c r="AK34" s="42">
        <f>AO33</f>
        <v/>
      </c>
      <c r="AL34" s="42">
        <f>ROUND(AK34*AL$6/12,2)</f>
        <v/>
      </c>
      <c r="AM34" s="42">
        <f>MIN(AM$6,AK34+AL34)</f>
        <v/>
      </c>
      <c r="AN34" s="42">
        <f>MAX(0,MIN(AK34+AL34-AM34,AJ34))</f>
        <v/>
      </c>
      <c r="AO34" s="42">
        <f>ROUND(AK34+AL34-AM34-AN34,2)</f>
        <v/>
      </c>
      <c r="AP34">
        <f>AJ34-AN34</f>
        <v/>
      </c>
      <c r="AQ34" s="42">
        <f>AU33</f>
        <v/>
      </c>
      <c r="AR34" s="42">
        <f>ROUND(AQ34*AR$6/12,2)</f>
        <v/>
      </c>
      <c r="AS34" s="42">
        <f>MIN(AS$6,AQ34+AR34)</f>
        <v/>
      </c>
      <c r="AT34" s="42">
        <f>MAX(0,MIN(AQ34+AR34-AS34,AP34))</f>
        <v/>
      </c>
      <c r="AU34" s="42">
        <f>ROUND(AQ34+AR34-AS34-AT34,2)</f>
        <v/>
      </c>
      <c r="AV34">
        <f>AP34-AT34</f>
        <v/>
      </c>
      <c r="AW34" s="42">
        <f>BA33</f>
        <v/>
      </c>
      <c r="AX34" s="42">
        <f>ROUND(AW34*AX$6/12,2)</f>
        <v/>
      </c>
      <c r="AY34" s="42">
        <f>MIN(AY$6,AW34+AX34)</f>
        <v/>
      </c>
      <c r="AZ34" s="42">
        <f>MAX(0,MIN(AW34+AX34-AY34,AV34))</f>
        <v/>
      </c>
      <c r="BA34" s="42">
        <f>ROUND(AW34+AX34-AY34-AZ34,2)</f>
        <v/>
      </c>
      <c r="BB34">
        <f>AV34-AZ34</f>
        <v/>
      </c>
      <c r="BC34" s="42">
        <f>BG33</f>
        <v/>
      </c>
      <c r="BD34" s="42">
        <f>ROUND(BC34*BD$6/12,2)</f>
        <v/>
      </c>
      <c r="BE34" s="42">
        <f>MIN(BE$6,BC34+BD34)</f>
        <v/>
      </c>
      <c r="BF34" s="42">
        <f>MAX(0,MIN(BC34+BD34-BE34,BB34))</f>
        <v/>
      </c>
      <c r="BG34" s="42">
        <f>ROUND(BC34+BD34-BE34-BF34,2)</f>
        <v/>
      </c>
      <c r="BH34">
        <f>BB34-BF34</f>
        <v/>
      </c>
      <c r="BI34" s="42">
        <f>BM33</f>
        <v/>
      </c>
      <c r="BJ34" s="42">
        <f>ROUND(BI34*BJ$6/12,2)</f>
        <v/>
      </c>
      <c r="BK34" s="42">
        <f>MIN(BK$6,BI34+BJ34)</f>
        <v/>
      </c>
      <c r="BL34" s="42">
        <f>MAX(0,MIN(BI34+BJ34-BK34,BH34))</f>
        <v/>
      </c>
      <c r="BM34" s="42">
        <f>ROUND(BI34+BJ34-BK34-BL34,2)</f>
        <v/>
      </c>
      <c r="BN34">
        <f>BH34-BL34</f>
        <v/>
      </c>
    </row>
    <row r="35">
      <c r="A35" s="43" t="n">
        <v>28</v>
      </c>
      <c r="B35" s="44">
        <f>EDATE('My Debts'!$C$6,A35-1)</f>
        <v/>
      </c>
      <c r="C35" s="45">
        <f>K35+Q35+W35+AC35+AI35+AO35+AU35+BA35+BG35+BM35</f>
        <v/>
      </c>
      <c r="D35" s="46">
        <f>I35+O35+U35+AA35+AG35+AM35+AS35+AY35+BE35+BK35+J35+P35+V35+AB35+AH35+AN35+AT35+AZ35+BF35+BL35</f>
        <v/>
      </c>
      <c r="E35" s="46">
        <f>H35+N35+T35+Z35+AF35+AL35+AR35+AX35+BD35+BJ35</f>
        <v/>
      </c>
      <c r="F35" t="n">
        <v>0</v>
      </c>
      <c r="G35" s="42">
        <f>K34</f>
        <v/>
      </c>
      <c r="H35" s="42">
        <f>ROUND(G35*H$6/12,2)</f>
        <v/>
      </c>
      <c r="I35" s="42">
        <f>MIN(I$6,G35+H35)</f>
        <v/>
      </c>
      <c r="J35" s="42">
        <f>MAX(0,MIN(G35+H35-I35,$F35))</f>
        <v/>
      </c>
      <c r="K35" s="42">
        <f>ROUND(G35+H35-I35-J35,2)</f>
        <v/>
      </c>
      <c r="L35">
        <f>$F35-J35</f>
        <v/>
      </c>
      <c r="M35" s="42">
        <f>Q34</f>
        <v/>
      </c>
      <c r="N35" s="42">
        <f>ROUND(M35*N$6/12,2)</f>
        <v/>
      </c>
      <c r="O35" s="42">
        <f>MIN(O$6,M35+N35)</f>
        <v/>
      </c>
      <c r="P35" s="42">
        <f>MAX(0,MIN(M35+N35-O35,L35))</f>
        <v/>
      </c>
      <c r="Q35" s="42">
        <f>ROUND(M35+N35-O35-P35,2)</f>
        <v/>
      </c>
      <c r="R35">
        <f>L35-P35</f>
        <v/>
      </c>
      <c r="S35" s="42">
        <f>W34</f>
        <v/>
      </c>
      <c r="T35" s="42">
        <f>ROUND(S35*T$6/12,2)</f>
        <v/>
      </c>
      <c r="U35" s="42">
        <f>MIN(U$6,S35+T35)</f>
        <v/>
      </c>
      <c r="V35" s="42">
        <f>MAX(0,MIN(S35+T35-U35,R35))</f>
        <v/>
      </c>
      <c r="W35" s="42">
        <f>ROUND(S35+T35-U35-V35,2)</f>
        <v/>
      </c>
      <c r="X35">
        <f>R35-V35</f>
        <v/>
      </c>
      <c r="Y35" s="42">
        <f>AC34</f>
        <v/>
      </c>
      <c r="Z35" s="42">
        <f>ROUND(Y35*Z$6/12,2)</f>
        <v/>
      </c>
      <c r="AA35" s="42">
        <f>MIN(AA$6,Y35+Z35)</f>
        <v/>
      </c>
      <c r="AB35" s="42">
        <f>MAX(0,MIN(Y35+Z35-AA35,X35))</f>
        <v/>
      </c>
      <c r="AC35" s="42">
        <f>ROUND(Y35+Z35-AA35-AB35,2)</f>
        <v/>
      </c>
      <c r="AD35">
        <f>X35-AB35</f>
        <v/>
      </c>
      <c r="AE35" s="42">
        <f>AI34</f>
        <v/>
      </c>
      <c r="AF35" s="42">
        <f>ROUND(AE35*AF$6/12,2)</f>
        <v/>
      </c>
      <c r="AG35" s="42">
        <f>MIN(AG$6,AE35+AF35)</f>
        <v/>
      </c>
      <c r="AH35" s="42">
        <f>MAX(0,MIN(AE35+AF35-AG35,AD35))</f>
        <v/>
      </c>
      <c r="AI35" s="42">
        <f>ROUND(AE35+AF35-AG35-AH35,2)</f>
        <v/>
      </c>
      <c r="AJ35">
        <f>AD35-AH35</f>
        <v/>
      </c>
      <c r="AK35" s="42">
        <f>AO34</f>
        <v/>
      </c>
      <c r="AL35" s="42">
        <f>ROUND(AK35*AL$6/12,2)</f>
        <v/>
      </c>
      <c r="AM35" s="42">
        <f>MIN(AM$6,AK35+AL35)</f>
        <v/>
      </c>
      <c r="AN35" s="42">
        <f>MAX(0,MIN(AK35+AL35-AM35,AJ35))</f>
        <v/>
      </c>
      <c r="AO35" s="42">
        <f>ROUND(AK35+AL35-AM35-AN35,2)</f>
        <v/>
      </c>
      <c r="AP35">
        <f>AJ35-AN35</f>
        <v/>
      </c>
      <c r="AQ35" s="42">
        <f>AU34</f>
        <v/>
      </c>
      <c r="AR35" s="42">
        <f>ROUND(AQ35*AR$6/12,2)</f>
        <v/>
      </c>
      <c r="AS35" s="42">
        <f>MIN(AS$6,AQ35+AR35)</f>
        <v/>
      </c>
      <c r="AT35" s="42">
        <f>MAX(0,MIN(AQ35+AR35-AS35,AP35))</f>
        <v/>
      </c>
      <c r="AU35" s="42">
        <f>ROUND(AQ35+AR35-AS35-AT35,2)</f>
        <v/>
      </c>
      <c r="AV35">
        <f>AP35-AT35</f>
        <v/>
      </c>
      <c r="AW35" s="42">
        <f>BA34</f>
        <v/>
      </c>
      <c r="AX35" s="42">
        <f>ROUND(AW35*AX$6/12,2)</f>
        <v/>
      </c>
      <c r="AY35" s="42">
        <f>MIN(AY$6,AW35+AX35)</f>
        <v/>
      </c>
      <c r="AZ35" s="42">
        <f>MAX(0,MIN(AW35+AX35-AY35,AV35))</f>
        <v/>
      </c>
      <c r="BA35" s="42">
        <f>ROUND(AW35+AX35-AY35-AZ35,2)</f>
        <v/>
      </c>
      <c r="BB35">
        <f>AV35-AZ35</f>
        <v/>
      </c>
      <c r="BC35" s="42">
        <f>BG34</f>
        <v/>
      </c>
      <c r="BD35" s="42">
        <f>ROUND(BC35*BD$6/12,2)</f>
        <v/>
      </c>
      <c r="BE35" s="42">
        <f>MIN(BE$6,BC35+BD35)</f>
        <v/>
      </c>
      <c r="BF35" s="42">
        <f>MAX(0,MIN(BC35+BD35-BE35,BB35))</f>
        <v/>
      </c>
      <c r="BG35" s="42">
        <f>ROUND(BC35+BD35-BE35-BF35,2)</f>
        <v/>
      </c>
      <c r="BH35">
        <f>BB35-BF35</f>
        <v/>
      </c>
      <c r="BI35" s="42">
        <f>BM34</f>
        <v/>
      </c>
      <c r="BJ35" s="42">
        <f>ROUND(BI35*BJ$6/12,2)</f>
        <v/>
      </c>
      <c r="BK35" s="42">
        <f>MIN(BK$6,BI35+BJ35)</f>
        <v/>
      </c>
      <c r="BL35" s="42">
        <f>MAX(0,MIN(BI35+BJ35-BK35,BH35))</f>
        <v/>
      </c>
      <c r="BM35" s="42">
        <f>ROUND(BI35+BJ35-BK35-BL35,2)</f>
        <v/>
      </c>
      <c r="BN35">
        <f>BH35-BL35</f>
        <v/>
      </c>
    </row>
    <row r="36">
      <c r="A36" s="39" t="n">
        <v>29</v>
      </c>
      <c r="B36" s="40">
        <f>EDATE('My Debts'!$C$6,A36-1)</f>
        <v/>
      </c>
      <c r="C36" s="41">
        <f>K36+Q36+W36+AC36+AI36+AO36+AU36+BA36+BG36+BM36</f>
        <v/>
      </c>
      <c r="D36" s="42">
        <f>I36+O36+U36+AA36+AG36+AM36+AS36+AY36+BE36+BK36+J36+P36+V36+AB36+AH36+AN36+AT36+AZ36+BF36+BL36</f>
        <v/>
      </c>
      <c r="E36" s="42">
        <f>H36+N36+T36+Z36+AF36+AL36+AR36+AX36+BD36+BJ36</f>
        <v/>
      </c>
      <c r="F36" t="n">
        <v>0</v>
      </c>
      <c r="G36" s="42">
        <f>K35</f>
        <v/>
      </c>
      <c r="H36" s="42">
        <f>ROUND(G36*H$6/12,2)</f>
        <v/>
      </c>
      <c r="I36" s="42">
        <f>MIN(I$6,G36+H36)</f>
        <v/>
      </c>
      <c r="J36" s="42">
        <f>MAX(0,MIN(G36+H36-I36,$F36))</f>
        <v/>
      </c>
      <c r="K36" s="42">
        <f>ROUND(G36+H36-I36-J36,2)</f>
        <v/>
      </c>
      <c r="L36">
        <f>$F36-J36</f>
        <v/>
      </c>
      <c r="M36" s="42">
        <f>Q35</f>
        <v/>
      </c>
      <c r="N36" s="42">
        <f>ROUND(M36*N$6/12,2)</f>
        <v/>
      </c>
      <c r="O36" s="42">
        <f>MIN(O$6,M36+N36)</f>
        <v/>
      </c>
      <c r="P36" s="42">
        <f>MAX(0,MIN(M36+N36-O36,L36))</f>
        <v/>
      </c>
      <c r="Q36" s="42">
        <f>ROUND(M36+N36-O36-P36,2)</f>
        <v/>
      </c>
      <c r="R36">
        <f>L36-P36</f>
        <v/>
      </c>
      <c r="S36" s="42">
        <f>W35</f>
        <v/>
      </c>
      <c r="T36" s="42">
        <f>ROUND(S36*T$6/12,2)</f>
        <v/>
      </c>
      <c r="U36" s="42">
        <f>MIN(U$6,S36+T36)</f>
        <v/>
      </c>
      <c r="V36" s="42">
        <f>MAX(0,MIN(S36+T36-U36,R36))</f>
        <v/>
      </c>
      <c r="W36" s="42">
        <f>ROUND(S36+T36-U36-V36,2)</f>
        <v/>
      </c>
      <c r="X36">
        <f>R36-V36</f>
        <v/>
      </c>
      <c r="Y36" s="42">
        <f>AC35</f>
        <v/>
      </c>
      <c r="Z36" s="42">
        <f>ROUND(Y36*Z$6/12,2)</f>
        <v/>
      </c>
      <c r="AA36" s="42">
        <f>MIN(AA$6,Y36+Z36)</f>
        <v/>
      </c>
      <c r="AB36" s="42">
        <f>MAX(0,MIN(Y36+Z36-AA36,X36))</f>
        <v/>
      </c>
      <c r="AC36" s="42">
        <f>ROUND(Y36+Z36-AA36-AB36,2)</f>
        <v/>
      </c>
      <c r="AD36">
        <f>X36-AB36</f>
        <v/>
      </c>
      <c r="AE36" s="42">
        <f>AI35</f>
        <v/>
      </c>
      <c r="AF36" s="42">
        <f>ROUND(AE36*AF$6/12,2)</f>
        <v/>
      </c>
      <c r="AG36" s="42">
        <f>MIN(AG$6,AE36+AF36)</f>
        <v/>
      </c>
      <c r="AH36" s="42">
        <f>MAX(0,MIN(AE36+AF36-AG36,AD36))</f>
        <v/>
      </c>
      <c r="AI36" s="42">
        <f>ROUND(AE36+AF36-AG36-AH36,2)</f>
        <v/>
      </c>
      <c r="AJ36">
        <f>AD36-AH36</f>
        <v/>
      </c>
      <c r="AK36" s="42">
        <f>AO35</f>
        <v/>
      </c>
      <c r="AL36" s="42">
        <f>ROUND(AK36*AL$6/12,2)</f>
        <v/>
      </c>
      <c r="AM36" s="42">
        <f>MIN(AM$6,AK36+AL36)</f>
        <v/>
      </c>
      <c r="AN36" s="42">
        <f>MAX(0,MIN(AK36+AL36-AM36,AJ36))</f>
        <v/>
      </c>
      <c r="AO36" s="42">
        <f>ROUND(AK36+AL36-AM36-AN36,2)</f>
        <v/>
      </c>
      <c r="AP36">
        <f>AJ36-AN36</f>
        <v/>
      </c>
      <c r="AQ36" s="42">
        <f>AU35</f>
        <v/>
      </c>
      <c r="AR36" s="42">
        <f>ROUND(AQ36*AR$6/12,2)</f>
        <v/>
      </c>
      <c r="AS36" s="42">
        <f>MIN(AS$6,AQ36+AR36)</f>
        <v/>
      </c>
      <c r="AT36" s="42">
        <f>MAX(0,MIN(AQ36+AR36-AS36,AP36))</f>
        <v/>
      </c>
      <c r="AU36" s="42">
        <f>ROUND(AQ36+AR36-AS36-AT36,2)</f>
        <v/>
      </c>
      <c r="AV36">
        <f>AP36-AT36</f>
        <v/>
      </c>
      <c r="AW36" s="42">
        <f>BA35</f>
        <v/>
      </c>
      <c r="AX36" s="42">
        <f>ROUND(AW36*AX$6/12,2)</f>
        <v/>
      </c>
      <c r="AY36" s="42">
        <f>MIN(AY$6,AW36+AX36)</f>
        <v/>
      </c>
      <c r="AZ36" s="42">
        <f>MAX(0,MIN(AW36+AX36-AY36,AV36))</f>
        <v/>
      </c>
      <c r="BA36" s="42">
        <f>ROUND(AW36+AX36-AY36-AZ36,2)</f>
        <v/>
      </c>
      <c r="BB36">
        <f>AV36-AZ36</f>
        <v/>
      </c>
      <c r="BC36" s="42">
        <f>BG35</f>
        <v/>
      </c>
      <c r="BD36" s="42">
        <f>ROUND(BC36*BD$6/12,2)</f>
        <v/>
      </c>
      <c r="BE36" s="42">
        <f>MIN(BE$6,BC36+BD36)</f>
        <v/>
      </c>
      <c r="BF36" s="42">
        <f>MAX(0,MIN(BC36+BD36-BE36,BB36))</f>
        <v/>
      </c>
      <c r="BG36" s="42">
        <f>ROUND(BC36+BD36-BE36-BF36,2)</f>
        <v/>
      </c>
      <c r="BH36">
        <f>BB36-BF36</f>
        <v/>
      </c>
      <c r="BI36" s="42">
        <f>BM35</f>
        <v/>
      </c>
      <c r="BJ36" s="42">
        <f>ROUND(BI36*BJ$6/12,2)</f>
        <v/>
      </c>
      <c r="BK36" s="42">
        <f>MIN(BK$6,BI36+BJ36)</f>
        <v/>
      </c>
      <c r="BL36" s="42">
        <f>MAX(0,MIN(BI36+BJ36-BK36,BH36))</f>
        <v/>
      </c>
      <c r="BM36" s="42">
        <f>ROUND(BI36+BJ36-BK36-BL36,2)</f>
        <v/>
      </c>
      <c r="BN36">
        <f>BH36-BL36</f>
        <v/>
      </c>
    </row>
    <row r="37">
      <c r="A37" s="43" t="n">
        <v>30</v>
      </c>
      <c r="B37" s="44">
        <f>EDATE('My Debts'!$C$6,A37-1)</f>
        <v/>
      </c>
      <c r="C37" s="45">
        <f>K37+Q37+W37+AC37+AI37+AO37+AU37+BA37+BG37+BM37</f>
        <v/>
      </c>
      <c r="D37" s="46">
        <f>I37+O37+U37+AA37+AG37+AM37+AS37+AY37+BE37+BK37+J37+P37+V37+AB37+AH37+AN37+AT37+AZ37+BF37+BL37</f>
        <v/>
      </c>
      <c r="E37" s="46">
        <f>H37+N37+T37+Z37+AF37+AL37+AR37+AX37+BD37+BJ37</f>
        <v/>
      </c>
      <c r="F37" t="n">
        <v>0</v>
      </c>
      <c r="G37" s="42">
        <f>K36</f>
        <v/>
      </c>
      <c r="H37" s="42">
        <f>ROUND(G37*H$6/12,2)</f>
        <v/>
      </c>
      <c r="I37" s="42">
        <f>MIN(I$6,G37+H37)</f>
        <v/>
      </c>
      <c r="J37" s="42">
        <f>MAX(0,MIN(G37+H37-I37,$F37))</f>
        <v/>
      </c>
      <c r="K37" s="42">
        <f>ROUND(G37+H37-I37-J37,2)</f>
        <v/>
      </c>
      <c r="L37">
        <f>$F37-J37</f>
        <v/>
      </c>
      <c r="M37" s="42">
        <f>Q36</f>
        <v/>
      </c>
      <c r="N37" s="42">
        <f>ROUND(M37*N$6/12,2)</f>
        <v/>
      </c>
      <c r="O37" s="42">
        <f>MIN(O$6,M37+N37)</f>
        <v/>
      </c>
      <c r="P37" s="42">
        <f>MAX(0,MIN(M37+N37-O37,L37))</f>
        <v/>
      </c>
      <c r="Q37" s="42">
        <f>ROUND(M37+N37-O37-P37,2)</f>
        <v/>
      </c>
      <c r="R37">
        <f>L37-P37</f>
        <v/>
      </c>
      <c r="S37" s="42">
        <f>W36</f>
        <v/>
      </c>
      <c r="T37" s="42">
        <f>ROUND(S37*T$6/12,2)</f>
        <v/>
      </c>
      <c r="U37" s="42">
        <f>MIN(U$6,S37+T37)</f>
        <v/>
      </c>
      <c r="V37" s="42">
        <f>MAX(0,MIN(S37+T37-U37,R37))</f>
        <v/>
      </c>
      <c r="W37" s="42">
        <f>ROUND(S37+T37-U37-V37,2)</f>
        <v/>
      </c>
      <c r="X37">
        <f>R37-V37</f>
        <v/>
      </c>
      <c r="Y37" s="42">
        <f>AC36</f>
        <v/>
      </c>
      <c r="Z37" s="42">
        <f>ROUND(Y37*Z$6/12,2)</f>
        <v/>
      </c>
      <c r="AA37" s="42">
        <f>MIN(AA$6,Y37+Z37)</f>
        <v/>
      </c>
      <c r="AB37" s="42">
        <f>MAX(0,MIN(Y37+Z37-AA37,X37))</f>
        <v/>
      </c>
      <c r="AC37" s="42">
        <f>ROUND(Y37+Z37-AA37-AB37,2)</f>
        <v/>
      </c>
      <c r="AD37">
        <f>X37-AB37</f>
        <v/>
      </c>
      <c r="AE37" s="42">
        <f>AI36</f>
        <v/>
      </c>
      <c r="AF37" s="42">
        <f>ROUND(AE37*AF$6/12,2)</f>
        <v/>
      </c>
      <c r="AG37" s="42">
        <f>MIN(AG$6,AE37+AF37)</f>
        <v/>
      </c>
      <c r="AH37" s="42">
        <f>MAX(0,MIN(AE37+AF37-AG37,AD37))</f>
        <v/>
      </c>
      <c r="AI37" s="42">
        <f>ROUND(AE37+AF37-AG37-AH37,2)</f>
        <v/>
      </c>
      <c r="AJ37">
        <f>AD37-AH37</f>
        <v/>
      </c>
      <c r="AK37" s="42">
        <f>AO36</f>
        <v/>
      </c>
      <c r="AL37" s="42">
        <f>ROUND(AK37*AL$6/12,2)</f>
        <v/>
      </c>
      <c r="AM37" s="42">
        <f>MIN(AM$6,AK37+AL37)</f>
        <v/>
      </c>
      <c r="AN37" s="42">
        <f>MAX(0,MIN(AK37+AL37-AM37,AJ37))</f>
        <v/>
      </c>
      <c r="AO37" s="42">
        <f>ROUND(AK37+AL37-AM37-AN37,2)</f>
        <v/>
      </c>
      <c r="AP37">
        <f>AJ37-AN37</f>
        <v/>
      </c>
      <c r="AQ37" s="42">
        <f>AU36</f>
        <v/>
      </c>
      <c r="AR37" s="42">
        <f>ROUND(AQ37*AR$6/12,2)</f>
        <v/>
      </c>
      <c r="AS37" s="42">
        <f>MIN(AS$6,AQ37+AR37)</f>
        <v/>
      </c>
      <c r="AT37" s="42">
        <f>MAX(0,MIN(AQ37+AR37-AS37,AP37))</f>
        <v/>
      </c>
      <c r="AU37" s="42">
        <f>ROUND(AQ37+AR37-AS37-AT37,2)</f>
        <v/>
      </c>
      <c r="AV37">
        <f>AP37-AT37</f>
        <v/>
      </c>
      <c r="AW37" s="42">
        <f>BA36</f>
        <v/>
      </c>
      <c r="AX37" s="42">
        <f>ROUND(AW37*AX$6/12,2)</f>
        <v/>
      </c>
      <c r="AY37" s="42">
        <f>MIN(AY$6,AW37+AX37)</f>
        <v/>
      </c>
      <c r="AZ37" s="42">
        <f>MAX(0,MIN(AW37+AX37-AY37,AV37))</f>
        <v/>
      </c>
      <c r="BA37" s="42">
        <f>ROUND(AW37+AX37-AY37-AZ37,2)</f>
        <v/>
      </c>
      <c r="BB37">
        <f>AV37-AZ37</f>
        <v/>
      </c>
      <c r="BC37" s="42">
        <f>BG36</f>
        <v/>
      </c>
      <c r="BD37" s="42">
        <f>ROUND(BC37*BD$6/12,2)</f>
        <v/>
      </c>
      <c r="BE37" s="42">
        <f>MIN(BE$6,BC37+BD37)</f>
        <v/>
      </c>
      <c r="BF37" s="42">
        <f>MAX(0,MIN(BC37+BD37-BE37,BB37))</f>
        <v/>
      </c>
      <c r="BG37" s="42">
        <f>ROUND(BC37+BD37-BE37-BF37,2)</f>
        <v/>
      </c>
      <c r="BH37">
        <f>BB37-BF37</f>
        <v/>
      </c>
      <c r="BI37" s="42">
        <f>BM36</f>
        <v/>
      </c>
      <c r="BJ37" s="42">
        <f>ROUND(BI37*BJ$6/12,2)</f>
        <v/>
      </c>
      <c r="BK37" s="42">
        <f>MIN(BK$6,BI37+BJ37)</f>
        <v/>
      </c>
      <c r="BL37" s="42">
        <f>MAX(0,MIN(BI37+BJ37-BK37,BH37))</f>
        <v/>
      </c>
      <c r="BM37" s="42">
        <f>ROUND(BI37+BJ37-BK37-BL37,2)</f>
        <v/>
      </c>
      <c r="BN37">
        <f>BH37-BL37</f>
        <v/>
      </c>
    </row>
    <row r="38">
      <c r="A38" s="39" t="n">
        <v>31</v>
      </c>
      <c r="B38" s="40">
        <f>EDATE('My Debts'!$C$6,A38-1)</f>
        <v/>
      </c>
      <c r="C38" s="41">
        <f>K38+Q38+W38+AC38+AI38+AO38+AU38+BA38+BG38+BM38</f>
        <v/>
      </c>
      <c r="D38" s="42">
        <f>I38+O38+U38+AA38+AG38+AM38+AS38+AY38+BE38+BK38+J38+P38+V38+AB38+AH38+AN38+AT38+AZ38+BF38+BL38</f>
        <v/>
      </c>
      <c r="E38" s="42">
        <f>H38+N38+T38+Z38+AF38+AL38+AR38+AX38+BD38+BJ38</f>
        <v/>
      </c>
      <c r="F38" t="n">
        <v>0</v>
      </c>
      <c r="G38" s="42">
        <f>K37</f>
        <v/>
      </c>
      <c r="H38" s="42">
        <f>ROUND(G38*H$6/12,2)</f>
        <v/>
      </c>
      <c r="I38" s="42">
        <f>MIN(I$6,G38+H38)</f>
        <v/>
      </c>
      <c r="J38" s="42">
        <f>MAX(0,MIN(G38+H38-I38,$F38))</f>
        <v/>
      </c>
      <c r="K38" s="42">
        <f>ROUND(G38+H38-I38-J38,2)</f>
        <v/>
      </c>
      <c r="L38">
        <f>$F38-J38</f>
        <v/>
      </c>
      <c r="M38" s="42">
        <f>Q37</f>
        <v/>
      </c>
      <c r="N38" s="42">
        <f>ROUND(M38*N$6/12,2)</f>
        <v/>
      </c>
      <c r="O38" s="42">
        <f>MIN(O$6,M38+N38)</f>
        <v/>
      </c>
      <c r="P38" s="42">
        <f>MAX(0,MIN(M38+N38-O38,L38))</f>
        <v/>
      </c>
      <c r="Q38" s="42">
        <f>ROUND(M38+N38-O38-P38,2)</f>
        <v/>
      </c>
      <c r="R38">
        <f>L38-P38</f>
        <v/>
      </c>
      <c r="S38" s="42">
        <f>W37</f>
        <v/>
      </c>
      <c r="T38" s="42">
        <f>ROUND(S38*T$6/12,2)</f>
        <v/>
      </c>
      <c r="U38" s="42">
        <f>MIN(U$6,S38+T38)</f>
        <v/>
      </c>
      <c r="V38" s="42">
        <f>MAX(0,MIN(S38+T38-U38,R38))</f>
        <v/>
      </c>
      <c r="W38" s="42">
        <f>ROUND(S38+T38-U38-V38,2)</f>
        <v/>
      </c>
      <c r="X38">
        <f>R38-V38</f>
        <v/>
      </c>
      <c r="Y38" s="42">
        <f>AC37</f>
        <v/>
      </c>
      <c r="Z38" s="42">
        <f>ROUND(Y38*Z$6/12,2)</f>
        <v/>
      </c>
      <c r="AA38" s="42">
        <f>MIN(AA$6,Y38+Z38)</f>
        <v/>
      </c>
      <c r="AB38" s="42">
        <f>MAX(0,MIN(Y38+Z38-AA38,X38))</f>
        <v/>
      </c>
      <c r="AC38" s="42">
        <f>ROUND(Y38+Z38-AA38-AB38,2)</f>
        <v/>
      </c>
      <c r="AD38">
        <f>X38-AB38</f>
        <v/>
      </c>
      <c r="AE38" s="42">
        <f>AI37</f>
        <v/>
      </c>
      <c r="AF38" s="42">
        <f>ROUND(AE38*AF$6/12,2)</f>
        <v/>
      </c>
      <c r="AG38" s="42">
        <f>MIN(AG$6,AE38+AF38)</f>
        <v/>
      </c>
      <c r="AH38" s="42">
        <f>MAX(0,MIN(AE38+AF38-AG38,AD38))</f>
        <v/>
      </c>
      <c r="AI38" s="42">
        <f>ROUND(AE38+AF38-AG38-AH38,2)</f>
        <v/>
      </c>
      <c r="AJ38">
        <f>AD38-AH38</f>
        <v/>
      </c>
      <c r="AK38" s="42">
        <f>AO37</f>
        <v/>
      </c>
      <c r="AL38" s="42">
        <f>ROUND(AK38*AL$6/12,2)</f>
        <v/>
      </c>
      <c r="AM38" s="42">
        <f>MIN(AM$6,AK38+AL38)</f>
        <v/>
      </c>
      <c r="AN38" s="42">
        <f>MAX(0,MIN(AK38+AL38-AM38,AJ38))</f>
        <v/>
      </c>
      <c r="AO38" s="42">
        <f>ROUND(AK38+AL38-AM38-AN38,2)</f>
        <v/>
      </c>
      <c r="AP38">
        <f>AJ38-AN38</f>
        <v/>
      </c>
      <c r="AQ38" s="42">
        <f>AU37</f>
        <v/>
      </c>
      <c r="AR38" s="42">
        <f>ROUND(AQ38*AR$6/12,2)</f>
        <v/>
      </c>
      <c r="AS38" s="42">
        <f>MIN(AS$6,AQ38+AR38)</f>
        <v/>
      </c>
      <c r="AT38" s="42">
        <f>MAX(0,MIN(AQ38+AR38-AS38,AP38))</f>
        <v/>
      </c>
      <c r="AU38" s="42">
        <f>ROUND(AQ38+AR38-AS38-AT38,2)</f>
        <v/>
      </c>
      <c r="AV38">
        <f>AP38-AT38</f>
        <v/>
      </c>
      <c r="AW38" s="42">
        <f>BA37</f>
        <v/>
      </c>
      <c r="AX38" s="42">
        <f>ROUND(AW38*AX$6/12,2)</f>
        <v/>
      </c>
      <c r="AY38" s="42">
        <f>MIN(AY$6,AW38+AX38)</f>
        <v/>
      </c>
      <c r="AZ38" s="42">
        <f>MAX(0,MIN(AW38+AX38-AY38,AV38))</f>
        <v/>
      </c>
      <c r="BA38" s="42">
        <f>ROUND(AW38+AX38-AY38-AZ38,2)</f>
        <v/>
      </c>
      <c r="BB38">
        <f>AV38-AZ38</f>
        <v/>
      </c>
      <c r="BC38" s="42">
        <f>BG37</f>
        <v/>
      </c>
      <c r="BD38" s="42">
        <f>ROUND(BC38*BD$6/12,2)</f>
        <v/>
      </c>
      <c r="BE38" s="42">
        <f>MIN(BE$6,BC38+BD38)</f>
        <v/>
      </c>
      <c r="BF38" s="42">
        <f>MAX(0,MIN(BC38+BD38-BE38,BB38))</f>
        <v/>
      </c>
      <c r="BG38" s="42">
        <f>ROUND(BC38+BD38-BE38-BF38,2)</f>
        <v/>
      </c>
      <c r="BH38">
        <f>BB38-BF38</f>
        <v/>
      </c>
      <c r="BI38" s="42">
        <f>BM37</f>
        <v/>
      </c>
      <c r="BJ38" s="42">
        <f>ROUND(BI38*BJ$6/12,2)</f>
        <v/>
      </c>
      <c r="BK38" s="42">
        <f>MIN(BK$6,BI38+BJ38)</f>
        <v/>
      </c>
      <c r="BL38" s="42">
        <f>MAX(0,MIN(BI38+BJ38-BK38,BH38))</f>
        <v/>
      </c>
      <c r="BM38" s="42">
        <f>ROUND(BI38+BJ38-BK38-BL38,2)</f>
        <v/>
      </c>
      <c r="BN38">
        <f>BH38-BL38</f>
        <v/>
      </c>
    </row>
    <row r="39">
      <c r="A39" s="43" t="n">
        <v>32</v>
      </c>
      <c r="B39" s="44">
        <f>EDATE('My Debts'!$C$6,A39-1)</f>
        <v/>
      </c>
      <c r="C39" s="45">
        <f>K39+Q39+W39+AC39+AI39+AO39+AU39+BA39+BG39+BM39</f>
        <v/>
      </c>
      <c r="D39" s="46">
        <f>I39+O39+U39+AA39+AG39+AM39+AS39+AY39+BE39+BK39+J39+P39+V39+AB39+AH39+AN39+AT39+AZ39+BF39+BL39</f>
        <v/>
      </c>
      <c r="E39" s="46">
        <f>H39+N39+T39+Z39+AF39+AL39+AR39+AX39+BD39+BJ39</f>
        <v/>
      </c>
      <c r="F39" t="n">
        <v>0</v>
      </c>
      <c r="G39" s="42">
        <f>K38</f>
        <v/>
      </c>
      <c r="H39" s="42">
        <f>ROUND(G39*H$6/12,2)</f>
        <v/>
      </c>
      <c r="I39" s="42">
        <f>MIN(I$6,G39+H39)</f>
        <v/>
      </c>
      <c r="J39" s="42">
        <f>MAX(0,MIN(G39+H39-I39,$F39))</f>
        <v/>
      </c>
      <c r="K39" s="42">
        <f>ROUND(G39+H39-I39-J39,2)</f>
        <v/>
      </c>
      <c r="L39">
        <f>$F39-J39</f>
        <v/>
      </c>
      <c r="M39" s="42">
        <f>Q38</f>
        <v/>
      </c>
      <c r="N39" s="42">
        <f>ROUND(M39*N$6/12,2)</f>
        <v/>
      </c>
      <c r="O39" s="42">
        <f>MIN(O$6,M39+N39)</f>
        <v/>
      </c>
      <c r="P39" s="42">
        <f>MAX(0,MIN(M39+N39-O39,L39))</f>
        <v/>
      </c>
      <c r="Q39" s="42">
        <f>ROUND(M39+N39-O39-P39,2)</f>
        <v/>
      </c>
      <c r="R39">
        <f>L39-P39</f>
        <v/>
      </c>
      <c r="S39" s="42">
        <f>W38</f>
        <v/>
      </c>
      <c r="T39" s="42">
        <f>ROUND(S39*T$6/12,2)</f>
        <v/>
      </c>
      <c r="U39" s="42">
        <f>MIN(U$6,S39+T39)</f>
        <v/>
      </c>
      <c r="V39" s="42">
        <f>MAX(0,MIN(S39+T39-U39,R39))</f>
        <v/>
      </c>
      <c r="W39" s="42">
        <f>ROUND(S39+T39-U39-V39,2)</f>
        <v/>
      </c>
      <c r="X39">
        <f>R39-V39</f>
        <v/>
      </c>
      <c r="Y39" s="42">
        <f>AC38</f>
        <v/>
      </c>
      <c r="Z39" s="42">
        <f>ROUND(Y39*Z$6/12,2)</f>
        <v/>
      </c>
      <c r="AA39" s="42">
        <f>MIN(AA$6,Y39+Z39)</f>
        <v/>
      </c>
      <c r="AB39" s="42">
        <f>MAX(0,MIN(Y39+Z39-AA39,X39))</f>
        <v/>
      </c>
      <c r="AC39" s="42">
        <f>ROUND(Y39+Z39-AA39-AB39,2)</f>
        <v/>
      </c>
      <c r="AD39">
        <f>X39-AB39</f>
        <v/>
      </c>
      <c r="AE39" s="42">
        <f>AI38</f>
        <v/>
      </c>
      <c r="AF39" s="42">
        <f>ROUND(AE39*AF$6/12,2)</f>
        <v/>
      </c>
      <c r="AG39" s="42">
        <f>MIN(AG$6,AE39+AF39)</f>
        <v/>
      </c>
      <c r="AH39" s="42">
        <f>MAX(0,MIN(AE39+AF39-AG39,AD39))</f>
        <v/>
      </c>
      <c r="AI39" s="42">
        <f>ROUND(AE39+AF39-AG39-AH39,2)</f>
        <v/>
      </c>
      <c r="AJ39">
        <f>AD39-AH39</f>
        <v/>
      </c>
      <c r="AK39" s="42">
        <f>AO38</f>
        <v/>
      </c>
      <c r="AL39" s="42">
        <f>ROUND(AK39*AL$6/12,2)</f>
        <v/>
      </c>
      <c r="AM39" s="42">
        <f>MIN(AM$6,AK39+AL39)</f>
        <v/>
      </c>
      <c r="AN39" s="42">
        <f>MAX(0,MIN(AK39+AL39-AM39,AJ39))</f>
        <v/>
      </c>
      <c r="AO39" s="42">
        <f>ROUND(AK39+AL39-AM39-AN39,2)</f>
        <v/>
      </c>
      <c r="AP39">
        <f>AJ39-AN39</f>
        <v/>
      </c>
      <c r="AQ39" s="42">
        <f>AU38</f>
        <v/>
      </c>
      <c r="AR39" s="42">
        <f>ROUND(AQ39*AR$6/12,2)</f>
        <v/>
      </c>
      <c r="AS39" s="42">
        <f>MIN(AS$6,AQ39+AR39)</f>
        <v/>
      </c>
      <c r="AT39" s="42">
        <f>MAX(0,MIN(AQ39+AR39-AS39,AP39))</f>
        <v/>
      </c>
      <c r="AU39" s="42">
        <f>ROUND(AQ39+AR39-AS39-AT39,2)</f>
        <v/>
      </c>
      <c r="AV39">
        <f>AP39-AT39</f>
        <v/>
      </c>
      <c r="AW39" s="42">
        <f>BA38</f>
        <v/>
      </c>
      <c r="AX39" s="42">
        <f>ROUND(AW39*AX$6/12,2)</f>
        <v/>
      </c>
      <c r="AY39" s="42">
        <f>MIN(AY$6,AW39+AX39)</f>
        <v/>
      </c>
      <c r="AZ39" s="42">
        <f>MAX(0,MIN(AW39+AX39-AY39,AV39))</f>
        <v/>
      </c>
      <c r="BA39" s="42">
        <f>ROUND(AW39+AX39-AY39-AZ39,2)</f>
        <v/>
      </c>
      <c r="BB39">
        <f>AV39-AZ39</f>
        <v/>
      </c>
      <c r="BC39" s="42">
        <f>BG38</f>
        <v/>
      </c>
      <c r="BD39" s="42">
        <f>ROUND(BC39*BD$6/12,2)</f>
        <v/>
      </c>
      <c r="BE39" s="42">
        <f>MIN(BE$6,BC39+BD39)</f>
        <v/>
      </c>
      <c r="BF39" s="42">
        <f>MAX(0,MIN(BC39+BD39-BE39,BB39))</f>
        <v/>
      </c>
      <c r="BG39" s="42">
        <f>ROUND(BC39+BD39-BE39-BF39,2)</f>
        <v/>
      </c>
      <c r="BH39">
        <f>BB39-BF39</f>
        <v/>
      </c>
      <c r="BI39" s="42">
        <f>BM38</f>
        <v/>
      </c>
      <c r="BJ39" s="42">
        <f>ROUND(BI39*BJ$6/12,2)</f>
        <v/>
      </c>
      <c r="BK39" s="42">
        <f>MIN(BK$6,BI39+BJ39)</f>
        <v/>
      </c>
      <c r="BL39" s="42">
        <f>MAX(0,MIN(BI39+BJ39-BK39,BH39))</f>
        <v/>
      </c>
      <c r="BM39" s="42">
        <f>ROUND(BI39+BJ39-BK39-BL39,2)</f>
        <v/>
      </c>
      <c r="BN39">
        <f>BH39-BL39</f>
        <v/>
      </c>
    </row>
    <row r="40">
      <c r="A40" s="39" t="n">
        <v>33</v>
      </c>
      <c r="B40" s="40">
        <f>EDATE('My Debts'!$C$6,A40-1)</f>
        <v/>
      </c>
      <c r="C40" s="41">
        <f>K40+Q40+W40+AC40+AI40+AO40+AU40+BA40+BG40+BM40</f>
        <v/>
      </c>
      <c r="D40" s="42">
        <f>I40+O40+U40+AA40+AG40+AM40+AS40+AY40+BE40+BK40+J40+P40+V40+AB40+AH40+AN40+AT40+AZ40+BF40+BL40</f>
        <v/>
      </c>
      <c r="E40" s="42">
        <f>H40+N40+T40+Z40+AF40+AL40+AR40+AX40+BD40+BJ40</f>
        <v/>
      </c>
      <c r="F40" t="n">
        <v>0</v>
      </c>
      <c r="G40" s="42">
        <f>K39</f>
        <v/>
      </c>
      <c r="H40" s="42">
        <f>ROUND(G40*H$6/12,2)</f>
        <v/>
      </c>
      <c r="I40" s="42">
        <f>MIN(I$6,G40+H40)</f>
        <v/>
      </c>
      <c r="J40" s="42">
        <f>MAX(0,MIN(G40+H40-I40,$F40))</f>
        <v/>
      </c>
      <c r="K40" s="42">
        <f>ROUND(G40+H40-I40-J40,2)</f>
        <v/>
      </c>
      <c r="L40">
        <f>$F40-J40</f>
        <v/>
      </c>
      <c r="M40" s="42">
        <f>Q39</f>
        <v/>
      </c>
      <c r="N40" s="42">
        <f>ROUND(M40*N$6/12,2)</f>
        <v/>
      </c>
      <c r="O40" s="42">
        <f>MIN(O$6,M40+N40)</f>
        <v/>
      </c>
      <c r="P40" s="42">
        <f>MAX(0,MIN(M40+N40-O40,L40))</f>
        <v/>
      </c>
      <c r="Q40" s="42">
        <f>ROUND(M40+N40-O40-P40,2)</f>
        <v/>
      </c>
      <c r="R40">
        <f>L40-P40</f>
        <v/>
      </c>
      <c r="S40" s="42">
        <f>W39</f>
        <v/>
      </c>
      <c r="T40" s="42">
        <f>ROUND(S40*T$6/12,2)</f>
        <v/>
      </c>
      <c r="U40" s="42">
        <f>MIN(U$6,S40+T40)</f>
        <v/>
      </c>
      <c r="V40" s="42">
        <f>MAX(0,MIN(S40+T40-U40,R40))</f>
        <v/>
      </c>
      <c r="W40" s="42">
        <f>ROUND(S40+T40-U40-V40,2)</f>
        <v/>
      </c>
      <c r="X40">
        <f>R40-V40</f>
        <v/>
      </c>
      <c r="Y40" s="42">
        <f>AC39</f>
        <v/>
      </c>
      <c r="Z40" s="42">
        <f>ROUND(Y40*Z$6/12,2)</f>
        <v/>
      </c>
      <c r="AA40" s="42">
        <f>MIN(AA$6,Y40+Z40)</f>
        <v/>
      </c>
      <c r="AB40" s="42">
        <f>MAX(0,MIN(Y40+Z40-AA40,X40))</f>
        <v/>
      </c>
      <c r="AC40" s="42">
        <f>ROUND(Y40+Z40-AA40-AB40,2)</f>
        <v/>
      </c>
      <c r="AD40">
        <f>X40-AB40</f>
        <v/>
      </c>
      <c r="AE40" s="42">
        <f>AI39</f>
        <v/>
      </c>
      <c r="AF40" s="42">
        <f>ROUND(AE40*AF$6/12,2)</f>
        <v/>
      </c>
      <c r="AG40" s="42">
        <f>MIN(AG$6,AE40+AF40)</f>
        <v/>
      </c>
      <c r="AH40" s="42">
        <f>MAX(0,MIN(AE40+AF40-AG40,AD40))</f>
        <v/>
      </c>
      <c r="AI40" s="42">
        <f>ROUND(AE40+AF40-AG40-AH40,2)</f>
        <v/>
      </c>
      <c r="AJ40">
        <f>AD40-AH40</f>
        <v/>
      </c>
      <c r="AK40" s="42">
        <f>AO39</f>
        <v/>
      </c>
      <c r="AL40" s="42">
        <f>ROUND(AK40*AL$6/12,2)</f>
        <v/>
      </c>
      <c r="AM40" s="42">
        <f>MIN(AM$6,AK40+AL40)</f>
        <v/>
      </c>
      <c r="AN40" s="42">
        <f>MAX(0,MIN(AK40+AL40-AM40,AJ40))</f>
        <v/>
      </c>
      <c r="AO40" s="42">
        <f>ROUND(AK40+AL40-AM40-AN40,2)</f>
        <v/>
      </c>
      <c r="AP40">
        <f>AJ40-AN40</f>
        <v/>
      </c>
      <c r="AQ40" s="42">
        <f>AU39</f>
        <v/>
      </c>
      <c r="AR40" s="42">
        <f>ROUND(AQ40*AR$6/12,2)</f>
        <v/>
      </c>
      <c r="AS40" s="42">
        <f>MIN(AS$6,AQ40+AR40)</f>
        <v/>
      </c>
      <c r="AT40" s="42">
        <f>MAX(0,MIN(AQ40+AR40-AS40,AP40))</f>
        <v/>
      </c>
      <c r="AU40" s="42">
        <f>ROUND(AQ40+AR40-AS40-AT40,2)</f>
        <v/>
      </c>
      <c r="AV40">
        <f>AP40-AT40</f>
        <v/>
      </c>
      <c r="AW40" s="42">
        <f>BA39</f>
        <v/>
      </c>
      <c r="AX40" s="42">
        <f>ROUND(AW40*AX$6/12,2)</f>
        <v/>
      </c>
      <c r="AY40" s="42">
        <f>MIN(AY$6,AW40+AX40)</f>
        <v/>
      </c>
      <c r="AZ40" s="42">
        <f>MAX(0,MIN(AW40+AX40-AY40,AV40))</f>
        <v/>
      </c>
      <c r="BA40" s="42">
        <f>ROUND(AW40+AX40-AY40-AZ40,2)</f>
        <v/>
      </c>
      <c r="BB40">
        <f>AV40-AZ40</f>
        <v/>
      </c>
      <c r="BC40" s="42">
        <f>BG39</f>
        <v/>
      </c>
      <c r="BD40" s="42">
        <f>ROUND(BC40*BD$6/12,2)</f>
        <v/>
      </c>
      <c r="BE40" s="42">
        <f>MIN(BE$6,BC40+BD40)</f>
        <v/>
      </c>
      <c r="BF40" s="42">
        <f>MAX(0,MIN(BC40+BD40-BE40,BB40))</f>
        <v/>
      </c>
      <c r="BG40" s="42">
        <f>ROUND(BC40+BD40-BE40-BF40,2)</f>
        <v/>
      </c>
      <c r="BH40">
        <f>BB40-BF40</f>
        <v/>
      </c>
      <c r="BI40" s="42">
        <f>BM39</f>
        <v/>
      </c>
      <c r="BJ40" s="42">
        <f>ROUND(BI40*BJ$6/12,2)</f>
        <v/>
      </c>
      <c r="BK40" s="42">
        <f>MIN(BK$6,BI40+BJ40)</f>
        <v/>
      </c>
      <c r="BL40" s="42">
        <f>MAX(0,MIN(BI40+BJ40-BK40,BH40))</f>
        <v/>
      </c>
      <c r="BM40" s="42">
        <f>ROUND(BI40+BJ40-BK40-BL40,2)</f>
        <v/>
      </c>
      <c r="BN40">
        <f>BH40-BL40</f>
        <v/>
      </c>
    </row>
    <row r="41">
      <c r="A41" s="43" t="n">
        <v>34</v>
      </c>
      <c r="B41" s="44">
        <f>EDATE('My Debts'!$C$6,A41-1)</f>
        <v/>
      </c>
      <c r="C41" s="45">
        <f>K41+Q41+W41+AC41+AI41+AO41+AU41+BA41+BG41+BM41</f>
        <v/>
      </c>
      <c r="D41" s="46">
        <f>I41+O41+U41+AA41+AG41+AM41+AS41+AY41+BE41+BK41+J41+P41+V41+AB41+AH41+AN41+AT41+AZ41+BF41+BL41</f>
        <v/>
      </c>
      <c r="E41" s="46">
        <f>H41+N41+T41+Z41+AF41+AL41+AR41+AX41+BD41+BJ41</f>
        <v/>
      </c>
      <c r="F41" t="n">
        <v>0</v>
      </c>
      <c r="G41" s="42">
        <f>K40</f>
        <v/>
      </c>
      <c r="H41" s="42">
        <f>ROUND(G41*H$6/12,2)</f>
        <v/>
      </c>
      <c r="I41" s="42">
        <f>MIN(I$6,G41+H41)</f>
        <v/>
      </c>
      <c r="J41" s="42">
        <f>MAX(0,MIN(G41+H41-I41,$F41))</f>
        <v/>
      </c>
      <c r="K41" s="42">
        <f>ROUND(G41+H41-I41-J41,2)</f>
        <v/>
      </c>
      <c r="L41">
        <f>$F41-J41</f>
        <v/>
      </c>
      <c r="M41" s="42">
        <f>Q40</f>
        <v/>
      </c>
      <c r="N41" s="42">
        <f>ROUND(M41*N$6/12,2)</f>
        <v/>
      </c>
      <c r="O41" s="42">
        <f>MIN(O$6,M41+N41)</f>
        <v/>
      </c>
      <c r="P41" s="42">
        <f>MAX(0,MIN(M41+N41-O41,L41))</f>
        <v/>
      </c>
      <c r="Q41" s="42">
        <f>ROUND(M41+N41-O41-P41,2)</f>
        <v/>
      </c>
      <c r="R41">
        <f>L41-P41</f>
        <v/>
      </c>
      <c r="S41" s="42">
        <f>W40</f>
        <v/>
      </c>
      <c r="T41" s="42">
        <f>ROUND(S41*T$6/12,2)</f>
        <v/>
      </c>
      <c r="U41" s="42">
        <f>MIN(U$6,S41+T41)</f>
        <v/>
      </c>
      <c r="V41" s="42">
        <f>MAX(0,MIN(S41+T41-U41,R41))</f>
        <v/>
      </c>
      <c r="W41" s="42">
        <f>ROUND(S41+T41-U41-V41,2)</f>
        <v/>
      </c>
      <c r="X41">
        <f>R41-V41</f>
        <v/>
      </c>
      <c r="Y41" s="42">
        <f>AC40</f>
        <v/>
      </c>
      <c r="Z41" s="42">
        <f>ROUND(Y41*Z$6/12,2)</f>
        <v/>
      </c>
      <c r="AA41" s="42">
        <f>MIN(AA$6,Y41+Z41)</f>
        <v/>
      </c>
      <c r="AB41" s="42">
        <f>MAX(0,MIN(Y41+Z41-AA41,X41))</f>
        <v/>
      </c>
      <c r="AC41" s="42">
        <f>ROUND(Y41+Z41-AA41-AB41,2)</f>
        <v/>
      </c>
      <c r="AD41">
        <f>X41-AB41</f>
        <v/>
      </c>
      <c r="AE41" s="42">
        <f>AI40</f>
        <v/>
      </c>
      <c r="AF41" s="42">
        <f>ROUND(AE41*AF$6/12,2)</f>
        <v/>
      </c>
      <c r="AG41" s="42">
        <f>MIN(AG$6,AE41+AF41)</f>
        <v/>
      </c>
      <c r="AH41" s="42">
        <f>MAX(0,MIN(AE41+AF41-AG41,AD41))</f>
        <v/>
      </c>
      <c r="AI41" s="42">
        <f>ROUND(AE41+AF41-AG41-AH41,2)</f>
        <v/>
      </c>
      <c r="AJ41">
        <f>AD41-AH41</f>
        <v/>
      </c>
      <c r="AK41" s="42">
        <f>AO40</f>
        <v/>
      </c>
      <c r="AL41" s="42">
        <f>ROUND(AK41*AL$6/12,2)</f>
        <v/>
      </c>
      <c r="AM41" s="42">
        <f>MIN(AM$6,AK41+AL41)</f>
        <v/>
      </c>
      <c r="AN41" s="42">
        <f>MAX(0,MIN(AK41+AL41-AM41,AJ41))</f>
        <v/>
      </c>
      <c r="AO41" s="42">
        <f>ROUND(AK41+AL41-AM41-AN41,2)</f>
        <v/>
      </c>
      <c r="AP41">
        <f>AJ41-AN41</f>
        <v/>
      </c>
      <c r="AQ41" s="42">
        <f>AU40</f>
        <v/>
      </c>
      <c r="AR41" s="42">
        <f>ROUND(AQ41*AR$6/12,2)</f>
        <v/>
      </c>
      <c r="AS41" s="42">
        <f>MIN(AS$6,AQ41+AR41)</f>
        <v/>
      </c>
      <c r="AT41" s="42">
        <f>MAX(0,MIN(AQ41+AR41-AS41,AP41))</f>
        <v/>
      </c>
      <c r="AU41" s="42">
        <f>ROUND(AQ41+AR41-AS41-AT41,2)</f>
        <v/>
      </c>
      <c r="AV41">
        <f>AP41-AT41</f>
        <v/>
      </c>
      <c r="AW41" s="42">
        <f>BA40</f>
        <v/>
      </c>
      <c r="AX41" s="42">
        <f>ROUND(AW41*AX$6/12,2)</f>
        <v/>
      </c>
      <c r="AY41" s="42">
        <f>MIN(AY$6,AW41+AX41)</f>
        <v/>
      </c>
      <c r="AZ41" s="42">
        <f>MAX(0,MIN(AW41+AX41-AY41,AV41))</f>
        <v/>
      </c>
      <c r="BA41" s="42">
        <f>ROUND(AW41+AX41-AY41-AZ41,2)</f>
        <v/>
      </c>
      <c r="BB41">
        <f>AV41-AZ41</f>
        <v/>
      </c>
      <c r="BC41" s="42">
        <f>BG40</f>
        <v/>
      </c>
      <c r="BD41" s="42">
        <f>ROUND(BC41*BD$6/12,2)</f>
        <v/>
      </c>
      <c r="BE41" s="42">
        <f>MIN(BE$6,BC41+BD41)</f>
        <v/>
      </c>
      <c r="BF41" s="42">
        <f>MAX(0,MIN(BC41+BD41-BE41,BB41))</f>
        <v/>
      </c>
      <c r="BG41" s="42">
        <f>ROUND(BC41+BD41-BE41-BF41,2)</f>
        <v/>
      </c>
      <c r="BH41">
        <f>BB41-BF41</f>
        <v/>
      </c>
      <c r="BI41" s="42">
        <f>BM40</f>
        <v/>
      </c>
      <c r="BJ41" s="42">
        <f>ROUND(BI41*BJ$6/12,2)</f>
        <v/>
      </c>
      <c r="BK41" s="42">
        <f>MIN(BK$6,BI41+BJ41)</f>
        <v/>
      </c>
      <c r="BL41" s="42">
        <f>MAX(0,MIN(BI41+BJ41-BK41,BH41))</f>
        <v/>
      </c>
      <c r="BM41" s="42">
        <f>ROUND(BI41+BJ41-BK41-BL41,2)</f>
        <v/>
      </c>
      <c r="BN41">
        <f>BH41-BL41</f>
        <v/>
      </c>
    </row>
    <row r="42">
      <c r="A42" s="39" t="n">
        <v>35</v>
      </c>
      <c r="B42" s="40">
        <f>EDATE('My Debts'!$C$6,A42-1)</f>
        <v/>
      </c>
      <c r="C42" s="41">
        <f>K42+Q42+W42+AC42+AI42+AO42+AU42+BA42+BG42+BM42</f>
        <v/>
      </c>
      <c r="D42" s="42">
        <f>I42+O42+U42+AA42+AG42+AM42+AS42+AY42+BE42+BK42+J42+P42+V42+AB42+AH42+AN42+AT42+AZ42+BF42+BL42</f>
        <v/>
      </c>
      <c r="E42" s="42">
        <f>H42+N42+T42+Z42+AF42+AL42+AR42+AX42+BD42+BJ42</f>
        <v/>
      </c>
      <c r="F42" t="n">
        <v>0</v>
      </c>
      <c r="G42" s="42">
        <f>K41</f>
        <v/>
      </c>
      <c r="H42" s="42">
        <f>ROUND(G42*H$6/12,2)</f>
        <v/>
      </c>
      <c r="I42" s="42">
        <f>MIN(I$6,G42+H42)</f>
        <v/>
      </c>
      <c r="J42" s="42">
        <f>MAX(0,MIN(G42+H42-I42,$F42))</f>
        <v/>
      </c>
      <c r="K42" s="42">
        <f>ROUND(G42+H42-I42-J42,2)</f>
        <v/>
      </c>
      <c r="L42">
        <f>$F42-J42</f>
        <v/>
      </c>
      <c r="M42" s="42">
        <f>Q41</f>
        <v/>
      </c>
      <c r="N42" s="42">
        <f>ROUND(M42*N$6/12,2)</f>
        <v/>
      </c>
      <c r="O42" s="42">
        <f>MIN(O$6,M42+N42)</f>
        <v/>
      </c>
      <c r="P42" s="42">
        <f>MAX(0,MIN(M42+N42-O42,L42))</f>
        <v/>
      </c>
      <c r="Q42" s="42">
        <f>ROUND(M42+N42-O42-P42,2)</f>
        <v/>
      </c>
      <c r="R42">
        <f>L42-P42</f>
        <v/>
      </c>
      <c r="S42" s="42">
        <f>W41</f>
        <v/>
      </c>
      <c r="T42" s="42">
        <f>ROUND(S42*T$6/12,2)</f>
        <v/>
      </c>
      <c r="U42" s="42">
        <f>MIN(U$6,S42+T42)</f>
        <v/>
      </c>
      <c r="V42" s="42">
        <f>MAX(0,MIN(S42+T42-U42,R42))</f>
        <v/>
      </c>
      <c r="W42" s="42">
        <f>ROUND(S42+T42-U42-V42,2)</f>
        <v/>
      </c>
      <c r="X42">
        <f>R42-V42</f>
        <v/>
      </c>
      <c r="Y42" s="42">
        <f>AC41</f>
        <v/>
      </c>
      <c r="Z42" s="42">
        <f>ROUND(Y42*Z$6/12,2)</f>
        <v/>
      </c>
      <c r="AA42" s="42">
        <f>MIN(AA$6,Y42+Z42)</f>
        <v/>
      </c>
      <c r="AB42" s="42">
        <f>MAX(0,MIN(Y42+Z42-AA42,X42))</f>
        <v/>
      </c>
      <c r="AC42" s="42">
        <f>ROUND(Y42+Z42-AA42-AB42,2)</f>
        <v/>
      </c>
      <c r="AD42">
        <f>X42-AB42</f>
        <v/>
      </c>
      <c r="AE42" s="42">
        <f>AI41</f>
        <v/>
      </c>
      <c r="AF42" s="42">
        <f>ROUND(AE42*AF$6/12,2)</f>
        <v/>
      </c>
      <c r="AG42" s="42">
        <f>MIN(AG$6,AE42+AF42)</f>
        <v/>
      </c>
      <c r="AH42" s="42">
        <f>MAX(0,MIN(AE42+AF42-AG42,AD42))</f>
        <v/>
      </c>
      <c r="AI42" s="42">
        <f>ROUND(AE42+AF42-AG42-AH42,2)</f>
        <v/>
      </c>
      <c r="AJ42">
        <f>AD42-AH42</f>
        <v/>
      </c>
      <c r="AK42" s="42">
        <f>AO41</f>
        <v/>
      </c>
      <c r="AL42" s="42">
        <f>ROUND(AK42*AL$6/12,2)</f>
        <v/>
      </c>
      <c r="AM42" s="42">
        <f>MIN(AM$6,AK42+AL42)</f>
        <v/>
      </c>
      <c r="AN42" s="42">
        <f>MAX(0,MIN(AK42+AL42-AM42,AJ42))</f>
        <v/>
      </c>
      <c r="AO42" s="42">
        <f>ROUND(AK42+AL42-AM42-AN42,2)</f>
        <v/>
      </c>
      <c r="AP42">
        <f>AJ42-AN42</f>
        <v/>
      </c>
      <c r="AQ42" s="42">
        <f>AU41</f>
        <v/>
      </c>
      <c r="AR42" s="42">
        <f>ROUND(AQ42*AR$6/12,2)</f>
        <v/>
      </c>
      <c r="AS42" s="42">
        <f>MIN(AS$6,AQ42+AR42)</f>
        <v/>
      </c>
      <c r="AT42" s="42">
        <f>MAX(0,MIN(AQ42+AR42-AS42,AP42))</f>
        <v/>
      </c>
      <c r="AU42" s="42">
        <f>ROUND(AQ42+AR42-AS42-AT42,2)</f>
        <v/>
      </c>
      <c r="AV42">
        <f>AP42-AT42</f>
        <v/>
      </c>
      <c r="AW42" s="42">
        <f>BA41</f>
        <v/>
      </c>
      <c r="AX42" s="42">
        <f>ROUND(AW42*AX$6/12,2)</f>
        <v/>
      </c>
      <c r="AY42" s="42">
        <f>MIN(AY$6,AW42+AX42)</f>
        <v/>
      </c>
      <c r="AZ42" s="42">
        <f>MAX(0,MIN(AW42+AX42-AY42,AV42))</f>
        <v/>
      </c>
      <c r="BA42" s="42">
        <f>ROUND(AW42+AX42-AY42-AZ42,2)</f>
        <v/>
      </c>
      <c r="BB42">
        <f>AV42-AZ42</f>
        <v/>
      </c>
      <c r="BC42" s="42">
        <f>BG41</f>
        <v/>
      </c>
      <c r="BD42" s="42">
        <f>ROUND(BC42*BD$6/12,2)</f>
        <v/>
      </c>
      <c r="BE42" s="42">
        <f>MIN(BE$6,BC42+BD42)</f>
        <v/>
      </c>
      <c r="BF42" s="42">
        <f>MAX(0,MIN(BC42+BD42-BE42,BB42))</f>
        <v/>
      </c>
      <c r="BG42" s="42">
        <f>ROUND(BC42+BD42-BE42-BF42,2)</f>
        <v/>
      </c>
      <c r="BH42">
        <f>BB42-BF42</f>
        <v/>
      </c>
      <c r="BI42" s="42">
        <f>BM41</f>
        <v/>
      </c>
      <c r="BJ42" s="42">
        <f>ROUND(BI42*BJ$6/12,2)</f>
        <v/>
      </c>
      <c r="BK42" s="42">
        <f>MIN(BK$6,BI42+BJ42)</f>
        <v/>
      </c>
      <c r="BL42" s="42">
        <f>MAX(0,MIN(BI42+BJ42-BK42,BH42))</f>
        <v/>
      </c>
      <c r="BM42" s="42">
        <f>ROUND(BI42+BJ42-BK42-BL42,2)</f>
        <v/>
      </c>
      <c r="BN42">
        <f>BH42-BL42</f>
        <v/>
      </c>
    </row>
    <row r="43">
      <c r="A43" s="43" t="n">
        <v>36</v>
      </c>
      <c r="B43" s="44">
        <f>EDATE('My Debts'!$C$6,A43-1)</f>
        <v/>
      </c>
      <c r="C43" s="45">
        <f>K43+Q43+W43+AC43+AI43+AO43+AU43+BA43+BG43+BM43</f>
        <v/>
      </c>
      <c r="D43" s="46">
        <f>I43+O43+U43+AA43+AG43+AM43+AS43+AY43+BE43+BK43+J43+P43+V43+AB43+AH43+AN43+AT43+AZ43+BF43+BL43</f>
        <v/>
      </c>
      <c r="E43" s="46">
        <f>H43+N43+T43+Z43+AF43+AL43+AR43+AX43+BD43+BJ43</f>
        <v/>
      </c>
      <c r="F43" t="n">
        <v>0</v>
      </c>
      <c r="G43" s="42">
        <f>K42</f>
        <v/>
      </c>
      <c r="H43" s="42">
        <f>ROUND(G43*H$6/12,2)</f>
        <v/>
      </c>
      <c r="I43" s="42">
        <f>MIN(I$6,G43+H43)</f>
        <v/>
      </c>
      <c r="J43" s="42">
        <f>MAX(0,MIN(G43+H43-I43,$F43))</f>
        <v/>
      </c>
      <c r="K43" s="42">
        <f>ROUND(G43+H43-I43-J43,2)</f>
        <v/>
      </c>
      <c r="L43">
        <f>$F43-J43</f>
        <v/>
      </c>
      <c r="M43" s="42">
        <f>Q42</f>
        <v/>
      </c>
      <c r="N43" s="42">
        <f>ROUND(M43*N$6/12,2)</f>
        <v/>
      </c>
      <c r="O43" s="42">
        <f>MIN(O$6,M43+N43)</f>
        <v/>
      </c>
      <c r="P43" s="42">
        <f>MAX(0,MIN(M43+N43-O43,L43))</f>
        <v/>
      </c>
      <c r="Q43" s="42">
        <f>ROUND(M43+N43-O43-P43,2)</f>
        <v/>
      </c>
      <c r="R43">
        <f>L43-P43</f>
        <v/>
      </c>
      <c r="S43" s="42">
        <f>W42</f>
        <v/>
      </c>
      <c r="T43" s="42">
        <f>ROUND(S43*T$6/12,2)</f>
        <v/>
      </c>
      <c r="U43" s="42">
        <f>MIN(U$6,S43+T43)</f>
        <v/>
      </c>
      <c r="V43" s="42">
        <f>MAX(0,MIN(S43+T43-U43,R43))</f>
        <v/>
      </c>
      <c r="W43" s="42">
        <f>ROUND(S43+T43-U43-V43,2)</f>
        <v/>
      </c>
      <c r="X43">
        <f>R43-V43</f>
        <v/>
      </c>
      <c r="Y43" s="42">
        <f>AC42</f>
        <v/>
      </c>
      <c r="Z43" s="42">
        <f>ROUND(Y43*Z$6/12,2)</f>
        <v/>
      </c>
      <c r="AA43" s="42">
        <f>MIN(AA$6,Y43+Z43)</f>
        <v/>
      </c>
      <c r="AB43" s="42">
        <f>MAX(0,MIN(Y43+Z43-AA43,X43))</f>
        <v/>
      </c>
      <c r="AC43" s="42">
        <f>ROUND(Y43+Z43-AA43-AB43,2)</f>
        <v/>
      </c>
      <c r="AD43">
        <f>X43-AB43</f>
        <v/>
      </c>
      <c r="AE43" s="42">
        <f>AI42</f>
        <v/>
      </c>
      <c r="AF43" s="42">
        <f>ROUND(AE43*AF$6/12,2)</f>
        <v/>
      </c>
      <c r="AG43" s="42">
        <f>MIN(AG$6,AE43+AF43)</f>
        <v/>
      </c>
      <c r="AH43" s="42">
        <f>MAX(0,MIN(AE43+AF43-AG43,AD43))</f>
        <v/>
      </c>
      <c r="AI43" s="42">
        <f>ROUND(AE43+AF43-AG43-AH43,2)</f>
        <v/>
      </c>
      <c r="AJ43">
        <f>AD43-AH43</f>
        <v/>
      </c>
      <c r="AK43" s="42">
        <f>AO42</f>
        <v/>
      </c>
      <c r="AL43" s="42">
        <f>ROUND(AK43*AL$6/12,2)</f>
        <v/>
      </c>
      <c r="AM43" s="42">
        <f>MIN(AM$6,AK43+AL43)</f>
        <v/>
      </c>
      <c r="AN43" s="42">
        <f>MAX(0,MIN(AK43+AL43-AM43,AJ43))</f>
        <v/>
      </c>
      <c r="AO43" s="42">
        <f>ROUND(AK43+AL43-AM43-AN43,2)</f>
        <v/>
      </c>
      <c r="AP43">
        <f>AJ43-AN43</f>
        <v/>
      </c>
      <c r="AQ43" s="42">
        <f>AU42</f>
        <v/>
      </c>
      <c r="AR43" s="42">
        <f>ROUND(AQ43*AR$6/12,2)</f>
        <v/>
      </c>
      <c r="AS43" s="42">
        <f>MIN(AS$6,AQ43+AR43)</f>
        <v/>
      </c>
      <c r="AT43" s="42">
        <f>MAX(0,MIN(AQ43+AR43-AS43,AP43))</f>
        <v/>
      </c>
      <c r="AU43" s="42">
        <f>ROUND(AQ43+AR43-AS43-AT43,2)</f>
        <v/>
      </c>
      <c r="AV43">
        <f>AP43-AT43</f>
        <v/>
      </c>
      <c r="AW43" s="42">
        <f>BA42</f>
        <v/>
      </c>
      <c r="AX43" s="42">
        <f>ROUND(AW43*AX$6/12,2)</f>
        <v/>
      </c>
      <c r="AY43" s="42">
        <f>MIN(AY$6,AW43+AX43)</f>
        <v/>
      </c>
      <c r="AZ43" s="42">
        <f>MAX(0,MIN(AW43+AX43-AY43,AV43))</f>
        <v/>
      </c>
      <c r="BA43" s="42">
        <f>ROUND(AW43+AX43-AY43-AZ43,2)</f>
        <v/>
      </c>
      <c r="BB43">
        <f>AV43-AZ43</f>
        <v/>
      </c>
      <c r="BC43" s="42">
        <f>BG42</f>
        <v/>
      </c>
      <c r="BD43" s="42">
        <f>ROUND(BC43*BD$6/12,2)</f>
        <v/>
      </c>
      <c r="BE43" s="42">
        <f>MIN(BE$6,BC43+BD43)</f>
        <v/>
      </c>
      <c r="BF43" s="42">
        <f>MAX(0,MIN(BC43+BD43-BE43,BB43))</f>
        <v/>
      </c>
      <c r="BG43" s="42">
        <f>ROUND(BC43+BD43-BE43-BF43,2)</f>
        <v/>
      </c>
      <c r="BH43">
        <f>BB43-BF43</f>
        <v/>
      </c>
      <c r="BI43" s="42">
        <f>BM42</f>
        <v/>
      </c>
      <c r="BJ43" s="42">
        <f>ROUND(BI43*BJ$6/12,2)</f>
        <v/>
      </c>
      <c r="BK43" s="42">
        <f>MIN(BK$6,BI43+BJ43)</f>
        <v/>
      </c>
      <c r="BL43" s="42">
        <f>MAX(0,MIN(BI43+BJ43-BK43,BH43))</f>
        <v/>
      </c>
      <c r="BM43" s="42">
        <f>ROUND(BI43+BJ43-BK43-BL43,2)</f>
        <v/>
      </c>
      <c r="BN43">
        <f>BH43-BL43</f>
        <v/>
      </c>
    </row>
    <row r="44">
      <c r="A44" s="39" t="n">
        <v>37</v>
      </c>
      <c r="B44" s="40">
        <f>EDATE('My Debts'!$C$6,A44-1)</f>
        <v/>
      </c>
      <c r="C44" s="41">
        <f>K44+Q44+W44+AC44+AI44+AO44+AU44+BA44+BG44+BM44</f>
        <v/>
      </c>
      <c r="D44" s="42">
        <f>I44+O44+U44+AA44+AG44+AM44+AS44+AY44+BE44+BK44+J44+P44+V44+AB44+AH44+AN44+AT44+AZ44+BF44+BL44</f>
        <v/>
      </c>
      <c r="E44" s="42">
        <f>H44+N44+T44+Z44+AF44+AL44+AR44+AX44+BD44+BJ44</f>
        <v/>
      </c>
      <c r="F44" t="n">
        <v>0</v>
      </c>
      <c r="G44" s="42">
        <f>K43</f>
        <v/>
      </c>
      <c r="H44" s="42">
        <f>ROUND(G44*H$6/12,2)</f>
        <v/>
      </c>
      <c r="I44" s="42">
        <f>MIN(I$6,G44+H44)</f>
        <v/>
      </c>
      <c r="J44" s="42">
        <f>MAX(0,MIN(G44+H44-I44,$F44))</f>
        <v/>
      </c>
      <c r="K44" s="42">
        <f>ROUND(G44+H44-I44-J44,2)</f>
        <v/>
      </c>
      <c r="L44">
        <f>$F44-J44</f>
        <v/>
      </c>
      <c r="M44" s="42">
        <f>Q43</f>
        <v/>
      </c>
      <c r="N44" s="42">
        <f>ROUND(M44*N$6/12,2)</f>
        <v/>
      </c>
      <c r="O44" s="42">
        <f>MIN(O$6,M44+N44)</f>
        <v/>
      </c>
      <c r="P44" s="42">
        <f>MAX(0,MIN(M44+N44-O44,L44))</f>
        <v/>
      </c>
      <c r="Q44" s="42">
        <f>ROUND(M44+N44-O44-P44,2)</f>
        <v/>
      </c>
      <c r="R44">
        <f>L44-P44</f>
        <v/>
      </c>
      <c r="S44" s="42">
        <f>W43</f>
        <v/>
      </c>
      <c r="T44" s="42">
        <f>ROUND(S44*T$6/12,2)</f>
        <v/>
      </c>
      <c r="U44" s="42">
        <f>MIN(U$6,S44+T44)</f>
        <v/>
      </c>
      <c r="V44" s="42">
        <f>MAX(0,MIN(S44+T44-U44,R44))</f>
        <v/>
      </c>
      <c r="W44" s="42">
        <f>ROUND(S44+T44-U44-V44,2)</f>
        <v/>
      </c>
      <c r="X44">
        <f>R44-V44</f>
        <v/>
      </c>
      <c r="Y44" s="42">
        <f>AC43</f>
        <v/>
      </c>
      <c r="Z44" s="42">
        <f>ROUND(Y44*Z$6/12,2)</f>
        <v/>
      </c>
      <c r="AA44" s="42">
        <f>MIN(AA$6,Y44+Z44)</f>
        <v/>
      </c>
      <c r="AB44" s="42">
        <f>MAX(0,MIN(Y44+Z44-AA44,X44))</f>
        <v/>
      </c>
      <c r="AC44" s="42">
        <f>ROUND(Y44+Z44-AA44-AB44,2)</f>
        <v/>
      </c>
      <c r="AD44">
        <f>X44-AB44</f>
        <v/>
      </c>
      <c r="AE44" s="42">
        <f>AI43</f>
        <v/>
      </c>
      <c r="AF44" s="42">
        <f>ROUND(AE44*AF$6/12,2)</f>
        <v/>
      </c>
      <c r="AG44" s="42">
        <f>MIN(AG$6,AE44+AF44)</f>
        <v/>
      </c>
      <c r="AH44" s="42">
        <f>MAX(0,MIN(AE44+AF44-AG44,AD44))</f>
        <v/>
      </c>
      <c r="AI44" s="42">
        <f>ROUND(AE44+AF44-AG44-AH44,2)</f>
        <v/>
      </c>
      <c r="AJ44">
        <f>AD44-AH44</f>
        <v/>
      </c>
      <c r="AK44" s="42">
        <f>AO43</f>
        <v/>
      </c>
      <c r="AL44" s="42">
        <f>ROUND(AK44*AL$6/12,2)</f>
        <v/>
      </c>
      <c r="AM44" s="42">
        <f>MIN(AM$6,AK44+AL44)</f>
        <v/>
      </c>
      <c r="AN44" s="42">
        <f>MAX(0,MIN(AK44+AL44-AM44,AJ44))</f>
        <v/>
      </c>
      <c r="AO44" s="42">
        <f>ROUND(AK44+AL44-AM44-AN44,2)</f>
        <v/>
      </c>
      <c r="AP44">
        <f>AJ44-AN44</f>
        <v/>
      </c>
      <c r="AQ44" s="42">
        <f>AU43</f>
        <v/>
      </c>
      <c r="AR44" s="42">
        <f>ROUND(AQ44*AR$6/12,2)</f>
        <v/>
      </c>
      <c r="AS44" s="42">
        <f>MIN(AS$6,AQ44+AR44)</f>
        <v/>
      </c>
      <c r="AT44" s="42">
        <f>MAX(0,MIN(AQ44+AR44-AS44,AP44))</f>
        <v/>
      </c>
      <c r="AU44" s="42">
        <f>ROUND(AQ44+AR44-AS44-AT44,2)</f>
        <v/>
      </c>
      <c r="AV44">
        <f>AP44-AT44</f>
        <v/>
      </c>
      <c r="AW44" s="42">
        <f>BA43</f>
        <v/>
      </c>
      <c r="AX44" s="42">
        <f>ROUND(AW44*AX$6/12,2)</f>
        <v/>
      </c>
      <c r="AY44" s="42">
        <f>MIN(AY$6,AW44+AX44)</f>
        <v/>
      </c>
      <c r="AZ44" s="42">
        <f>MAX(0,MIN(AW44+AX44-AY44,AV44))</f>
        <v/>
      </c>
      <c r="BA44" s="42">
        <f>ROUND(AW44+AX44-AY44-AZ44,2)</f>
        <v/>
      </c>
      <c r="BB44">
        <f>AV44-AZ44</f>
        <v/>
      </c>
      <c r="BC44" s="42">
        <f>BG43</f>
        <v/>
      </c>
      <c r="BD44" s="42">
        <f>ROUND(BC44*BD$6/12,2)</f>
        <v/>
      </c>
      <c r="BE44" s="42">
        <f>MIN(BE$6,BC44+BD44)</f>
        <v/>
      </c>
      <c r="BF44" s="42">
        <f>MAX(0,MIN(BC44+BD44-BE44,BB44))</f>
        <v/>
      </c>
      <c r="BG44" s="42">
        <f>ROUND(BC44+BD44-BE44-BF44,2)</f>
        <v/>
      </c>
      <c r="BH44">
        <f>BB44-BF44</f>
        <v/>
      </c>
      <c r="BI44" s="42">
        <f>BM43</f>
        <v/>
      </c>
      <c r="BJ44" s="42">
        <f>ROUND(BI44*BJ$6/12,2)</f>
        <v/>
      </c>
      <c r="BK44" s="42">
        <f>MIN(BK$6,BI44+BJ44)</f>
        <v/>
      </c>
      <c r="BL44" s="42">
        <f>MAX(0,MIN(BI44+BJ44-BK44,BH44))</f>
        <v/>
      </c>
      <c r="BM44" s="42">
        <f>ROUND(BI44+BJ44-BK44-BL44,2)</f>
        <v/>
      </c>
      <c r="BN44">
        <f>BH44-BL44</f>
        <v/>
      </c>
    </row>
    <row r="45">
      <c r="A45" s="43" t="n">
        <v>38</v>
      </c>
      <c r="B45" s="44">
        <f>EDATE('My Debts'!$C$6,A45-1)</f>
        <v/>
      </c>
      <c r="C45" s="45">
        <f>K45+Q45+W45+AC45+AI45+AO45+AU45+BA45+BG45+BM45</f>
        <v/>
      </c>
      <c r="D45" s="46">
        <f>I45+O45+U45+AA45+AG45+AM45+AS45+AY45+BE45+BK45+J45+P45+V45+AB45+AH45+AN45+AT45+AZ45+BF45+BL45</f>
        <v/>
      </c>
      <c r="E45" s="46">
        <f>H45+N45+T45+Z45+AF45+AL45+AR45+AX45+BD45+BJ45</f>
        <v/>
      </c>
      <c r="F45" t="n">
        <v>0</v>
      </c>
      <c r="G45" s="42">
        <f>K44</f>
        <v/>
      </c>
      <c r="H45" s="42">
        <f>ROUND(G45*H$6/12,2)</f>
        <v/>
      </c>
      <c r="I45" s="42">
        <f>MIN(I$6,G45+H45)</f>
        <v/>
      </c>
      <c r="J45" s="42">
        <f>MAX(0,MIN(G45+H45-I45,$F45))</f>
        <v/>
      </c>
      <c r="K45" s="42">
        <f>ROUND(G45+H45-I45-J45,2)</f>
        <v/>
      </c>
      <c r="L45">
        <f>$F45-J45</f>
        <v/>
      </c>
      <c r="M45" s="42">
        <f>Q44</f>
        <v/>
      </c>
      <c r="N45" s="42">
        <f>ROUND(M45*N$6/12,2)</f>
        <v/>
      </c>
      <c r="O45" s="42">
        <f>MIN(O$6,M45+N45)</f>
        <v/>
      </c>
      <c r="P45" s="42">
        <f>MAX(0,MIN(M45+N45-O45,L45))</f>
        <v/>
      </c>
      <c r="Q45" s="42">
        <f>ROUND(M45+N45-O45-P45,2)</f>
        <v/>
      </c>
      <c r="R45">
        <f>L45-P45</f>
        <v/>
      </c>
      <c r="S45" s="42">
        <f>W44</f>
        <v/>
      </c>
      <c r="T45" s="42">
        <f>ROUND(S45*T$6/12,2)</f>
        <v/>
      </c>
      <c r="U45" s="42">
        <f>MIN(U$6,S45+T45)</f>
        <v/>
      </c>
      <c r="V45" s="42">
        <f>MAX(0,MIN(S45+T45-U45,R45))</f>
        <v/>
      </c>
      <c r="W45" s="42">
        <f>ROUND(S45+T45-U45-V45,2)</f>
        <v/>
      </c>
      <c r="X45">
        <f>R45-V45</f>
        <v/>
      </c>
      <c r="Y45" s="42">
        <f>AC44</f>
        <v/>
      </c>
      <c r="Z45" s="42">
        <f>ROUND(Y45*Z$6/12,2)</f>
        <v/>
      </c>
      <c r="AA45" s="42">
        <f>MIN(AA$6,Y45+Z45)</f>
        <v/>
      </c>
      <c r="AB45" s="42">
        <f>MAX(0,MIN(Y45+Z45-AA45,X45))</f>
        <v/>
      </c>
      <c r="AC45" s="42">
        <f>ROUND(Y45+Z45-AA45-AB45,2)</f>
        <v/>
      </c>
      <c r="AD45">
        <f>X45-AB45</f>
        <v/>
      </c>
      <c r="AE45" s="42">
        <f>AI44</f>
        <v/>
      </c>
      <c r="AF45" s="42">
        <f>ROUND(AE45*AF$6/12,2)</f>
        <v/>
      </c>
      <c r="AG45" s="42">
        <f>MIN(AG$6,AE45+AF45)</f>
        <v/>
      </c>
      <c r="AH45" s="42">
        <f>MAX(0,MIN(AE45+AF45-AG45,AD45))</f>
        <v/>
      </c>
      <c r="AI45" s="42">
        <f>ROUND(AE45+AF45-AG45-AH45,2)</f>
        <v/>
      </c>
      <c r="AJ45">
        <f>AD45-AH45</f>
        <v/>
      </c>
      <c r="AK45" s="42">
        <f>AO44</f>
        <v/>
      </c>
      <c r="AL45" s="42">
        <f>ROUND(AK45*AL$6/12,2)</f>
        <v/>
      </c>
      <c r="AM45" s="42">
        <f>MIN(AM$6,AK45+AL45)</f>
        <v/>
      </c>
      <c r="AN45" s="42">
        <f>MAX(0,MIN(AK45+AL45-AM45,AJ45))</f>
        <v/>
      </c>
      <c r="AO45" s="42">
        <f>ROUND(AK45+AL45-AM45-AN45,2)</f>
        <v/>
      </c>
      <c r="AP45">
        <f>AJ45-AN45</f>
        <v/>
      </c>
      <c r="AQ45" s="42">
        <f>AU44</f>
        <v/>
      </c>
      <c r="AR45" s="42">
        <f>ROUND(AQ45*AR$6/12,2)</f>
        <v/>
      </c>
      <c r="AS45" s="42">
        <f>MIN(AS$6,AQ45+AR45)</f>
        <v/>
      </c>
      <c r="AT45" s="42">
        <f>MAX(0,MIN(AQ45+AR45-AS45,AP45))</f>
        <v/>
      </c>
      <c r="AU45" s="42">
        <f>ROUND(AQ45+AR45-AS45-AT45,2)</f>
        <v/>
      </c>
      <c r="AV45">
        <f>AP45-AT45</f>
        <v/>
      </c>
      <c r="AW45" s="42">
        <f>BA44</f>
        <v/>
      </c>
      <c r="AX45" s="42">
        <f>ROUND(AW45*AX$6/12,2)</f>
        <v/>
      </c>
      <c r="AY45" s="42">
        <f>MIN(AY$6,AW45+AX45)</f>
        <v/>
      </c>
      <c r="AZ45" s="42">
        <f>MAX(0,MIN(AW45+AX45-AY45,AV45))</f>
        <v/>
      </c>
      <c r="BA45" s="42">
        <f>ROUND(AW45+AX45-AY45-AZ45,2)</f>
        <v/>
      </c>
      <c r="BB45">
        <f>AV45-AZ45</f>
        <v/>
      </c>
      <c r="BC45" s="42">
        <f>BG44</f>
        <v/>
      </c>
      <c r="BD45" s="42">
        <f>ROUND(BC45*BD$6/12,2)</f>
        <v/>
      </c>
      <c r="BE45" s="42">
        <f>MIN(BE$6,BC45+BD45)</f>
        <v/>
      </c>
      <c r="BF45" s="42">
        <f>MAX(0,MIN(BC45+BD45-BE45,BB45))</f>
        <v/>
      </c>
      <c r="BG45" s="42">
        <f>ROUND(BC45+BD45-BE45-BF45,2)</f>
        <v/>
      </c>
      <c r="BH45">
        <f>BB45-BF45</f>
        <v/>
      </c>
      <c r="BI45" s="42">
        <f>BM44</f>
        <v/>
      </c>
      <c r="BJ45" s="42">
        <f>ROUND(BI45*BJ$6/12,2)</f>
        <v/>
      </c>
      <c r="BK45" s="42">
        <f>MIN(BK$6,BI45+BJ45)</f>
        <v/>
      </c>
      <c r="BL45" s="42">
        <f>MAX(0,MIN(BI45+BJ45-BK45,BH45))</f>
        <v/>
      </c>
      <c r="BM45" s="42">
        <f>ROUND(BI45+BJ45-BK45-BL45,2)</f>
        <v/>
      </c>
      <c r="BN45">
        <f>BH45-BL45</f>
        <v/>
      </c>
    </row>
    <row r="46">
      <c r="A46" s="39" t="n">
        <v>39</v>
      </c>
      <c r="B46" s="40">
        <f>EDATE('My Debts'!$C$6,A46-1)</f>
        <v/>
      </c>
      <c r="C46" s="41">
        <f>K46+Q46+W46+AC46+AI46+AO46+AU46+BA46+BG46+BM46</f>
        <v/>
      </c>
      <c r="D46" s="42">
        <f>I46+O46+U46+AA46+AG46+AM46+AS46+AY46+BE46+BK46+J46+P46+V46+AB46+AH46+AN46+AT46+AZ46+BF46+BL46</f>
        <v/>
      </c>
      <c r="E46" s="42">
        <f>H46+N46+T46+Z46+AF46+AL46+AR46+AX46+BD46+BJ46</f>
        <v/>
      </c>
      <c r="F46" t="n">
        <v>0</v>
      </c>
      <c r="G46" s="42">
        <f>K45</f>
        <v/>
      </c>
      <c r="H46" s="42">
        <f>ROUND(G46*H$6/12,2)</f>
        <v/>
      </c>
      <c r="I46" s="42">
        <f>MIN(I$6,G46+H46)</f>
        <v/>
      </c>
      <c r="J46" s="42">
        <f>MAX(0,MIN(G46+H46-I46,$F46))</f>
        <v/>
      </c>
      <c r="K46" s="42">
        <f>ROUND(G46+H46-I46-J46,2)</f>
        <v/>
      </c>
      <c r="L46">
        <f>$F46-J46</f>
        <v/>
      </c>
      <c r="M46" s="42">
        <f>Q45</f>
        <v/>
      </c>
      <c r="N46" s="42">
        <f>ROUND(M46*N$6/12,2)</f>
        <v/>
      </c>
      <c r="O46" s="42">
        <f>MIN(O$6,M46+N46)</f>
        <v/>
      </c>
      <c r="P46" s="42">
        <f>MAX(0,MIN(M46+N46-O46,L46))</f>
        <v/>
      </c>
      <c r="Q46" s="42">
        <f>ROUND(M46+N46-O46-P46,2)</f>
        <v/>
      </c>
      <c r="R46">
        <f>L46-P46</f>
        <v/>
      </c>
      <c r="S46" s="42">
        <f>W45</f>
        <v/>
      </c>
      <c r="T46" s="42">
        <f>ROUND(S46*T$6/12,2)</f>
        <v/>
      </c>
      <c r="U46" s="42">
        <f>MIN(U$6,S46+T46)</f>
        <v/>
      </c>
      <c r="V46" s="42">
        <f>MAX(0,MIN(S46+T46-U46,R46))</f>
        <v/>
      </c>
      <c r="W46" s="42">
        <f>ROUND(S46+T46-U46-V46,2)</f>
        <v/>
      </c>
      <c r="X46">
        <f>R46-V46</f>
        <v/>
      </c>
      <c r="Y46" s="42">
        <f>AC45</f>
        <v/>
      </c>
      <c r="Z46" s="42">
        <f>ROUND(Y46*Z$6/12,2)</f>
        <v/>
      </c>
      <c r="AA46" s="42">
        <f>MIN(AA$6,Y46+Z46)</f>
        <v/>
      </c>
      <c r="AB46" s="42">
        <f>MAX(0,MIN(Y46+Z46-AA46,X46))</f>
        <v/>
      </c>
      <c r="AC46" s="42">
        <f>ROUND(Y46+Z46-AA46-AB46,2)</f>
        <v/>
      </c>
      <c r="AD46">
        <f>X46-AB46</f>
        <v/>
      </c>
      <c r="AE46" s="42">
        <f>AI45</f>
        <v/>
      </c>
      <c r="AF46" s="42">
        <f>ROUND(AE46*AF$6/12,2)</f>
        <v/>
      </c>
      <c r="AG46" s="42">
        <f>MIN(AG$6,AE46+AF46)</f>
        <v/>
      </c>
      <c r="AH46" s="42">
        <f>MAX(0,MIN(AE46+AF46-AG46,AD46))</f>
        <v/>
      </c>
      <c r="AI46" s="42">
        <f>ROUND(AE46+AF46-AG46-AH46,2)</f>
        <v/>
      </c>
      <c r="AJ46">
        <f>AD46-AH46</f>
        <v/>
      </c>
      <c r="AK46" s="42">
        <f>AO45</f>
        <v/>
      </c>
      <c r="AL46" s="42">
        <f>ROUND(AK46*AL$6/12,2)</f>
        <v/>
      </c>
      <c r="AM46" s="42">
        <f>MIN(AM$6,AK46+AL46)</f>
        <v/>
      </c>
      <c r="AN46" s="42">
        <f>MAX(0,MIN(AK46+AL46-AM46,AJ46))</f>
        <v/>
      </c>
      <c r="AO46" s="42">
        <f>ROUND(AK46+AL46-AM46-AN46,2)</f>
        <v/>
      </c>
      <c r="AP46">
        <f>AJ46-AN46</f>
        <v/>
      </c>
      <c r="AQ46" s="42">
        <f>AU45</f>
        <v/>
      </c>
      <c r="AR46" s="42">
        <f>ROUND(AQ46*AR$6/12,2)</f>
        <v/>
      </c>
      <c r="AS46" s="42">
        <f>MIN(AS$6,AQ46+AR46)</f>
        <v/>
      </c>
      <c r="AT46" s="42">
        <f>MAX(0,MIN(AQ46+AR46-AS46,AP46))</f>
        <v/>
      </c>
      <c r="AU46" s="42">
        <f>ROUND(AQ46+AR46-AS46-AT46,2)</f>
        <v/>
      </c>
      <c r="AV46">
        <f>AP46-AT46</f>
        <v/>
      </c>
      <c r="AW46" s="42">
        <f>BA45</f>
        <v/>
      </c>
      <c r="AX46" s="42">
        <f>ROUND(AW46*AX$6/12,2)</f>
        <v/>
      </c>
      <c r="AY46" s="42">
        <f>MIN(AY$6,AW46+AX46)</f>
        <v/>
      </c>
      <c r="AZ46" s="42">
        <f>MAX(0,MIN(AW46+AX46-AY46,AV46))</f>
        <v/>
      </c>
      <c r="BA46" s="42">
        <f>ROUND(AW46+AX46-AY46-AZ46,2)</f>
        <v/>
      </c>
      <c r="BB46">
        <f>AV46-AZ46</f>
        <v/>
      </c>
      <c r="BC46" s="42">
        <f>BG45</f>
        <v/>
      </c>
      <c r="BD46" s="42">
        <f>ROUND(BC46*BD$6/12,2)</f>
        <v/>
      </c>
      <c r="BE46" s="42">
        <f>MIN(BE$6,BC46+BD46)</f>
        <v/>
      </c>
      <c r="BF46" s="42">
        <f>MAX(0,MIN(BC46+BD46-BE46,BB46))</f>
        <v/>
      </c>
      <c r="BG46" s="42">
        <f>ROUND(BC46+BD46-BE46-BF46,2)</f>
        <v/>
      </c>
      <c r="BH46">
        <f>BB46-BF46</f>
        <v/>
      </c>
      <c r="BI46" s="42">
        <f>BM45</f>
        <v/>
      </c>
      <c r="BJ46" s="42">
        <f>ROUND(BI46*BJ$6/12,2)</f>
        <v/>
      </c>
      <c r="BK46" s="42">
        <f>MIN(BK$6,BI46+BJ46)</f>
        <v/>
      </c>
      <c r="BL46" s="42">
        <f>MAX(0,MIN(BI46+BJ46-BK46,BH46))</f>
        <v/>
      </c>
      <c r="BM46" s="42">
        <f>ROUND(BI46+BJ46-BK46-BL46,2)</f>
        <v/>
      </c>
      <c r="BN46">
        <f>BH46-BL46</f>
        <v/>
      </c>
    </row>
    <row r="47">
      <c r="A47" s="43" t="n">
        <v>40</v>
      </c>
      <c r="B47" s="44">
        <f>EDATE('My Debts'!$C$6,A47-1)</f>
        <v/>
      </c>
      <c r="C47" s="45">
        <f>K47+Q47+W47+AC47+AI47+AO47+AU47+BA47+BG47+BM47</f>
        <v/>
      </c>
      <c r="D47" s="46">
        <f>I47+O47+U47+AA47+AG47+AM47+AS47+AY47+BE47+BK47+J47+P47+V47+AB47+AH47+AN47+AT47+AZ47+BF47+BL47</f>
        <v/>
      </c>
      <c r="E47" s="46">
        <f>H47+N47+T47+Z47+AF47+AL47+AR47+AX47+BD47+BJ47</f>
        <v/>
      </c>
      <c r="F47" t="n">
        <v>0</v>
      </c>
      <c r="G47" s="42">
        <f>K46</f>
        <v/>
      </c>
      <c r="H47" s="42">
        <f>ROUND(G47*H$6/12,2)</f>
        <v/>
      </c>
      <c r="I47" s="42">
        <f>MIN(I$6,G47+H47)</f>
        <v/>
      </c>
      <c r="J47" s="42">
        <f>MAX(0,MIN(G47+H47-I47,$F47))</f>
        <v/>
      </c>
      <c r="K47" s="42">
        <f>ROUND(G47+H47-I47-J47,2)</f>
        <v/>
      </c>
      <c r="L47">
        <f>$F47-J47</f>
        <v/>
      </c>
      <c r="M47" s="42">
        <f>Q46</f>
        <v/>
      </c>
      <c r="N47" s="42">
        <f>ROUND(M47*N$6/12,2)</f>
        <v/>
      </c>
      <c r="O47" s="42">
        <f>MIN(O$6,M47+N47)</f>
        <v/>
      </c>
      <c r="P47" s="42">
        <f>MAX(0,MIN(M47+N47-O47,L47))</f>
        <v/>
      </c>
      <c r="Q47" s="42">
        <f>ROUND(M47+N47-O47-P47,2)</f>
        <v/>
      </c>
      <c r="R47">
        <f>L47-P47</f>
        <v/>
      </c>
      <c r="S47" s="42">
        <f>W46</f>
        <v/>
      </c>
      <c r="T47" s="42">
        <f>ROUND(S47*T$6/12,2)</f>
        <v/>
      </c>
      <c r="U47" s="42">
        <f>MIN(U$6,S47+T47)</f>
        <v/>
      </c>
      <c r="V47" s="42">
        <f>MAX(0,MIN(S47+T47-U47,R47))</f>
        <v/>
      </c>
      <c r="W47" s="42">
        <f>ROUND(S47+T47-U47-V47,2)</f>
        <v/>
      </c>
      <c r="X47">
        <f>R47-V47</f>
        <v/>
      </c>
      <c r="Y47" s="42">
        <f>AC46</f>
        <v/>
      </c>
      <c r="Z47" s="42">
        <f>ROUND(Y47*Z$6/12,2)</f>
        <v/>
      </c>
      <c r="AA47" s="42">
        <f>MIN(AA$6,Y47+Z47)</f>
        <v/>
      </c>
      <c r="AB47" s="42">
        <f>MAX(0,MIN(Y47+Z47-AA47,X47))</f>
        <v/>
      </c>
      <c r="AC47" s="42">
        <f>ROUND(Y47+Z47-AA47-AB47,2)</f>
        <v/>
      </c>
      <c r="AD47">
        <f>X47-AB47</f>
        <v/>
      </c>
      <c r="AE47" s="42">
        <f>AI46</f>
        <v/>
      </c>
      <c r="AF47" s="42">
        <f>ROUND(AE47*AF$6/12,2)</f>
        <v/>
      </c>
      <c r="AG47" s="42">
        <f>MIN(AG$6,AE47+AF47)</f>
        <v/>
      </c>
      <c r="AH47" s="42">
        <f>MAX(0,MIN(AE47+AF47-AG47,AD47))</f>
        <v/>
      </c>
      <c r="AI47" s="42">
        <f>ROUND(AE47+AF47-AG47-AH47,2)</f>
        <v/>
      </c>
      <c r="AJ47">
        <f>AD47-AH47</f>
        <v/>
      </c>
      <c r="AK47" s="42">
        <f>AO46</f>
        <v/>
      </c>
      <c r="AL47" s="42">
        <f>ROUND(AK47*AL$6/12,2)</f>
        <v/>
      </c>
      <c r="AM47" s="42">
        <f>MIN(AM$6,AK47+AL47)</f>
        <v/>
      </c>
      <c r="AN47" s="42">
        <f>MAX(0,MIN(AK47+AL47-AM47,AJ47))</f>
        <v/>
      </c>
      <c r="AO47" s="42">
        <f>ROUND(AK47+AL47-AM47-AN47,2)</f>
        <v/>
      </c>
      <c r="AP47">
        <f>AJ47-AN47</f>
        <v/>
      </c>
      <c r="AQ47" s="42">
        <f>AU46</f>
        <v/>
      </c>
      <c r="AR47" s="42">
        <f>ROUND(AQ47*AR$6/12,2)</f>
        <v/>
      </c>
      <c r="AS47" s="42">
        <f>MIN(AS$6,AQ47+AR47)</f>
        <v/>
      </c>
      <c r="AT47" s="42">
        <f>MAX(0,MIN(AQ47+AR47-AS47,AP47))</f>
        <v/>
      </c>
      <c r="AU47" s="42">
        <f>ROUND(AQ47+AR47-AS47-AT47,2)</f>
        <v/>
      </c>
      <c r="AV47">
        <f>AP47-AT47</f>
        <v/>
      </c>
      <c r="AW47" s="42">
        <f>BA46</f>
        <v/>
      </c>
      <c r="AX47" s="42">
        <f>ROUND(AW47*AX$6/12,2)</f>
        <v/>
      </c>
      <c r="AY47" s="42">
        <f>MIN(AY$6,AW47+AX47)</f>
        <v/>
      </c>
      <c r="AZ47" s="42">
        <f>MAX(0,MIN(AW47+AX47-AY47,AV47))</f>
        <v/>
      </c>
      <c r="BA47" s="42">
        <f>ROUND(AW47+AX47-AY47-AZ47,2)</f>
        <v/>
      </c>
      <c r="BB47">
        <f>AV47-AZ47</f>
        <v/>
      </c>
      <c r="BC47" s="42">
        <f>BG46</f>
        <v/>
      </c>
      <c r="BD47" s="42">
        <f>ROUND(BC47*BD$6/12,2)</f>
        <v/>
      </c>
      <c r="BE47" s="42">
        <f>MIN(BE$6,BC47+BD47)</f>
        <v/>
      </c>
      <c r="BF47" s="42">
        <f>MAX(0,MIN(BC47+BD47-BE47,BB47))</f>
        <v/>
      </c>
      <c r="BG47" s="42">
        <f>ROUND(BC47+BD47-BE47-BF47,2)</f>
        <v/>
      </c>
      <c r="BH47">
        <f>BB47-BF47</f>
        <v/>
      </c>
      <c r="BI47" s="42">
        <f>BM46</f>
        <v/>
      </c>
      <c r="BJ47" s="42">
        <f>ROUND(BI47*BJ$6/12,2)</f>
        <v/>
      </c>
      <c r="BK47" s="42">
        <f>MIN(BK$6,BI47+BJ47)</f>
        <v/>
      </c>
      <c r="BL47" s="42">
        <f>MAX(0,MIN(BI47+BJ47-BK47,BH47))</f>
        <v/>
      </c>
      <c r="BM47" s="42">
        <f>ROUND(BI47+BJ47-BK47-BL47,2)</f>
        <v/>
      </c>
      <c r="BN47">
        <f>BH47-BL47</f>
        <v/>
      </c>
    </row>
    <row r="48">
      <c r="A48" s="39" t="n">
        <v>41</v>
      </c>
      <c r="B48" s="40">
        <f>EDATE('My Debts'!$C$6,A48-1)</f>
        <v/>
      </c>
      <c r="C48" s="41">
        <f>K48+Q48+W48+AC48+AI48+AO48+AU48+BA48+BG48+BM48</f>
        <v/>
      </c>
      <c r="D48" s="42">
        <f>I48+O48+U48+AA48+AG48+AM48+AS48+AY48+BE48+BK48+J48+P48+V48+AB48+AH48+AN48+AT48+AZ48+BF48+BL48</f>
        <v/>
      </c>
      <c r="E48" s="42">
        <f>H48+N48+T48+Z48+AF48+AL48+AR48+AX48+BD48+BJ48</f>
        <v/>
      </c>
      <c r="F48" t="n">
        <v>0</v>
      </c>
      <c r="G48" s="42">
        <f>K47</f>
        <v/>
      </c>
      <c r="H48" s="42">
        <f>ROUND(G48*H$6/12,2)</f>
        <v/>
      </c>
      <c r="I48" s="42">
        <f>MIN(I$6,G48+H48)</f>
        <v/>
      </c>
      <c r="J48" s="42">
        <f>MAX(0,MIN(G48+H48-I48,$F48))</f>
        <v/>
      </c>
      <c r="K48" s="42">
        <f>ROUND(G48+H48-I48-J48,2)</f>
        <v/>
      </c>
      <c r="L48">
        <f>$F48-J48</f>
        <v/>
      </c>
      <c r="M48" s="42">
        <f>Q47</f>
        <v/>
      </c>
      <c r="N48" s="42">
        <f>ROUND(M48*N$6/12,2)</f>
        <v/>
      </c>
      <c r="O48" s="42">
        <f>MIN(O$6,M48+N48)</f>
        <v/>
      </c>
      <c r="P48" s="42">
        <f>MAX(0,MIN(M48+N48-O48,L48))</f>
        <v/>
      </c>
      <c r="Q48" s="42">
        <f>ROUND(M48+N48-O48-P48,2)</f>
        <v/>
      </c>
      <c r="R48">
        <f>L48-P48</f>
        <v/>
      </c>
      <c r="S48" s="42">
        <f>W47</f>
        <v/>
      </c>
      <c r="T48" s="42">
        <f>ROUND(S48*T$6/12,2)</f>
        <v/>
      </c>
      <c r="U48" s="42">
        <f>MIN(U$6,S48+T48)</f>
        <v/>
      </c>
      <c r="V48" s="42">
        <f>MAX(0,MIN(S48+T48-U48,R48))</f>
        <v/>
      </c>
      <c r="W48" s="42">
        <f>ROUND(S48+T48-U48-V48,2)</f>
        <v/>
      </c>
      <c r="X48">
        <f>R48-V48</f>
        <v/>
      </c>
      <c r="Y48" s="42">
        <f>AC47</f>
        <v/>
      </c>
      <c r="Z48" s="42">
        <f>ROUND(Y48*Z$6/12,2)</f>
        <v/>
      </c>
      <c r="AA48" s="42">
        <f>MIN(AA$6,Y48+Z48)</f>
        <v/>
      </c>
      <c r="AB48" s="42">
        <f>MAX(0,MIN(Y48+Z48-AA48,X48))</f>
        <v/>
      </c>
      <c r="AC48" s="42">
        <f>ROUND(Y48+Z48-AA48-AB48,2)</f>
        <v/>
      </c>
      <c r="AD48">
        <f>X48-AB48</f>
        <v/>
      </c>
      <c r="AE48" s="42">
        <f>AI47</f>
        <v/>
      </c>
      <c r="AF48" s="42">
        <f>ROUND(AE48*AF$6/12,2)</f>
        <v/>
      </c>
      <c r="AG48" s="42">
        <f>MIN(AG$6,AE48+AF48)</f>
        <v/>
      </c>
      <c r="AH48" s="42">
        <f>MAX(0,MIN(AE48+AF48-AG48,AD48))</f>
        <v/>
      </c>
      <c r="AI48" s="42">
        <f>ROUND(AE48+AF48-AG48-AH48,2)</f>
        <v/>
      </c>
      <c r="AJ48">
        <f>AD48-AH48</f>
        <v/>
      </c>
      <c r="AK48" s="42">
        <f>AO47</f>
        <v/>
      </c>
      <c r="AL48" s="42">
        <f>ROUND(AK48*AL$6/12,2)</f>
        <v/>
      </c>
      <c r="AM48" s="42">
        <f>MIN(AM$6,AK48+AL48)</f>
        <v/>
      </c>
      <c r="AN48" s="42">
        <f>MAX(0,MIN(AK48+AL48-AM48,AJ48))</f>
        <v/>
      </c>
      <c r="AO48" s="42">
        <f>ROUND(AK48+AL48-AM48-AN48,2)</f>
        <v/>
      </c>
      <c r="AP48">
        <f>AJ48-AN48</f>
        <v/>
      </c>
      <c r="AQ48" s="42">
        <f>AU47</f>
        <v/>
      </c>
      <c r="AR48" s="42">
        <f>ROUND(AQ48*AR$6/12,2)</f>
        <v/>
      </c>
      <c r="AS48" s="42">
        <f>MIN(AS$6,AQ48+AR48)</f>
        <v/>
      </c>
      <c r="AT48" s="42">
        <f>MAX(0,MIN(AQ48+AR48-AS48,AP48))</f>
        <v/>
      </c>
      <c r="AU48" s="42">
        <f>ROUND(AQ48+AR48-AS48-AT48,2)</f>
        <v/>
      </c>
      <c r="AV48">
        <f>AP48-AT48</f>
        <v/>
      </c>
      <c r="AW48" s="42">
        <f>BA47</f>
        <v/>
      </c>
      <c r="AX48" s="42">
        <f>ROUND(AW48*AX$6/12,2)</f>
        <v/>
      </c>
      <c r="AY48" s="42">
        <f>MIN(AY$6,AW48+AX48)</f>
        <v/>
      </c>
      <c r="AZ48" s="42">
        <f>MAX(0,MIN(AW48+AX48-AY48,AV48))</f>
        <v/>
      </c>
      <c r="BA48" s="42">
        <f>ROUND(AW48+AX48-AY48-AZ48,2)</f>
        <v/>
      </c>
      <c r="BB48">
        <f>AV48-AZ48</f>
        <v/>
      </c>
      <c r="BC48" s="42">
        <f>BG47</f>
        <v/>
      </c>
      <c r="BD48" s="42">
        <f>ROUND(BC48*BD$6/12,2)</f>
        <v/>
      </c>
      <c r="BE48" s="42">
        <f>MIN(BE$6,BC48+BD48)</f>
        <v/>
      </c>
      <c r="BF48" s="42">
        <f>MAX(0,MIN(BC48+BD48-BE48,BB48))</f>
        <v/>
      </c>
      <c r="BG48" s="42">
        <f>ROUND(BC48+BD48-BE48-BF48,2)</f>
        <v/>
      </c>
      <c r="BH48">
        <f>BB48-BF48</f>
        <v/>
      </c>
      <c r="BI48" s="42">
        <f>BM47</f>
        <v/>
      </c>
      <c r="BJ48" s="42">
        <f>ROUND(BI48*BJ$6/12,2)</f>
        <v/>
      </c>
      <c r="BK48" s="42">
        <f>MIN(BK$6,BI48+BJ48)</f>
        <v/>
      </c>
      <c r="BL48" s="42">
        <f>MAX(0,MIN(BI48+BJ48-BK48,BH48))</f>
        <v/>
      </c>
      <c r="BM48" s="42">
        <f>ROUND(BI48+BJ48-BK48-BL48,2)</f>
        <v/>
      </c>
      <c r="BN48">
        <f>BH48-BL48</f>
        <v/>
      </c>
    </row>
    <row r="49">
      <c r="A49" s="43" t="n">
        <v>42</v>
      </c>
      <c r="B49" s="44">
        <f>EDATE('My Debts'!$C$6,A49-1)</f>
        <v/>
      </c>
      <c r="C49" s="45">
        <f>K49+Q49+W49+AC49+AI49+AO49+AU49+BA49+BG49+BM49</f>
        <v/>
      </c>
      <c r="D49" s="46">
        <f>I49+O49+U49+AA49+AG49+AM49+AS49+AY49+BE49+BK49+J49+P49+V49+AB49+AH49+AN49+AT49+AZ49+BF49+BL49</f>
        <v/>
      </c>
      <c r="E49" s="46">
        <f>H49+N49+T49+Z49+AF49+AL49+AR49+AX49+BD49+BJ49</f>
        <v/>
      </c>
      <c r="F49" t="n">
        <v>0</v>
      </c>
      <c r="G49" s="42">
        <f>K48</f>
        <v/>
      </c>
      <c r="H49" s="42">
        <f>ROUND(G49*H$6/12,2)</f>
        <v/>
      </c>
      <c r="I49" s="42">
        <f>MIN(I$6,G49+H49)</f>
        <v/>
      </c>
      <c r="J49" s="42">
        <f>MAX(0,MIN(G49+H49-I49,$F49))</f>
        <v/>
      </c>
      <c r="K49" s="42">
        <f>ROUND(G49+H49-I49-J49,2)</f>
        <v/>
      </c>
      <c r="L49">
        <f>$F49-J49</f>
        <v/>
      </c>
      <c r="M49" s="42">
        <f>Q48</f>
        <v/>
      </c>
      <c r="N49" s="42">
        <f>ROUND(M49*N$6/12,2)</f>
        <v/>
      </c>
      <c r="O49" s="42">
        <f>MIN(O$6,M49+N49)</f>
        <v/>
      </c>
      <c r="P49" s="42">
        <f>MAX(0,MIN(M49+N49-O49,L49))</f>
        <v/>
      </c>
      <c r="Q49" s="42">
        <f>ROUND(M49+N49-O49-P49,2)</f>
        <v/>
      </c>
      <c r="R49">
        <f>L49-P49</f>
        <v/>
      </c>
      <c r="S49" s="42">
        <f>W48</f>
        <v/>
      </c>
      <c r="T49" s="42">
        <f>ROUND(S49*T$6/12,2)</f>
        <v/>
      </c>
      <c r="U49" s="42">
        <f>MIN(U$6,S49+T49)</f>
        <v/>
      </c>
      <c r="V49" s="42">
        <f>MAX(0,MIN(S49+T49-U49,R49))</f>
        <v/>
      </c>
      <c r="W49" s="42">
        <f>ROUND(S49+T49-U49-V49,2)</f>
        <v/>
      </c>
      <c r="X49">
        <f>R49-V49</f>
        <v/>
      </c>
      <c r="Y49" s="42">
        <f>AC48</f>
        <v/>
      </c>
      <c r="Z49" s="42">
        <f>ROUND(Y49*Z$6/12,2)</f>
        <v/>
      </c>
      <c r="AA49" s="42">
        <f>MIN(AA$6,Y49+Z49)</f>
        <v/>
      </c>
      <c r="AB49" s="42">
        <f>MAX(0,MIN(Y49+Z49-AA49,X49))</f>
        <v/>
      </c>
      <c r="AC49" s="42">
        <f>ROUND(Y49+Z49-AA49-AB49,2)</f>
        <v/>
      </c>
      <c r="AD49">
        <f>X49-AB49</f>
        <v/>
      </c>
      <c r="AE49" s="42">
        <f>AI48</f>
        <v/>
      </c>
      <c r="AF49" s="42">
        <f>ROUND(AE49*AF$6/12,2)</f>
        <v/>
      </c>
      <c r="AG49" s="42">
        <f>MIN(AG$6,AE49+AF49)</f>
        <v/>
      </c>
      <c r="AH49" s="42">
        <f>MAX(0,MIN(AE49+AF49-AG49,AD49))</f>
        <v/>
      </c>
      <c r="AI49" s="42">
        <f>ROUND(AE49+AF49-AG49-AH49,2)</f>
        <v/>
      </c>
      <c r="AJ49">
        <f>AD49-AH49</f>
        <v/>
      </c>
      <c r="AK49" s="42">
        <f>AO48</f>
        <v/>
      </c>
      <c r="AL49" s="42">
        <f>ROUND(AK49*AL$6/12,2)</f>
        <v/>
      </c>
      <c r="AM49" s="42">
        <f>MIN(AM$6,AK49+AL49)</f>
        <v/>
      </c>
      <c r="AN49" s="42">
        <f>MAX(0,MIN(AK49+AL49-AM49,AJ49))</f>
        <v/>
      </c>
      <c r="AO49" s="42">
        <f>ROUND(AK49+AL49-AM49-AN49,2)</f>
        <v/>
      </c>
      <c r="AP49">
        <f>AJ49-AN49</f>
        <v/>
      </c>
      <c r="AQ49" s="42">
        <f>AU48</f>
        <v/>
      </c>
      <c r="AR49" s="42">
        <f>ROUND(AQ49*AR$6/12,2)</f>
        <v/>
      </c>
      <c r="AS49" s="42">
        <f>MIN(AS$6,AQ49+AR49)</f>
        <v/>
      </c>
      <c r="AT49" s="42">
        <f>MAX(0,MIN(AQ49+AR49-AS49,AP49))</f>
        <v/>
      </c>
      <c r="AU49" s="42">
        <f>ROUND(AQ49+AR49-AS49-AT49,2)</f>
        <v/>
      </c>
      <c r="AV49">
        <f>AP49-AT49</f>
        <v/>
      </c>
      <c r="AW49" s="42">
        <f>BA48</f>
        <v/>
      </c>
      <c r="AX49" s="42">
        <f>ROUND(AW49*AX$6/12,2)</f>
        <v/>
      </c>
      <c r="AY49" s="42">
        <f>MIN(AY$6,AW49+AX49)</f>
        <v/>
      </c>
      <c r="AZ49" s="42">
        <f>MAX(0,MIN(AW49+AX49-AY49,AV49))</f>
        <v/>
      </c>
      <c r="BA49" s="42">
        <f>ROUND(AW49+AX49-AY49-AZ49,2)</f>
        <v/>
      </c>
      <c r="BB49">
        <f>AV49-AZ49</f>
        <v/>
      </c>
      <c r="BC49" s="42">
        <f>BG48</f>
        <v/>
      </c>
      <c r="BD49" s="42">
        <f>ROUND(BC49*BD$6/12,2)</f>
        <v/>
      </c>
      <c r="BE49" s="42">
        <f>MIN(BE$6,BC49+BD49)</f>
        <v/>
      </c>
      <c r="BF49" s="42">
        <f>MAX(0,MIN(BC49+BD49-BE49,BB49))</f>
        <v/>
      </c>
      <c r="BG49" s="42">
        <f>ROUND(BC49+BD49-BE49-BF49,2)</f>
        <v/>
      </c>
      <c r="BH49">
        <f>BB49-BF49</f>
        <v/>
      </c>
      <c r="BI49" s="42">
        <f>BM48</f>
        <v/>
      </c>
      <c r="BJ49" s="42">
        <f>ROUND(BI49*BJ$6/12,2)</f>
        <v/>
      </c>
      <c r="BK49" s="42">
        <f>MIN(BK$6,BI49+BJ49)</f>
        <v/>
      </c>
      <c r="BL49" s="42">
        <f>MAX(0,MIN(BI49+BJ49-BK49,BH49))</f>
        <v/>
      </c>
      <c r="BM49" s="42">
        <f>ROUND(BI49+BJ49-BK49-BL49,2)</f>
        <v/>
      </c>
      <c r="BN49">
        <f>BH49-BL49</f>
        <v/>
      </c>
    </row>
    <row r="50">
      <c r="A50" s="39" t="n">
        <v>43</v>
      </c>
      <c r="B50" s="40">
        <f>EDATE('My Debts'!$C$6,A50-1)</f>
        <v/>
      </c>
      <c r="C50" s="41">
        <f>K50+Q50+W50+AC50+AI50+AO50+AU50+BA50+BG50+BM50</f>
        <v/>
      </c>
      <c r="D50" s="42">
        <f>I50+O50+U50+AA50+AG50+AM50+AS50+AY50+BE50+BK50+J50+P50+V50+AB50+AH50+AN50+AT50+AZ50+BF50+BL50</f>
        <v/>
      </c>
      <c r="E50" s="42">
        <f>H50+N50+T50+Z50+AF50+AL50+AR50+AX50+BD50+BJ50</f>
        <v/>
      </c>
      <c r="F50" t="n">
        <v>0</v>
      </c>
      <c r="G50" s="42">
        <f>K49</f>
        <v/>
      </c>
      <c r="H50" s="42">
        <f>ROUND(G50*H$6/12,2)</f>
        <v/>
      </c>
      <c r="I50" s="42">
        <f>MIN(I$6,G50+H50)</f>
        <v/>
      </c>
      <c r="J50" s="42">
        <f>MAX(0,MIN(G50+H50-I50,$F50))</f>
        <v/>
      </c>
      <c r="K50" s="42">
        <f>ROUND(G50+H50-I50-J50,2)</f>
        <v/>
      </c>
      <c r="L50">
        <f>$F50-J50</f>
        <v/>
      </c>
      <c r="M50" s="42">
        <f>Q49</f>
        <v/>
      </c>
      <c r="N50" s="42">
        <f>ROUND(M50*N$6/12,2)</f>
        <v/>
      </c>
      <c r="O50" s="42">
        <f>MIN(O$6,M50+N50)</f>
        <v/>
      </c>
      <c r="P50" s="42">
        <f>MAX(0,MIN(M50+N50-O50,L50))</f>
        <v/>
      </c>
      <c r="Q50" s="42">
        <f>ROUND(M50+N50-O50-P50,2)</f>
        <v/>
      </c>
      <c r="R50">
        <f>L50-P50</f>
        <v/>
      </c>
      <c r="S50" s="42">
        <f>W49</f>
        <v/>
      </c>
      <c r="T50" s="42">
        <f>ROUND(S50*T$6/12,2)</f>
        <v/>
      </c>
      <c r="U50" s="42">
        <f>MIN(U$6,S50+T50)</f>
        <v/>
      </c>
      <c r="V50" s="42">
        <f>MAX(0,MIN(S50+T50-U50,R50))</f>
        <v/>
      </c>
      <c r="W50" s="42">
        <f>ROUND(S50+T50-U50-V50,2)</f>
        <v/>
      </c>
      <c r="X50">
        <f>R50-V50</f>
        <v/>
      </c>
      <c r="Y50" s="42">
        <f>AC49</f>
        <v/>
      </c>
      <c r="Z50" s="42">
        <f>ROUND(Y50*Z$6/12,2)</f>
        <v/>
      </c>
      <c r="AA50" s="42">
        <f>MIN(AA$6,Y50+Z50)</f>
        <v/>
      </c>
      <c r="AB50" s="42">
        <f>MAX(0,MIN(Y50+Z50-AA50,X50))</f>
        <v/>
      </c>
      <c r="AC50" s="42">
        <f>ROUND(Y50+Z50-AA50-AB50,2)</f>
        <v/>
      </c>
      <c r="AD50">
        <f>X50-AB50</f>
        <v/>
      </c>
      <c r="AE50" s="42">
        <f>AI49</f>
        <v/>
      </c>
      <c r="AF50" s="42">
        <f>ROUND(AE50*AF$6/12,2)</f>
        <v/>
      </c>
      <c r="AG50" s="42">
        <f>MIN(AG$6,AE50+AF50)</f>
        <v/>
      </c>
      <c r="AH50" s="42">
        <f>MAX(0,MIN(AE50+AF50-AG50,AD50))</f>
        <v/>
      </c>
      <c r="AI50" s="42">
        <f>ROUND(AE50+AF50-AG50-AH50,2)</f>
        <v/>
      </c>
      <c r="AJ50">
        <f>AD50-AH50</f>
        <v/>
      </c>
      <c r="AK50" s="42">
        <f>AO49</f>
        <v/>
      </c>
      <c r="AL50" s="42">
        <f>ROUND(AK50*AL$6/12,2)</f>
        <v/>
      </c>
      <c r="AM50" s="42">
        <f>MIN(AM$6,AK50+AL50)</f>
        <v/>
      </c>
      <c r="AN50" s="42">
        <f>MAX(0,MIN(AK50+AL50-AM50,AJ50))</f>
        <v/>
      </c>
      <c r="AO50" s="42">
        <f>ROUND(AK50+AL50-AM50-AN50,2)</f>
        <v/>
      </c>
      <c r="AP50">
        <f>AJ50-AN50</f>
        <v/>
      </c>
      <c r="AQ50" s="42">
        <f>AU49</f>
        <v/>
      </c>
      <c r="AR50" s="42">
        <f>ROUND(AQ50*AR$6/12,2)</f>
        <v/>
      </c>
      <c r="AS50" s="42">
        <f>MIN(AS$6,AQ50+AR50)</f>
        <v/>
      </c>
      <c r="AT50" s="42">
        <f>MAX(0,MIN(AQ50+AR50-AS50,AP50))</f>
        <v/>
      </c>
      <c r="AU50" s="42">
        <f>ROUND(AQ50+AR50-AS50-AT50,2)</f>
        <v/>
      </c>
      <c r="AV50">
        <f>AP50-AT50</f>
        <v/>
      </c>
      <c r="AW50" s="42">
        <f>BA49</f>
        <v/>
      </c>
      <c r="AX50" s="42">
        <f>ROUND(AW50*AX$6/12,2)</f>
        <v/>
      </c>
      <c r="AY50" s="42">
        <f>MIN(AY$6,AW50+AX50)</f>
        <v/>
      </c>
      <c r="AZ50" s="42">
        <f>MAX(0,MIN(AW50+AX50-AY50,AV50))</f>
        <v/>
      </c>
      <c r="BA50" s="42">
        <f>ROUND(AW50+AX50-AY50-AZ50,2)</f>
        <v/>
      </c>
      <c r="BB50">
        <f>AV50-AZ50</f>
        <v/>
      </c>
      <c r="BC50" s="42">
        <f>BG49</f>
        <v/>
      </c>
      <c r="BD50" s="42">
        <f>ROUND(BC50*BD$6/12,2)</f>
        <v/>
      </c>
      <c r="BE50" s="42">
        <f>MIN(BE$6,BC50+BD50)</f>
        <v/>
      </c>
      <c r="BF50" s="42">
        <f>MAX(0,MIN(BC50+BD50-BE50,BB50))</f>
        <v/>
      </c>
      <c r="BG50" s="42">
        <f>ROUND(BC50+BD50-BE50-BF50,2)</f>
        <v/>
      </c>
      <c r="BH50">
        <f>BB50-BF50</f>
        <v/>
      </c>
      <c r="BI50" s="42">
        <f>BM49</f>
        <v/>
      </c>
      <c r="BJ50" s="42">
        <f>ROUND(BI50*BJ$6/12,2)</f>
        <v/>
      </c>
      <c r="BK50" s="42">
        <f>MIN(BK$6,BI50+BJ50)</f>
        <v/>
      </c>
      <c r="BL50" s="42">
        <f>MAX(0,MIN(BI50+BJ50-BK50,BH50))</f>
        <v/>
      </c>
      <c r="BM50" s="42">
        <f>ROUND(BI50+BJ50-BK50-BL50,2)</f>
        <v/>
      </c>
      <c r="BN50">
        <f>BH50-BL50</f>
        <v/>
      </c>
    </row>
    <row r="51">
      <c r="A51" s="43" t="n">
        <v>44</v>
      </c>
      <c r="B51" s="44">
        <f>EDATE('My Debts'!$C$6,A51-1)</f>
        <v/>
      </c>
      <c r="C51" s="45">
        <f>K51+Q51+W51+AC51+AI51+AO51+AU51+BA51+BG51+BM51</f>
        <v/>
      </c>
      <c r="D51" s="46">
        <f>I51+O51+U51+AA51+AG51+AM51+AS51+AY51+BE51+BK51+J51+P51+V51+AB51+AH51+AN51+AT51+AZ51+BF51+BL51</f>
        <v/>
      </c>
      <c r="E51" s="46">
        <f>H51+N51+T51+Z51+AF51+AL51+AR51+AX51+BD51+BJ51</f>
        <v/>
      </c>
      <c r="F51" t="n">
        <v>0</v>
      </c>
      <c r="G51" s="42">
        <f>K50</f>
        <v/>
      </c>
      <c r="H51" s="42">
        <f>ROUND(G51*H$6/12,2)</f>
        <v/>
      </c>
      <c r="I51" s="42">
        <f>MIN(I$6,G51+H51)</f>
        <v/>
      </c>
      <c r="J51" s="42">
        <f>MAX(0,MIN(G51+H51-I51,$F51))</f>
        <v/>
      </c>
      <c r="K51" s="42">
        <f>ROUND(G51+H51-I51-J51,2)</f>
        <v/>
      </c>
      <c r="L51">
        <f>$F51-J51</f>
        <v/>
      </c>
      <c r="M51" s="42">
        <f>Q50</f>
        <v/>
      </c>
      <c r="N51" s="42">
        <f>ROUND(M51*N$6/12,2)</f>
        <v/>
      </c>
      <c r="O51" s="42">
        <f>MIN(O$6,M51+N51)</f>
        <v/>
      </c>
      <c r="P51" s="42">
        <f>MAX(0,MIN(M51+N51-O51,L51))</f>
        <v/>
      </c>
      <c r="Q51" s="42">
        <f>ROUND(M51+N51-O51-P51,2)</f>
        <v/>
      </c>
      <c r="R51">
        <f>L51-P51</f>
        <v/>
      </c>
      <c r="S51" s="42">
        <f>W50</f>
        <v/>
      </c>
      <c r="T51" s="42">
        <f>ROUND(S51*T$6/12,2)</f>
        <v/>
      </c>
      <c r="U51" s="42">
        <f>MIN(U$6,S51+T51)</f>
        <v/>
      </c>
      <c r="V51" s="42">
        <f>MAX(0,MIN(S51+T51-U51,R51))</f>
        <v/>
      </c>
      <c r="W51" s="42">
        <f>ROUND(S51+T51-U51-V51,2)</f>
        <v/>
      </c>
      <c r="X51">
        <f>R51-V51</f>
        <v/>
      </c>
      <c r="Y51" s="42">
        <f>AC50</f>
        <v/>
      </c>
      <c r="Z51" s="42">
        <f>ROUND(Y51*Z$6/12,2)</f>
        <v/>
      </c>
      <c r="AA51" s="42">
        <f>MIN(AA$6,Y51+Z51)</f>
        <v/>
      </c>
      <c r="AB51" s="42">
        <f>MAX(0,MIN(Y51+Z51-AA51,X51))</f>
        <v/>
      </c>
      <c r="AC51" s="42">
        <f>ROUND(Y51+Z51-AA51-AB51,2)</f>
        <v/>
      </c>
      <c r="AD51">
        <f>X51-AB51</f>
        <v/>
      </c>
      <c r="AE51" s="42">
        <f>AI50</f>
        <v/>
      </c>
      <c r="AF51" s="42">
        <f>ROUND(AE51*AF$6/12,2)</f>
        <v/>
      </c>
      <c r="AG51" s="42">
        <f>MIN(AG$6,AE51+AF51)</f>
        <v/>
      </c>
      <c r="AH51" s="42">
        <f>MAX(0,MIN(AE51+AF51-AG51,AD51))</f>
        <v/>
      </c>
      <c r="AI51" s="42">
        <f>ROUND(AE51+AF51-AG51-AH51,2)</f>
        <v/>
      </c>
      <c r="AJ51">
        <f>AD51-AH51</f>
        <v/>
      </c>
      <c r="AK51" s="42">
        <f>AO50</f>
        <v/>
      </c>
      <c r="AL51" s="42">
        <f>ROUND(AK51*AL$6/12,2)</f>
        <v/>
      </c>
      <c r="AM51" s="42">
        <f>MIN(AM$6,AK51+AL51)</f>
        <v/>
      </c>
      <c r="AN51" s="42">
        <f>MAX(0,MIN(AK51+AL51-AM51,AJ51))</f>
        <v/>
      </c>
      <c r="AO51" s="42">
        <f>ROUND(AK51+AL51-AM51-AN51,2)</f>
        <v/>
      </c>
      <c r="AP51">
        <f>AJ51-AN51</f>
        <v/>
      </c>
      <c r="AQ51" s="42">
        <f>AU50</f>
        <v/>
      </c>
      <c r="AR51" s="42">
        <f>ROUND(AQ51*AR$6/12,2)</f>
        <v/>
      </c>
      <c r="AS51" s="42">
        <f>MIN(AS$6,AQ51+AR51)</f>
        <v/>
      </c>
      <c r="AT51" s="42">
        <f>MAX(0,MIN(AQ51+AR51-AS51,AP51))</f>
        <v/>
      </c>
      <c r="AU51" s="42">
        <f>ROUND(AQ51+AR51-AS51-AT51,2)</f>
        <v/>
      </c>
      <c r="AV51">
        <f>AP51-AT51</f>
        <v/>
      </c>
      <c r="AW51" s="42">
        <f>BA50</f>
        <v/>
      </c>
      <c r="AX51" s="42">
        <f>ROUND(AW51*AX$6/12,2)</f>
        <v/>
      </c>
      <c r="AY51" s="42">
        <f>MIN(AY$6,AW51+AX51)</f>
        <v/>
      </c>
      <c r="AZ51" s="42">
        <f>MAX(0,MIN(AW51+AX51-AY51,AV51))</f>
        <v/>
      </c>
      <c r="BA51" s="42">
        <f>ROUND(AW51+AX51-AY51-AZ51,2)</f>
        <v/>
      </c>
      <c r="BB51">
        <f>AV51-AZ51</f>
        <v/>
      </c>
      <c r="BC51" s="42">
        <f>BG50</f>
        <v/>
      </c>
      <c r="BD51" s="42">
        <f>ROUND(BC51*BD$6/12,2)</f>
        <v/>
      </c>
      <c r="BE51" s="42">
        <f>MIN(BE$6,BC51+BD51)</f>
        <v/>
      </c>
      <c r="BF51" s="42">
        <f>MAX(0,MIN(BC51+BD51-BE51,BB51))</f>
        <v/>
      </c>
      <c r="BG51" s="42">
        <f>ROUND(BC51+BD51-BE51-BF51,2)</f>
        <v/>
      </c>
      <c r="BH51">
        <f>BB51-BF51</f>
        <v/>
      </c>
      <c r="BI51" s="42">
        <f>BM50</f>
        <v/>
      </c>
      <c r="BJ51" s="42">
        <f>ROUND(BI51*BJ$6/12,2)</f>
        <v/>
      </c>
      <c r="BK51" s="42">
        <f>MIN(BK$6,BI51+BJ51)</f>
        <v/>
      </c>
      <c r="BL51" s="42">
        <f>MAX(0,MIN(BI51+BJ51-BK51,BH51))</f>
        <v/>
      </c>
      <c r="BM51" s="42">
        <f>ROUND(BI51+BJ51-BK51-BL51,2)</f>
        <v/>
      </c>
      <c r="BN51">
        <f>BH51-BL51</f>
        <v/>
      </c>
    </row>
    <row r="52">
      <c r="A52" s="39" t="n">
        <v>45</v>
      </c>
      <c r="B52" s="40">
        <f>EDATE('My Debts'!$C$6,A52-1)</f>
        <v/>
      </c>
      <c r="C52" s="41">
        <f>K52+Q52+W52+AC52+AI52+AO52+AU52+BA52+BG52+BM52</f>
        <v/>
      </c>
      <c r="D52" s="42">
        <f>I52+O52+U52+AA52+AG52+AM52+AS52+AY52+BE52+BK52+J52+P52+V52+AB52+AH52+AN52+AT52+AZ52+BF52+BL52</f>
        <v/>
      </c>
      <c r="E52" s="42">
        <f>H52+N52+T52+Z52+AF52+AL52+AR52+AX52+BD52+BJ52</f>
        <v/>
      </c>
      <c r="F52" t="n">
        <v>0</v>
      </c>
      <c r="G52" s="42">
        <f>K51</f>
        <v/>
      </c>
      <c r="H52" s="42">
        <f>ROUND(G52*H$6/12,2)</f>
        <v/>
      </c>
      <c r="I52" s="42">
        <f>MIN(I$6,G52+H52)</f>
        <v/>
      </c>
      <c r="J52" s="42">
        <f>MAX(0,MIN(G52+H52-I52,$F52))</f>
        <v/>
      </c>
      <c r="K52" s="42">
        <f>ROUND(G52+H52-I52-J52,2)</f>
        <v/>
      </c>
      <c r="L52">
        <f>$F52-J52</f>
        <v/>
      </c>
      <c r="M52" s="42">
        <f>Q51</f>
        <v/>
      </c>
      <c r="N52" s="42">
        <f>ROUND(M52*N$6/12,2)</f>
        <v/>
      </c>
      <c r="O52" s="42">
        <f>MIN(O$6,M52+N52)</f>
        <v/>
      </c>
      <c r="P52" s="42">
        <f>MAX(0,MIN(M52+N52-O52,L52))</f>
        <v/>
      </c>
      <c r="Q52" s="42">
        <f>ROUND(M52+N52-O52-P52,2)</f>
        <v/>
      </c>
      <c r="R52">
        <f>L52-P52</f>
        <v/>
      </c>
      <c r="S52" s="42">
        <f>W51</f>
        <v/>
      </c>
      <c r="T52" s="42">
        <f>ROUND(S52*T$6/12,2)</f>
        <v/>
      </c>
      <c r="U52" s="42">
        <f>MIN(U$6,S52+T52)</f>
        <v/>
      </c>
      <c r="V52" s="42">
        <f>MAX(0,MIN(S52+T52-U52,R52))</f>
        <v/>
      </c>
      <c r="W52" s="42">
        <f>ROUND(S52+T52-U52-V52,2)</f>
        <v/>
      </c>
      <c r="X52">
        <f>R52-V52</f>
        <v/>
      </c>
      <c r="Y52" s="42">
        <f>AC51</f>
        <v/>
      </c>
      <c r="Z52" s="42">
        <f>ROUND(Y52*Z$6/12,2)</f>
        <v/>
      </c>
      <c r="AA52" s="42">
        <f>MIN(AA$6,Y52+Z52)</f>
        <v/>
      </c>
      <c r="AB52" s="42">
        <f>MAX(0,MIN(Y52+Z52-AA52,X52))</f>
        <v/>
      </c>
      <c r="AC52" s="42">
        <f>ROUND(Y52+Z52-AA52-AB52,2)</f>
        <v/>
      </c>
      <c r="AD52">
        <f>X52-AB52</f>
        <v/>
      </c>
      <c r="AE52" s="42">
        <f>AI51</f>
        <v/>
      </c>
      <c r="AF52" s="42">
        <f>ROUND(AE52*AF$6/12,2)</f>
        <v/>
      </c>
      <c r="AG52" s="42">
        <f>MIN(AG$6,AE52+AF52)</f>
        <v/>
      </c>
      <c r="AH52" s="42">
        <f>MAX(0,MIN(AE52+AF52-AG52,AD52))</f>
        <v/>
      </c>
      <c r="AI52" s="42">
        <f>ROUND(AE52+AF52-AG52-AH52,2)</f>
        <v/>
      </c>
      <c r="AJ52">
        <f>AD52-AH52</f>
        <v/>
      </c>
      <c r="AK52" s="42">
        <f>AO51</f>
        <v/>
      </c>
      <c r="AL52" s="42">
        <f>ROUND(AK52*AL$6/12,2)</f>
        <v/>
      </c>
      <c r="AM52" s="42">
        <f>MIN(AM$6,AK52+AL52)</f>
        <v/>
      </c>
      <c r="AN52" s="42">
        <f>MAX(0,MIN(AK52+AL52-AM52,AJ52))</f>
        <v/>
      </c>
      <c r="AO52" s="42">
        <f>ROUND(AK52+AL52-AM52-AN52,2)</f>
        <v/>
      </c>
      <c r="AP52">
        <f>AJ52-AN52</f>
        <v/>
      </c>
      <c r="AQ52" s="42">
        <f>AU51</f>
        <v/>
      </c>
      <c r="AR52" s="42">
        <f>ROUND(AQ52*AR$6/12,2)</f>
        <v/>
      </c>
      <c r="AS52" s="42">
        <f>MIN(AS$6,AQ52+AR52)</f>
        <v/>
      </c>
      <c r="AT52" s="42">
        <f>MAX(0,MIN(AQ52+AR52-AS52,AP52))</f>
        <v/>
      </c>
      <c r="AU52" s="42">
        <f>ROUND(AQ52+AR52-AS52-AT52,2)</f>
        <v/>
      </c>
      <c r="AV52">
        <f>AP52-AT52</f>
        <v/>
      </c>
      <c r="AW52" s="42">
        <f>BA51</f>
        <v/>
      </c>
      <c r="AX52" s="42">
        <f>ROUND(AW52*AX$6/12,2)</f>
        <v/>
      </c>
      <c r="AY52" s="42">
        <f>MIN(AY$6,AW52+AX52)</f>
        <v/>
      </c>
      <c r="AZ52" s="42">
        <f>MAX(0,MIN(AW52+AX52-AY52,AV52))</f>
        <v/>
      </c>
      <c r="BA52" s="42">
        <f>ROUND(AW52+AX52-AY52-AZ52,2)</f>
        <v/>
      </c>
      <c r="BB52">
        <f>AV52-AZ52</f>
        <v/>
      </c>
      <c r="BC52" s="42">
        <f>BG51</f>
        <v/>
      </c>
      <c r="BD52" s="42">
        <f>ROUND(BC52*BD$6/12,2)</f>
        <v/>
      </c>
      <c r="BE52" s="42">
        <f>MIN(BE$6,BC52+BD52)</f>
        <v/>
      </c>
      <c r="BF52" s="42">
        <f>MAX(0,MIN(BC52+BD52-BE52,BB52))</f>
        <v/>
      </c>
      <c r="BG52" s="42">
        <f>ROUND(BC52+BD52-BE52-BF52,2)</f>
        <v/>
      </c>
      <c r="BH52">
        <f>BB52-BF52</f>
        <v/>
      </c>
      <c r="BI52" s="42">
        <f>BM51</f>
        <v/>
      </c>
      <c r="BJ52" s="42">
        <f>ROUND(BI52*BJ$6/12,2)</f>
        <v/>
      </c>
      <c r="BK52" s="42">
        <f>MIN(BK$6,BI52+BJ52)</f>
        <v/>
      </c>
      <c r="BL52" s="42">
        <f>MAX(0,MIN(BI52+BJ52-BK52,BH52))</f>
        <v/>
      </c>
      <c r="BM52" s="42">
        <f>ROUND(BI52+BJ52-BK52-BL52,2)</f>
        <v/>
      </c>
      <c r="BN52">
        <f>BH52-BL52</f>
        <v/>
      </c>
    </row>
    <row r="53">
      <c r="A53" s="43" t="n">
        <v>46</v>
      </c>
      <c r="B53" s="44">
        <f>EDATE('My Debts'!$C$6,A53-1)</f>
        <v/>
      </c>
      <c r="C53" s="45">
        <f>K53+Q53+W53+AC53+AI53+AO53+AU53+BA53+BG53+BM53</f>
        <v/>
      </c>
      <c r="D53" s="46">
        <f>I53+O53+U53+AA53+AG53+AM53+AS53+AY53+BE53+BK53+J53+P53+V53+AB53+AH53+AN53+AT53+AZ53+BF53+BL53</f>
        <v/>
      </c>
      <c r="E53" s="46">
        <f>H53+N53+T53+Z53+AF53+AL53+AR53+AX53+BD53+BJ53</f>
        <v/>
      </c>
      <c r="F53" t="n">
        <v>0</v>
      </c>
      <c r="G53" s="42">
        <f>K52</f>
        <v/>
      </c>
      <c r="H53" s="42">
        <f>ROUND(G53*H$6/12,2)</f>
        <v/>
      </c>
      <c r="I53" s="42">
        <f>MIN(I$6,G53+H53)</f>
        <v/>
      </c>
      <c r="J53" s="42">
        <f>MAX(0,MIN(G53+H53-I53,$F53))</f>
        <v/>
      </c>
      <c r="K53" s="42">
        <f>ROUND(G53+H53-I53-J53,2)</f>
        <v/>
      </c>
      <c r="L53">
        <f>$F53-J53</f>
        <v/>
      </c>
      <c r="M53" s="42">
        <f>Q52</f>
        <v/>
      </c>
      <c r="N53" s="42">
        <f>ROUND(M53*N$6/12,2)</f>
        <v/>
      </c>
      <c r="O53" s="42">
        <f>MIN(O$6,M53+N53)</f>
        <v/>
      </c>
      <c r="P53" s="42">
        <f>MAX(0,MIN(M53+N53-O53,L53))</f>
        <v/>
      </c>
      <c r="Q53" s="42">
        <f>ROUND(M53+N53-O53-P53,2)</f>
        <v/>
      </c>
      <c r="R53">
        <f>L53-P53</f>
        <v/>
      </c>
      <c r="S53" s="42">
        <f>W52</f>
        <v/>
      </c>
      <c r="T53" s="42">
        <f>ROUND(S53*T$6/12,2)</f>
        <v/>
      </c>
      <c r="U53" s="42">
        <f>MIN(U$6,S53+T53)</f>
        <v/>
      </c>
      <c r="V53" s="42">
        <f>MAX(0,MIN(S53+T53-U53,R53))</f>
        <v/>
      </c>
      <c r="W53" s="42">
        <f>ROUND(S53+T53-U53-V53,2)</f>
        <v/>
      </c>
      <c r="X53">
        <f>R53-V53</f>
        <v/>
      </c>
      <c r="Y53" s="42">
        <f>AC52</f>
        <v/>
      </c>
      <c r="Z53" s="42">
        <f>ROUND(Y53*Z$6/12,2)</f>
        <v/>
      </c>
      <c r="AA53" s="42">
        <f>MIN(AA$6,Y53+Z53)</f>
        <v/>
      </c>
      <c r="AB53" s="42">
        <f>MAX(0,MIN(Y53+Z53-AA53,X53))</f>
        <v/>
      </c>
      <c r="AC53" s="42">
        <f>ROUND(Y53+Z53-AA53-AB53,2)</f>
        <v/>
      </c>
      <c r="AD53">
        <f>X53-AB53</f>
        <v/>
      </c>
      <c r="AE53" s="42">
        <f>AI52</f>
        <v/>
      </c>
      <c r="AF53" s="42">
        <f>ROUND(AE53*AF$6/12,2)</f>
        <v/>
      </c>
      <c r="AG53" s="42">
        <f>MIN(AG$6,AE53+AF53)</f>
        <v/>
      </c>
      <c r="AH53" s="42">
        <f>MAX(0,MIN(AE53+AF53-AG53,AD53))</f>
        <v/>
      </c>
      <c r="AI53" s="42">
        <f>ROUND(AE53+AF53-AG53-AH53,2)</f>
        <v/>
      </c>
      <c r="AJ53">
        <f>AD53-AH53</f>
        <v/>
      </c>
      <c r="AK53" s="42">
        <f>AO52</f>
        <v/>
      </c>
      <c r="AL53" s="42">
        <f>ROUND(AK53*AL$6/12,2)</f>
        <v/>
      </c>
      <c r="AM53" s="42">
        <f>MIN(AM$6,AK53+AL53)</f>
        <v/>
      </c>
      <c r="AN53" s="42">
        <f>MAX(0,MIN(AK53+AL53-AM53,AJ53))</f>
        <v/>
      </c>
      <c r="AO53" s="42">
        <f>ROUND(AK53+AL53-AM53-AN53,2)</f>
        <v/>
      </c>
      <c r="AP53">
        <f>AJ53-AN53</f>
        <v/>
      </c>
      <c r="AQ53" s="42">
        <f>AU52</f>
        <v/>
      </c>
      <c r="AR53" s="42">
        <f>ROUND(AQ53*AR$6/12,2)</f>
        <v/>
      </c>
      <c r="AS53" s="42">
        <f>MIN(AS$6,AQ53+AR53)</f>
        <v/>
      </c>
      <c r="AT53" s="42">
        <f>MAX(0,MIN(AQ53+AR53-AS53,AP53))</f>
        <v/>
      </c>
      <c r="AU53" s="42">
        <f>ROUND(AQ53+AR53-AS53-AT53,2)</f>
        <v/>
      </c>
      <c r="AV53">
        <f>AP53-AT53</f>
        <v/>
      </c>
      <c r="AW53" s="42">
        <f>BA52</f>
        <v/>
      </c>
      <c r="AX53" s="42">
        <f>ROUND(AW53*AX$6/12,2)</f>
        <v/>
      </c>
      <c r="AY53" s="42">
        <f>MIN(AY$6,AW53+AX53)</f>
        <v/>
      </c>
      <c r="AZ53" s="42">
        <f>MAX(0,MIN(AW53+AX53-AY53,AV53))</f>
        <v/>
      </c>
      <c r="BA53" s="42">
        <f>ROUND(AW53+AX53-AY53-AZ53,2)</f>
        <v/>
      </c>
      <c r="BB53">
        <f>AV53-AZ53</f>
        <v/>
      </c>
      <c r="BC53" s="42">
        <f>BG52</f>
        <v/>
      </c>
      <c r="BD53" s="42">
        <f>ROUND(BC53*BD$6/12,2)</f>
        <v/>
      </c>
      <c r="BE53" s="42">
        <f>MIN(BE$6,BC53+BD53)</f>
        <v/>
      </c>
      <c r="BF53" s="42">
        <f>MAX(0,MIN(BC53+BD53-BE53,BB53))</f>
        <v/>
      </c>
      <c r="BG53" s="42">
        <f>ROUND(BC53+BD53-BE53-BF53,2)</f>
        <v/>
      </c>
      <c r="BH53">
        <f>BB53-BF53</f>
        <v/>
      </c>
      <c r="BI53" s="42">
        <f>BM52</f>
        <v/>
      </c>
      <c r="BJ53" s="42">
        <f>ROUND(BI53*BJ$6/12,2)</f>
        <v/>
      </c>
      <c r="BK53" s="42">
        <f>MIN(BK$6,BI53+BJ53)</f>
        <v/>
      </c>
      <c r="BL53" s="42">
        <f>MAX(0,MIN(BI53+BJ53-BK53,BH53))</f>
        <v/>
      </c>
      <c r="BM53" s="42">
        <f>ROUND(BI53+BJ53-BK53-BL53,2)</f>
        <v/>
      </c>
      <c r="BN53">
        <f>BH53-BL53</f>
        <v/>
      </c>
    </row>
    <row r="54">
      <c r="A54" s="39" t="n">
        <v>47</v>
      </c>
      <c r="B54" s="40">
        <f>EDATE('My Debts'!$C$6,A54-1)</f>
        <v/>
      </c>
      <c r="C54" s="41">
        <f>K54+Q54+W54+AC54+AI54+AO54+AU54+BA54+BG54+BM54</f>
        <v/>
      </c>
      <c r="D54" s="42">
        <f>I54+O54+U54+AA54+AG54+AM54+AS54+AY54+BE54+BK54+J54+P54+V54+AB54+AH54+AN54+AT54+AZ54+BF54+BL54</f>
        <v/>
      </c>
      <c r="E54" s="42">
        <f>H54+N54+T54+Z54+AF54+AL54+AR54+AX54+BD54+BJ54</f>
        <v/>
      </c>
      <c r="F54" t="n">
        <v>0</v>
      </c>
      <c r="G54" s="42">
        <f>K53</f>
        <v/>
      </c>
      <c r="H54" s="42">
        <f>ROUND(G54*H$6/12,2)</f>
        <v/>
      </c>
      <c r="I54" s="42">
        <f>MIN(I$6,G54+H54)</f>
        <v/>
      </c>
      <c r="J54" s="42">
        <f>MAX(0,MIN(G54+H54-I54,$F54))</f>
        <v/>
      </c>
      <c r="K54" s="42">
        <f>ROUND(G54+H54-I54-J54,2)</f>
        <v/>
      </c>
      <c r="L54">
        <f>$F54-J54</f>
        <v/>
      </c>
      <c r="M54" s="42">
        <f>Q53</f>
        <v/>
      </c>
      <c r="N54" s="42">
        <f>ROUND(M54*N$6/12,2)</f>
        <v/>
      </c>
      <c r="O54" s="42">
        <f>MIN(O$6,M54+N54)</f>
        <v/>
      </c>
      <c r="P54" s="42">
        <f>MAX(0,MIN(M54+N54-O54,L54))</f>
        <v/>
      </c>
      <c r="Q54" s="42">
        <f>ROUND(M54+N54-O54-P54,2)</f>
        <v/>
      </c>
      <c r="R54">
        <f>L54-P54</f>
        <v/>
      </c>
      <c r="S54" s="42">
        <f>W53</f>
        <v/>
      </c>
      <c r="T54" s="42">
        <f>ROUND(S54*T$6/12,2)</f>
        <v/>
      </c>
      <c r="U54" s="42">
        <f>MIN(U$6,S54+T54)</f>
        <v/>
      </c>
      <c r="V54" s="42">
        <f>MAX(0,MIN(S54+T54-U54,R54))</f>
        <v/>
      </c>
      <c r="W54" s="42">
        <f>ROUND(S54+T54-U54-V54,2)</f>
        <v/>
      </c>
      <c r="X54">
        <f>R54-V54</f>
        <v/>
      </c>
      <c r="Y54" s="42">
        <f>AC53</f>
        <v/>
      </c>
      <c r="Z54" s="42">
        <f>ROUND(Y54*Z$6/12,2)</f>
        <v/>
      </c>
      <c r="AA54" s="42">
        <f>MIN(AA$6,Y54+Z54)</f>
        <v/>
      </c>
      <c r="AB54" s="42">
        <f>MAX(0,MIN(Y54+Z54-AA54,X54))</f>
        <v/>
      </c>
      <c r="AC54" s="42">
        <f>ROUND(Y54+Z54-AA54-AB54,2)</f>
        <v/>
      </c>
      <c r="AD54">
        <f>X54-AB54</f>
        <v/>
      </c>
      <c r="AE54" s="42">
        <f>AI53</f>
        <v/>
      </c>
      <c r="AF54" s="42">
        <f>ROUND(AE54*AF$6/12,2)</f>
        <v/>
      </c>
      <c r="AG54" s="42">
        <f>MIN(AG$6,AE54+AF54)</f>
        <v/>
      </c>
      <c r="AH54" s="42">
        <f>MAX(0,MIN(AE54+AF54-AG54,AD54))</f>
        <v/>
      </c>
      <c r="AI54" s="42">
        <f>ROUND(AE54+AF54-AG54-AH54,2)</f>
        <v/>
      </c>
      <c r="AJ54">
        <f>AD54-AH54</f>
        <v/>
      </c>
      <c r="AK54" s="42">
        <f>AO53</f>
        <v/>
      </c>
      <c r="AL54" s="42">
        <f>ROUND(AK54*AL$6/12,2)</f>
        <v/>
      </c>
      <c r="AM54" s="42">
        <f>MIN(AM$6,AK54+AL54)</f>
        <v/>
      </c>
      <c r="AN54" s="42">
        <f>MAX(0,MIN(AK54+AL54-AM54,AJ54))</f>
        <v/>
      </c>
      <c r="AO54" s="42">
        <f>ROUND(AK54+AL54-AM54-AN54,2)</f>
        <v/>
      </c>
      <c r="AP54">
        <f>AJ54-AN54</f>
        <v/>
      </c>
      <c r="AQ54" s="42">
        <f>AU53</f>
        <v/>
      </c>
      <c r="AR54" s="42">
        <f>ROUND(AQ54*AR$6/12,2)</f>
        <v/>
      </c>
      <c r="AS54" s="42">
        <f>MIN(AS$6,AQ54+AR54)</f>
        <v/>
      </c>
      <c r="AT54" s="42">
        <f>MAX(0,MIN(AQ54+AR54-AS54,AP54))</f>
        <v/>
      </c>
      <c r="AU54" s="42">
        <f>ROUND(AQ54+AR54-AS54-AT54,2)</f>
        <v/>
      </c>
      <c r="AV54">
        <f>AP54-AT54</f>
        <v/>
      </c>
      <c r="AW54" s="42">
        <f>BA53</f>
        <v/>
      </c>
      <c r="AX54" s="42">
        <f>ROUND(AW54*AX$6/12,2)</f>
        <v/>
      </c>
      <c r="AY54" s="42">
        <f>MIN(AY$6,AW54+AX54)</f>
        <v/>
      </c>
      <c r="AZ54" s="42">
        <f>MAX(0,MIN(AW54+AX54-AY54,AV54))</f>
        <v/>
      </c>
      <c r="BA54" s="42">
        <f>ROUND(AW54+AX54-AY54-AZ54,2)</f>
        <v/>
      </c>
      <c r="BB54">
        <f>AV54-AZ54</f>
        <v/>
      </c>
      <c r="BC54" s="42">
        <f>BG53</f>
        <v/>
      </c>
      <c r="BD54" s="42">
        <f>ROUND(BC54*BD$6/12,2)</f>
        <v/>
      </c>
      <c r="BE54" s="42">
        <f>MIN(BE$6,BC54+BD54)</f>
        <v/>
      </c>
      <c r="BF54" s="42">
        <f>MAX(0,MIN(BC54+BD54-BE54,BB54))</f>
        <v/>
      </c>
      <c r="BG54" s="42">
        <f>ROUND(BC54+BD54-BE54-BF54,2)</f>
        <v/>
      </c>
      <c r="BH54">
        <f>BB54-BF54</f>
        <v/>
      </c>
      <c r="BI54" s="42">
        <f>BM53</f>
        <v/>
      </c>
      <c r="BJ54" s="42">
        <f>ROUND(BI54*BJ$6/12,2)</f>
        <v/>
      </c>
      <c r="BK54" s="42">
        <f>MIN(BK$6,BI54+BJ54)</f>
        <v/>
      </c>
      <c r="BL54" s="42">
        <f>MAX(0,MIN(BI54+BJ54-BK54,BH54))</f>
        <v/>
      </c>
      <c r="BM54" s="42">
        <f>ROUND(BI54+BJ54-BK54-BL54,2)</f>
        <v/>
      </c>
      <c r="BN54">
        <f>BH54-BL54</f>
        <v/>
      </c>
    </row>
    <row r="55">
      <c r="A55" s="43" t="n">
        <v>48</v>
      </c>
      <c r="B55" s="44">
        <f>EDATE('My Debts'!$C$6,A55-1)</f>
        <v/>
      </c>
      <c r="C55" s="45">
        <f>K55+Q55+W55+AC55+AI55+AO55+AU55+BA55+BG55+BM55</f>
        <v/>
      </c>
      <c r="D55" s="46">
        <f>I55+O55+U55+AA55+AG55+AM55+AS55+AY55+BE55+BK55+J55+P55+V55+AB55+AH55+AN55+AT55+AZ55+BF55+BL55</f>
        <v/>
      </c>
      <c r="E55" s="46">
        <f>H55+N55+T55+Z55+AF55+AL55+AR55+AX55+BD55+BJ55</f>
        <v/>
      </c>
      <c r="F55" t="n">
        <v>0</v>
      </c>
      <c r="G55" s="42">
        <f>K54</f>
        <v/>
      </c>
      <c r="H55" s="42">
        <f>ROUND(G55*H$6/12,2)</f>
        <v/>
      </c>
      <c r="I55" s="42">
        <f>MIN(I$6,G55+H55)</f>
        <v/>
      </c>
      <c r="J55" s="42">
        <f>MAX(0,MIN(G55+H55-I55,$F55))</f>
        <v/>
      </c>
      <c r="K55" s="42">
        <f>ROUND(G55+H55-I55-J55,2)</f>
        <v/>
      </c>
      <c r="L55">
        <f>$F55-J55</f>
        <v/>
      </c>
      <c r="M55" s="42">
        <f>Q54</f>
        <v/>
      </c>
      <c r="N55" s="42">
        <f>ROUND(M55*N$6/12,2)</f>
        <v/>
      </c>
      <c r="O55" s="42">
        <f>MIN(O$6,M55+N55)</f>
        <v/>
      </c>
      <c r="P55" s="42">
        <f>MAX(0,MIN(M55+N55-O55,L55))</f>
        <v/>
      </c>
      <c r="Q55" s="42">
        <f>ROUND(M55+N55-O55-P55,2)</f>
        <v/>
      </c>
      <c r="R55">
        <f>L55-P55</f>
        <v/>
      </c>
      <c r="S55" s="42">
        <f>W54</f>
        <v/>
      </c>
      <c r="T55" s="42">
        <f>ROUND(S55*T$6/12,2)</f>
        <v/>
      </c>
      <c r="U55" s="42">
        <f>MIN(U$6,S55+T55)</f>
        <v/>
      </c>
      <c r="V55" s="42">
        <f>MAX(0,MIN(S55+T55-U55,R55))</f>
        <v/>
      </c>
      <c r="W55" s="42">
        <f>ROUND(S55+T55-U55-V55,2)</f>
        <v/>
      </c>
      <c r="X55">
        <f>R55-V55</f>
        <v/>
      </c>
      <c r="Y55" s="42">
        <f>AC54</f>
        <v/>
      </c>
      <c r="Z55" s="42">
        <f>ROUND(Y55*Z$6/12,2)</f>
        <v/>
      </c>
      <c r="AA55" s="42">
        <f>MIN(AA$6,Y55+Z55)</f>
        <v/>
      </c>
      <c r="AB55" s="42">
        <f>MAX(0,MIN(Y55+Z55-AA55,X55))</f>
        <v/>
      </c>
      <c r="AC55" s="42">
        <f>ROUND(Y55+Z55-AA55-AB55,2)</f>
        <v/>
      </c>
      <c r="AD55">
        <f>X55-AB55</f>
        <v/>
      </c>
      <c r="AE55" s="42">
        <f>AI54</f>
        <v/>
      </c>
      <c r="AF55" s="42">
        <f>ROUND(AE55*AF$6/12,2)</f>
        <v/>
      </c>
      <c r="AG55" s="42">
        <f>MIN(AG$6,AE55+AF55)</f>
        <v/>
      </c>
      <c r="AH55" s="42">
        <f>MAX(0,MIN(AE55+AF55-AG55,AD55))</f>
        <v/>
      </c>
      <c r="AI55" s="42">
        <f>ROUND(AE55+AF55-AG55-AH55,2)</f>
        <v/>
      </c>
      <c r="AJ55">
        <f>AD55-AH55</f>
        <v/>
      </c>
      <c r="AK55" s="42">
        <f>AO54</f>
        <v/>
      </c>
      <c r="AL55" s="42">
        <f>ROUND(AK55*AL$6/12,2)</f>
        <v/>
      </c>
      <c r="AM55" s="42">
        <f>MIN(AM$6,AK55+AL55)</f>
        <v/>
      </c>
      <c r="AN55" s="42">
        <f>MAX(0,MIN(AK55+AL55-AM55,AJ55))</f>
        <v/>
      </c>
      <c r="AO55" s="42">
        <f>ROUND(AK55+AL55-AM55-AN55,2)</f>
        <v/>
      </c>
      <c r="AP55">
        <f>AJ55-AN55</f>
        <v/>
      </c>
      <c r="AQ55" s="42">
        <f>AU54</f>
        <v/>
      </c>
      <c r="AR55" s="42">
        <f>ROUND(AQ55*AR$6/12,2)</f>
        <v/>
      </c>
      <c r="AS55" s="42">
        <f>MIN(AS$6,AQ55+AR55)</f>
        <v/>
      </c>
      <c r="AT55" s="42">
        <f>MAX(0,MIN(AQ55+AR55-AS55,AP55))</f>
        <v/>
      </c>
      <c r="AU55" s="42">
        <f>ROUND(AQ55+AR55-AS55-AT55,2)</f>
        <v/>
      </c>
      <c r="AV55">
        <f>AP55-AT55</f>
        <v/>
      </c>
      <c r="AW55" s="42">
        <f>BA54</f>
        <v/>
      </c>
      <c r="AX55" s="42">
        <f>ROUND(AW55*AX$6/12,2)</f>
        <v/>
      </c>
      <c r="AY55" s="42">
        <f>MIN(AY$6,AW55+AX55)</f>
        <v/>
      </c>
      <c r="AZ55" s="42">
        <f>MAX(0,MIN(AW55+AX55-AY55,AV55))</f>
        <v/>
      </c>
      <c r="BA55" s="42">
        <f>ROUND(AW55+AX55-AY55-AZ55,2)</f>
        <v/>
      </c>
      <c r="BB55">
        <f>AV55-AZ55</f>
        <v/>
      </c>
      <c r="BC55" s="42">
        <f>BG54</f>
        <v/>
      </c>
      <c r="BD55" s="42">
        <f>ROUND(BC55*BD$6/12,2)</f>
        <v/>
      </c>
      <c r="BE55" s="42">
        <f>MIN(BE$6,BC55+BD55)</f>
        <v/>
      </c>
      <c r="BF55" s="42">
        <f>MAX(0,MIN(BC55+BD55-BE55,BB55))</f>
        <v/>
      </c>
      <c r="BG55" s="42">
        <f>ROUND(BC55+BD55-BE55-BF55,2)</f>
        <v/>
      </c>
      <c r="BH55">
        <f>BB55-BF55</f>
        <v/>
      </c>
      <c r="BI55" s="42">
        <f>BM54</f>
        <v/>
      </c>
      <c r="BJ55" s="42">
        <f>ROUND(BI55*BJ$6/12,2)</f>
        <v/>
      </c>
      <c r="BK55" s="42">
        <f>MIN(BK$6,BI55+BJ55)</f>
        <v/>
      </c>
      <c r="BL55" s="42">
        <f>MAX(0,MIN(BI55+BJ55-BK55,BH55))</f>
        <v/>
      </c>
      <c r="BM55" s="42">
        <f>ROUND(BI55+BJ55-BK55-BL55,2)</f>
        <v/>
      </c>
      <c r="BN55">
        <f>BH55-BL55</f>
        <v/>
      </c>
    </row>
    <row r="56">
      <c r="A56" s="39" t="n">
        <v>49</v>
      </c>
      <c r="B56" s="40">
        <f>EDATE('My Debts'!$C$6,A56-1)</f>
        <v/>
      </c>
      <c r="C56" s="41">
        <f>K56+Q56+W56+AC56+AI56+AO56+AU56+BA56+BG56+BM56</f>
        <v/>
      </c>
      <c r="D56" s="42">
        <f>I56+O56+U56+AA56+AG56+AM56+AS56+AY56+BE56+BK56+J56+P56+V56+AB56+AH56+AN56+AT56+AZ56+BF56+BL56</f>
        <v/>
      </c>
      <c r="E56" s="42">
        <f>H56+N56+T56+Z56+AF56+AL56+AR56+AX56+BD56+BJ56</f>
        <v/>
      </c>
      <c r="F56" t="n">
        <v>0</v>
      </c>
      <c r="G56" s="42">
        <f>K55</f>
        <v/>
      </c>
      <c r="H56" s="42">
        <f>ROUND(G56*H$6/12,2)</f>
        <v/>
      </c>
      <c r="I56" s="42">
        <f>MIN(I$6,G56+H56)</f>
        <v/>
      </c>
      <c r="J56" s="42">
        <f>MAX(0,MIN(G56+H56-I56,$F56))</f>
        <v/>
      </c>
      <c r="K56" s="42">
        <f>ROUND(G56+H56-I56-J56,2)</f>
        <v/>
      </c>
      <c r="L56">
        <f>$F56-J56</f>
        <v/>
      </c>
      <c r="M56" s="42">
        <f>Q55</f>
        <v/>
      </c>
      <c r="N56" s="42">
        <f>ROUND(M56*N$6/12,2)</f>
        <v/>
      </c>
      <c r="O56" s="42">
        <f>MIN(O$6,M56+N56)</f>
        <v/>
      </c>
      <c r="P56" s="42">
        <f>MAX(0,MIN(M56+N56-O56,L56))</f>
        <v/>
      </c>
      <c r="Q56" s="42">
        <f>ROUND(M56+N56-O56-P56,2)</f>
        <v/>
      </c>
      <c r="R56">
        <f>L56-P56</f>
        <v/>
      </c>
      <c r="S56" s="42">
        <f>W55</f>
        <v/>
      </c>
      <c r="T56" s="42">
        <f>ROUND(S56*T$6/12,2)</f>
        <v/>
      </c>
      <c r="U56" s="42">
        <f>MIN(U$6,S56+T56)</f>
        <v/>
      </c>
      <c r="V56" s="42">
        <f>MAX(0,MIN(S56+T56-U56,R56))</f>
        <v/>
      </c>
      <c r="W56" s="42">
        <f>ROUND(S56+T56-U56-V56,2)</f>
        <v/>
      </c>
      <c r="X56">
        <f>R56-V56</f>
        <v/>
      </c>
      <c r="Y56" s="42">
        <f>AC55</f>
        <v/>
      </c>
      <c r="Z56" s="42">
        <f>ROUND(Y56*Z$6/12,2)</f>
        <v/>
      </c>
      <c r="AA56" s="42">
        <f>MIN(AA$6,Y56+Z56)</f>
        <v/>
      </c>
      <c r="AB56" s="42">
        <f>MAX(0,MIN(Y56+Z56-AA56,X56))</f>
        <v/>
      </c>
      <c r="AC56" s="42">
        <f>ROUND(Y56+Z56-AA56-AB56,2)</f>
        <v/>
      </c>
      <c r="AD56">
        <f>X56-AB56</f>
        <v/>
      </c>
      <c r="AE56" s="42">
        <f>AI55</f>
        <v/>
      </c>
      <c r="AF56" s="42">
        <f>ROUND(AE56*AF$6/12,2)</f>
        <v/>
      </c>
      <c r="AG56" s="42">
        <f>MIN(AG$6,AE56+AF56)</f>
        <v/>
      </c>
      <c r="AH56" s="42">
        <f>MAX(0,MIN(AE56+AF56-AG56,AD56))</f>
        <v/>
      </c>
      <c r="AI56" s="42">
        <f>ROUND(AE56+AF56-AG56-AH56,2)</f>
        <v/>
      </c>
      <c r="AJ56">
        <f>AD56-AH56</f>
        <v/>
      </c>
      <c r="AK56" s="42">
        <f>AO55</f>
        <v/>
      </c>
      <c r="AL56" s="42">
        <f>ROUND(AK56*AL$6/12,2)</f>
        <v/>
      </c>
      <c r="AM56" s="42">
        <f>MIN(AM$6,AK56+AL56)</f>
        <v/>
      </c>
      <c r="AN56" s="42">
        <f>MAX(0,MIN(AK56+AL56-AM56,AJ56))</f>
        <v/>
      </c>
      <c r="AO56" s="42">
        <f>ROUND(AK56+AL56-AM56-AN56,2)</f>
        <v/>
      </c>
      <c r="AP56">
        <f>AJ56-AN56</f>
        <v/>
      </c>
      <c r="AQ56" s="42">
        <f>AU55</f>
        <v/>
      </c>
      <c r="AR56" s="42">
        <f>ROUND(AQ56*AR$6/12,2)</f>
        <v/>
      </c>
      <c r="AS56" s="42">
        <f>MIN(AS$6,AQ56+AR56)</f>
        <v/>
      </c>
      <c r="AT56" s="42">
        <f>MAX(0,MIN(AQ56+AR56-AS56,AP56))</f>
        <v/>
      </c>
      <c r="AU56" s="42">
        <f>ROUND(AQ56+AR56-AS56-AT56,2)</f>
        <v/>
      </c>
      <c r="AV56">
        <f>AP56-AT56</f>
        <v/>
      </c>
      <c r="AW56" s="42">
        <f>BA55</f>
        <v/>
      </c>
      <c r="AX56" s="42">
        <f>ROUND(AW56*AX$6/12,2)</f>
        <v/>
      </c>
      <c r="AY56" s="42">
        <f>MIN(AY$6,AW56+AX56)</f>
        <v/>
      </c>
      <c r="AZ56" s="42">
        <f>MAX(0,MIN(AW56+AX56-AY56,AV56))</f>
        <v/>
      </c>
      <c r="BA56" s="42">
        <f>ROUND(AW56+AX56-AY56-AZ56,2)</f>
        <v/>
      </c>
      <c r="BB56">
        <f>AV56-AZ56</f>
        <v/>
      </c>
      <c r="BC56" s="42">
        <f>BG55</f>
        <v/>
      </c>
      <c r="BD56" s="42">
        <f>ROUND(BC56*BD$6/12,2)</f>
        <v/>
      </c>
      <c r="BE56" s="42">
        <f>MIN(BE$6,BC56+BD56)</f>
        <v/>
      </c>
      <c r="BF56" s="42">
        <f>MAX(0,MIN(BC56+BD56-BE56,BB56))</f>
        <v/>
      </c>
      <c r="BG56" s="42">
        <f>ROUND(BC56+BD56-BE56-BF56,2)</f>
        <v/>
      </c>
      <c r="BH56">
        <f>BB56-BF56</f>
        <v/>
      </c>
      <c r="BI56" s="42">
        <f>BM55</f>
        <v/>
      </c>
      <c r="BJ56" s="42">
        <f>ROUND(BI56*BJ$6/12,2)</f>
        <v/>
      </c>
      <c r="BK56" s="42">
        <f>MIN(BK$6,BI56+BJ56)</f>
        <v/>
      </c>
      <c r="BL56" s="42">
        <f>MAX(0,MIN(BI56+BJ56-BK56,BH56))</f>
        <v/>
      </c>
      <c r="BM56" s="42">
        <f>ROUND(BI56+BJ56-BK56-BL56,2)</f>
        <v/>
      </c>
      <c r="BN56">
        <f>BH56-BL56</f>
        <v/>
      </c>
    </row>
    <row r="57">
      <c r="A57" s="43" t="n">
        <v>50</v>
      </c>
      <c r="B57" s="44">
        <f>EDATE('My Debts'!$C$6,A57-1)</f>
        <v/>
      </c>
      <c r="C57" s="45">
        <f>K57+Q57+W57+AC57+AI57+AO57+AU57+BA57+BG57+BM57</f>
        <v/>
      </c>
      <c r="D57" s="46">
        <f>I57+O57+U57+AA57+AG57+AM57+AS57+AY57+BE57+BK57+J57+P57+V57+AB57+AH57+AN57+AT57+AZ57+BF57+BL57</f>
        <v/>
      </c>
      <c r="E57" s="46">
        <f>H57+N57+T57+Z57+AF57+AL57+AR57+AX57+BD57+BJ57</f>
        <v/>
      </c>
      <c r="F57" t="n">
        <v>0</v>
      </c>
      <c r="G57" s="42">
        <f>K56</f>
        <v/>
      </c>
      <c r="H57" s="42">
        <f>ROUND(G57*H$6/12,2)</f>
        <v/>
      </c>
      <c r="I57" s="42">
        <f>MIN(I$6,G57+H57)</f>
        <v/>
      </c>
      <c r="J57" s="42">
        <f>MAX(0,MIN(G57+H57-I57,$F57))</f>
        <v/>
      </c>
      <c r="K57" s="42">
        <f>ROUND(G57+H57-I57-J57,2)</f>
        <v/>
      </c>
      <c r="L57">
        <f>$F57-J57</f>
        <v/>
      </c>
      <c r="M57" s="42">
        <f>Q56</f>
        <v/>
      </c>
      <c r="N57" s="42">
        <f>ROUND(M57*N$6/12,2)</f>
        <v/>
      </c>
      <c r="O57" s="42">
        <f>MIN(O$6,M57+N57)</f>
        <v/>
      </c>
      <c r="P57" s="42">
        <f>MAX(0,MIN(M57+N57-O57,L57))</f>
        <v/>
      </c>
      <c r="Q57" s="42">
        <f>ROUND(M57+N57-O57-P57,2)</f>
        <v/>
      </c>
      <c r="R57">
        <f>L57-P57</f>
        <v/>
      </c>
      <c r="S57" s="42">
        <f>W56</f>
        <v/>
      </c>
      <c r="T57" s="42">
        <f>ROUND(S57*T$6/12,2)</f>
        <v/>
      </c>
      <c r="U57" s="42">
        <f>MIN(U$6,S57+T57)</f>
        <v/>
      </c>
      <c r="V57" s="42">
        <f>MAX(0,MIN(S57+T57-U57,R57))</f>
        <v/>
      </c>
      <c r="W57" s="42">
        <f>ROUND(S57+T57-U57-V57,2)</f>
        <v/>
      </c>
      <c r="X57">
        <f>R57-V57</f>
        <v/>
      </c>
      <c r="Y57" s="42">
        <f>AC56</f>
        <v/>
      </c>
      <c r="Z57" s="42">
        <f>ROUND(Y57*Z$6/12,2)</f>
        <v/>
      </c>
      <c r="AA57" s="42">
        <f>MIN(AA$6,Y57+Z57)</f>
        <v/>
      </c>
      <c r="AB57" s="42">
        <f>MAX(0,MIN(Y57+Z57-AA57,X57))</f>
        <v/>
      </c>
      <c r="AC57" s="42">
        <f>ROUND(Y57+Z57-AA57-AB57,2)</f>
        <v/>
      </c>
      <c r="AD57">
        <f>X57-AB57</f>
        <v/>
      </c>
      <c r="AE57" s="42">
        <f>AI56</f>
        <v/>
      </c>
      <c r="AF57" s="42">
        <f>ROUND(AE57*AF$6/12,2)</f>
        <v/>
      </c>
      <c r="AG57" s="42">
        <f>MIN(AG$6,AE57+AF57)</f>
        <v/>
      </c>
      <c r="AH57" s="42">
        <f>MAX(0,MIN(AE57+AF57-AG57,AD57))</f>
        <v/>
      </c>
      <c r="AI57" s="42">
        <f>ROUND(AE57+AF57-AG57-AH57,2)</f>
        <v/>
      </c>
      <c r="AJ57">
        <f>AD57-AH57</f>
        <v/>
      </c>
      <c r="AK57" s="42">
        <f>AO56</f>
        <v/>
      </c>
      <c r="AL57" s="42">
        <f>ROUND(AK57*AL$6/12,2)</f>
        <v/>
      </c>
      <c r="AM57" s="42">
        <f>MIN(AM$6,AK57+AL57)</f>
        <v/>
      </c>
      <c r="AN57" s="42">
        <f>MAX(0,MIN(AK57+AL57-AM57,AJ57))</f>
        <v/>
      </c>
      <c r="AO57" s="42">
        <f>ROUND(AK57+AL57-AM57-AN57,2)</f>
        <v/>
      </c>
      <c r="AP57">
        <f>AJ57-AN57</f>
        <v/>
      </c>
      <c r="AQ57" s="42">
        <f>AU56</f>
        <v/>
      </c>
      <c r="AR57" s="42">
        <f>ROUND(AQ57*AR$6/12,2)</f>
        <v/>
      </c>
      <c r="AS57" s="42">
        <f>MIN(AS$6,AQ57+AR57)</f>
        <v/>
      </c>
      <c r="AT57" s="42">
        <f>MAX(0,MIN(AQ57+AR57-AS57,AP57))</f>
        <v/>
      </c>
      <c r="AU57" s="42">
        <f>ROUND(AQ57+AR57-AS57-AT57,2)</f>
        <v/>
      </c>
      <c r="AV57">
        <f>AP57-AT57</f>
        <v/>
      </c>
      <c r="AW57" s="42">
        <f>BA56</f>
        <v/>
      </c>
      <c r="AX57" s="42">
        <f>ROUND(AW57*AX$6/12,2)</f>
        <v/>
      </c>
      <c r="AY57" s="42">
        <f>MIN(AY$6,AW57+AX57)</f>
        <v/>
      </c>
      <c r="AZ57" s="42">
        <f>MAX(0,MIN(AW57+AX57-AY57,AV57))</f>
        <v/>
      </c>
      <c r="BA57" s="42">
        <f>ROUND(AW57+AX57-AY57-AZ57,2)</f>
        <v/>
      </c>
      <c r="BB57">
        <f>AV57-AZ57</f>
        <v/>
      </c>
      <c r="BC57" s="42">
        <f>BG56</f>
        <v/>
      </c>
      <c r="BD57" s="42">
        <f>ROUND(BC57*BD$6/12,2)</f>
        <v/>
      </c>
      <c r="BE57" s="42">
        <f>MIN(BE$6,BC57+BD57)</f>
        <v/>
      </c>
      <c r="BF57" s="42">
        <f>MAX(0,MIN(BC57+BD57-BE57,BB57))</f>
        <v/>
      </c>
      <c r="BG57" s="42">
        <f>ROUND(BC57+BD57-BE57-BF57,2)</f>
        <v/>
      </c>
      <c r="BH57">
        <f>BB57-BF57</f>
        <v/>
      </c>
      <c r="BI57" s="42">
        <f>BM56</f>
        <v/>
      </c>
      <c r="BJ57" s="42">
        <f>ROUND(BI57*BJ$6/12,2)</f>
        <v/>
      </c>
      <c r="BK57" s="42">
        <f>MIN(BK$6,BI57+BJ57)</f>
        <v/>
      </c>
      <c r="BL57" s="42">
        <f>MAX(0,MIN(BI57+BJ57-BK57,BH57))</f>
        <v/>
      </c>
      <c r="BM57" s="42">
        <f>ROUND(BI57+BJ57-BK57-BL57,2)</f>
        <v/>
      </c>
      <c r="BN57">
        <f>BH57-BL57</f>
        <v/>
      </c>
    </row>
    <row r="58">
      <c r="A58" s="39" t="n">
        <v>51</v>
      </c>
      <c r="B58" s="40">
        <f>EDATE('My Debts'!$C$6,A58-1)</f>
        <v/>
      </c>
      <c r="C58" s="41">
        <f>K58+Q58+W58+AC58+AI58+AO58+AU58+BA58+BG58+BM58</f>
        <v/>
      </c>
      <c r="D58" s="42">
        <f>I58+O58+U58+AA58+AG58+AM58+AS58+AY58+BE58+BK58+J58+P58+V58+AB58+AH58+AN58+AT58+AZ58+BF58+BL58</f>
        <v/>
      </c>
      <c r="E58" s="42">
        <f>H58+N58+T58+Z58+AF58+AL58+AR58+AX58+BD58+BJ58</f>
        <v/>
      </c>
      <c r="F58" t="n">
        <v>0</v>
      </c>
      <c r="G58" s="42">
        <f>K57</f>
        <v/>
      </c>
      <c r="H58" s="42">
        <f>ROUND(G58*H$6/12,2)</f>
        <v/>
      </c>
      <c r="I58" s="42">
        <f>MIN(I$6,G58+H58)</f>
        <v/>
      </c>
      <c r="J58" s="42">
        <f>MAX(0,MIN(G58+H58-I58,$F58))</f>
        <v/>
      </c>
      <c r="K58" s="42">
        <f>ROUND(G58+H58-I58-J58,2)</f>
        <v/>
      </c>
      <c r="L58">
        <f>$F58-J58</f>
        <v/>
      </c>
      <c r="M58" s="42">
        <f>Q57</f>
        <v/>
      </c>
      <c r="N58" s="42">
        <f>ROUND(M58*N$6/12,2)</f>
        <v/>
      </c>
      <c r="O58" s="42">
        <f>MIN(O$6,M58+N58)</f>
        <v/>
      </c>
      <c r="P58" s="42">
        <f>MAX(0,MIN(M58+N58-O58,L58))</f>
        <v/>
      </c>
      <c r="Q58" s="42">
        <f>ROUND(M58+N58-O58-P58,2)</f>
        <v/>
      </c>
      <c r="R58">
        <f>L58-P58</f>
        <v/>
      </c>
      <c r="S58" s="42">
        <f>W57</f>
        <v/>
      </c>
      <c r="T58" s="42">
        <f>ROUND(S58*T$6/12,2)</f>
        <v/>
      </c>
      <c r="U58" s="42">
        <f>MIN(U$6,S58+T58)</f>
        <v/>
      </c>
      <c r="V58" s="42">
        <f>MAX(0,MIN(S58+T58-U58,R58))</f>
        <v/>
      </c>
      <c r="W58" s="42">
        <f>ROUND(S58+T58-U58-V58,2)</f>
        <v/>
      </c>
      <c r="X58">
        <f>R58-V58</f>
        <v/>
      </c>
      <c r="Y58" s="42">
        <f>AC57</f>
        <v/>
      </c>
      <c r="Z58" s="42">
        <f>ROUND(Y58*Z$6/12,2)</f>
        <v/>
      </c>
      <c r="AA58" s="42">
        <f>MIN(AA$6,Y58+Z58)</f>
        <v/>
      </c>
      <c r="AB58" s="42">
        <f>MAX(0,MIN(Y58+Z58-AA58,X58))</f>
        <v/>
      </c>
      <c r="AC58" s="42">
        <f>ROUND(Y58+Z58-AA58-AB58,2)</f>
        <v/>
      </c>
      <c r="AD58">
        <f>X58-AB58</f>
        <v/>
      </c>
      <c r="AE58" s="42">
        <f>AI57</f>
        <v/>
      </c>
      <c r="AF58" s="42">
        <f>ROUND(AE58*AF$6/12,2)</f>
        <v/>
      </c>
      <c r="AG58" s="42">
        <f>MIN(AG$6,AE58+AF58)</f>
        <v/>
      </c>
      <c r="AH58" s="42">
        <f>MAX(0,MIN(AE58+AF58-AG58,AD58))</f>
        <v/>
      </c>
      <c r="AI58" s="42">
        <f>ROUND(AE58+AF58-AG58-AH58,2)</f>
        <v/>
      </c>
      <c r="AJ58">
        <f>AD58-AH58</f>
        <v/>
      </c>
      <c r="AK58" s="42">
        <f>AO57</f>
        <v/>
      </c>
      <c r="AL58" s="42">
        <f>ROUND(AK58*AL$6/12,2)</f>
        <v/>
      </c>
      <c r="AM58" s="42">
        <f>MIN(AM$6,AK58+AL58)</f>
        <v/>
      </c>
      <c r="AN58" s="42">
        <f>MAX(0,MIN(AK58+AL58-AM58,AJ58))</f>
        <v/>
      </c>
      <c r="AO58" s="42">
        <f>ROUND(AK58+AL58-AM58-AN58,2)</f>
        <v/>
      </c>
      <c r="AP58">
        <f>AJ58-AN58</f>
        <v/>
      </c>
      <c r="AQ58" s="42">
        <f>AU57</f>
        <v/>
      </c>
      <c r="AR58" s="42">
        <f>ROUND(AQ58*AR$6/12,2)</f>
        <v/>
      </c>
      <c r="AS58" s="42">
        <f>MIN(AS$6,AQ58+AR58)</f>
        <v/>
      </c>
      <c r="AT58" s="42">
        <f>MAX(0,MIN(AQ58+AR58-AS58,AP58))</f>
        <v/>
      </c>
      <c r="AU58" s="42">
        <f>ROUND(AQ58+AR58-AS58-AT58,2)</f>
        <v/>
      </c>
      <c r="AV58">
        <f>AP58-AT58</f>
        <v/>
      </c>
      <c r="AW58" s="42">
        <f>BA57</f>
        <v/>
      </c>
      <c r="AX58" s="42">
        <f>ROUND(AW58*AX$6/12,2)</f>
        <v/>
      </c>
      <c r="AY58" s="42">
        <f>MIN(AY$6,AW58+AX58)</f>
        <v/>
      </c>
      <c r="AZ58" s="42">
        <f>MAX(0,MIN(AW58+AX58-AY58,AV58))</f>
        <v/>
      </c>
      <c r="BA58" s="42">
        <f>ROUND(AW58+AX58-AY58-AZ58,2)</f>
        <v/>
      </c>
      <c r="BB58">
        <f>AV58-AZ58</f>
        <v/>
      </c>
      <c r="BC58" s="42">
        <f>BG57</f>
        <v/>
      </c>
      <c r="BD58" s="42">
        <f>ROUND(BC58*BD$6/12,2)</f>
        <v/>
      </c>
      <c r="BE58" s="42">
        <f>MIN(BE$6,BC58+BD58)</f>
        <v/>
      </c>
      <c r="BF58" s="42">
        <f>MAX(0,MIN(BC58+BD58-BE58,BB58))</f>
        <v/>
      </c>
      <c r="BG58" s="42">
        <f>ROUND(BC58+BD58-BE58-BF58,2)</f>
        <v/>
      </c>
      <c r="BH58">
        <f>BB58-BF58</f>
        <v/>
      </c>
      <c r="BI58" s="42">
        <f>BM57</f>
        <v/>
      </c>
      <c r="BJ58" s="42">
        <f>ROUND(BI58*BJ$6/12,2)</f>
        <v/>
      </c>
      <c r="BK58" s="42">
        <f>MIN(BK$6,BI58+BJ58)</f>
        <v/>
      </c>
      <c r="BL58" s="42">
        <f>MAX(0,MIN(BI58+BJ58-BK58,BH58))</f>
        <v/>
      </c>
      <c r="BM58" s="42">
        <f>ROUND(BI58+BJ58-BK58-BL58,2)</f>
        <v/>
      </c>
      <c r="BN58">
        <f>BH58-BL58</f>
        <v/>
      </c>
    </row>
    <row r="59">
      <c r="A59" s="43" t="n">
        <v>52</v>
      </c>
      <c r="B59" s="44">
        <f>EDATE('My Debts'!$C$6,A59-1)</f>
        <v/>
      </c>
      <c r="C59" s="45">
        <f>K59+Q59+W59+AC59+AI59+AO59+AU59+BA59+BG59+BM59</f>
        <v/>
      </c>
      <c r="D59" s="46">
        <f>I59+O59+U59+AA59+AG59+AM59+AS59+AY59+BE59+BK59+J59+P59+V59+AB59+AH59+AN59+AT59+AZ59+BF59+BL59</f>
        <v/>
      </c>
      <c r="E59" s="46">
        <f>H59+N59+T59+Z59+AF59+AL59+AR59+AX59+BD59+BJ59</f>
        <v/>
      </c>
      <c r="F59" t="n">
        <v>0</v>
      </c>
      <c r="G59" s="42">
        <f>K58</f>
        <v/>
      </c>
      <c r="H59" s="42">
        <f>ROUND(G59*H$6/12,2)</f>
        <v/>
      </c>
      <c r="I59" s="42">
        <f>MIN(I$6,G59+H59)</f>
        <v/>
      </c>
      <c r="J59" s="42">
        <f>MAX(0,MIN(G59+H59-I59,$F59))</f>
        <v/>
      </c>
      <c r="K59" s="42">
        <f>ROUND(G59+H59-I59-J59,2)</f>
        <v/>
      </c>
      <c r="L59">
        <f>$F59-J59</f>
        <v/>
      </c>
      <c r="M59" s="42">
        <f>Q58</f>
        <v/>
      </c>
      <c r="N59" s="42">
        <f>ROUND(M59*N$6/12,2)</f>
        <v/>
      </c>
      <c r="O59" s="42">
        <f>MIN(O$6,M59+N59)</f>
        <v/>
      </c>
      <c r="P59" s="42">
        <f>MAX(0,MIN(M59+N59-O59,L59))</f>
        <v/>
      </c>
      <c r="Q59" s="42">
        <f>ROUND(M59+N59-O59-P59,2)</f>
        <v/>
      </c>
      <c r="R59">
        <f>L59-P59</f>
        <v/>
      </c>
      <c r="S59" s="42">
        <f>W58</f>
        <v/>
      </c>
      <c r="T59" s="42">
        <f>ROUND(S59*T$6/12,2)</f>
        <v/>
      </c>
      <c r="U59" s="42">
        <f>MIN(U$6,S59+T59)</f>
        <v/>
      </c>
      <c r="V59" s="42">
        <f>MAX(0,MIN(S59+T59-U59,R59))</f>
        <v/>
      </c>
      <c r="W59" s="42">
        <f>ROUND(S59+T59-U59-V59,2)</f>
        <v/>
      </c>
      <c r="X59">
        <f>R59-V59</f>
        <v/>
      </c>
      <c r="Y59" s="42">
        <f>AC58</f>
        <v/>
      </c>
      <c r="Z59" s="42">
        <f>ROUND(Y59*Z$6/12,2)</f>
        <v/>
      </c>
      <c r="AA59" s="42">
        <f>MIN(AA$6,Y59+Z59)</f>
        <v/>
      </c>
      <c r="AB59" s="42">
        <f>MAX(0,MIN(Y59+Z59-AA59,X59))</f>
        <v/>
      </c>
      <c r="AC59" s="42">
        <f>ROUND(Y59+Z59-AA59-AB59,2)</f>
        <v/>
      </c>
      <c r="AD59">
        <f>X59-AB59</f>
        <v/>
      </c>
      <c r="AE59" s="42">
        <f>AI58</f>
        <v/>
      </c>
      <c r="AF59" s="42">
        <f>ROUND(AE59*AF$6/12,2)</f>
        <v/>
      </c>
      <c r="AG59" s="42">
        <f>MIN(AG$6,AE59+AF59)</f>
        <v/>
      </c>
      <c r="AH59" s="42">
        <f>MAX(0,MIN(AE59+AF59-AG59,AD59))</f>
        <v/>
      </c>
      <c r="AI59" s="42">
        <f>ROUND(AE59+AF59-AG59-AH59,2)</f>
        <v/>
      </c>
      <c r="AJ59">
        <f>AD59-AH59</f>
        <v/>
      </c>
      <c r="AK59" s="42">
        <f>AO58</f>
        <v/>
      </c>
      <c r="AL59" s="42">
        <f>ROUND(AK59*AL$6/12,2)</f>
        <v/>
      </c>
      <c r="AM59" s="42">
        <f>MIN(AM$6,AK59+AL59)</f>
        <v/>
      </c>
      <c r="AN59" s="42">
        <f>MAX(0,MIN(AK59+AL59-AM59,AJ59))</f>
        <v/>
      </c>
      <c r="AO59" s="42">
        <f>ROUND(AK59+AL59-AM59-AN59,2)</f>
        <v/>
      </c>
      <c r="AP59">
        <f>AJ59-AN59</f>
        <v/>
      </c>
      <c r="AQ59" s="42">
        <f>AU58</f>
        <v/>
      </c>
      <c r="AR59" s="42">
        <f>ROUND(AQ59*AR$6/12,2)</f>
        <v/>
      </c>
      <c r="AS59" s="42">
        <f>MIN(AS$6,AQ59+AR59)</f>
        <v/>
      </c>
      <c r="AT59" s="42">
        <f>MAX(0,MIN(AQ59+AR59-AS59,AP59))</f>
        <v/>
      </c>
      <c r="AU59" s="42">
        <f>ROUND(AQ59+AR59-AS59-AT59,2)</f>
        <v/>
      </c>
      <c r="AV59">
        <f>AP59-AT59</f>
        <v/>
      </c>
      <c r="AW59" s="42">
        <f>BA58</f>
        <v/>
      </c>
      <c r="AX59" s="42">
        <f>ROUND(AW59*AX$6/12,2)</f>
        <v/>
      </c>
      <c r="AY59" s="42">
        <f>MIN(AY$6,AW59+AX59)</f>
        <v/>
      </c>
      <c r="AZ59" s="42">
        <f>MAX(0,MIN(AW59+AX59-AY59,AV59))</f>
        <v/>
      </c>
      <c r="BA59" s="42">
        <f>ROUND(AW59+AX59-AY59-AZ59,2)</f>
        <v/>
      </c>
      <c r="BB59">
        <f>AV59-AZ59</f>
        <v/>
      </c>
      <c r="BC59" s="42">
        <f>BG58</f>
        <v/>
      </c>
      <c r="BD59" s="42">
        <f>ROUND(BC59*BD$6/12,2)</f>
        <v/>
      </c>
      <c r="BE59" s="42">
        <f>MIN(BE$6,BC59+BD59)</f>
        <v/>
      </c>
      <c r="BF59" s="42">
        <f>MAX(0,MIN(BC59+BD59-BE59,BB59))</f>
        <v/>
      </c>
      <c r="BG59" s="42">
        <f>ROUND(BC59+BD59-BE59-BF59,2)</f>
        <v/>
      </c>
      <c r="BH59">
        <f>BB59-BF59</f>
        <v/>
      </c>
      <c r="BI59" s="42">
        <f>BM58</f>
        <v/>
      </c>
      <c r="BJ59" s="42">
        <f>ROUND(BI59*BJ$6/12,2)</f>
        <v/>
      </c>
      <c r="BK59" s="42">
        <f>MIN(BK$6,BI59+BJ59)</f>
        <v/>
      </c>
      <c r="BL59" s="42">
        <f>MAX(0,MIN(BI59+BJ59-BK59,BH59))</f>
        <v/>
      </c>
      <c r="BM59" s="42">
        <f>ROUND(BI59+BJ59-BK59-BL59,2)</f>
        <v/>
      </c>
      <c r="BN59">
        <f>BH59-BL59</f>
        <v/>
      </c>
    </row>
    <row r="60">
      <c r="A60" s="39" t="n">
        <v>53</v>
      </c>
      <c r="B60" s="40">
        <f>EDATE('My Debts'!$C$6,A60-1)</f>
        <v/>
      </c>
      <c r="C60" s="41">
        <f>K60+Q60+W60+AC60+AI60+AO60+AU60+BA60+BG60+BM60</f>
        <v/>
      </c>
      <c r="D60" s="42">
        <f>I60+O60+U60+AA60+AG60+AM60+AS60+AY60+BE60+BK60+J60+P60+V60+AB60+AH60+AN60+AT60+AZ60+BF60+BL60</f>
        <v/>
      </c>
      <c r="E60" s="42">
        <f>H60+N60+T60+Z60+AF60+AL60+AR60+AX60+BD60+BJ60</f>
        <v/>
      </c>
      <c r="F60" t="n">
        <v>0</v>
      </c>
      <c r="G60" s="42">
        <f>K59</f>
        <v/>
      </c>
      <c r="H60" s="42">
        <f>ROUND(G60*H$6/12,2)</f>
        <v/>
      </c>
      <c r="I60" s="42">
        <f>MIN(I$6,G60+H60)</f>
        <v/>
      </c>
      <c r="J60" s="42">
        <f>MAX(0,MIN(G60+H60-I60,$F60))</f>
        <v/>
      </c>
      <c r="K60" s="42">
        <f>ROUND(G60+H60-I60-J60,2)</f>
        <v/>
      </c>
      <c r="L60">
        <f>$F60-J60</f>
        <v/>
      </c>
      <c r="M60" s="42">
        <f>Q59</f>
        <v/>
      </c>
      <c r="N60" s="42">
        <f>ROUND(M60*N$6/12,2)</f>
        <v/>
      </c>
      <c r="O60" s="42">
        <f>MIN(O$6,M60+N60)</f>
        <v/>
      </c>
      <c r="P60" s="42">
        <f>MAX(0,MIN(M60+N60-O60,L60))</f>
        <v/>
      </c>
      <c r="Q60" s="42">
        <f>ROUND(M60+N60-O60-P60,2)</f>
        <v/>
      </c>
      <c r="R60">
        <f>L60-P60</f>
        <v/>
      </c>
      <c r="S60" s="42">
        <f>W59</f>
        <v/>
      </c>
      <c r="T60" s="42">
        <f>ROUND(S60*T$6/12,2)</f>
        <v/>
      </c>
      <c r="U60" s="42">
        <f>MIN(U$6,S60+T60)</f>
        <v/>
      </c>
      <c r="V60" s="42">
        <f>MAX(0,MIN(S60+T60-U60,R60))</f>
        <v/>
      </c>
      <c r="W60" s="42">
        <f>ROUND(S60+T60-U60-V60,2)</f>
        <v/>
      </c>
      <c r="X60">
        <f>R60-V60</f>
        <v/>
      </c>
      <c r="Y60" s="42">
        <f>AC59</f>
        <v/>
      </c>
      <c r="Z60" s="42">
        <f>ROUND(Y60*Z$6/12,2)</f>
        <v/>
      </c>
      <c r="AA60" s="42">
        <f>MIN(AA$6,Y60+Z60)</f>
        <v/>
      </c>
      <c r="AB60" s="42">
        <f>MAX(0,MIN(Y60+Z60-AA60,X60))</f>
        <v/>
      </c>
      <c r="AC60" s="42">
        <f>ROUND(Y60+Z60-AA60-AB60,2)</f>
        <v/>
      </c>
      <c r="AD60">
        <f>X60-AB60</f>
        <v/>
      </c>
      <c r="AE60" s="42">
        <f>AI59</f>
        <v/>
      </c>
      <c r="AF60" s="42">
        <f>ROUND(AE60*AF$6/12,2)</f>
        <v/>
      </c>
      <c r="AG60" s="42">
        <f>MIN(AG$6,AE60+AF60)</f>
        <v/>
      </c>
      <c r="AH60" s="42">
        <f>MAX(0,MIN(AE60+AF60-AG60,AD60))</f>
        <v/>
      </c>
      <c r="AI60" s="42">
        <f>ROUND(AE60+AF60-AG60-AH60,2)</f>
        <v/>
      </c>
      <c r="AJ60">
        <f>AD60-AH60</f>
        <v/>
      </c>
      <c r="AK60" s="42">
        <f>AO59</f>
        <v/>
      </c>
      <c r="AL60" s="42">
        <f>ROUND(AK60*AL$6/12,2)</f>
        <v/>
      </c>
      <c r="AM60" s="42">
        <f>MIN(AM$6,AK60+AL60)</f>
        <v/>
      </c>
      <c r="AN60" s="42">
        <f>MAX(0,MIN(AK60+AL60-AM60,AJ60))</f>
        <v/>
      </c>
      <c r="AO60" s="42">
        <f>ROUND(AK60+AL60-AM60-AN60,2)</f>
        <v/>
      </c>
      <c r="AP60">
        <f>AJ60-AN60</f>
        <v/>
      </c>
      <c r="AQ60" s="42">
        <f>AU59</f>
        <v/>
      </c>
      <c r="AR60" s="42">
        <f>ROUND(AQ60*AR$6/12,2)</f>
        <v/>
      </c>
      <c r="AS60" s="42">
        <f>MIN(AS$6,AQ60+AR60)</f>
        <v/>
      </c>
      <c r="AT60" s="42">
        <f>MAX(0,MIN(AQ60+AR60-AS60,AP60))</f>
        <v/>
      </c>
      <c r="AU60" s="42">
        <f>ROUND(AQ60+AR60-AS60-AT60,2)</f>
        <v/>
      </c>
      <c r="AV60">
        <f>AP60-AT60</f>
        <v/>
      </c>
      <c r="AW60" s="42">
        <f>BA59</f>
        <v/>
      </c>
      <c r="AX60" s="42">
        <f>ROUND(AW60*AX$6/12,2)</f>
        <v/>
      </c>
      <c r="AY60" s="42">
        <f>MIN(AY$6,AW60+AX60)</f>
        <v/>
      </c>
      <c r="AZ60" s="42">
        <f>MAX(0,MIN(AW60+AX60-AY60,AV60))</f>
        <v/>
      </c>
      <c r="BA60" s="42">
        <f>ROUND(AW60+AX60-AY60-AZ60,2)</f>
        <v/>
      </c>
      <c r="BB60">
        <f>AV60-AZ60</f>
        <v/>
      </c>
      <c r="BC60" s="42">
        <f>BG59</f>
        <v/>
      </c>
      <c r="BD60" s="42">
        <f>ROUND(BC60*BD$6/12,2)</f>
        <v/>
      </c>
      <c r="BE60" s="42">
        <f>MIN(BE$6,BC60+BD60)</f>
        <v/>
      </c>
      <c r="BF60" s="42">
        <f>MAX(0,MIN(BC60+BD60-BE60,BB60))</f>
        <v/>
      </c>
      <c r="BG60" s="42">
        <f>ROUND(BC60+BD60-BE60-BF60,2)</f>
        <v/>
      </c>
      <c r="BH60">
        <f>BB60-BF60</f>
        <v/>
      </c>
      <c r="BI60" s="42">
        <f>BM59</f>
        <v/>
      </c>
      <c r="BJ60" s="42">
        <f>ROUND(BI60*BJ$6/12,2)</f>
        <v/>
      </c>
      <c r="BK60" s="42">
        <f>MIN(BK$6,BI60+BJ60)</f>
        <v/>
      </c>
      <c r="BL60" s="42">
        <f>MAX(0,MIN(BI60+BJ60-BK60,BH60))</f>
        <v/>
      </c>
      <c r="BM60" s="42">
        <f>ROUND(BI60+BJ60-BK60-BL60,2)</f>
        <v/>
      </c>
      <c r="BN60">
        <f>BH60-BL60</f>
        <v/>
      </c>
    </row>
    <row r="61">
      <c r="A61" s="43" t="n">
        <v>54</v>
      </c>
      <c r="B61" s="44">
        <f>EDATE('My Debts'!$C$6,A61-1)</f>
        <v/>
      </c>
      <c r="C61" s="45">
        <f>K61+Q61+W61+AC61+AI61+AO61+AU61+BA61+BG61+BM61</f>
        <v/>
      </c>
      <c r="D61" s="46">
        <f>I61+O61+U61+AA61+AG61+AM61+AS61+AY61+BE61+BK61+J61+P61+V61+AB61+AH61+AN61+AT61+AZ61+BF61+BL61</f>
        <v/>
      </c>
      <c r="E61" s="46">
        <f>H61+N61+T61+Z61+AF61+AL61+AR61+AX61+BD61+BJ61</f>
        <v/>
      </c>
      <c r="F61" t="n">
        <v>0</v>
      </c>
      <c r="G61" s="42">
        <f>K60</f>
        <v/>
      </c>
      <c r="H61" s="42">
        <f>ROUND(G61*H$6/12,2)</f>
        <v/>
      </c>
      <c r="I61" s="42">
        <f>MIN(I$6,G61+H61)</f>
        <v/>
      </c>
      <c r="J61" s="42">
        <f>MAX(0,MIN(G61+H61-I61,$F61))</f>
        <v/>
      </c>
      <c r="K61" s="42">
        <f>ROUND(G61+H61-I61-J61,2)</f>
        <v/>
      </c>
      <c r="L61">
        <f>$F61-J61</f>
        <v/>
      </c>
      <c r="M61" s="42">
        <f>Q60</f>
        <v/>
      </c>
      <c r="N61" s="42">
        <f>ROUND(M61*N$6/12,2)</f>
        <v/>
      </c>
      <c r="O61" s="42">
        <f>MIN(O$6,M61+N61)</f>
        <v/>
      </c>
      <c r="P61" s="42">
        <f>MAX(0,MIN(M61+N61-O61,L61))</f>
        <v/>
      </c>
      <c r="Q61" s="42">
        <f>ROUND(M61+N61-O61-P61,2)</f>
        <v/>
      </c>
      <c r="R61">
        <f>L61-P61</f>
        <v/>
      </c>
      <c r="S61" s="42">
        <f>W60</f>
        <v/>
      </c>
      <c r="T61" s="42">
        <f>ROUND(S61*T$6/12,2)</f>
        <v/>
      </c>
      <c r="U61" s="42">
        <f>MIN(U$6,S61+T61)</f>
        <v/>
      </c>
      <c r="V61" s="42">
        <f>MAX(0,MIN(S61+T61-U61,R61))</f>
        <v/>
      </c>
      <c r="W61" s="42">
        <f>ROUND(S61+T61-U61-V61,2)</f>
        <v/>
      </c>
      <c r="X61">
        <f>R61-V61</f>
        <v/>
      </c>
      <c r="Y61" s="42">
        <f>AC60</f>
        <v/>
      </c>
      <c r="Z61" s="42">
        <f>ROUND(Y61*Z$6/12,2)</f>
        <v/>
      </c>
      <c r="AA61" s="42">
        <f>MIN(AA$6,Y61+Z61)</f>
        <v/>
      </c>
      <c r="AB61" s="42">
        <f>MAX(0,MIN(Y61+Z61-AA61,X61))</f>
        <v/>
      </c>
      <c r="AC61" s="42">
        <f>ROUND(Y61+Z61-AA61-AB61,2)</f>
        <v/>
      </c>
      <c r="AD61">
        <f>X61-AB61</f>
        <v/>
      </c>
      <c r="AE61" s="42">
        <f>AI60</f>
        <v/>
      </c>
      <c r="AF61" s="42">
        <f>ROUND(AE61*AF$6/12,2)</f>
        <v/>
      </c>
      <c r="AG61" s="42">
        <f>MIN(AG$6,AE61+AF61)</f>
        <v/>
      </c>
      <c r="AH61" s="42">
        <f>MAX(0,MIN(AE61+AF61-AG61,AD61))</f>
        <v/>
      </c>
      <c r="AI61" s="42">
        <f>ROUND(AE61+AF61-AG61-AH61,2)</f>
        <v/>
      </c>
      <c r="AJ61">
        <f>AD61-AH61</f>
        <v/>
      </c>
      <c r="AK61" s="42">
        <f>AO60</f>
        <v/>
      </c>
      <c r="AL61" s="42">
        <f>ROUND(AK61*AL$6/12,2)</f>
        <v/>
      </c>
      <c r="AM61" s="42">
        <f>MIN(AM$6,AK61+AL61)</f>
        <v/>
      </c>
      <c r="AN61" s="42">
        <f>MAX(0,MIN(AK61+AL61-AM61,AJ61))</f>
        <v/>
      </c>
      <c r="AO61" s="42">
        <f>ROUND(AK61+AL61-AM61-AN61,2)</f>
        <v/>
      </c>
      <c r="AP61">
        <f>AJ61-AN61</f>
        <v/>
      </c>
      <c r="AQ61" s="42">
        <f>AU60</f>
        <v/>
      </c>
      <c r="AR61" s="42">
        <f>ROUND(AQ61*AR$6/12,2)</f>
        <v/>
      </c>
      <c r="AS61" s="42">
        <f>MIN(AS$6,AQ61+AR61)</f>
        <v/>
      </c>
      <c r="AT61" s="42">
        <f>MAX(0,MIN(AQ61+AR61-AS61,AP61))</f>
        <v/>
      </c>
      <c r="AU61" s="42">
        <f>ROUND(AQ61+AR61-AS61-AT61,2)</f>
        <v/>
      </c>
      <c r="AV61">
        <f>AP61-AT61</f>
        <v/>
      </c>
      <c r="AW61" s="42">
        <f>BA60</f>
        <v/>
      </c>
      <c r="AX61" s="42">
        <f>ROUND(AW61*AX$6/12,2)</f>
        <v/>
      </c>
      <c r="AY61" s="42">
        <f>MIN(AY$6,AW61+AX61)</f>
        <v/>
      </c>
      <c r="AZ61" s="42">
        <f>MAX(0,MIN(AW61+AX61-AY61,AV61))</f>
        <v/>
      </c>
      <c r="BA61" s="42">
        <f>ROUND(AW61+AX61-AY61-AZ61,2)</f>
        <v/>
      </c>
      <c r="BB61">
        <f>AV61-AZ61</f>
        <v/>
      </c>
      <c r="BC61" s="42">
        <f>BG60</f>
        <v/>
      </c>
      <c r="BD61" s="42">
        <f>ROUND(BC61*BD$6/12,2)</f>
        <v/>
      </c>
      <c r="BE61" s="42">
        <f>MIN(BE$6,BC61+BD61)</f>
        <v/>
      </c>
      <c r="BF61" s="42">
        <f>MAX(0,MIN(BC61+BD61-BE61,BB61))</f>
        <v/>
      </c>
      <c r="BG61" s="42">
        <f>ROUND(BC61+BD61-BE61-BF61,2)</f>
        <v/>
      </c>
      <c r="BH61">
        <f>BB61-BF61</f>
        <v/>
      </c>
      <c r="BI61" s="42">
        <f>BM60</f>
        <v/>
      </c>
      <c r="BJ61" s="42">
        <f>ROUND(BI61*BJ$6/12,2)</f>
        <v/>
      </c>
      <c r="BK61" s="42">
        <f>MIN(BK$6,BI61+BJ61)</f>
        <v/>
      </c>
      <c r="BL61" s="42">
        <f>MAX(0,MIN(BI61+BJ61-BK61,BH61))</f>
        <v/>
      </c>
      <c r="BM61" s="42">
        <f>ROUND(BI61+BJ61-BK61-BL61,2)</f>
        <v/>
      </c>
      <c r="BN61">
        <f>BH61-BL61</f>
        <v/>
      </c>
    </row>
    <row r="62">
      <c r="A62" s="39" t="n">
        <v>55</v>
      </c>
      <c r="B62" s="40">
        <f>EDATE('My Debts'!$C$6,A62-1)</f>
        <v/>
      </c>
      <c r="C62" s="41">
        <f>K62+Q62+W62+AC62+AI62+AO62+AU62+BA62+BG62+BM62</f>
        <v/>
      </c>
      <c r="D62" s="42">
        <f>I62+O62+U62+AA62+AG62+AM62+AS62+AY62+BE62+BK62+J62+P62+V62+AB62+AH62+AN62+AT62+AZ62+BF62+BL62</f>
        <v/>
      </c>
      <c r="E62" s="42">
        <f>H62+N62+T62+Z62+AF62+AL62+AR62+AX62+BD62+BJ62</f>
        <v/>
      </c>
      <c r="F62" t="n">
        <v>0</v>
      </c>
      <c r="G62" s="42">
        <f>K61</f>
        <v/>
      </c>
      <c r="H62" s="42">
        <f>ROUND(G62*H$6/12,2)</f>
        <v/>
      </c>
      <c r="I62" s="42">
        <f>MIN(I$6,G62+H62)</f>
        <v/>
      </c>
      <c r="J62" s="42">
        <f>MAX(0,MIN(G62+H62-I62,$F62))</f>
        <v/>
      </c>
      <c r="K62" s="42">
        <f>ROUND(G62+H62-I62-J62,2)</f>
        <v/>
      </c>
      <c r="L62">
        <f>$F62-J62</f>
        <v/>
      </c>
      <c r="M62" s="42">
        <f>Q61</f>
        <v/>
      </c>
      <c r="N62" s="42">
        <f>ROUND(M62*N$6/12,2)</f>
        <v/>
      </c>
      <c r="O62" s="42">
        <f>MIN(O$6,M62+N62)</f>
        <v/>
      </c>
      <c r="P62" s="42">
        <f>MAX(0,MIN(M62+N62-O62,L62))</f>
        <v/>
      </c>
      <c r="Q62" s="42">
        <f>ROUND(M62+N62-O62-P62,2)</f>
        <v/>
      </c>
      <c r="R62">
        <f>L62-P62</f>
        <v/>
      </c>
      <c r="S62" s="42">
        <f>W61</f>
        <v/>
      </c>
      <c r="T62" s="42">
        <f>ROUND(S62*T$6/12,2)</f>
        <v/>
      </c>
      <c r="U62" s="42">
        <f>MIN(U$6,S62+T62)</f>
        <v/>
      </c>
      <c r="V62" s="42">
        <f>MAX(0,MIN(S62+T62-U62,R62))</f>
        <v/>
      </c>
      <c r="W62" s="42">
        <f>ROUND(S62+T62-U62-V62,2)</f>
        <v/>
      </c>
      <c r="X62">
        <f>R62-V62</f>
        <v/>
      </c>
      <c r="Y62" s="42">
        <f>AC61</f>
        <v/>
      </c>
      <c r="Z62" s="42">
        <f>ROUND(Y62*Z$6/12,2)</f>
        <v/>
      </c>
      <c r="AA62" s="42">
        <f>MIN(AA$6,Y62+Z62)</f>
        <v/>
      </c>
      <c r="AB62" s="42">
        <f>MAX(0,MIN(Y62+Z62-AA62,X62))</f>
        <v/>
      </c>
      <c r="AC62" s="42">
        <f>ROUND(Y62+Z62-AA62-AB62,2)</f>
        <v/>
      </c>
      <c r="AD62">
        <f>X62-AB62</f>
        <v/>
      </c>
      <c r="AE62" s="42">
        <f>AI61</f>
        <v/>
      </c>
      <c r="AF62" s="42">
        <f>ROUND(AE62*AF$6/12,2)</f>
        <v/>
      </c>
      <c r="AG62" s="42">
        <f>MIN(AG$6,AE62+AF62)</f>
        <v/>
      </c>
      <c r="AH62" s="42">
        <f>MAX(0,MIN(AE62+AF62-AG62,AD62))</f>
        <v/>
      </c>
      <c r="AI62" s="42">
        <f>ROUND(AE62+AF62-AG62-AH62,2)</f>
        <v/>
      </c>
      <c r="AJ62">
        <f>AD62-AH62</f>
        <v/>
      </c>
      <c r="AK62" s="42">
        <f>AO61</f>
        <v/>
      </c>
      <c r="AL62" s="42">
        <f>ROUND(AK62*AL$6/12,2)</f>
        <v/>
      </c>
      <c r="AM62" s="42">
        <f>MIN(AM$6,AK62+AL62)</f>
        <v/>
      </c>
      <c r="AN62" s="42">
        <f>MAX(0,MIN(AK62+AL62-AM62,AJ62))</f>
        <v/>
      </c>
      <c r="AO62" s="42">
        <f>ROUND(AK62+AL62-AM62-AN62,2)</f>
        <v/>
      </c>
      <c r="AP62">
        <f>AJ62-AN62</f>
        <v/>
      </c>
      <c r="AQ62" s="42">
        <f>AU61</f>
        <v/>
      </c>
      <c r="AR62" s="42">
        <f>ROUND(AQ62*AR$6/12,2)</f>
        <v/>
      </c>
      <c r="AS62" s="42">
        <f>MIN(AS$6,AQ62+AR62)</f>
        <v/>
      </c>
      <c r="AT62" s="42">
        <f>MAX(0,MIN(AQ62+AR62-AS62,AP62))</f>
        <v/>
      </c>
      <c r="AU62" s="42">
        <f>ROUND(AQ62+AR62-AS62-AT62,2)</f>
        <v/>
      </c>
      <c r="AV62">
        <f>AP62-AT62</f>
        <v/>
      </c>
      <c r="AW62" s="42">
        <f>BA61</f>
        <v/>
      </c>
      <c r="AX62" s="42">
        <f>ROUND(AW62*AX$6/12,2)</f>
        <v/>
      </c>
      <c r="AY62" s="42">
        <f>MIN(AY$6,AW62+AX62)</f>
        <v/>
      </c>
      <c r="AZ62" s="42">
        <f>MAX(0,MIN(AW62+AX62-AY62,AV62))</f>
        <v/>
      </c>
      <c r="BA62" s="42">
        <f>ROUND(AW62+AX62-AY62-AZ62,2)</f>
        <v/>
      </c>
      <c r="BB62">
        <f>AV62-AZ62</f>
        <v/>
      </c>
      <c r="BC62" s="42">
        <f>BG61</f>
        <v/>
      </c>
      <c r="BD62" s="42">
        <f>ROUND(BC62*BD$6/12,2)</f>
        <v/>
      </c>
      <c r="BE62" s="42">
        <f>MIN(BE$6,BC62+BD62)</f>
        <v/>
      </c>
      <c r="BF62" s="42">
        <f>MAX(0,MIN(BC62+BD62-BE62,BB62))</f>
        <v/>
      </c>
      <c r="BG62" s="42">
        <f>ROUND(BC62+BD62-BE62-BF62,2)</f>
        <v/>
      </c>
      <c r="BH62">
        <f>BB62-BF62</f>
        <v/>
      </c>
      <c r="BI62" s="42">
        <f>BM61</f>
        <v/>
      </c>
      <c r="BJ62" s="42">
        <f>ROUND(BI62*BJ$6/12,2)</f>
        <v/>
      </c>
      <c r="BK62" s="42">
        <f>MIN(BK$6,BI62+BJ62)</f>
        <v/>
      </c>
      <c r="BL62" s="42">
        <f>MAX(0,MIN(BI62+BJ62-BK62,BH62))</f>
        <v/>
      </c>
      <c r="BM62" s="42">
        <f>ROUND(BI62+BJ62-BK62-BL62,2)</f>
        <v/>
      </c>
      <c r="BN62">
        <f>BH62-BL62</f>
        <v/>
      </c>
    </row>
    <row r="63">
      <c r="A63" s="43" t="n">
        <v>56</v>
      </c>
      <c r="B63" s="44">
        <f>EDATE('My Debts'!$C$6,A63-1)</f>
        <v/>
      </c>
      <c r="C63" s="45">
        <f>K63+Q63+W63+AC63+AI63+AO63+AU63+BA63+BG63+BM63</f>
        <v/>
      </c>
      <c r="D63" s="46">
        <f>I63+O63+U63+AA63+AG63+AM63+AS63+AY63+BE63+BK63+J63+P63+V63+AB63+AH63+AN63+AT63+AZ63+BF63+BL63</f>
        <v/>
      </c>
      <c r="E63" s="46">
        <f>H63+N63+T63+Z63+AF63+AL63+AR63+AX63+BD63+BJ63</f>
        <v/>
      </c>
      <c r="F63" t="n">
        <v>0</v>
      </c>
      <c r="G63" s="42">
        <f>K62</f>
        <v/>
      </c>
      <c r="H63" s="42">
        <f>ROUND(G63*H$6/12,2)</f>
        <v/>
      </c>
      <c r="I63" s="42">
        <f>MIN(I$6,G63+H63)</f>
        <v/>
      </c>
      <c r="J63" s="42">
        <f>MAX(0,MIN(G63+H63-I63,$F63))</f>
        <v/>
      </c>
      <c r="K63" s="42">
        <f>ROUND(G63+H63-I63-J63,2)</f>
        <v/>
      </c>
      <c r="L63">
        <f>$F63-J63</f>
        <v/>
      </c>
      <c r="M63" s="42">
        <f>Q62</f>
        <v/>
      </c>
      <c r="N63" s="42">
        <f>ROUND(M63*N$6/12,2)</f>
        <v/>
      </c>
      <c r="O63" s="42">
        <f>MIN(O$6,M63+N63)</f>
        <v/>
      </c>
      <c r="P63" s="42">
        <f>MAX(0,MIN(M63+N63-O63,L63))</f>
        <v/>
      </c>
      <c r="Q63" s="42">
        <f>ROUND(M63+N63-O63-P63,2)</f>
        <v/>
      </c>
      <c r="R63">
        <f>L63-P63</f>
        <v/>
      </c>
      <c r="S63" s="42">
        <f>W62</f>
        <v/>
      </c>
      <c r="T63" s="42">
        <f>ROUND(S63*T$6/12,2)</f>
        <v/>
      </c>
      <c r="U63" s="42">
        <f>MIN(U$6,S63+T63)</f>
        <v/>
      </c>
      <c r="V63" s="42">
        <f>MAX(0,MIN(S63+T63-U63,R63))</f>
        <v/>
      </c>
      <c r="W63" s="42">
        <f>ROUND(S63+T63-U63-V63,2)</f>
        <v/>
      </c>
      <c r="X63">
        <f>R63-V63</f>
        <v/>
      </c>
      <c r="Y63" s="42">
        <f>AC62</f>
        <v/>
      </c>
      <c r="Z63" s="42">
        <f>ROUND(Y63*Z$6/12,2)</f>
        <v/>
      </c>
      <c r="AA63" s="42">
        <f>MIN(AA$6,Y63+Z63)</f>
        <v/>
      </c>
      <c r="AB63" s="42">
        <f>MAX(0,MIN(Y63+Z63-AA63,X63))</f>
        <v/>
      </c>
      <c r="AC63" s="42">
        <f>ROUND(Y63+Z63-AA63-AB63,2)</f>
        <v/>
      </c>
      <c r="AD63">
        <f>X63-AB63</f>
        <v/>
      </c>
      <c r="AE63" s="42">
        <f>AI62</f>
        <v/>
      </c>
      <c r="AF63" s="42">
        <f>ROUND(AE63*AF$6/12,2)</f>
        <v/>
      </c>
      <c r="AG63" s="42">
        <f>MIN(AG$6,AE63+AF63)</f>
        <v/>
      </c>
      <c r="AH63" s="42">
        <f>MAX(0,MIN(AE63+AF63-AG63,AD63))</f>
        <v/>
      </c>
      <c r="AI63" s="42">
        <f>ROUND(AE63+AF63-AG63-AH63,2)</f>
        <v/>
      </c>
      <c r="AJ63">
        <f>AD63-AH63</f>
        <v/>
      </c>
      <c r="AK63" s="42">
        <f>AO62</f>
        <v/>
      </c>
      <c r="AL63" s="42">
        <f>ROUND(AK63*AL$6/12,2)</f>
        <v/>
      </c>
      <c r="AM63" s="42">
        <f>MIN(AM$6,AK63+AL63)</f>
        <v/>
      </c>
      <c r="AN63" s="42">
        <f>MAX(0,MIN(AK63+AL63-AM63,AJ63))</f>
        <v/>
      </c>
      <c r="AO63" s="42">
        <f>ROUND(AK63+AL63-AM63-AN63,2)</f>
        <v/>
      </c>
      <c r="AP63">
        <f>AJ63-AN63</f>
        <v/>
      </c>
      <c r="AQ63" s="42">
        <f>AU62</f>
        <v/>
      </c>
      <c r="AR63" s="42">
        <f>ROUND(AQ63*AR$6/12,2)</f>
        <v/>
      </c>
      <c r="AS63" s="42">
        <f>MIN(AS$6,AQ63+AR63)</f>
        <v/>
      </c>
      <c r="AT63" s="42">
        <f>MAX(0,MIN(AQ63+AR63-AS63,AP63))</f>
        <v/>
      </c>
      <c r="AU63" s="42">
        <f>ROUND(AQ63+AR63-AS63-AT63,2)</f>
        <v/>
      </c>
      <c r="AV63">
        <f>AP63-AT63</f>
        <v/>
      </c>
      <c r="AW63" s="42">
        <f>BA62</f>
        <v/>
      </c>
      <c r="AX63" s="42">
        <f>ROUND(AW63*AX$6/12,2)</f>
        <v/>
      </c>
      <c r="AY63" s="42">
        <f>MIN(AY$6,AW63+AX63)</f>
        <v/>
      </c>
      <c r="AZ63" s="42">
        <f>MAX(0,MIN(AW63+AX63-AY63,AV63))</f>
        <v/>
      </c>
      <c r="BA63" s="42">
        <f>ROUND(AW63+AX63-AY63-AZ63,2)</f>
        <v/>
      </c>
      <c r="BB63">
        <f>AV63-AZ63</f>
        <v/>
      </c>
      <c r="BC63" s="42">
        <f>BG62</f>
        <v/>
      </c>
      <c r="BD63" s="42">
        <f>ROUND(BC63*BD$6/12,2)</f>
        <v/>
      </c>
      <c r="BE63" s="42">
        <f>MIN(BE$6,BC63+BD63)</f>
        <v/>
      </c>
      <c r="BF63" s="42">
        <f>MAX(0,MIN(BC63+BD63-BE63,BB63))</f>
        <v/>
      </c>
      <c r="BG63" s="42">
        <f>ROUND(BC63+BD63-BE63-BF63,2)</f>
        <v/>
      </c>
      <c r="BH63">
        <f>BB63-BF63</f>
        <v/>
      </c>
      <c r="BI63" s="42">
        <f>BM62</f>
        <v/>
      </c>
      <c r="BJ63" s="42">
        <f>ROUND(BI63*BJ$6/12,2)</f>
        <v/>
      </c>
      <c r="BK63" s="42">
        <f>MIN(BK$6,BI63+BJ63)</f>
        <v/>
      </c>
      <c r="BL63" s="42">
        <f>MAX(0,MIN(BI63+BJ63-BK63,BH63))</f>
        <v/>
      </c>
      <c r="BM63" s="42">
        <f>ROUND(BI63+BJ63-BK63-BL63,2)</f>
        <v/>
      </c>
      <c r="BN63">
        <f>BH63-BL63</f>
        <v/>
      </c>
    </row>
    <row r="64">
      <c r="A64" s="39" t="n">
        <v>57</v>
      </c>
      <c r="B64" s="40">
        <f>EDATE('My Debts'!$C$6,A64-1)</f>
        <v/>
      </c>
      <c r="C64" s="41">
        <f>K64+Q64+W64+AC64+AI64+AO64+AU64+BA64+BG64+BM64</f>
        <v/>
      </c>
      <c r="D64" s="42">
        <f>I64+O64+U64+AA64+AG64+AM64+AS64+AY64+BE64+BK64+J64+P64+V64+AB64+AH64+AN64+AT64+AZ64+BF64+BL64</f>
        <v/>
      </c>
      <c r="E64" s="42">
        <f>H64+N64+T64+Z64+AF64+AL64+AR64+AX64+BD64+BJ64</f>
        <v/>
      </c>
      <c r="F64" t="n">
        <v>0</v>
      </c>
      <c r="G64" s="42">
        <f>K63</f>
        <v/>
      </c>
      <c r="H64" s="42">
        <f>ROUND(G64*H$6/12,2)</f>
        <v/>
      </c>
      <c r="I64" s="42">
        <f>MIN(I$6,G64+H64)</f>
        <v/>
      </c>
      <c r="J64" s="42">
        <f>MAX(0,MIN(G64+H64-I64,$F64))</f>
        <v/>
      </c>
      <c r="K64" s="42">
        <f>ROUND(G64+H64-I64-J64,2)</f>
        <v/>
      </c>
      <c r="L64">
        <f>$F64-J64</f>
        <v/>
      </c>
      <c r="M64" s="42">
        <f>Q63</f>
        <v/>
      </c>
      <c r="N64" s="42">
        <f>ROUND(M64*N$6/12,2)</f>
        <v/>
      </c>
      <c r="O64" s="42">
        <f>MIN(O$6,M64+N64)</f>
        <v/>
      </c>
      <c r="P64" s="42">
        <f>MAX(0,MIN(M64+N64-O64,L64))</f>
        <v/>
      </c>
      <c r="Q64" s="42">
        <f>ROUND(M64+N64-O64-P64,2)</f>
        <v/>
      </c>
      <c r="R64">
        <f>L64-P64</f>
        <v/>
      </c>
      <c r="S64" s="42">
        <f>W63</f>
        <v/>
      </c>
      <c r="T64" s="42">
        <f>ROUND(S64*T$6/12,2)</f>
        <v/>
      </c>
      <c r="U64" s="42">
        <f>MIN(U$6,S64+T64)</f>
        <v/>
      </c>
      <c r="V64" s="42">
        <f>MAX(0,MIN(S64+T64-U64,R64))</f>
        <v/>
      </c>
      <c r="W64" s="42">
        <f>ROUND(S64+T64-U64-V64,2)</f>
        <v/>
      </c>
      <c r="X64">
        <f>R64-V64</f>
        <v/>
      </c>
      <c r="Y64" s="42">
        <f>AC63</f>
        <v/>
      </c>
      <c r="Z64" s="42">
        <f>ROUND(Y64*Z$6/12,2)</f>
        <v/>
      </c>
      <c r="AA64" s="42">
        <f>MIN(AA$6,Y64+Z64)</f>
        <v/>
      </c>
      <c r="AB64" s="42">
        <f>MAX(0,MIN(Y64+Z64-AA64,X64))</f>
        <v/>
      </c>
      <c r="AC64" s="42">
        <f>ROUND(Y64+Z64-AA64-AB64,2)</f>
        <v/>
      </c>
      <c r="AD64">
        <f>X64-AB64</f>
        <v/>
      </c>
      <c r="AE64" s="42">
        <f>AI63</f>
        <v/>
      </c>
      <c r="AF64" s="42">
        <f>ROUND(AE64*AF$6/12,2)</f>
        <v/>
      </c>
      <c r="AG64" s="42">
        <f>MIN(AG$6,AE64+AF64)</f>
        <v/>
      </c>
      <c r="AH64" s="42">
        <f>MAX(0,MIN(AE64+AF64-AG64,AD64))</f>
        <v/>
      </c>
      <c r="AI64" s="42">
        <f>ROUND(AE64+AF64-AG64-AH64,2)</f>
        <v/>
      </c>
      <c r="AJ64">
        <f>AD64-AH64</f>
        <v/>
      </c>
      <c r="AK64" s="42">
        <f>AO63</f>
        <v/>
      </c>
      <c r="AL64" s="42">
        <f>ROUND(AK64*AL$6/12,2)</f>
        <v/>
      </c>
      <c r="AM64" s="42">
        <f>MIN(AM$6,AK64+AL64)</f>
        <v/>
      </c>
      <c r="AN64" s="42">
        <f>MAX(0,MIN(AK64+AL64-AM64,AJ64))</f>
        <v/>
      </c>
      <c r="AO64" s="42">
        <f>ROUND(AK64+AL64-AM64-AN64,2)</f>
        <v/>
      </c>
      <c r="AP64">
        <f>AJ64-AN64</f>
        <v/>
      </c>
      <c r="AQ64" s="42">
        <f>AU63</f>
        <v/>
      </c>
      <c r="AR64" s="42">
        <f>ROUND(AQ64*AR$6/12,2)</f>
        <v/>
      </c>
      <c r="AS64" s="42">
        <f>MIN(AS$6,AQ64+AR64)</f>
        <v/>
      </c>
      <c r="AT64" s="42">
        <f>MAX(0,MIN(AQ64+AR64-AS64,AP64))</f>
        <v/>
      </c>
      <c r="AU64" s="42">
        <f>ROUND(AQ64+AR64-AS64-AT64,2)</f>
        <v/>
      </c>
      <c r="AV64">
        <f>AP64-AT64</f>
        <v/>
      </c>
      <c r="AW64" s="42">
        <f>BA63</f>
        <v/>
      </c>
      <c r="AX64" s="42">
        <f>ROUND(AW64*AX$6/12,2)</f>
        <v/>
      </c>
      <c r="AY64" s="42">
        <f>MIN(AY$6,AW64+AX64)</f>
        <v/>
      </c>
      <c r="AZ64" s="42">
        <f>MAX(0,MIN(AW64+AX64-AY64,AV64))</f>
        <v/>
      </c>
      <c r="BA64" s="42">
        <f>ROUND(AW64+AX64-AY64-AZ64,2)</f>
        <v/>
      </c>
      <c r="BB64">
        <f>AV64-AZ64</f>
        <v/>
      </c>
      <c r="BC64" s="42">
        <f>BG63</f>
        <v/>
      </c>
      <c r="BD64" s="42">
        <f>ROUND(BC64*BD$6/12,2)</f>
        <v/>
      </c>
      <c r="BE64" s="42">
        <f>MIN(BE$6,BC64+BD64)</f>
        <v/>
      </c>
      <c r="BF64" s="42">
        <f>MAX(0,MIN(BC64+BD64-BE64,BB64))</f>
        <v/>
      </c>
      <c r="BG64" s="42">
        <f>ROUND(BC64+BD64-BE64-BF64,2)</f>
        <v/>
      </c>
      <c r="BH64">
        <f>BB64-BF64</f>
        <v/>
      </c>
      <c r="BI64" s="42">
        <f>BM63</f>
        <v/>
      </c>
      <c r="BJ64" s="42">
        <f>ROUND(BI64*BJ$6/12,2)</f>
        <v/>
      </c>
      <c r="BK64" s="42">
        <f>MIN(BK$6,BI64+BJ64)</f>
        <v/>
      </c>
      <c r="BL64" s="42">
        <f>MAX(0,MIN(BI64+BJ64-BK64,BH64))</f>
        <v/>
      </c>
      <c r="BM64" s="42">
        <f>ROUND(BI64+BJ64-BK64-BL64,2)</f>
        <v/>
      </c>
      <c r="BN64">
        <f>BH64-BL64</f>
        <v/>
      </c>
    </row>
    <row r="65">
      <c r="A65" s="43" t="n">
        <v>58</v>
      </c>
      <c r="B65" s="44">
        <f>EDATE('My Debts'!$C$6,A65-1)</f>
        <v/>
      </c>
      <c r="C65" s="45">
        <f>K65+Q65+W65+AC65+AI65+AO65+AU65+BA65+BG65+BM65</f>
        <v/>
      </c>
      <c r="D65" s="46">
        <f>I65+O65+U65+AA65+AG65+AM65+AS65+AY65+BE65+BK65+J65+P65+V65+AB65+AH65+AN65+AT65+AZ65+BF65+BL65</f>
        <v/>
      </c>
      <c r="E65" s="46">
        <f>H65+N65+T65+Z65+AF65+AL65+AR65+AX65+BD65+BJ65</f>
        <v/>
      </c>
      <c r="F65" t="n">
        <v>0</v>
      </c>
      <c r="G65" s="42">
        <f>K64</f>
        <v/>
      </c>
      <c r="H65" s="42">
        <f>ROUND(G65*H$6/12,2)</f>
        <v/>
      </c>
      <c r="I65" s="42">
        <f>MIN(I$6,G65+H65)</f>
        <v/>
      </c>
      <c r="J65" s="42">
        <f>MAX(0,MIN(G65+H65-I65,$F65))</f>
        <v/>
      </c>
      <c r="K65" s="42">
        <f>ROUND(G65+H65-I65-J65,2)</f>
        <v/>
      </c>
      <c r="L65">
        <f>$F65-J65</f>
        <v/>
      </c>
      <c r="M65" s="42">
        <f>Q64</f>
        <v/>
      </c>
      <c r="N65" s="42">
        <f>ROUND(M65*N$6/12,2)</f>
        <v/>
      </c>
      <c r="O65" s="42">
        <f>MIN(O$6,M65+N65)</f>
        <v/>
      </c>
      <c r="P65" s="42">
        <f>MAX(0,MIN(M65+N65-O65,L65))</f>
        <v/>
      </c>
      <c r="Q65" s="42">
        <f>ROUND(M65+N65-O65-P65,2)</f>
        <v/>
      </c>
      <c r="R65">
        <f>L65-P65</f>
        <v/>
      </c>
      <c r="S65" s="42">
        <f>W64</f>
        <v/>
      </c>
      <c r="T65" s="42">
        <f>ROUND(S65*T$6/12,2)</f>
        <v/>
      </c>
      <c r="U65" s="42">
        <f>MIN(U$6,S65+T65)</f>
        <v/>
      </c>
      <c r="V65" s="42">
        <f>MAX(0,MIN(S65+T65-U65,R65))</f>
        <v/>
      </c>
      <c r="W65" s="42">
        <f>ROUND(S65+T65-U65-V65,2)</f>
        <v/>
      </c>
      <c r="X65">
        <f>R65-V65</f>
        <v/>
      </c>
      <c r="Y65" s="42">
        <f>AC64</f>
        <v/>
      </c>
      <c r="Z65" s="42">
        <f>ROUND(Y65*Z$6/12,2)</f>
        <v/>
      </c>
      <c r="AA65" s="42">
        <f>MIN(AA$6,Y65+Z65)</f>
        <v/>
      </c>
      <c r="AB65" s="42">
        <f>MAX(0,MIN(Y65+Z65-AA65,X65))</f>
        <v/>
      </c>
      <c r="AC65" s="42">
        <f>ROUND(Y65+Z65-AA65-AB65,2)</f>
        <v/>
      </c>
      <c r="AD65">
        <f>X65-AB65</f>
        <v/>
      </c>
      <c r="AE65" s="42">
        <f>AI64</f>
        <v/>
      </c>
      <c r="AF65" s="42">
        <f>ROUND(AE65*AF$6/12,2)</f>
        <v/>
      </c>
      <c r="AG65" s="42">
        <f>MIN(AG$6,AE65+AF65)</f>
        <v/>
      </c>
      <c r="AH65" s="42">
        <f>MAX(0,MIN(AE65+AF65-AG65,AD65))</f>
        <v/>
      </c>
      <c r="AI65" s="42">
        <f>ROUND(AE65+AF65-AG65-AH65,2)</f>
        <v/>
      </c>
      <c r="AJ65">
        <f>AD65-AH65</f>
        <v/>
      </c>
      <c r="AK65" s="42">
        <f>AO64</f>
        <v/>
      </c>
      <c r="AL65" s="42">
        <f>ROUND(AK65*AL$6/12,2)</f>
        <v/>
      </c>
      <c r="AM65" s="42">
        <f>MIN(AM$6,AK65+AL65)</f>
        <v/>
      </c>
      <c r="AN65" s="42">
        <f>MAX(0,MIN(AK65+AL65-AM65,AJ65))</f>
        <v/>
      </c>
      <c r="AO65" s="42">
        <f>ROUND(AK65+AL65-AM65-AN65,2)</f>
        <v/>
      </c>
      <c r="AP65">
        <f>AJ65-AN65</f>
        <v/>
      </c>
      <c r="AQ65" s="42">
        <f>AU64</f>
        <v/>
      </c>
      <c r="AR65" s="42">
        <f>ROUND(AQ65*AR$6/12,2)</f>
        <v/>
      </c>
      <c r="AS65" s="42">
        <f>MIN(AS$6,AQ65+AR65)</f>
        <v/>
      </c>
      <c r="AT65" s="42">
        <f>MAX(0,MIN(AQ65+AR65-AS65,AP65))</f>
        <v/>
      </c>
      <c r="AU65" s="42">
        <f>ROUND(AQ65+AR65-AS65-AT65,2)</f>
        <v/>
      </c>
      <c r="AV65">
        <f>AP65-AT65</f>
        <v/>
      </c>
      <c r="AW65" s="42">
        <f>BA64</f>
        <v/>
      </c>
      <c r="AX65" s="42">
        <f>ROUND(AW65*AX$6/12,2)</f>
        <v/>
      </c>
      <c r="AY65" s="42">
        <f>MIN(AY$6,AW65+AX65)</f>
        <v/>
      </c>
      <c r="AZ65" s="42">
        <f>MAX(0,MIN(AW65+AX65-AY65,AV65))</f>
        <v/>
      </c>
      <c r="BA65" s="42">
        <f>ROUND(AW65+AX65-AY65-AZ65,2)</f>
        <v/>
      </c>
      <c r="BB65">
        <f>AV65-AZ65</f>
        <v/>
      </c>
      <c r="BC65" s="42">
        <f>BG64</f>
        <v/>
      </c>
      <c r="BD65" s="42">
        <f>ROUND(BC65*BD$6/12,2)</f>
        <v/>
      </c>
      <c r="BE65" s="42">
        <f>MIN(BE$6,BC65+BD65)</f>
        <v/>
      </c>
      <c r="BF65" s="42">
        <f>MAX(0,MIN(BC65+BD65-BE65,BB65))</f>
        <v/>
      </c>
      <c r="BG65" s="42">
        <f>ROUND(BC65+BD65-BE65-BF65,2)</f>
        <v/>
      </c>
      <c r="BH65">
        <f>BB65-BF65</f>
        <v/>
      </c>
      <c r="BI65" s="42">
        <f>BM64</f>
        <v/>
      </c>
      <c r="BJ65" s="42">
        <f>ROUND(BI65*BJ$6/12,2)</f>
        <v/>
      </c>
      <c r="BK65" s="42">
        <f>MIN(BK$6,BI65+BJ65)</f>
        <v/>
      </c>
      <c r="BL65" s="42">
        <f>MAX(0,MIN(BI65+BJ65-BK65,BH65))</f>
        <v/>
      </c>
      <c r="BM65" s="42">
        <f>ROUND(BI65+BJ65-BK65-BL65,2)</f>
        <v/>
      </c>
      <c r="BN65">
        <f>BH65-BL65</f>
        <v/>
      </c>
    </row>
    <row r="66">
      <c r="A66" s="39" t="n">
        <v>59</v>
      </c>
      <c r="B66" s="40">
        <f>EDATE('My Debts'!$C$6,A66-1)</f>
        <v/>
      </c>
      <c r="C66" s="41">
        <f>K66+Q66+W66+AC66+AI66+AO66+AU66+BA66+BG66+BM66</f>
        <v/>
      </c>
      <c r="D66" s="42">
        <f>I66+O66+U66+AA66+AG66+AM66+AS66+AY66+BE66+BK66+J66+P66+V66+AB66+AH66+AN66+AT66+AZ66+BF66+BL66</f>
        <v/>
      </c>
      <c r="E66" s="42">
        <f>H66+N66+T66+Z66+AF66+AL66+AR66+AX66+BD66+BJ66</f>
        <v/>
      </c>
      <c r="F66" t="n">
        <v>0</v>
      </c>
      <c r="G66" s="42">
        <f>K65</f>
        <v/>
      </c>
      <c r="H66" s="42">
        <f>ROUND(G66*H$6/12,2)</f>
        <v/>
      </c>
      <c r="I66" s="42">
        <f>MIN(I$6,G66+H66)</f>
        <v/>
      </c>
      <c r="J66" s="42">
        <f>MAX(0,MIN(G66+H66-I66,$F66))</f>
        <v/>
      </c>
      <c r="K66" s="42">
        <f>ROUND(G66+H66-I66-J66,2)</f>
        <v/>
      </c>
      <c r="L66">
        <f>$F66-J66</f>
        <v/>
      </c>
      <c r="M66" s="42">
        <f>Q65</f>
        <v/>
      </c>
      <c r="N66" s="42">
        <f>ROUND(M66*N$6/12,2)</f>
        <v/>
      </c>
      <c r="O66" s="42">
        <f>MIN(O$6,M66+N66)</f>
        <v/>
      </c>
      <c r="P66" s="42">
        <f>MAX(0,MIN(M66+N66-O66,L66))</f>
        <v/>
      </c>
      <c r="Q66" s="42">
        <f>ROUND(M66+N66-O66-P66,2)</f>
        <v/>
      </c>
      <c r="R66">
        <f>L66-P66</f>
        <v/>
      </c>
      <c r="S66" s="42">
        <f>W65</f>
        <v/>
      </c>
      <c r="T66" s="42">
        <f>ROUND(S66*T$6/12,2)</f>
        <v/>
      </c>
      <c r="U66" s="42">
        <f>MIN(U$6,S66+T66)</f>
        <v/>
      </c>
      <c r="V66" s="42">
        <f>MAX(0,MIN(S66+T66-U66,R66))</f>
        <v/>
      </c>
      <c r="W66" s="42">
        <f>ROUND(S66+T66-U66-V66,2)</f>
        <v/>
      </c>
      <c r="X66">
        <f>R66-V66</f>
        <v/>
      </c>
      <c r="Y66" s="42">
        <f>AC65</f>
        <v/>
      </c>
      <c r="Z66" s="42">
        <f>ROUND(Y66*Z$6/12,2)</f>
        <v/>
      </c>
      <c r="AA66" s="42">
        <f>MIN(AA$6,Y66+Z66)</f>
        <v/>
      </c>
      <c r="AB66" s="42">
        <f>MAX(0,MIN(Y66+Z66-AA66,X66))</f>
        <v/>
      </c>
      <c r="AC66" s="42">
        <f>ROUND(Y66+Z66-AA66-AB66,2)</f>
        <v/>
      </c>
      <c r="AD66">
        <f>X66-AB66</f>
        <v/>
      </c>
      <c r="AE66" s="42">
        <f>AI65</f>
        <v/>
      </c>
      <c r="AF66" s="42">
        <f>ROUND(AE66*AF$6/12,2)</f>
        <v/>
      </c>
      <c r="AG66" s="42">
        <f>MIN(AG$6,AE66+AF66)</f>
        <v/>
      </c>
      <c r="AH66" s="42">
        <f>MAX(0,MIN(AE66+AF66-AG66,AD66))</f>
        <v/>
      </c>
      <c r="AI66" s="42">
        <f>ROUND(AE66+AF66-AG66-AH66,2)</f>
        <v/>
      </c>
      <c r="AJ66">
        <f>AD66-AH66</f>
        <v/>
      </c>
      <c r="AK66" s="42">
        <f>AO65</f>
        <v/>
      </c>
      <c r="AL66" s="42">
        <f>ROUND(AK66*AL$6/12,2)</f>
        <v/>
      </c>
      <c r="AM66" s="42">
        <f>MIN(AM$6,AK66+AL66)</f>
        <v/>
      </c>
      <c r="AN66" s="42">
        <f>MAX(0,MIN(AK66+AL66-AM66,AJ66))</f>
        <v/>
      </c>
      <c r="AO66" s="42">
        <f>ROUND(AK66+AL66-AM66-AN66,2)</f>
        <v/>
      </c>
      <c r="AP66">
        <f>AJ66-AN66</f>
        <v/>
      </c>
      <c r="AQ66" s="42">
        <f>AU65</f>
        <v/>
      </c>
      <c r="AR66" s="42">
        <f>ROUND(AQ66*AR$6/12,2)</f>
        <v/>
      </c>
      <c r="AS66" s="42">
        <f>MIN(AS$6,AQ66+AR66)</f>
        <v/>
      </c>
      <c r="AT66" s="42">
        <f>MAX(0,MIN(AQ66+AR66-AS66,AP66))</f>
        <v/>
      </c>
      <c r="AU66" s="42">
        <f>ROUND(AQ66+AR66-AS66-AT66,2)</f>
        <v/>
      </c>
      <c r="AV66">
        <f>AP66-AT66</f>
        <v/>
      </c>
      <c r="AW66" s="42">
        <f>BA65</f>
        <v/>
      </c>
      <c r="AX66" s="42">
        <f>ROUND(AW66*AX$6/12,2)</f>
        <v/>
      </c>
      <c r="AY66" s="42">
        <f>MIN(AY$6,AW66+AX66)</f>
        <v/>
      </c>
      <c r="AZ66" s="42">
        <f>MAX(0,MIN(AW66+AX66-AY66,AV66))</f>
        <v/>
      </c>
      <c r="BA66" s="42">
        <f>ROUND(AW66+AX66-AY66-AZ66,2)</f>
        <v/>
      </c>
      <c r="BB66">
        <f>AV66-AZ66</f>
        <v/>
      </c>
      <c r="BC66" s="42">
        <f>BG65</f>
        <v/>
      </c>
      <c r="BD66" s="42">
        <f>ROUND(BC66*BD$6/12,2)</f>
        <v/>
      </c>
      <c r="BE66" s="42">
        <f>MIN(BE$6,BC66+BD66)</f>
        <v/>
      </c>
      <c r="BF66" s="42">
        <f>MAX(0,MIN(BC66+BD66-BE66,BB66))</f>
        <v/>
      </c>
      <c r="BG66" s="42">
        <f>ROUND(BC66+BD66-BE66-BF66,2)</f>
        <v/>
      </c>
      <c r="BH66">
        <f>BB66-BF66</f>
        <v/>
      </c>
      <c r="BI66" s="42">
        <f>BM65</f>
        <v/>
      </c>
      <c r="BJ66" s="42">
        <f>ROUND(BI66*BJ$6/12,2)</f>
        <v/>
      </c>
      <c r="BK66" s="42">
        <f>MIN(BK$6,BI66+BJ66)</f>
        <v/>
      </c>
      <c r="BL66" s="42">
        <f>MAX(0,MIN(BI66+BJ66-BK66,BH66))</f>
        <v/>
      </c>
      <c r="BM66" s="42">
        <f>ROUND(BI66+BJ66-BK66-BL66,2)</f>
        <v/>
      </c>
      <c r="BN66">
        <f>BH66-BL66</f>
        <v/>
      </c>
    </row>
    <row r="67">
      <c r="A67" s="43" t="n">
        <v>60</v>
      </c>
      <c r="B67" s="44">
        <f>EDATE('My Debts'!$C$6,A67-1)</f>
        <v/>
      </c>
      <c r="C67" s="45">
        <f>K67+Q67+W67+AC67+AI67+AO67+AU67+BA67+BG67+BM67</f>
        <v/>
      </c>
      <c r="D67" s="46">
        <f>I67+O67+U67+AA67+AG67+AM67+AS67+AY67+BE67+BK67+J67+P67+V67+AB67+AH67+AN67+AT67+AZ67+BF67+BL67</f>
        <v/>
      </c>
      <c r="E67" s="46">
        <f>H67+N67+T67+Z67+AF67+AL67+AR67+AX67+BD67+BJ67</f>
        <v/>
      </c>
      <c r="F67" t="n">
        <v>0</v>
      </c>
      <c r="G67" s="42">
        <f>K66</f>
        <v/>
      </c>
      <c r="H67" s="42">
        <f>ROUND(G67*H$6/12,2)</f>
        <v/>
      </c>
      <c r="I67" s="42">
        <f>MIN(I$6,G67+H67)</f>
        <v/>
      </c>
      <c r="J67" s="42">
        <f>MAX(0,MIN(G67+H67-I67,$F67))</f>
        <v/>
      </c>
      <c r="K67" s="42">
        <f>ROUND(G67+H67-I67-J67,2)</f>
        <v/>
      </c>
      <c r="L67">
        <f>$F67-J67</f>
        <v/>
      </c>
      <c r="M67" s="42">
        <f>Q66</f>
        <v/>
      </c>
      <c r="N67" s="42">
        <f>ROUND(M67*N$6/12,2)</f>
        <v/>
      </c>
      <c r="O67" s="42">
        <f>MIN(O$6,M67+N67)</f>
        <v/>
      </c>
      <c r="P67" s="42">
        <f>MAX(0,MIN(M67+N67-O67,L67))</f>
        <v/>
      </c>
      <c r="Q67" s="42">
        <f>ROUND(M67+N67-O67-P67,2)</f>
        <v/>
      </c>
      <c r="R67">
        <f>L67-P67</f>
        <v/>
      </c>
      <c r="S67" s="42">
        <f>W66</f>
        <v/>
      </c>
      <c r="T67" s="42">
        <f>ROUND(S67*T$6/12,2)</f>
        <v/>
      </c>
      <c r="U67" s="42">
        <f>MIN(U$6,S67+T67)</f>
        <v/>
      </c>
      <c r="V67" s="42">
        <f>MAX(0,MIN(S67+T67-U67,R67))</f>
        <v/>
      </c>
      <c r="W67" s="42">
        <f>ROUND(S67+T67-U67-V67,2)</f>
        <v/>
      </c>
      <c r="X67">
        <f>R67-V67</f>
        <v/>
      </c>
      <c r="Y67" s="42">
        <f>AC66</f>
        <v/>
      </c>
      <c r="Z67" s="42">
        <f>ROUND(Y67*Z$6/12,2)</f>
        <v/>
      </c>
      <c r="AA67" s="42">
        <f>MIN(AA$6,Y67+Z67)</f>
        <v/>
      </c>
      <c r="AB67" s="42">
        <f>MAX(0,MIN(Y67+Z67-AA67,X67))</f>
        <v/>
      </c>
      <c r="AC67" s="42">
        <f>ROUND(Y67+Z67-AA67-AB67,2)</f>
        <v/>
      </c>
      <c r="AD67">
        <f>X67-AB67</f>
        <v/>
      </c>
      <c r="AE67" s="42">
        <f>AI66</f>
        <v/>
      </c>
      <c r="AF67" s="42">
        <f>ROUND(AE67*AF$6/12,2)</f>
        <v/>
      </c>
      <c r="AG67" s="42">
        <f>MIN(AG$6,AE67+AF67)</f>
        <v/>
      </c>
      <c r="AH67" s="42">
        <f>MAX(0,MIN(AE67+AF67-AG67,AD67))</f>
        <v/>
      </c>
      <c r="AI67" s="42">
        <f>ROUND(AE67+AF67-AG67-AH67,2)</f>
        <v/>
      </c>
      <c r="AJ67">
        <f>AD67-AH67</f>
        <v/>
      </c>
      <c r="AK67" s="42">
        <f>AO66</f>
        <v/>
      </c>
      <c r="AL67" s="42">
        <f>ROUND(AK67*AL$6/12,2)</f>
        <v/>
      </c>
      <c r="AM67" s="42">
        <f>MIN(AM$6,AK67+AL67)</f>
        <v/>
      </c>
      <c r="AN67" s="42">
        <f>MAX(0,MIN(AK67+AL67-AM67,AJ67))</f>
        <v/>
      </c>
      <c r="AO67" s="42">
        <f>ROUND(AK67+AL67-AM67-AN67,2)</f>
        <v/>
      </c>
      <c r="AP67">
        <f>AJ67-AN67</f>
        <v/>
      </c>
      <c r="AQ67" s="42">
        <f>AU66</f>
        <v/>
      </c>
      <c r="AR67" s="42">
        <f>ROUND(AQ67*AR$6/12,2)</f>
        <v/>
      </c>
      <c r="AS67" s="42">
        <f>MIN(AS$6,AQ67+AR67)</f>
        <v/>
      </c>
      <c r="AT67" s="42">
        <f>MAX(0,MIN(AQ67+AR67-AS67,AP67))</f>
        <v/>
      </c>
      <c r="AU67" s="42">
        <f>ROUND(AQ67+AR67-AS67-AT67,2)</f>
        <v/>
      </c>
      <c r="AV67">
        <f>AP67-AT67</f>
        <v/>
      </c>
      <c r="AW67" s="42">
        <f>BA66</f>
        <v/>
      </c>
      <c r="AX67" s="42">
        <f>ROUND(AW67*AX$6/12,2)</f>
        <v/>
      </c>
      <c r="AY67" s="42">
        <f>MIN(AY$6,AW67+AX67)</f>
        <v/>
      </c>
      <c r="AZ67" s="42">
        <f>MAX(0,MIN(AW67+AX67-AY67,AV67))</f>
        <v/>
      </c>
      <c r="BA67" s="42">
        <f>ROUND(AW67+AX67-AY67-AZ67,2)</f>
        <v/>
      </c>
      <c r="BB67">
        <f>AV67-AZ67</f>
        <v/>
      </c>
      <c r="BC67" s="42">
        <f>BG66</f>
        <v/>
      </c>
      <c r="BD67" s="42">
        <f>ROUND(BC67*BD$6/12,2)</f>
        <v/>
      </c>
      <c r="BE67" s="42">
        <f>MIN(BE$6,BC67+BD67)</f>
        <v/>
      </c>
      <c r="BF67" s="42">
        <f>MAX(0,MIN(BC67+BD67-BE67,BB67))</f>
        <v/>
      </c>
      <c r="BG67" s="42">
        <f>ROUND(BC67+BD67-BE67-BF67,2)</f>
        <v/>
      </c>
      <c r="BH67">
        <f>BB67-BF67</f>
        <v/>
      </c>
      <c r="BI67" s="42">
        <f>BM66</f>
        <v/>
      </c>
      <c r="BJ67" s="42">
        <f>ROUND(BI67*BJ$6/12,2)</f>
        <v/>
      </c>
      <c r="BK67" s="42">
        <f>MIN(BK$6,BI67+BJ67)</f>
        <v/>
      </c>
      <c r="BL67" s="42">
        <f>MAX(0,MIN(BI67+BJ67-BK67,BH67))</f>
        <v/>
      </c>
      <c r="BM67" s="42">
        <f>ROUND(BI67+BJ67-BK67-BL67,2)</f>
        <v/>
      </c>
      <c r="BN67">
        <f>BH67-BL67</f>
        <v/>
      </c>
    </row>
    <row r="68">
      <c r="A68" s="39" t="n">
        <v>61</v>
      </c>
      <c r="B68" s="40">
        <f>EDATE('My Debts'!$C$6,A68-1)</f>
        <v/>
      </c>
      <c r="C68" s="41">
        <f>K68+Q68+W68+AC68+AI68+AO68+AU68+BA68+BG68+BM68</f>
        <v/>
      </c>
      <c r="D68" s="42">
        <f>I68+O68+U68+AA68+AG68+AM68+AS68+AY68+BE68+BK68+J68+P68+V68+AB68+AH68+AN68+AT68+AZ68+BF68+BL68</f>
        <v/>
      </c>
      <c r="E68" s="42">
        <f>H68+N68+T68+Z68+AF68+AL68+AR68+AX68+BD68+BJ68</f>
        <v/>
      </c>
      <c r="F68" t="n">
        <v>0</v>
      </c>
      <c r="G68" s="42">
        <f>K67</f>
        <v/>
      </c>
      <c r="H68" s="42">
        <f>ROUND(G68*H$6/12,2)</f>
        <v/>
      </c>
      <c r="I68" s="42">
        <f>MIN(I$6,G68+H68)</f>
        <v/>
      </c>
      <c r="J68" s="42">
        <f>MAX(0,MIN(G68+H68-I68,$F68))</f>
        <v/>
      </c>
      <c r="K68" s="42">
        <f>ROUND(G68+H68-I68-J68,2)</f>
        <v/>
      </c>
      <c r="L68">
        <f>$F68-J68</f>
        <v/>
      </c>
      <c r="M68" s="42">
        <f>Q67</f>
        <v/>
      </c>
      <c r="N68" s="42">
        <f>ROUND(M68*N$6/12,2)</f>
        <v/>
      </c>
      <c r="O68" s="42">
        <f>MIN(O$6,M68+N68)</f>
        <v/>
      </c>
      <c r="P68" s="42">
        <f>MAX(0,MIN(M68+N68-O68,L68))</f>
        <v/>
      </c>
      <c r="Q68" s="42">
        <f>ROUND(M68+N68-O68-P68,2)</f>
        <v/>
      </c>
      <c r="R68">
        <f>L68-P68</f>
        <v/>
      </c>
      <c r="S68" s="42">
        <f>W67</f>
        <v/>
      </c>
      <c r="T68" s="42">
        <f>ROUND(S68*T$6/12,2)</f>
        <v/>
      </c>
      <c r="U68" s="42">
        <f>MIN(U$6,S68+T68)</f>
        <v/>
      </c>
      <c r="V68" s="42">
        <f>MAX(0,MIN(S68+T68-U68,R68))</f>
        <v/>
      </c>
      <c r="W68" s="42">
        <f>ROUND(S68+T68-U68-V68,2)</f>
        <v/>
      </c>
      <c r="X68">
        <f>R68-V68</f>
        <v/>
      </c>
      <c r="Y68" s="42">
        <f>AC67</f>
        <v/>
      </c>
      <c r="Z68" s="42">
        <f>ROUND(Y68*Z$6/12,2)</f>
        <v/>
      </c>
      <c r="AA68" s="42">
        <f>MIN(AA$6,Y68+Z68)</f>
        <v/>
      </c>
      <c r="AB68" s="42">
        <f>MAX(0,MIN(Y68+Z68-AA68,X68))</f>
        <v/>
      </c>
      <c r="AC68" s="42">
        <f>ROUND(Y68+Z68-AA68-AB68,2)</f>
        <v/>
      </c>
      <c r="AD68">
        <f>X68-AB68</f>
        <v/>
      </c>
      <c r="AE68" s="42">
        <f>AI67</f>
        <v/>
      </c>
      <c r="AF68" s="42">
        <f>ROUND(AE68*AF$6/12,2)</f>
        <v/>
      </c>
      <c r="AG68" s="42">
        <f>MIN(AG$6,AE68+AF68)</f>
        <v/>
      </c>
      <c r="AH68" s="42">
        <f>MAX(0,MIN(AE68+AF68-AG68,AD68))</f>
        <v/>
      </c>
      <c r="AI68" s="42">
        <f>ROUND(AE68+AF68-AG68-AH68,2)</f>
        <v/>
      </c>
      <c r="AJ68">
        <f>AD68-AH68</f>
        <v/>
      </c>
      <c r="AK68" s="42">
        <f>AO67</f>
        <v/>
      </c>
      <c r="AL68" s="42">
        <f>ROUND(AK68*AL$6/12,2)</f>
        <v/>
      </c>
      <c r="AM68" s="42">
        <f>MIN(AM$6,AK68+AL68)</f>
        <v/>
      </c>
      <c r="AN68" s="42">
        <f>MAX(0,MIN(AK68+AL68-AM68,AJ68))</f>
        <v/>
      </c>
      <c r="AO68" s="42">
        <f>ROUND(AK68+AL68-AM68-AN68,2)</f>
        <v/>
      </c>
      <c r="AP68">
        <f>AJ68-AN68</f>
        <v/>
      </c>
      <c r="AQ68" s="42">
        <f>AU67</f>
        <v/>
      </c>
      <c r="AR68" s="42">
        <f>ROUND(AQ68*AR$6/12,2)</f>
        <v/>
      </c>
      <c r="AS68" s="42">
        <f>MIN(AS$6,AQ68+AR68)</f>
        <v/>
      </c>
      <c r="AT68" s="42">
        <f>MAX(0,MIN(AQ68+AR68-AS68,AP68))</f>
        <v/>
      </c>
      <c r="AU68" s="42">
        <f>ROUND(AQ68+AR68-AS68-AT68,2)</f>
        <v/>
      </c>
      <c r="AV68">
        <f>AP68-AT68</f>
        <v/>
      </c>
      <c r="AW68" s="42">
        <f>BA67</f>
        <v/>
      </c>
      <c r="AX68" s="42">
        <f>ROUND(AW68*AX$6/12,2)</f>
        <v/>
      </c>
      <c r="AY68" s="42">
        <f>MIN(AY$6,AW68+AX68)</f>
        <v/>
      </c>
      <c r="AZ68" s="42">
        <f>MAX(0,MIN(AW68+AX68-AY68,AV68))</f>
        <v/>
      </c>
      <c r="BA68" s="42">
        <f>ROUND(AW68+AX68-AY68-AZ68,2)</f>
        <v/>
      </c>
      <c r="BB68">
        <f>AV68-AZ68</f>
        <v/>
      </c>
      <c r="BC68" s="42">
        <f>BG67</f>
        <v/>
      </c>
      <c r="BD68" s="42">
        <f>ROUND(BC68*BD$6/12,2)</f>
        <v/>
      </c>
      <c r="BE68" s="42">
        <f>MIN(BE$6,BC68+BD68)</f>
        <v/>
      </c>
      <c r="BF68" s="42">
        <f>MAX(0,MIN(BC68+BD68-BE68,BB68))</f>
        <v/>
      </c>
      <c r="BG68" s="42">
        <f>ROUND(BC68+BD68-BE68-BF68,2)</f>
        <v/>
      </c>
      <c r="BH68">
        <f>BB68-BF68</f>
        <v/>
      </c>
      <c r="BI68" s="42">
        <f>BM67</f>
        <v/>
      </c>
      <c r="BJ68" s="42">
        <f>ROUND(BI68*BJ$6/12,2)</f>
        <v/>
      </c>
      <c r="BK68" s="42">
        <f>MIN(BK$6,BI68+BJ68)</f>
        <v/>
      </c>
      <c r="BL68" s="42">
        <f>MAX(0,MIN(BI68+BJ68-BK68,BH68))</f>
        <v/>
      </c>
      <c r="BM68" s="42">
        <f>ROUND(BI68+BJ68-BK68-BL68,2)</f>
        <v/>
      </c>
      <c r="BN68">
        <f>BH68-BL68</f>
        <v/>
      </c>
    </row>
    <row r="69">
      <c r="A69" s="43" t="n">
        <v>62</v>
      </c>
      <c r="B69" s="44">
        <f>EDATE('My Debts'!$C$6,A69-1)</f>
        <v/>
      </c>
      <c r="C69" s="45">
        <f>K69+Q69+W69+AC69+AI69+AO69+AU69+BA69+BG69+BM69</f>
        <v/>
      </c>
      <c r="D69" s="46">
        <f>I69+O69+U69+AA69+AG69+AM69+AS69+AY69+BE69+BK69+J69+P69+V69+AB69+AH69+AN69+AT69+AZ69+BF69+BL69</f>
        <v/>
      </c>
      <c r="E69" s="46">
        <f>H69+N69+T69+Z69+AF69+AL69+AR69+AX69+BD69+BJ69</f>
        <v/>
      </c>
      <c r="F69" t="n">
        <v>0</v>
      </c>
      <c r="G69" s="42">
        <f>K68</f>
        <v/>
      </c>
      <c r="H69" s="42">
        <f>ROUND(G69*H$6/12,2)</f>
        <v/>
      </c>
      <c r="I69" s="42">
        <f>MIN(I$6,G69+H69)</f>
        <v/>
      </c>
      <c r="J69" s="42">
        <f>MAX(0,MIN(G69+H69-I69,$F69))</f>
        <v/>
      </c>
      <c r="K69" s="42">
        <f>ROUND(G69+H69-I69-J69,2)</f>
        <v/>
      </c>
      <c r="L69">
        <f>$F69-J69</f>
        <v/>
      </c>
      <c r="M69" s="42">
        <f>Q68</f>
        <v/>
      </c>
      <c r="N69" s="42">
        <f>ROUND(M69*N$6/12,2)</f>
        <v/>
      </c>
      <c r="O69" s="42">
        <f>MIN(O$6,M69+N69)</f>
        <v/>
      </c>
      <c r="P69" s="42">
        <f>MAX(0,MIN(M69+N69-O69,L69))</f>
        <v/>
      </c>
      <c r="Q69" s="42">
        <f>ROUND(M69+N69-O69-P69,2)</f>
        <v/>
      </c>
      <c r="R69">
        <f>L69-P69</f>
        <v/>
      </c>
      <c r="S69" s="42">
        <f>W68</f>
        <v/>
      </c>
      <c r="T69" s="42">
        <f>ROUND(S69*T$6/12,2)</f>
        <v/>
      </c>
      <c r="U69" s="42">
        <f>MIN(U$6,S69+T69)</f>
        <v/>
      </c>
      <c r="V69" s="42">
        <f>MAX(0,MIN(S69+T69-U69,R69))</f>
        <v/>
      </c>
      <c r="W69" s="42">
        <f>ROUND(S69+T69-U69-V69,2)</f>
        <v/>
      </c>
      <c r="X69">
        <f>R69-V69</f>
        <v/>
      </c>
      <c r="Y69" s="42">
        <f>AC68</f>
        <v/>
      </c>
      <c r="Z69" s="42">
        <f>ROUND(Y69*Z$6/12,2)</f>
        <v/>
      </c>
      <c r="AA69" s="42">
        <f>MIN(AA$6,Y69+Z69)</f>
        <v/>
      </c>
      <c r="AB69" s="42">
        <f>MAX(0,MIN(Y69+Z69-AA69,X69))</f>
        <v/>
      </c>
      <c r="AC69" s="42">
        <f>ROUND(Y69+Z69-AA69-AB69,2)</f>
        <v/>
      </c>
      <c r="AD69">
        <f>X69-AB69</f>
        <v/>
      </c>
      <c r="AE69" s="42">
        <f>AI68</f>
        <v/>
      </c>
      <c r="AF69" s="42">
        <f>ROUND(AE69*AF$6/12,2)</f>
        <v/>
      </c>
      <c r="AG69" s="42">
        <f>MIN(AG$6,AE69+AF69)</f>
        <v/>
      </c>
      <c r="AH69" s="42">
        <f>MAX(0,MIN(AE69+AF69-AG69,AD69))</f>
        <v/>
      </c>
      <c r="AI69" s="42">
        <f>ROUND(AE69+AF69-AG69-AH69,2)</f>
        <v/>
      </c>
      <c r="AJ69">
        <f>AD69-AH69</f>
        <v/>
      </c>
      <c r="AK69" s="42">
        <f>AO68</f>
        <v/>
      </c>
      <c r="AL69" s="42">
        <f>ROUND(AK69*AL$6/12,2)</f>
        <v/>
      </c>
      <c r="AM69" s="42">
        <f>MIN(AM$6,AK69+AL69)</f>
        <v/>
      </c>
      <c r="AN69" s="42">
        <f>MAX(0,MIN(AK69+AL69-AM69,AJ69))</f>
        <v/>
      </c>
      <c r="AO69" s="42">
        <f>ROUND(AK69+AL69-AM69-AN69,2)</f>
        <v/>
      </c>
      <c r="AP69">
        <f>AJ69-AN69</f>
        <v/>
      </c>
      <c r="AQ69" s="42">
        <f>AU68</f>
        <v/>
      </c>
      <c r="AR69" s="42">
        <f>ROUND(AQ69*AR$6/12,2)</f>
        <v/>
      </c>
      <c r="AS69" s="42">
        <f>MIN(AS$6,AQ69+AR69)</f>
        <v/>
      </c>
      <c r="AT69" s="42">
        <f>MAX(0,MIN(AQ69+AR69-AS69,AP69))</f>
        <v/>
      </c>
      <c r="AU69" s="42">
        <f>ROUND(AQ69+AR69-AS69-AT69,2)</f>
        <v/>
      </c>
      <c r="AV69">
        <f>AP69-AT69</f>
        <v/>
      </c>
      <c r="AW69" s="42">
        <f>BA68</f>
        <v/>
      </c>
      <c r="AX69" s="42">
        <f>ROUND(AW69*AX$6/12,2)</f>
        <v/>
      </c>
      <c r="AY69" s="42">
        <f>MIN(AY$6,AW69+AX69)</f>
        <v/>
      </c>
      <c r="AZ69" s="42">
        <f>MAX(0,MIN(AW69+AX69-AY69,AV69))</f>
        <v/>
      </c>
      <c r="BA69" s="42">
        <f>ROUND(AW69+AX69-AY69-AZ69,2)</f>
        <v/>
      </c>
      <c r="BB69">
        <f>AV69-AZ69</f>
        <v/>
      </c>
      <c r="BC69" s="42">
        <f>BG68</f>
        <v/>
      </c>
      <c r="BD69" s="42">
        <f>ROUND(BC69*BD$6/12,2)</f>
        <v/>
      </c>
      <c r="BE69" s="42">
        <f>MIN(BE$6,BC69+BD69)</f>
        <v/>
      </c>
      <c r="BF69" s="42">
        <f>MAX(0,MIN(BC69+BD69-BE69,BB69))</f>
        <v/>
      </c>
      <c r="BG69" s="42">
        <f>ROUND(BC69+BD69-BE69-BF69,2)</f>
        <v/>
      </c>
      <c r="BH69">
        <f>BB69-BF69</f>
        <v/>
      </c>
      <c r="BI69" s="42">
        <f>BM68</f>
        <v/>
      </c>
      <c r="BJ69" s="42">
        <f>ROUND(BI69*BJ$6/12,2)</f>
        <v/>
      </c>
      <c r="BK69" s="42">
        <f>MIN(BK$6,BI69+BJ69)</f>
        <v/>
      </c>
      <c r="BL69" s="42">
        <f>MAX(0,MIN(BI69+BJ69-BK69,BH69))</f>
        <v/>
      </c>
      <c r="BM69" s="42">
        <f>ROUND(BI69+BJ69-BK69-BL69,2)</f>
        <v/>
      </c>
      <c r="BN69">
        <f>BH69-BL69</f>
        <v/>
      </c>
    </row>
    <row r="70">
      <c r="A70" s="39" t="n">
        <v>63</v>
      </c>
      <c r="B70" s="40">
        <f>EDATE('My Debts'!$C$6,A70-1)</f>
        <v/>
      </c>
      <c r="C70" s="41">
        <f>K70+Q70+W70+AC70+AI70+AO70+AU70+BA70+BG70+BM70</f>
        <v/>
      </c>
      <c r="D70" s="42">
        <f>I70+O70+U70+AA70+AG70+AM70+AS70+AY70+BE70+BK70+J70+P70+V70+AB70+AH70+AN70+AT70+AZ70+BF70+BL70</f>
        <v/>
      </c>
      <c r="E70" s="42">
        <f>H70+N70+T70+Z70+AF70+AL70+AR70+AX70+BD70+BJ70</f>
        <v/>
      </c>
      <c r="F70" t="n">
        <v>0</v>
      </c>
      <c r="G70" s="42">
        <f>K69</f>
        <v/>
      </c>
      <c r="H70" s="42">
        <f>ROUND(G70*H$6/12,2)</f>
        <v/>
      </c>
      <c r="I70" s="42">
        <f>MIN(I$6,G70+H70)</f>
        <v/>
      </c>
      <c r="J70" s="42">
        <f>MAX(0,MIN(G70+H70-I70,$F70))</f>
        <v/>
      </c>
      <c r="K70" s="42">
        <f>ROUND(G70+H70-I70-J70,2)</f>
        <v/>
      </c>
      <c r="L70">
        <f>$F70-J70</f>
        <v/>
      </c>
      <c r="M70" s="42">
        <f>Q69</f>
        <v/>
      </c>
      <c r="N70" s="42">
        <f>ROUND(M70*N$6/12,2)</f>
        <v/>
      </c>
      <c r="O70" s="42">
        <f>MIN(O$6,M70+N70)</f>
        <v/>
      </c>
      <c r="P70" s="42">
        <f>MAX(0,MIN(M70+N70-O70,L70))</f>
        <v/>
      </c>
      <c r="Q70" s="42">
        <f>ROUND(M70+N70-O70-P70,2)</f>
        <v/>
      </c>
      <c r="R70">
        <f>L70-P70</f>
        <v/>
      </c>
      <c r="S70" s="42">
        <f>W69</f>
        <v/>
      </c>
      <c r="T70" s="42">
        <f>ROUND(S70*T$6/12,2)</f>
        <v/>
      </c>
      <c r="U70" s="42">
        <f>MIN(U$6,S70+T70)</f>
        <v/>
      </c>
      <c r="V70" s="42">
        <f>MAX(0,MIN(S70+T70-U70,R70))</f>
        <v/>
      </c>
      <c r="W70" s="42">
        <f>ROUND(S70+T70-U70-V70,2)</f>
        <v/>
      </c>
      <c r="X70">
        <f>R70-V70</f>
        <v/>
      </c>
      <c r="Y70" s="42">
        <f>AC69</f>
        <v/>
      </c>
      <c r="Z70" s="42">
        <f>ROUND(Y70*Z$6/12,2)</f>
        <v/>
      </c>
      <c r="AA70" s="42">
        <f>MIN(AA$6,Y70+Z70)</f>
        <v/>
      </c>
      <c r="AB70" s="42">
        <f>MAX(0,MIN(Y70+Z70-AA70,X70))</f>
        <v/>
      </c>
      <c r="AC70" s="42">
        <f>ROUND(Y70+Z70-AA70-AB70,2)</f>
        <v/>
      </c>
      <c r="AD70">
        <f>X70-AB70</f>
        <v/>
      </c>
      <c r="AE70" s="42">
        <f>AI69</f>
        <v/>
      </c>
      <c r="AF70" s="42">
        <f>ROUND(AE70*AF$6/12,2)</f>
        <v/>
      </c>
      <c r="AG70" s="42">
        <f>MIN(AG$6,AE70+AF70)</f>
        <v/>
      </c>
      <c r="AH70" s="42">
        <f>MAX(0,MIN(AE70+AF70-AG70,AD70))</f>
        <v/>
      </c>
      <c r="AI70" s="42">
        <f>ROUND(AE70+AF70-AG70-AH70,2)</f>
        <v/>
      </c>
      <c r="AJ70">
        <f>AD70-AH70</f>
        <v/>
      </c>
      <c r="AK70" s="42">
        <f>AO69</f>
        <v/>
      </c>
      <c r="AL70" s="42">
        <f>ROUND(AK70*AL$6/12,2)</f>
        <v/>
      </c>
      <c r="AM70" s="42">
        <f>MIN(AM$6,AK70+AL70)</f>
        <v/>
      </c>
      <c r="AN70" s="42">
        <f>MAX(0,MIN(AK70+AL70-AM70,AJ70))</f>
        <v/>
      </c>
      <c r="AO70" s="42">
        <f>ROUND(AK70+AL70-AM70-AN70,2)</f>
        <v/>
      </c>
      <c r="AP70">
        <f>AJ70-AN70</f>
        <v/>
      </c>
      <c r="AQ70" s="42">
        <f>AU69</f>
        <v/>
      </c>
      <c r="AR70" s="42">
        <f>ROUND(AQ70*AR$6/12,2)</f>
        <v/>
      </c>
      <c r="AS70" s="42">
        <f>MIN(AS$6,AQ70+AR70)</f>
        <v/>
      </c>
      <c r="AT70" s="42">
        <f>MAX(0,MIN(AQ70+AR70-AS70,AP70))</f>
        <v/>
      </c>
      <c r="AU70" s="42">
        <f>ROUND(AQ70+AR70-AS70-AT70,2)</f>
        <v/>
      </c>
      <c r="AV70">
        <f>AP70-AT70</f>
        <v/>
      </c>
      <c r="AW70" s="42">
        <f>BA69</f>
        <v/>
      </c>
      <c r="AX70" s="42">
        <f>ROUND(AW70*AX$6/12,2)</f>
        <v/>
      </c>
      <c r="AY70" s="42">
        <f>MIN(AY$6,AW70+AX70)</f>
        <v/>
      </c>
      <c r="AZ70" s="42">
        <f>MAX(0,MIN(AW70+AX70-AY70,AV70))</f>
        <v/>
      </c>
      <c r="BA70" s="42">
        <f>ROUND(AW70+AX70-AY70-AZ70,2)</f>
        <v/>
      </c>
      <c r="BB70">
        <f>AV70-AZ70</f>
        <v/>
      </c>
      <c r="BC70" s="42">
        <f>BG69</f>
        <v/>
      </c>
      <c r="BD70" s="42">
        <f>ROUND(BC70*BD$6/12,2)</f>
        <v/>
      </c>
      <c r="BE70" s="42">
        <f>MIN(BE$6,BC70+BD70)</f>
        <v/>
      </c>
      <c r="BF70" s="42">
        <f>MAX(0,MIN(BC70+BD70-BE70,BB70))</f>
        <v/>
      </c>
      <c r="BG70" s="42">
        <f>ROUND(BC70+BD70-BE70-BF70,2)</f>
        <v/>
      </c>
      <c r="BH70">
        <f>BB70-BF70</f>
        <v/>
      </c>
      <c r="BI70" s="42">
        <f>BM69</f>
        <v/>
      </c>
      <c r="BJ70" s="42">
        <f>ROUND(BI70*BJ$6/12,2)</f>
        <v/>
      </c>
      <c r="BK70" s="42">
        <f>MIN(BK$6,BI70+BJ70)</f>
        <v/>
      </c>
      <c r="BL70" s="42">
        <f>MAX(0,MIN(BI70+BJ70-BK70,BH70))</f>
        <v/>
      </c>
      <c r="BM70" s="42">
        <f>ROUND(BI70+BJ70-BK70-BL70,2)</f>
        <v/>
      </c>
      <c r="BN70">
        <f>BH70-BL70</f>
        <v/>
      </c>
    </row>
    <row r="71">
      <c r="A71" s="43" t="n">
        <v>64</v>
      </c>
      <c r="B71" s="44">
        <f>EDATE('My Debts'!$C$6,A71-1)</f>
        <v/>
      </c>
      <c r="C71" s="45">
        <f>K71+Q71+W71+AC71+AI71+AO71+AU71+BA71+BG71+BM71</f>
        <v/>
      </c>
      <c r="D71" s="46">
        <f>I71+O71+U71+AA71+AG71+AM71+AS71+AY71+BE71+BK71+J71+P71+V71+AB71+AH71+AN71+AT71+AZ71+BF71+BL71</f>
        <v/>
      </c>
      <c r="E71" s="46">
        <f>H71+N71+T71+Z71+AF71+AL71+AR71+AX71+BD71+BJ71</f>
        <v/>
      </c>
      <c r="F71" t="n">
        <v>0</v>
      </c>
      <c r="G71" s="42">
        <f>K70</f>
        <v/>
      </c>
      <c r="H71" s="42">
        <f>ROUND(G71*H$6/12,2)</f>
        <v/>
      </c>
      <c r="I71" s="42">
        <f>MIN(I$6,G71+H71)</f>
        <v/>
      </c>
      <c r="J71" s="42">
        <f>MAX(0,MIN(G71+H71-I71,$F71))</f>
        <v/>
      </c>
      <c r="K71" s="42">
        <f>ROUND(G71+H71-I71-J71,2)</f>
        <v/>
      </c>
      <c r="L71">
        <f>$F71-J71</f>
        <v/>
      </c>
      <c r="M71" s="42">
        <f>Q70</f>
        <v/>
      </c>
      <c r="N71" s="42">
        <f>ROUND(M71*N$6/12,2)</f>
        <v/>
      </c>
      <c r="O71" s="42">
        <f>MIN(O$6,M71+N71)</f>
        <v/>
      </c>
      <c r="P71" s="42">
        <f>MAX(0,MIN(M71+N71-O71,L71))</f>
        <v/>
      </c>
      <c r="Q71" s="42">
        <f>ROUND(M71+N71-O71-P71,2)</f>
        <v/>
      </c>
      <c r="R71">
        <f>L71-P71</f>
        <v/>
      </c>
      <c r="S71" s="42">
        <f>W70</f>
        <v/>
      </c>
      <c r="T71" s="42">
        <f>ROUND(S71*T$6/12,2)</f>
        <v/>
      </c>
      <c r="U71" s="42">
        <f>MIN(U$6,S71+T71)</f>
        <v/>
      </c>
      <c r="V71" s="42">
        <f>MAX(0,MIN(S71+T71-U71,R71))</f>
        <v/>
      </c>
      <c r="W71" s="42">
        <f>ROUND(S71+T71-U71-V71,2)</f>
        <v/>
      </c>
      <c r="X71">
        <f>R71-V71</f>
        <v/>
      </c>
      <c r="Y71" s="42">
        <f>AC70</f>
        <v/>
      </c>
      <c r="Z71" s="42">
        <f>ROUND(Y71*Z$6/12,2)</f>
        <v/>
      </c>
      <c r="AA71" s="42">
        <f>MIN(AA$6,Y71+Z71)</f>
        <v/>
      </c>
      <c r="AB71" s="42">
        <f>MAX(0,MIN(Y71+Z71-AA71,X71))</f>
        <v/>
      </c>
      <c r="AC71" s="42">
        <f>ROUND(Y71+Z71-AA71-AB71,2)</f>
        <v/>
      </c>
      <c r="AD71">
        <f>X71-AB71</f>
        <v/>
      </c>
      <c r="AE71" s="42">
        <f>AI70</f>
        <v/>
      </c>
      <c r="AF71" s="42">
        <f>ROUND(AE71*AF$6/12,2)</f>
        <v/>
      </c>
      <c r="AG71" s="42">
        <f>MIN(AG$6,AE71+AF71)</f>
        <v/>
      </c>
      <c r="AH71" s="42">
        <f>MAX(0,MIN(AE71+AF71-AG71,AD71))</f>
        <v/>
      </c>
      <c r="AI71" s="42">
        <f>ROUND(AE71+AF71-AG71-AH71,2)</f>
        <v/>
      </c>
      <c r="AJ71">
        <f>AD71-AH71</f>
        <v/>
      </c>
      <c r="AK71" s="42">
        <f>AO70</f>
        <v/>
      </c>
      <c r="AL71" s="42">
        <f>ROUND(AK71*AL$6/12,2)</f>
        <v/>
      </c>
      <c r="AM71" s="42">
        <f>MIN(AM$6,AK71+AL71)</f>
        <v/>
      </c>
      <c r="AN71" s="42">
        <f>MAX(0,MIN(AK71+AL71-AM71,AJ71))</f>
        <v/>
      </c>
      <c r="AO71" s="42">
        <f>ROUND(AK71+AL71-AM71-AN71,2)</f>
        <v/>
      </c>
      <c r="AP71">
        <f>AJ71-AN71</f>
        <v/>
      </c>
      <c r="AQ71" s="42">
        <f>AU70</f>
        <v/>
      </c>
      <c r="AR71" s="42">
        <f>ROUND(AQ71*AR$6/12,2)</f>
        <v/>
      </c>
      <c r="AS71" s="42">
        <f>MIN(AS$6,AQ71+AR71)</f>
        <v/>
      </c>
      <c r="AT71" s="42">
        <f>MAX(0,MIN(AQ71+AR71-AS71,AP71))</f>
        <v/>
      </c>
      <c r="AU71" s="42">
        <f>ROUND(AQ71+AR71-AS71-AT71,2)</f>
        <v/>
      </c>
      <c r="AV71">
        <f>AP71-AT71</f>
        <v/>
      </c>
      <c r="AW71" s="42">
        <f>BA70</f>
        <v/>
      </c>
      <c r="AX71" s="42">
        <f>ROUND(AW71*AX$6/12,2)</f>
        <v/>
      </c>
      <c r="AY71" s="42">
        <f>MIN(AY$6,AW71+AX71)</f>
        <v/>
      </c>
      <c r="AZ71" s="42">
        <f>MAX(0,MIN(AW71+AX71-AY71,AV71))</f>
        <v/>
      </c>
      <c r="BA71" s="42">
        <f>ROUND(AW71+AX71-AY71-AZ71,2)</f>
        <v/>
      </c>
      <c r="BB71">
        <f>AV71-AZ71</f>
        <v/>
      </c>
      <c r="BC71" s="42">
        <f>BG70</f>
        <v/>
      </c>
      <c r="BD71" s="42">
        <f>ROUND(BC71*BD$6/12,2)</f>
        <v/>
      </c>
      <c r="BE71" s="42">
        <f>MIN(BE$6,BC71+BD71)</f>
        <v/>
      </c>
      <c r="BF71" s="42">
        <f>MAX(0,MIN(BC71+BD71-BE71,BB71))</f>
        <v/>
      </c>
      <c r="BG71" s="42">
        <f>ROUND(BC71+BD71-BE71-BF71,2)</f>
        <v/>
      </c>
      <c r="BH71">
        <f>BB71-BF71</f>
        <v/>
      </c>
      <c r="BI71" s="42">
        <f>BM70</f>
        <v/>
      </c>
      <c r="BJ71" s="42">
        <f>ROUND(BI71*BJ$6/12,2)</f>
        <v/>
      </c>
      <c r="BK71" s="42">
        <f>MIN(BK$6,BI71+BJ71)</f>
        <v/>
      </c>
      <c r="BL71" s="42">
        <f>MAX(0,MIN(BI71+BJ71-BK71,BH71))</f>
        <v/>
      </c>
      <c r="BM71" s="42">
        <f>ROUND(BI71+BJ71-BK71-BL71,2)</f>
        <v/>
      </c>
      <c r="BN71">
        <f>BH71-BL71</f>
        <v/>
      </c>
    </row>
    <row r="72">
      <c r="A72" s="39" t="n">
        <v>65</v>
      </c>
      <c r="B72" s="40">
        <f>EDATE('My Debts'!$C$6,A72-1)</f>
        <v/>
      </c>
      <c r="C72" s="41">
        <f>K72+Q72+W72+AC72+AI72+AO72+AU72+BA72+BG72+BM72</f>
        <v/>
      </c>
      <c r="D72" s="42">
        <f>I72+O72+U72+AA72+AG72+AM72+AS72+AY72+BE72+BK72+J72+P72+V72+AB72+AH72+AN72+AT72+AZ72+BF72+BL72</f>
        <v/>
      </c>
      <c r="E72" s="42">
        <f>H72+N72+T72+Z72+AF72+AL72+AR72+AX72+BD72+BJ72</f>
        <v/>
      </c>
      <c r="F72" t="n">
        <v>0</v>
      </c>
      <c r="G72" s="42">
        <f>K71</f>
        <v/>
      </c>
      <c r="H72" s="42">
        <f>ROUND(G72*H$6/12,2)</f>
        <v/>
      </c>
      <c r="I72" s="42">
        <f>MIN(I$6,G72+H72)</f>
        <v/>
      </c>
      <c r="J72" s="42">
        <f>MAX(0,MIN(G72+H72-I72,$F72))</f>
        <v/>
      </c>
      <c r="K72" s="42">
        <f>ROUND(G72+H72-I72-J72,2)</f>
        <v/>
      </c>
      <c r="L72">
        <f>$F72-J72</f>
        <v/>
      </c>
      <c r="M72" s="42">
        <f>Q71</f>
        <v/>
      </c>
      <c r="N72" s="42">
        <f>ROUND(M72*N$6/12,2)</f>
        <v/>
      </c>
      <c r="O72" s="42">
        <f>MIN(O$6,M72+N72)</f>
        <v/>
      </c>
      <c r="P72" s="42">
        <f>MAX(0,MIN(M72+N72-O72,L72))</f>
        <v/>
      </c>
      <c r="Q72" s="42">
        <f>ROUND(M72+N72-O72-P72,2)</f>
        <v/>
      </c>
      <c r="R72">
        <f>L72-P72</f>
        <v/>
      </c>
      <c r="S72" s="42">
        <f>W71</f>
        <v/>
      </c>
      <c r="T72" s="42">
        <f>ROUND(S72*T$6/12,2)</f>
        <v/>
      </c>
      <c r="U72" s="42">
        <f>MIN(U$6,S72+T72)</f>
        <v/>
      </c>
      <c r="V72" s="42">
        <f>MAX(0,MIN(S72+T72-U72,R72))</f>
        <v/>
      </c>
      <c r="W72" s="42">
        <f>ROUND(S72+T72-U72-V72,2)</f>
        <v/>
      </c>
      <c r="X72">
        <f>R72-V72</f>
        <v/>
      </c>
      <c r="Y72" s="42">
        <f>AC71</f>
        <v/>
      </c>
      <c r="Z72" s="42">
        <f>ROUND(Y72*Z$6/12,2)</f>
        <v/>
      </c>
      <c r="AA72" s="42">
        <f>MIN(AA$6,Y72+Z72)</f>
        <v/>
      </c>
      <c r="AB72" s="42">
        <f>MAX(0,MIN(Y72+Z72-AA72,X72))</f>
        <v/>
      </c>
      <c r="AC72" s="42">
        <f>ROUND(Y72+Z72-AA72-AB72,2)</f>
        <v/>
      </c>
      <c r="AD72">
        <f>X72-AB72</f>
        <v/>
      </c>
      <c r="AE72" s="42">
        <f>AI71</f>
        <v/>
      </c>
      <c r="AF72" s="42">
        <f>ROUND(AE72*AF$6/12,2)</f>
        <v/>
      </c>
      <c r="AG72" s="42">
        <f>MIN(AG$6,AE72+AF72)</f>
        <v/>
      </c>
      <c r="AH72" s="42">
        <f>MAX(0,MIN(AE72+AF72-AG72,AD72))</f>
        <v/>
      </c>
      <c r="AI72" s="42">
        <f>ROUND(AE72+AF72-AG72-AH72,2)</f>
        <v/>
      </c>
      <c r="AJ72">
        <f>AD72-AH72</f>
        <v/>
      </c>
      <c r="AK72" s="42">
        <f>AO71</f>
        <v/>
      </c>
      <c r="AL72" s="42">
        <f>ROUND(AK72*AL$6/12,2)</f>
        <v/>
      </c>
      <c r="AM72" s="42">
        <f>MIN(AM$6,AK72+AL72)</f>
        <v/>
      </c>
      <c r="AN72" s="42">
        <f>MAX(0,MIN(AK72+AL72-AM72,AJ72))</f>
        <v/>
      </c>
      <c r="AO72" s="42">
        <f>ROUND(AK72+AL72-AM72-AN72,2)</f>
        <v/>
      </c>
      <c r="AP72">
        <f>AJ72-AN72</f>
        <v/>
      </c>
      <c r="AQ72" s="42">
        <f>AU71</f>
        <v/>
      </c>
      <c r="AR72" s="42">
        <f>ROUND(AQ72*AR$6/12,2)</f>
        <v/>
      </c>
      <c r="AS72" s="42">
        <f>MIN(AS$6,AQ72+AR72)</f>
        <v/>
      </c>
      <c r="AT72" s="42">
        <f>MAX(0,MIN(AQ72+AR72-AS72,AP72))</f>
        <v/>
      </c>
      <c r="AU72" s="42">
        <f>ROUND(AQ72+AR72-AS72-AT72,2)</f>
        <v/>
      </c>
      <c r="AV72">
        <f>AP72-AT72</f>
        <v/>
      </c>
      <c r="AW72" s="42">
        <f>BA71</f>
        <v/>
      </c>
      <c r="AX72" s="42">
        <f>ROUND(AW72*AX$6/12,2)</f>
        <v/>
      </c>
      <c r="AY72" s="42">
        <f>MIN(AY$6,AW72+AX72)</f>
        <v/>
      </c>
      <c r="AZ72" s="42">
        <f>MAX(0,MIN(AW72+AX72-AY72,AV72))</f>
        <v/>
      </c>
      <c r="BA72" s="42">
        <f>ROUND(AW72+AX72-AY72-AZ72,2)</f>
        <v/>
      </c>
      <c r="BB72">
        <f>AV72-AZ72</f>
        <v/>
      </c>
      <c r="BC72" s="42">
        <f>BG71</f>
        <v/>
      </c>
      <c r="BD72" s="42">
        <f>ROUND(BC72*BD$6/12,2)</f>
        <v/>
      </c>
      <c r="BE72" s="42">
        <f>MIN(BE$6,BC72+BD72)</f>
        <v/>
      </c>
      <c r="BF72" s="42">
        <f>MAX(0,MIN(BC72+BD72-BE72,BB72))</f>
        <v/>
      </c>
      <c r="BG72" s="42">
        <f>ROUND(BC72+BD72-BE72-BF72,2)</f>
        <v/>
      </c>
      <c r="BH72">
        <f>BB72-BF72</f>
        <v/>
      </c>
      <c r="BI72" s="42">
        <f>BM71</f>
        <v/>
      </c>
      <c r="BJ72" s="42">
        <f>ROUND(BI72*BJ$6/12,2)</f>
        <v/>
      </c>
      <c r="BK72" s="42">
        <f>MIN(BK$6,BI72+BJ72)</f>
        <v/>
      </c>
      <c r="BL72" s="42">
        <f>MAX(0,MIN(BI72+BJ72-BK72,BH72))</f>
        <v/>
      </c>
      <c r="BM72" s="42">
        <f>ROUND(BI72+BJ72-BK72-BL72,2)</f>
        <v/>
      </c>
      <c r="BN72">
        <f>BH72-BL72</f>
        <v/>
      </c>
    </row>
    <row r="73">
      <c r="A73" s="43" t="n">
        <v>66</v>
      </c>
      <c r="B73" s="44">
        <f>EDATE('My Debts'!$C$6,A73-1)</f>
        <v/>
      </c>
      <c r="C73" s="45">
        <f>K73+Q73+W73+AC73+AI73+AO73+AU73+BA73+BG73+BM73</f>
        <v/>
      </c>
      <c r="D73" s="46">
        <f>I73+O73+U73+AA73+AG73+AM73+AS73+AY73+BE73+BK73+J73+P73+V73+AB73+AH73+AN73+AT73+AZ73+BF73+BL73</f>
        <v/>
      </c>
      <c r="E73" s="46">
        <f>H73+N73+T73+Z73+AF73+AL73+AR73+AX73+BD73+BJ73</f>
        <v/>
      </c>
      <c r="F73" t="n">
        <v>0</v>
      </c>
      <c r="G73" s="42">
        <f>K72</f>
        <v/>
      </c>
      <c r="H73" s="42">
        <f>ROUND(G73*H$6/12,2)</f>
        <v/>
      </c>
      <c r="I73" s="42">
        <f>MIN(I$6,G73+H73)</f>
        <v/>
      </c>
      <c r="J73" s="42">
        <f>MAX(0,MIN(G73+H73-I73,$F73))</f>
        <v/>
      </c>
      <c r="K73" s="42">
        <f>ROUND(G73+H73-I73-J73,2)</f>
        <v/>
      </c>
      <c r="L73">
        <f>$F73-J73</f>
        <v/>
      </c>
      <c r="M73" s="42">
        <f>Q72</f>
        <v/>
      </c>
      <c r="N73" s="42">
        <f>ROUND(M73*N$6/12,2)</f>
        <v/>
      </c>
      <c r="O73" s="42">
        <f>MIN(O$6,M73+N73)</f>
        <v/>
      </c>
      <c r="P73" s="42">
        <f>MAX(0,MIN(M73+N73-O73,L73))</f>
        <v/>
      </c>
      <c r="Q73" s="42">
        <f>ROUND(M73+N73-O73-P73,2)</f>
        <v/>
      </c>
      <c r="R73">
        <f>L73-P73</f>
        <v/>
      </c>
      <c r="S73" s="42">
        <f>W72</f>
        <v/>
      </c>
      <c r="T73" s="42">
        <f>ROUND(S73*T$6/12,2)</f>
        <v/>
      </c>
      <c r="U73" s="42">
        <f>MIN(U$6,S73+T73)</f>
        <v/>
      </c>
      <c r="V73" s="42">
        <f>MAX(0,MIN(S73+T73-U73,R73))</f>
        <v/>
      </c>
      <c r="W73" s="42">
        <f>ROUND(S73+T73-U73-V73,2)</f>
        <v/>
      </c>
      <c r="X73">
        <f>R73-V73</f>
        <v/>
      </c>
      <c r="Y73" s="42">
        <f>AC72</f>
        <v/>
      </c>
      <c r="Z73" s="42">
        <f>ROUND(Y73*Z$6/12,2)</f>
        <v/>
      </c>
      <c r="AA73" s="42">
        <f>MIN(AA$6,Y73+Z73)</f>
        <v/>
      </c>
      <c r="AB73" s="42">
        <f>MAX(0,MIN(Y73+Z73-AA73,X73))</f>
        <v/>
      </c>
      <c r="AC73" s="42">
        <f>ROUND(Y73+Z73-AA73-AB73,2)</f>
        <v/>
      </c>
      <c r="AD73">
        <f>X73-AB73</f>
        <v/>
      </c>
      <c r="AE73" s="42">
        <f>AI72</f>
        <v/>
      </c>
      <c r="AF73" s="42">
        <f>ROUND(AE73*AF$6/12,2)</f>
        <v/>
      </c>
      <c r="AG73" s="42">
        <f>MIN(AG$6,AE73+AF73)</f>
        <v/>
      </c>
      <c r="AH73" s="42">
        <f>MAX(0,MIN(AE73+AF73-AG73,AD73))</f>
        <v/>
      </c>
      <c r="AI73" s="42">
        <f>ROUND(AE73+AF73-AG73-AH73,2)</f>
        <v/>
      </c>
      <c r="AJ73">
        <f>AD73-AH73</f>
        <v/>
      </c>
      <c r="AK73" s="42">
        <f>AO72</f>
        <v/>
      </c>
      <c r="AL73" s="42">
        <f>ROUND(AK73*AL$6/12,2)</f>
        <v/>
      </c>
      <c r="AM73" s="42">
        <f>MIN(AM$6,AK73+AL73)</f>
        <v/>
      </c>
      <c r="AN73" s="42">
        <f>MAX(0,MIN(AK73+AL73-AM73,AJ73))</f>
        <v/>
      </c>
      <c r="AO73" s="42">
        <f>ROUND(AK73+AL73-AM73-AN73,2)</f>
        <v/>
      </c>
      <c r="AP73">
        <f>AJ73-AN73</f>
        <v/>
      </c>
      <c r="AQ73" s="42">
        <f>AU72</f>
        <v/>
      </c>
      <c r="AR73" s="42">
        <f>ROUND(AQ73*AR$6/12,2)</f>
        <v/>
      </c>
      <c r="AS73" s="42">
        <f>MIN(AS$6,AQ73+AR73)</f>
        <v/>
      </c>
      <c r="AT73" s="42">
        <f>MAX(0,MIN(AQ73+AR73-AS73,AP73))</f>
        <v/>
      </c>
      <c r="AU73" s="42">
        <f>ROUND(AQ73+AR73-AS73-AT73,2)</f>
        <v/>
      </c>
      <c r="AV73">
        <f>AP73-AT73</f>
        <v/>
      </c>
      <c r="AW73" s="42">
        <f>BA72</f>
        <v/>
      </c>
      <c r="AX73" s="42">
        <f>ROUND(AW73*AX$6/12,2)</f>
        <v/>
      </c>
      <c r="AY73" s="42">
        <f>MIN(AY$6,AW73+AX73)</f>
        <v/>
      </c>
      <c r="AZ73" s="42">
        <f>MAX(0,MIN(AW73+AX73-AY73,AV73))</f>
        <v/>
      </c>
      <c r="BA73" s="42">
        <f>ROUND(AW73+AX73-AY73-AZ73,2)</f>
        <v/>
      </c>
      <c r="BB73">
        <f>AV73-AZ73</f>
        <v/>
      </c>
      <c r="BC73" s="42">
        <f>BG72</f>
        <v/>
      </c>
      <c r="BD73" s="42">
        <f>ROUND(BC73*BD$6/12,2)</f>
        <v/>
      </c>
      <c r="BE73" s="42">
        <f>MIN(BE$6,BC73+BD73)</f>
        <v/>
      </c>
      <c r="BF73" s="42">
        <f>MAX(0,MIN(BC73+BD73-BE73,BB73))</f>
        <v/>
      </c>
      <c r="BG73" s="42">
        <f>ROUND(BC73+BD73-BE73-BF73,2)</f>
        <v/>
      </c>
      <c r="BH73">
        <f>BB73-BF73</f>
        <v/>
      </c>
      <c r="BI73" s="42">
        <f>BM72</f>
        <v/>
      </c>
      <c r="BJ73" s="42">
        <f>ROUND(BI73*BJ$6/12,2)</f>
        <v/>
      </c>
      <c r="BK73" s="42">
        <f>MIN(BK$6,BI73+BJ73)</f>
        <v/>
      </c>
      <c r="BL73" s="42">
        <f>MAX(0,MIN(BI73+BJ73-BK73,BH73))</f>
        <v/>
      </c>
      <c r="BM73" s="42">
        <f>ROUND(BI73+BJ73-BK73-BL73,2)</f>
        <v/>
      </c>
      <c r="BN73">
        <f>BH73-BL73</f>
        <v/>
      </c>
    </row>
    <row r="74">
      <c r="A74" s="39" t="n">
        <v>67</v>
      </c>
      <c r="B74" s="40">
        <f>EDATE('My Debts'!$C$6,A74-1)</f>
        <v/>
      </c>
      <c r="C74" s="41">
        <f>K74+Q74+W74+AC74+AI74+AO74+AU74+BA74+BG74+BM74</f>
        <v/>
      </c>
      <c r="D74" s="42">
        <f>I74+O74+U74+AA74+AG74+AM74+AS74+AY74+BE74+BK74+J74+P74+V74+AB74+AH74+AN74+AT74+AZ74+BF74+BL74</f>
        <v/>
      </c>
      <c r="E74" s="42">
        <f>H74+N74+T74+Z74+AF74+AL74+AR74+AX74+BD74+BJ74</f>
        <v/>
      </c>
      <c r="F74" t="n">
        <v>0</v>
      </c>
      <c r="G74" s="42">
        <f>K73</f>
        <v/>
      </c>
      <c r="H74" s="42">
        <f>ROUND(G74*H$6/12,2)</f>
        <v/>
      </c>
      <c r="I74" s="42">
        <f>MIN(I$6,G74+H74)</f>
        <v/>
      </c>
      <c r="J74" s="42">
        <f>MAX(0,MIN(G74+H74-I74,$F74))</f>
        <v/>
      </c>
      <c r="K74" s="42">
        <f>ROUND(G74+H74-I74-J74,2)</f>
        <v/>
      </c>
      <c r="L74">
        <f>$F74-J74</f>
        <v/>
      </c>
      <c r="M74" s="42">
        <f>Q73</f>
        <v/>
      </c>
      <c r="N74" s="42">
        <f>ROUND(M74*N$6/12,2)</f>
        <v/>
      </c>
      <c r="O74" s="42">
        <f>MIN(O$6,M74+N74)</f>
        <v/>
      </c>
      <c r="P74" s="42">
        <f>MAX(0,MIN(M74+N74-O74,L74))</f>
        <v/>
      </c>
      <c r="Q74" s="42">
        <f>ROUND(M74+N74-O74-P74,2)</f>
        <v/>
      </c>
      <c r="R74">
        <f>L74-P74</f>
        <v/>
      </c>
      <c r="S74" s="42">
        <f>W73</f>
        <v/>
      </c>
      <c r="T74" s="42">
        <f>ROUND(S74*T$6/12,2)</f>
        <v/>
      </c>
      <c r="U74" s="42">
        <f>MIN(U$6,S74+T74)</f>
        <v/>
      </c>
      <c r="V74" s="42">
        <f>MAX(0,MIN(S74+T74-U74,R74))</f>
        <v/>
      </c>
      <c r="W74" s="42">
        <f>ROUND(S74+T74-U74-V74,2)</f>
        <v/>
      </c>
      <c r="X74">
        <f>R74-V74</f>
        <v/>
      </c>
      <c r="Y74" s="42">
        <f>AC73</f>
        <v/>
      </c>
      <c r="Z74" s="42">
        <f>ROUND(Y74*Z$6/12,2)</f>
        <v/>
      </c>
      <c r="AA74" s="42">
        <f>MIN(AA$6,Y74+Z74)</f>
        <v/>
      </c>
      <c r="AB74" s="42">
        <f>MAX(0,MIN(Y74+Z74-AA74,X74))</f>
        <v/>
      </c>
      <c r="AC74" s="42">
        <f>ROUND(Y74+Z74-AA74-AB74,2)</f>
        <v/>
      </c>
      <c r="AD74">
        <f>X74-AB74</f>
        <v/>
      </c>
      <c r="AE74" s="42">
        <f>AI73</f>
        <v/>
      </c>
      <c r="AF74" s="42">
        <f>ROUND(AE74*AF$6/12,2)</f>
        <v/>
      </c>
      <c r="AG74" s="42">
        <f>MIN(AG$6,AE74+AF74)</f>
        <v/>
      </c>
      <c r="AH74" s="42">
        <f>MAX(0,MIN(AE74+AF74-AG74,AD74))</f>
        <v/>
      </c>
      <c r="AI74" s="42">
        <f>ROUND(AE74+AF74-AG74-AH74,2)</f>
        <v/>
      </c>
      <c r="AJ74">
        <f>AD74-AH74</f>
        <v/>
      </c>
      <c r="AK74" s="42">
        <f>AO73</f>
        <v/>
      </c>
      <c r="AL74" s="42">
        <f>ROUND(AK74*AL$6/12,2)</f>
        <v/>
      </c>
      <c r="AM74" s="42">
        <f>MIN(AM$6,AK74+AL74)</f>
        <v/>
      </c>
      <c r="AN74" s="42">
        <f>MAX(0,MIN(AK74+AL74-AM74,AJ74))</f>
        <v/>
      </c>
      <c r="AO74" s="42">
        <f>ROUND(AK74+AL74-AM74-AN74,2)</f>
        <v/>
      </c>
      <c r="AP74">
        <f>AJ74-AN74</f>
        <v/>
      </c>
      <c r="AQ74" s="42">
        <f>AU73</f>
        <v/>
      </c>
      <c r="AR74" s="42">
        <f>ROUND(AQ74*AR$6/12,2)</f>
        <v/>
      </c>
      <c r="AS74" s="42">
        <f>MIN(AS$6,AQ74+AR74)</f>
        <v/>
      </c>
      <c r="AT74" s="42">
        <f>MAX(0,MIN(AQ74+AR74-AS74,AP74))</f>
        <v/>
      </c>
      <c r="AU74" s="42">
        <f>ROUND(AQ74+AR74-AS74-AT74,2)</f>
        <v/>
      </c>
      <c r="AV74">
        <f>AP74-AT74</f>
        <v/>
      </c>
      <c r="AW74" s="42">
        <f>BA73</f>
        <v/>
      </c>
      <c r="AX74" s="42">
        <f>ROUND(AW74*AX$6/12,2)</f>
        <v/>
      </c>
      <c r="AY74" s="42">
        <f>MIN(AY$6,AW74+AX74)</f>
        <v/>
      </c>
      <c r="AZ74" s="42">
        <f>MAX(0,MIN(AW74+AX74-AY74,AV74))</f>
        <v/>
      </c>
      <c r="BA74" s="42">
        <f>ROUND(AW74+AX74-AY74-AZ74,2)</f>
        <v/>
      </c>
      <c r="BB74">
        <f>AV74-AZ74</f>
        <v/>
      </c>
      <c r="BC74" s="42">
        <f>BG73</f>
        <v/>
      </c>
      <c r="BD74" s="42">
        <f>ROUND(BC74*BD$6/12,2)</f>
        <v/>
      </c>
      <c r="BE74" s="42">
        <f>MIN(BE$6,BC74+BD74)</f>
        <v/>
      </c>
      <c r="BF74" s="42">
        <f>MAX(0,MIN(BC74+BD74-BE74,BB74))</f>
        <v/>
      </c>
      <c r="BG74" s="42">
        <f>ROUND(BC74+BD74-BE74-BF74,2)</f>
        <v/>
      </c>
      <c r="BH74">
        <f>BB74-BF74</f>
        <v/>
      </c>
      <c r="BI74" s="42">
        <f>BM73</f>
        <v/>
      </c>
      <c r="BJ74" s="42">
        <f>ROUND(BI74*BJ$6/12,2)</f>
        <v/>
      </c>
      <c r="BK74" s="42">
        <f>MIN(BK$6,BI74+BJ74)</f>
        <v/>
      </c>
      <c r="BL74" s="42">
        <f>MAX(0,MIN(BI74+BJ74-BK74,BH74))</f>
        <v/>
      </c>
      <c r="BM74" s="42">
        <f>ROUND(BI74+BJ74-BK74-BL74,2)</f>
        <v/>
      </c>
      <c r="BN74">
        <f>BH74-BL74</f>
        <v/>
      </c>
    </row>
    <row r="75">
      <c r="A75" s="43" t="n">
        <v>68</v>
      </c>
      <c r="B75" s="44">
        <f>EDATE('My Debts'!$C$6,A75-1)</f>
        <v/>
      </c>
      <c r="C75" s="45">
        <f>K75+Q75+W75+AC75+AI75+AO75+AU75+BA75+BG75+BM75</f>
        <v/>
      </c>
      <c r="D75" s="46">
        <f>I75+O75+U75+AA75+AG75+AM75+AS75+AY75+BE75+BK75+J75+P75+V75+AB75+AH75+AN75+AT75+AZ75+BF75+BL75</f>
        <v/>
      </c>
      <c r="E75" s="46">
        <f>H75+N75+T75+Z75+AF75+AL75+AR75+AX75+BD75+BJ75</f>
        <v/>
      </c>
      <c r="F75" t="n">
        <v>0</v>
      </c>
      <c r="G75" s="42">
        <f>K74</f>
        <v/>
      </c>
      <c r="H75" s="42">
        <f>ROUND(G75*H$6/12,2)</f>
        <v/>
      </c>
      <c r="I75" s="42">
        <f>MIN(I$6,G75+H75)</f>
        <v/>
      </c>
      <c r="J75" s="42">
        <f>MAX(0,MIN(G75+H75-I75,$F75))</f>
        <v/>
      </c>
      <c r="K75" s="42">
        <f>ROUND(G75+H75-I75-J75,2)</f>
        <v/>
      </c>
      <c r="L75">
        <f>$F75-J75</f>
        <v/>
      </c>
      <c r="M75" s="42">
        <f>Q74</f>
        <v/>
      </c>
      <c r="N75" s="42">
        <f>ROUND(M75*N$6/12,2)</f>
        <v/>
      </c>
      <c r="O75" s="42">
        <f>MIN(O$6,M75+N75)</f>
        <v/>
      </c>
      <c r="P75" s="42">
        <f>MAX(0,MIN(M75+N75-O75,L75))</f>
        <v/>
      </c>
      <c r="Q75" s="42">
        <f>ROUND(M75+N75-O75-P75,2)</f>
        <v/>
      </c>
      <c r="R75">
        <f>L75-P75</f>
        <v/>
      </c>
      <c r="S75" s="42">
        <f>W74</f>
        <v/>
      </c>
      <c r="T75" s="42">
        <f>ROUND(S75*T$6/12,2)</f>
        <v/>
      </c>
      <c r="U75" s="42">
        <f>MIN(U$6,S75+T75)</f>
        <v/>
      </c>
      <c r="V75" s="42">
        <f>MAX(0,MIN(S75+T75-U75,R75))</f>
        <v/>
      </c>
      <c r="W75" s="42">
        <f>ROUND(S75+T75-U75-V75,2)</f>
        <v/>
      </c>
      <c r="X75">
        <f>R75-V75</f>
        <v/>
      </c>
      <c r="Y75" s="42">
        <f>AC74</f>
        <v/>
      </c>
      <c r="Z75" s="42">
        <f>ROUND(Y75*Z$6/12,2)</f>
        <v/>
      </c>
      <c r="AA75" s="42">
        <f>MIN(AA$6,Y75+Z75)</f>
        <v/>
      </c>
      <c r="AB75" s="42">
        <f>MAX(0,MIN(Y75+Z75-AA75,X75))</f>
        <v/>
      </c>
      <c r="AC75" s="42">
        <f>ROUND(Y75+Z75-AA75-AB75,2)</f>
        <v/>
      </c>
      <c r="AD75">
        <f>X75-AB75</f>
        <v/>
      </c>
      <c r="AE75" s="42">
        <f>AI74</f>
        <v/>
      </c>
      <c r="AF75" s="42">
        <f>ROUND(AE75*AF$6/12,2)</f>
        <v/>
      </c>
      <c r="AG75" s="42">
        <f>MIN(AG$6,AE75+AF75)</f>
        <v/>
      </c>
      <c r="AH75" s="42">
        <f>MAX(0,MIN(AE75+AF75-AG75,AD75))</f>
        <v/>
      </c>
      <c r="AI75" s="42">
        <f>ROUND(AE75+AF75-AG75-AH75,2)</f>
        <v/>
      </c>
      <c r="AJ75">
        <f>AD75-AH75</f>
        <v/>
      </c>
      <c r="AK75" s="42">
        <f>AO74</f>
        <v/>
      </c>
      <c r="AL75" s="42">
        <f>ROUND(AK75*AL$6/12,2)</f>
        <v/>
      </c>
      <c r="AM75" s="42">
        <f>MIN(AM$6,AK75+AL75)</f>
        <v/>
      </c>
      <c r="AN75" s="42">
        <f>MAX(0,MIN(AK75+AL75-AM75,AJ75))</f>
        <v/>
      </c>
      <c r="AO75" s="42">
        <f>ROUND(AK75+AL75-AM75-AN75,2)</f>
        <v/>
      </c>
      <c r="AP75">
        <f>AJ75-AN75</f>
        <v/>
      </c>
      <c r="AQ75" s="42">
        <f>AU74</f>
        <v/>
      </c>
      <c r="AR75" s="42">
        <f>ROUND(AQ75*AR$6/12,2)</f>
        <v/>
      </c>
      <c r="AS75" s="42">
        <f>MIN(AS$6,AQ75+AR75)</f>
        <v/>
      </c>
      <c r="AT75" s="42">
        <f>MAX(0,MIN(AQ75+AR75-AS75,AP75))</f>
        <v/>
      </c>
      <c r="AU75" s="42">
        <f>ROUND(AQ75+AR75-AS75-AT75,2)</f>
        <v/>
      </c>
      <c r="AV75">
        <f>AP75-AT75</f>
        <v/>
      </c>
      <c r="AW75" s="42">
        <f>BA74</f>
        <v/>
      </c>
      <c r="AX75" s="42">
        <f>ROUND(AW75*AX$6/12,2)</f>
        <v/>
      </c>
      <c r="AY75" s="42">
        <f>MIN(AY$6,AW75+AX75)</f>
        <v/>
      </c>
      <c r="AZ75" s="42">
        <f>MAX(0,MIN(AW75+AX75-AY75,AV75))</f>
        <v/>
      </c>
      <c r="BA75" s="42">
        <f>ROUND(AW75+AX75-AY75-AZ75,2)</f>
        <v/>
      </c>
      <c r="BB75">
        <f>AV75-AZ75</f>
        <v/>
      </c>
      <c r="BC75" s="42">
        <f>BG74</f>
        <v/>
      </c>
      <c r="BD75" s="42">
        <f>ROUND(BC75*BD$6/12,2)</f>
        <v/>
      </c>
      <c r="BE75" s="42">
        <f>MIN(BE$6,BC75+BD75)</f>
        <v/>
      </c>
      <c r="BF75" s="42">
        <f>MAX(0,MIN(BC75+BD75-BE75,BB75))</f>
        <v/>
      </c>
      <c r="BG75" s="42">
        <f>ROUND(BC75+BD75-BE75-BF75,2)</f>
        <v/>
      </c>
      <c r="BH75">
        <f>BB75-BF75</f>
        <v/>
      </c>
      <c r="BI75" s="42">
        <f>BM74</f>
        <v/>
      </c>
      <c r="BJ75" s="42">
        <f>ROUND(BI75*BJ$6/12,2)</f>
        <v/>
      </c>
      <c r="BK75" s="42">
        <f>MIN(BK$6,BI75+BJ75)</f>
        <v/>
      </c>
      <c r="BL75" s="42">
        <f>MAX(0,MIN(BI75+BJ75-BK75,BH75))</f>
        <v/>
      </c>
      <c r="BM75" s="42">
        <f>ROUND(BI75+BJ75-BK75-BL75,2)</f>
        <v/>
      </c>
      <c r="BN75">
        <f>BH75-BL75</f>
        <v/>
      </c>
    </row>
    <row r="76">
      <c r="A76" s="39" t="n">
        <v>69</v>
      </c>
      <c r="B76" s="40">
        <f>EDATE('My Debts'!$C$6,A76-1)</f>
        <v/>
      </c>
      <c r="C76" s="41">
        <f>K76+Q76+W76+AC76+AI76+AO76+AU76+BA76+BG76+BM76</f>
        <v/>
      </c>
      <c r="D76" s="42">
        <f>I76+O76+U76+AA76+AG76+AM76+AS76+AY76+BE76+BK76+J76+P76+V76+AB76+AH76+AN76+AT76+AZ76+BF76+BL76</f>
        <v/>
      </c>
      <c r="E76" s="42">
        <f>H76+N76+T76+Z76+AF76+AL76+AR76+AX76+BD76+BJ76</f>
        <v/>
      </c>
      <c r="F76" t="n">
        <v>0</v>
      </c>
      <c r="G76" s="42">
        <f>K75</f>
        <v/>
      </c>
      <c r="H76" s="42">
        <f>ROUND(G76*H$6/12,2)</f>
        <v/>
      </c>
      <c r="I76" s="42">
        <f>MIN(I$6,G76+H76)</f>
        <v/>
      </c>
      <c r="J76" s="42">
        <f>MAX(0,MIN(G76+H76-I76,$F76))</f>
        <v/>
      </c>
      <c r="K76" s="42">
        <f>ROUND(G76+H76-I76-J76,2)</f>
        <v/>
      </c>
      <c r="L76">
        <f>$F76-J76</f>
        <v/>
      </c>
      <c r="M76" s="42">
        <f>Q75</f>
        <v/>
      </c>
      <c r="N76" s="42">
        <f>ROUND(M76*N$6/12,2)</f>
        <v/>
      </c>
      <c r="O76" s="42">
        <f>MIN(O$6,M76+N76)</f>
        <v/>
      </c>
      <c r="P76" s="42">
        <f>MAX(0,MIN(M76+N76-O76,L76))</f>
        <v/>
      </c>
      <c r="Q76" s="42">
        <f>ROUND(M76+N76-O76-P76,2)</f>
        <v/>
      </c>
      <c r="R76">
        <f>L76-P76</f>
        <v/>
      </c>
      <c r="S76" s="42">
        <f>W75</f>
        <v/>
      </c>
      <c r="T76" s="42">
        <f>ROUND(S76*T$6/12,2)</f>
        <v/>
      </c>
      <c r="U76" s="42">
        <f>MIN(U$6,S76+T76)</f>
        <v/>
      </c>
      <c r="V76" s="42">
        <f>MAX(0,MIN(S76+T76-U76,R76))</f>
        <v/>
      </c>
      <c r="W76" s="42">
        <f>ROUND(S76+T76-U76-V76,2)</f>
        <v/>
      </c>
      <c r="X76">
        <f>R76-V76</f>
        <v/>
      </c>
      <c r="Y76" s="42">
        <f>AC75</f>
        <v/>
      </c>
      <c r="Z76" s="42">
        <f>ROUND(Y76*Z$6/12,2)</f>
        <v/>
      </c>
      <c r="AA76" s="42">
        <f>MIN(AA$6,Y76+Z76)</f>
        <v/>
      </c>
      <c r="AB76" s="42">
        <f>MAX(0,MIN(Y76+Z76-AA76,X76))</f>
        <v/>
      </c>
      <c r="AC76" s="42">
        <f>ROUND(Y76+Z76-AA76-AB76,2)</f>
        <v/>
      </c>
      <c r="AD76">
        <f>X76-AB76</f>
        <v/>
      </c>
      <c r="AE76" s="42">
        <f>AI75</f>
        <v/>
      </c>
      <c r="AF76" s="42">
        <f>ROUND(AE76*AF$6/12,2)</f>
        <v/>
      </c>
      <c r="AG76" s="42">
        <f>MIN(AG$6,AE76+AF76)</f>
        <v/>
      </c>
      <c r="AH76" s="42">
        <f>MAX(0,MIN(AE76+AF76-AG76,AD76))</f>
        <v/>
      </c>
      <c r="AI76" s="42">
        <f>ROUND(AE76+AF76-AG76-AH76,2)</f>
        <v/>
      </c>
      <c r="AJ76">
        <f>AD76-AH76</f>
        <v/>
      </c>
      <c r="AK76" s="42">
        <f>AO75</f>
        <v/>
      </c>
      <c r="AL76" s="42">
        <f>ROUND(AK76*AL$6/12,2)</f>
        <v/>
      </c>
      <c r="AM76" s="42">
        <f>MIN(AM$6,AK76+AL76)</f>
        <v/>
      </c>
      <c r="AN76" s="42">
        <f>MAX(0,MIN(AK76+AL76-AM76,AJ76))</f>
        <v/>
      </c>
      <c r="AO76" s="42">
        <f>ROUND(AK76+AL76-AM76-AN76,2)</f>
        <v/>
      </c>
      <c r="AP76">
        <f>AJ76-AN76</f>
        <v/>
      </c>
      <c r="AQ76" s="42">
        <f>AU75</f>
        <v/>
      </c>
      <c r="AR76" s="42">
        <f>ROUND(AQ76*AR$6/12,2)</f>
        <v/>
      </c>
      <c r="AS76" s="42">
        <f>MIN(AS$6,AQ76+AR76)</f>
        <v/>
      </c>
      <c r="AT76" s="42">
        <f>MAX(0,MIN(AQ76+AR76-AS76,AP76))</f>
        <v/>
      </c>
      <c r="AU76" s="42">
        <f>ROUND(AQ76+AR76-AS76-AT76,2)</f>
        <v/>
      </c>
      <c r="AV76">
        <f>AP76-AT76</f>
        <v/>
      </c>
      <c r="AW76" s="42">
        <f>BA75</f>
        <v/>
      </c>
      <c r="AX76" s="42">
        <f>ROUND(AW76*AX$6/12,2)</f>
        <v/>
      </c>
      <c r="AY76" s="42">
        <f>MIN(AY$6,AW76+AX76)</f>
        <v/>
      </c>
      <c r="AZ76" s="42">
        <f>MAX(0,MIN(AW76+AX76-AY76,AV76))</f>
        <v/>
      </c>
      <c r="BA76" s="42">
        <f>ROUND(AW76+AX76-AY76-AZ76,2)</f>
        <v/>
      </c>
      <c r="BB76">
        <f>AV76-AZ76</f>
        <v/>
      </c>
      <c r="BC76" s="42">
        <f>BG75</f>
        <v/>
      </c>
      <c r="BD76" s="42">
        <f>ROUND(BC76*BD$6/12,2)</f>
        <v/>
      </c>
      <c r="BE76" s="42">
        <f>MIN(BE$6,BC76+BD76)</f>
        <v/>
      </c>
      <c r="BF76" s="42">
        <f>MAX(0,MIN(BC76+BD76-BE76,BB76))</f>
        <v/>
      </c>
      <c r="BG76" s="42">
        <f>ROUND(BC76+BD76-BE76-BF76,2)</f>
        <v/>
      </c>
      <c r="BH76">
        <f>BB76-BF76</f>
        <v/>
      </c>
      <c r="BI76" s="42">
        <f>BM75</f>
        <v/>
      </c>
      <c r="BJ76" s="42">
        <f>ROUND(BI76*BJ$6/12,2)</f>
        <v/>
      </c>
      <c r="BK76" s="42">
        <f>MIN(BK$6,BI76+BJ76)</f>
        <v/>
      </c>
      <c r="BL76" s="42">
        <f>MAX(0,MIN(BI76+BJ76-BK76,BH76))</f>
        <v/>
      </c>
      <c r="BM76" s="42">
        <f>ROUND(BI76+BJ76-BK76-BL76,2)</f>
        <v/>
      </c>
      <c r="BN76">
        <f>BH76-BL76</f>
        <v/>
      </c>
    </row>
    <row r="77">
      <c r="A77" s="43" t="n">
        <v>70</v>
      </c>
      <c r="B77" s="44">
        <f>EDATE('My Debts'!$C$6,A77-1)</f>
        <v/>
      </c>
      <c r="C77" s="45">
        <f>K77+Q77+W77+AC77+AI77+AO77+AU77+BA77+BG77+BM77</f>
        <v/>
      </c>
      <c r="D77" s="46">
        <f>I77+O77+U77+AA77+AG77+AM77+AS77+AY77+BE77+BK77+J77+P77+V77+AB77+AH77+AN77+AT77+AZ77+BF77+BL77</f>
        <v/>
      </c>
      <c r="E77" s="46">
        <f>H77+N77+T77+Z77+AF77+AL77+AR77+AX77+BD77+BJ77</f>
        <v/>
      </c>
      <c r="F77" t="n">
        <v>0</v>
      </c>
      <c r="G77" s="42">
        <f>K76</f>
        <v/>
      </c>
      <c r="H77" s="42">
        <f>ROUND(G77*H$6/12,2)</f>
        <v/>
      </c>
      <c r="I77" s="42">
        <f>MIN(I$6,G77+H77)</f>
        <v/>
      </c>
      <c r="J77" s="42">
        <f>MAX(0,MIN(G77+H77-I77,$F77))</f>
        <v/>
      </c>
      <c r="K77" s="42">
        <f>ROUND(G77+H77-I77-J77,2)</f>
        <v/>
      </c>
      <c r="L77">
        <f>$F77-J77</f>
        <v/>
      </c>
      <c r="M77" s="42">
        <f>Q76</f>
        <v/>
      </c>
      <c r="N77" s="42">
        <f>ROUND(M77*N$6/12,2)</f>
        <v/>
      </c>
      <c r="O77" s="42">
        <f>MIN(O$6,M77+N77)</f>
        <v/>
      </c>
      <c r="P77" s="42">
        <f>MAX(0,MIN(M77+N77-O77,L77))</f>
        <v/>
      </c>
      <c r="Q77" s="42">
        <f>ROUND(M77+N77-O77-P77,2)</f>
        <v/>
      </c>
      <c r="R77">
        <f>L77-P77</f>
        <v/>
      </c>
      <c r="S77" s="42">
        <f>W76</f>
        <v/>
      </c>
      <c r="T77" s="42">
        <f>ROUND(S77*T$6/12,2)</f>
        <v/>
      </c>
      <c r="U77" s="42">
        <f>MIN(U$6,S77+T77)</f>
        <v/>
      </c>
      <c r="V77" s="42">
        <f>MAX(0,MIN(S77+T77-U77,R77))</f>
        <v/>
      </c>
      <c r="W77" s="42">
        <f>ROUND(S77+T77-U77-V77,2)</f>
        <v/>
      </c>
      <c r="X77">
        <f>R77-V77</f>
        <v/>
      </c>
      <c r="Y77" s="42">
        <f>AC76</f>
        <v/>
      </c>
      <c r="Z77" s="42">
        <f>ROUND(Y77*Z$6/12,2)</f>
        <v/>
      </c>
      <c r="AA77" s="42">
        <f>MIN(AA$6,Y77+Z77)</f>
        <v/>
      </c>
      <c r="AB77" s="42">
        <f>MAX(0,MIN(Y77+Z77-AA77,X77))</f>
        <v/>
      </c>
      <c r="AC77" s="42">
        <f>ROUND(Y77+Z77-AA77-AB77,2)</f>
        <v/>
      </c>
      <c r="AD77">
        <f>X77-AB77</f>
        <v/>
      </c>
      <c r="AE77" s="42">
        <f>AI76</f>
        <v/>
      </c>
      <c r="AF77" s="42">
        <f>ROUND(AE77*AF$6/12,2)</f>
        <v/>
      </c>
      <c r="AG77" s="42">
        <f>MIN(AG$6,AE77+AF77)</f>
        <v/>
      </c>
      <c r="AH77" s="42">
        <f>MAX(0,MIN(AE77+AF77-AG77,AD77))</f>
        <v/>
      </c>
      <c r="AI77" s="42">
        <f>ROUND(AE77+AF77-AG77-AH77,2)</f>
        <v/>
      </c>
      <c r="AJ77">
        <f>AD77-AH77</f>
        <v/>
      </c>
      <c r="AK77" s="42">
        <f>AO76</f>
        <v/>
      </c>
      <c r="AL77" s="42">
        <f>ROUND(AK77*AL$6/12,2)</f>
        <v/>
      </c>
      <c r="AM77" s="42">
        <f>MIN(AM$6,AK77+AL77)</f>
        <v/>
      </c>
      <c r="AN77" s="42">
        <f>MAX(0,MIN(AK77+AL77-AM77,AJ77))</f>
        <v/>
      </c>
      <c r="AO77" s="42">
        <f>ROUND(AK77+AL77-AM77-AN77,2)</f>
        <v/>
      </c>
      <c r="AP77">
        <f>AJ77-AN77</f>
        <v/>
      </c>
      <c r="AQ77" s="42">
        <f>AU76</f>
        <v/>
      </c>
      <c r="AR77" s="42">
        <f>ROUND(AQ77*AR$6/12,2)</f>
        <v/>
      </c>
      <c r="AS77" s="42">
        <f>MIN(AS$6,AQ77+AR77)</f>
        <v/>
      </c>
      <c r="AT77" s="42">
        <f>MAX(0,MIN(AQ77+AR77-AS77,AP77))</f>
        <v/>
      </c>
      <c r="AU77" s="42">
        <f>ROUND(AQ77+AR77-AS77-AT77,2)</f>
        <v/>
      </c>
      <c r="AV77">
        <f>AP77-AT77</f>
        <v/>
      </c>
      <c r="AW77" s="42">
        <f>BA76</f>
        <v/>
      </c>
      <c r="AX77" s="42">
        <f>ROUND(AW77*AX$6/12,2)</f>
        <v/>
      </c>
      <c r="AY77" s="42">
        <f>MIN(AY$6,AW77+AX77)</f>
        <v/>
      </c>
      <c r="AZ77" s="42">
        <f>MAX(0,MIN(AW77+AX77-AY77,AV77))</f>
        <v/>
      </c>
      <c r="BA77" s="42">
        <f>ROUND(AW77+AX77-AY77-AZ77,2)</f>
        <v/>
      </c>
      <c r="BB77">
        <f>AV77-AZ77</f>
        <v/>
      </c>
      <c r="BC77" s="42">
        <f>BG76</f>
        <v/>
      </c>
      <c r="BD77" s="42">
        <f>ROUND(BC77*BD$6/12,2)</f>
        <v/>
      </c>
      <c r="BE77" s="42">
        <f>MIN(BE$6,BC77+BD77)</f>
        <v/>
      </c>
      <c r="BF77" s="42">
        <f>MAX(0,MIN(BC77+BD77-BE77,BB77))</f>
        <v/>
      </c>
      <c r="BG77" s="42">
        <f>ROUND(BC77+BD77-BE77-BF77,2)</f>
        <v/>
      </c>
      <c r="BH77">
        <f>BB77-BF77</f>
        <v/>
      </c>
      <c r="BI77" s="42">
        <f>BM76</f>
        <v/>
      </c>
      <c r="BJ77" s="42">
        <f>ROUND(BI77*BJ$6/12,2)</f>
        <v/>
      </c>
      <c r="BK77" s="42">
        <f>MIN(BK$6,BI77+BJ77)</f>
        <v/>
      </c>
      <c r="BL77" s="42">
        <f>MAX(0,MIN(BI77+BJ77-BK77,BH77))</f>
        <v/>
      </c>
      <c r="BM77" s="42">
        <f>ROUND(BI77+BJ77-BK77-BL77,2)</f>
        <v/>
      </c>
      <c r="BN77">
        <f>BH77-BL77</f>
        <v/>
      </c>
    </row>
    <row r="78">
      <c r="A78" s="39" t="n">
        <v>71</v>
      </c>
      <c r="B78" s="40">
        <f>EDATE('My Debts'!$C$6,A78-1)</f>
        <v/>
      </c>
      <c r="C78" s="41">
        <f>K78+Q78+W78+AC78+AI78+AO78+AU78+BA78+BG78+BM78</f>
        <v/>
      </c>
      <c r="D78" s="42">
        <f>I78+O78+U78+AA78+AG78+AM78+AS78+AY78+BE78+BK78+J78+P78+V78+AB78+AH78+AN78+AT78+AZ78+BF78+BL78</f>
        <v/>
      </c>
      <c r="E78" s="42">
        <f>H78+N78+T78+Z78+AF78+AL78+AR78+AX78+BD78+BJ78</f>
        <v/>
      </c>
      <c r="F78" t="n">
        <v>0</v>
      </c>
      <c r="G78" s="42">
        <f>K77</f>
        <v/>
      </c>
      <c r="H78" s="42">
        <f>ROUND(G78*H$6/12,2)</f>
        <v/>
      </c>
      <c r="I78" s="42">
        <f>MIN(I$6,G78+H78)</f>
        <v/>
      </c>
      <c r="J78" s="42">
        <f>MAX(0,MIN(G78+H78-I78,$F78))</f>
        <v/>
      </c>
      <c r="K78" s="42">
        <f>ROUND(G78+H78-I78-J78,2)</f>
        <v/>
      </c>
      <c r="L78">
        <f>$F78-J78</f>
        <v/>
      </c>
      <c r="M78" s="42">
        <f>Q77</f>
        <v/>
      </c>
      <c r="N78" s="42">
        <f>ROUND(M78*N$6/12,2)</f>
        <v/>
      </c>
      <c r="O78" s="42">
        <f>MIN(O$6,M78+N78)</f>
        <v/>
      </c>
      <c r="P78" s="42">
        <f>MAX(0,MIN(M78+N78-O78,L78))</f>
        <v/>
      </c>
      <c r="Q78" s="42">
        <f>ROUND(M78+N78-O78-P78,2)</f>
        <v/>
      </c>
      <c r="R78">
        <f>L78-P78</f>
        <v/>
      </c>
      <c r="S78" s="42">
        <f>W77</f>
        <v/>
      </c>
      <c r="T78" s="42">
        <f>ROUND(S78*T$6/12,2)</f>
        <v/>
      </c>
      <c r="U78" s="42">
        <f>MIN(U$6,S78+T78)</f>
        <v/>
      </c>
      <c r="V78" s="42">
        <f>MAX(0,MIN(S78+T78-U78,R78))</f>
        <v/>
      </c>
      <c r="W78" s="42">
        <f>ROUND(S78+T78-U78-V78,2)</f>
        <v/>
      </c>
      <c r="X78">
        <f>R78-V78</f>
        <v/>
      </c>
      <c r="Y78" s="42">
        <f>AC77</f>
        <v/>
      </c>
      <c r="Z78" s="42">
        <f>ROUND(Y78*Z$6/12,2)</f>
        <v/>
      </c>
      <c r="AA78" s="42">
        <f>MIN(AA$6,Y78+Z78)</f>
        <v/>
      </c>
      <c r="AB78" s="42">
        <f>MAX(0,MIN(Y78+Z78-AA78,X78))</f>
        <v/>
      </c>
      <c r="AC78" s="42">
        <f>ROUND(Y78+Z78-AA78-AB78,2)</f>
        <v/>
      </c>
      <c r="AD78">
        <f>X78-AB78</f>
        <v/>
      </c>
      <c r="AE78" s="42">
        <f>AI77</f>
        <v/>
      </c>
      <c r="AF78" s="42">
        <f>ROUND(AE78*AF$6/12,2)</f>
        <v/>
      </c>
      <c r="AG78" s="42">
        <f>MIN(AG$6,AE78+AF78)</f>
        <v/>
      </c>
      <c r="AH78" s="42">
        <f>MAX(0,MIN(AE78+AF78-AG78,AD78))</f>
        <v/>
      </c>
      <c r="AI78" s="42">
        <f>ROUND(AE78+AF78-AG78-AH78,2)</f>
        <v/>
      </c>
      <c r="AJ78">
        <f>AD78-AH78</f>
        <v/>
      </c>
      <c r="AK78" s="42">
        <f>AO77</f>
        <v/>
      </c>
      <c r="AL78" s="42">
        <f>ROUND(AK78*AL$6/12,2)</f>
        <v/>
      </c>
      <c r="AM78" s="42">
        <f>MIN(AM$6,AK78+AL78)</f>
        <v/>
      </c>
      <c r="AN78" s="42">
        <f>MAX(0,MIN(AK78+AL78-AM78,AJ78))</f>
        <v/>
      </c>
      <c r="AO78" s="42">
        <f>ROUND(AK78+AL78-AM78-AN78,2)</f>
        <v/>
      </c>
      <c r="AP78">
        <f>AJ78-AN78</f>
        <v/>
      </c>
      <c r="AQ78" s="42">
        <f>AU77</f>
        <v/>
      </c>
      <c r="AR78" s="42">
        <f>ROUND(AQ78*AR$6/12,2)</f>
        <v/>
      </c>
      <c r="AS78" s="42">
        <f>MIN(AS$6,AQ78+AR78)</f>
        <v/>
      </c>
      <c r="AT78" s="42">
        <f>MAX(0,MIN(AQ78+AR78-AS78,AP78))</f>
        <v/>
      </c>
      <c r="AU78" s="42">
        <f>ROUND(AQ78+AR78-AS78-AT78,2)</f>
        <v/>
      </c>
      <c r="AV78">
        <f>AP78-AT78</f>
        <v/>
      </c>
      <c r="AW78" s="42">
        <f>BA77</f>
        <v/>
      </c>
      <c r="AX78" s="42">
        <f>ROUND(AW78*AX$6/12,2)</f>
        <v/>
      </c>
      <c r="AY78" s="42">
        <f>MIN(AY$6,AW78+AX78)</f>
        <v/>
      </c>
      <c r="AZ78" s="42">
        <f>MAX(0,MIN(AW78+AX78-AY78,AV78))</f>
        <v/>
      </c>
      <c r="BA78" s="42">
        <f>ROUND(AW78+AX78-AY78-AZ78,2)</f>
        <v/>
      </c>
      <c r="BB78">
        <f>AV78-AZ78</f>
        <v/>
      </c>
      <c r="BC78" s="42">
        <f>BG77</f>
        <v/>
      </c>
      <c r="BD78" s="42">
        <f>ROUND(BC78*BD$6/12,2)</f>
        <v/>
      </c>
      <c r="BE78" s="42">
        <f>MIN(BE$6,BC78+BD78)</f>
        <v/>
      </c>
      <c r="BF78" s="42">
        <f>MAX(0,MIN(BC78+BD78-BE78,BB78))</f>
        <v/>
      </c>
      <c r="BG78" s="42">
        <f>ROUND(BC78+BD78-BE78-BF78,2)</f>
        <v/>
      </c>
      <c r="BH78">
        <f>BB78-BF78</f>
        <v/>
      </c>
      <c r="BI78" s="42">
        <f>BM77</f>
        <v/>
      </c>
      <c r="BJ78" s="42">
        <f>ROUND(BI78*BJ$6/12,2)</f>
        <v/>
      </c>
      <c r="BK78" s="42">
        <f>MIN(BK$6,BI78+BJ78)</f>
        <v/>
      </c>
      <c r="BL78" s="42">
        <f>MAX(0,MIN(BI78+BJ78-BK78,BH78))</f>
        <v/>
      </c>
      <c r="BM78" s="42">
        <f>ROUND(BI78+BJ78-BK78-BL78,2)</f>
        <v/>
      </c>
      <c r="BN78">
        <f>BH78-BL78</f>
        <v/>
      </c>
    </row>
    <row r="79">
      <c r="A79" s="43" t="n">
        <v>72</v>
      </c>
      <c r="B79" s="44">
        <f>EDATE('My Debts'!$C$6,A79-1)</f>
        <v/>
      </c>
      <c r="C79" s="45">
        <f>K79+Q79+W79+AC79+AI79+AO79+AU79+BA79+BG79+BM79</f>
        <v/>
      </c>
      <c r="D79" s="46">
        <f>I79+O79+U79+AA79+AG79+AM79+AS79+AY79+BE79+BK79+J79+P79+V79+AB79+AH79+AN79+AT79+AZ79+BF79+BL79</f>
        <v/>
      </c>
      <c r="E79" s="46">
        <f>H79+N79+T79+Z79+AF79+AL79+AR79+AX79+BD79+BJ79</f>
        <v/>
      </c>
      <c r="F79" t="n">
        <v>0</v>
      </c>
      <c r="G79" s="42">
        <f>K78</f>
        <v/>
      </c>
      <c r="H79" s="42">
        <f>ROUND(G79*H$6/12,2)</f>
        <v/>
      </c>
      <c r="I79" s="42">
        <f>MIN(I$6,G79+H79)</f>
        <v/>
      </c>
      <c r="J79" s="42">
        <f>MAX(0,MIN(G79+H79-I79,$F79))</f>
        <v/>
      </c>
      <c r="K79" s="42">
        <f>ROUND(G79+H79-I79-J79,2)</f>
        <v/>
      </c>
      <c r="L79">
        <f>$F79-J79</f>
        <v/>
      </c>
      <c r="M79" s="42">
        <f>Q78</f>
        <v/>
      </c>
      <c r="N79" s="42">
        <f>ROUND(M79*N$6/12,2)</f>
        <v/>
      </c>
      <c r="O79" s="42">
        <f>MIN(O$6,M79+N79)</f>
        <v/>
      </c>
      <c r="P79" s="42">
        <f>MAX(0,MIN(M79+N79-O79,L79))</f>
        <v/>
      </c>
      <c r="Q79" s="42">
        <f>ROUND(M79+N79-O79-P79,2)</f>
        <v/>
      </c>
      <c r="R79">
        <f>L79-P79</f>
        <v/>
      </c>
      <c r="S79" s="42">
        <f>W78</f>
        <v/>
      </c>
      <c r="T79" s="42">
        <f>ROUND(S79*T$6/12,2)</f>
        <v/>
      </c>
      <c r="U79" s="42">
        <f>MIN(U$6,S79+T79)</f>
        <v/>
      </c>
      <c r="V79" s="42">
        <f>MAX(0,MIN(S79+T79-U79,R79))</f>
        <v/>
      </c>
      <c r="W79" s="42">
        <f>ROUND(S79+T79-U79-V79,2)</f>
        <v/>
      </c>
      <c r="X79">
        <f>R79-V79</f>
        <v/>
      </c>
      <c r="Y79" s="42">
        <f>AC78</f>
        <v/>
      </c>
      <c r="Z79" s="42">
        <f>ROUND(Y79*Z$6/12,2)</f>
        <v/>
      </c>
      <c r="AA79" s="42">
        <f>MIN(AA$6,Y79+Z79)</f>
        <v/>
      </c>
      <c r="AB79" s="42">
        <f>MAX(0,MIN(Y79+Z79-AA79,X79))</f>
        <v/>
      </c>
      <c r="AC79" s="42">
        <f>ROUND(Y79+Z79-AA79-AB79,2)</f>
        <v/>
      </c>
      <c r="AD79">
        <f>X79-AB79</f>
        <v/>
      </c>
      <c r="AE79" s="42">
        <f>AI78</f>
        <v/>
      </c>
      <c r="AF79" s="42">
        <f>ROUND(AE79*AF$6/12,2)</f>
        <v/>
      </c>
      <c r="AG79" s="42">
        <f>MIN(AG$6,AE79+AF79)</f>
        <v/>
      </c>
      <c r="AH79" s="42">
        <f>MAX(0,MIN(AE79+AF79-AG79,AD79))</f>
        <v/>
      </c>
      <c r="AI79" s="42">
        <f>ROUND(AE79+AF79-AG79-AH79,2)</f>
        <v/>
      </c>
      <c r="AJ79">
        <f>AD79-AH79</f>
        <v/>
      </c>
      <c r="AK79" s="42">
        <f>AO78</f>
        <v/>
      </c>
      <c r="AL79" s="42">
        <f>ROUND(AK79*AL$6/12,2)</f>
        <v/>
      </c>
      <c r="AM79" s="42">
        <f>MIN(AM$6,AK79+AL79)</f>
        <v/>
      </c>
      <c r="AN79" s="42">
        <f>MAX(0,MIN(AK79+AL79-AM79,AJ79))</f>
        <v/>
      </c>
      <c r="AO79" s="42">
        <f>ROUND(AK79+AL79-AM79-AN79,2)</f>
        <v/>
      </c>
      <c r="AP79">
        <f>AJ79-AN79</f>
        <v/>
      </c>
      <c r="AQ79" s="42">
        <f>AU78</f>
        <v/>
      </c>
      <c r="AR79" s="42">
        <f>ROUND(AQ79*AR$6/12,2)</f>
        <v/>
      </c>
      <c r="AS79" s="42">
        <f>MIN(AS$6,AQ79+AR79)</f>
        <v/>
      </c>
      <c r="AT79" s="42">
        <f>MAX(0,MIN(AQ79+AR79-AS79,AP79))</f>
        <v/>
      </c>
      <c r="AU79" s="42">
        <f>ROUND(AQ79+AR79-AS79-AT79,2)</f>
        <v/>
      </c>
      <c r="AV79">
        <f>AP79-AT79</f>
        <v/>
      </c>
      <c r="AW79" s="42">
        <f>BA78</f>
        <v/>
      </c>
      <c r="AX79" s="42">
        <f>ROUND(AW79*AX$6/12,2)</f>
        <v/>
      </c>
      <c r="AY79" s="42">
        <f>MIN(AY$6,AW79+AX79)</f>
        <v/>
      </c>
      <c r="AZ79" s="42">
        <f>MAX(0,MIN(AW79+AX79-AY79,AV79))</f>
        <v/>
      </c>
      <c r="BA79" s="42">
        <f>ROUND(AW79+AX79-AY79-AZ79,2)</f>
        <v/>
      </c>
      <c r="BB79">
        <f>AV79-AZ79</f>
        <v/>
      </c>
      <c r="BC79" s="42">
        <f>BG78</f>
        <v/>
      </c>
      <c r="BD79" s="42">
        <f>ROUND(BC79*BD$6/12,2)</f>
        <v/>
      </c>
      <c r="BE79" s="42">
        <f>MIN(BE$6,BC79+BD79)</f>
        <v/>
      </c>
      <c r="BF79" s="42">
        <f>MAX(0,MIN(BC79+BD79-BE79,BB79))</f>
        <v/>
      </c>
      <c r="BG79" s="42">
        <f>ROUND(BC79+BD79-BE79-BF79,2)</f>
        <v/>
      </c>
      <c r="BH79">
        <f>BB79-BF79</f>
        <v/>
      </c>
      <c r="BI79" s="42">
        <f>BM78</f>
        <v/>
      </c>
      <c r="BJ79" s="42">
        <f>ROUND(BI79*BJ$6/12,2)</f>
        <v/>
      </c>
      <c r="BK79" s="42">
        <f>MIN(BK$6,BI79+BJ79)</f>
        <v/>
      </c>
      <c r="BL79" s="42">
        <f>MAX(0,MIN(BI79+BJ79-BK79,BH79))</f>
        <v/>
      </c>
      <c r="BM79" s="42">
        <f>ROUND(BI79+BJ79-BK79-BL79,2)</f>
        <v/>
      </c>
      <c r="BN79">
        <f>BH79-BL79</f>
        <v/>
      </c>
    </row>
    <row r="80">
      <c r="A80" s="39" t="n">
        <v>73</v>
      </c>
      <c r="B80" s="40">
        <f>EDATE('My Debts'!$C$6,A80-1)</f>
        <v/>
      </c>
      <c r="C80" s="41">
        <f>K80+Q80+W80+AC80+AI80+AO80+AU80+BA80+BG80+BM80</f>
        <v/>
      </c>
      <c r="D80" s="42">
        <f>I80+O80+U80+AA80+AG80+AM80+AS80+AY80+BE80+BK80+J80+P80+V80+AB80+AH80+AN80+AT80+AZ80+BF80+BL80</f>
        <v/>
      </c>
      <c r="E80" s="42">
        <f>H80+N80+T80+Z80+AF80+AL80+AR80+AX80+BD80+BJ80</f>
        <v/>
      </c>
      <c r="F80" t="n">
        <v>0</v>
      </c>
      <c r="G80" s="42">
        <f>K79</f>
        <v/>
      </c>
      <c r="H80" s="42">
        <f>ROUND(G80*H$6/12,2)</f>
        <v/>
      </c>
      <c r="I80" s="42">
        <f>MIN(I$6,G80+H80)</f>
        <v/>
      </c>
      <c r="J80" s="42">
        <f>MAX(0,MIN(G80+H80-I80,$F80))</f>
        <v/>
      </c>
      <c r="K80" s="42">
        <f>ROUND(G80+H80-I80-J80,2)</f>
        <v/>
      </c>
      <c r="L80">
        <f>$F80-J80</f>
        <v/>
      </c>
      <c r="M80" s="42">
        <f>Q79</f>
        <v/>
      </c>
      <c r="N80" s="42">
        <f>ROUND(M80*N$6/12,2)</f>
        <v/>
      </c>
      <c r="O80" s="42">
        <f>MIN(O$6,M80+N80)</f>
        <v/>
      </c>
      <c r="P80" s="42">
        <f>MAX(0,MIN(M80+N80-O80,L80))</f>
        <v/>
      </c>
      <c r="Q80" s="42">
        <f>ROUND(M80+N80-O80-P80,2)</f>
        <v/>
      </c>
      <c r="R80">
        <f>L80-P80</f>
        <v/>
      </c>
      <c r="S80" s="42">
        <f>W79</f>
        <v/>
      </c>
      <c r="T80" s="42">
        <f>ROUND(S80*T$6/12,2)</f>
        <v/>
      </c>
      <c r="U80" s="42">
        <f>MIN(U$6,S80+T80)</f>
        <v/>
      </c>
      <c r="V80" s="42">
        <f>MAX(0,MIN(S80+T80-U80,R80))</f>
        <v/>
      </c>
      <c r="W80" s="42">
        <f>ROUND(S80+T80-U80-V80,2)</f>
        <v/>
      </c>
      <c r="X80">
        <f>R80-V80</f>
        <v/>
      </c>
      <c r="Y80" s="42">
        <f>AC79</f>
        <v/>
      </c>
      <c r="Z80" s="42">
        <f>ROUND(Y80*Z$6/12,2)</f>
        <v/>
      </c>
      <c r="AA80" s="42">
        <f>MIN(AA$6,Y80+Z80)</f>
        <v/>
      </c>
      <c r="AB80" s="42">
        <f>MAX(0,MIN(Y80+Z80-AA80,X80))</f>
        <v/>
      </c>
      <c r="AC80" s="42">
        <f>ROUND(Y80+Z80-AA80-AB80,2)</f>
        <v/>
      </c>
      <c r="AD80">
        <f>X80-AB80</f>
        <v/>
      </c>
      <c r="AE80" s="42">
        <f>AI79</f>
        <v/>
      </c>
      <c r="AF80" s="42">
        <f>ROUND(AE80*AF$6/12,2)</f>
        <v/>
      </c>
      <c r="AG80" s="42">
        <f>MIN(AG$6,AE80+AF80)</f>
        <v/>
      </c>
      <c r="AH80" s="42">
        <f>MAX(0,MIN(AE80+AF80-AG80,AD80))</f>
        <v/>
      </c>
      <c r="AI80" s="42">
        <f>ROUND(AE80+AF80-AG80-AH80,2)</f>
        <v/>
      </c>
      <c r="AJ80">
        <f>AD80-AH80</f>
        <v/>
      </c>
      <c r="AK80" s="42">
        <f>AO79</f>
        <v/>
      </c>
      <c r="AL80" s="42">
        <f>ROUND(AK80*AL$6/12,2)</f>
        <v/>
      </c>
      <c r="AM80" s="42">
        <f>MIN(AM$6,AK80+AL80)</f>
        <v/>
      </c>
      <c r="AN80" s="42">
        <f>MAX(0,MIN(AK80+AL80-AM80,AJ80))</f>
        <v/>
      </c>
      <c r="AO80" s="42">
        <f>ROUND(AK80+AL80-AM80-AN80,2)</f>
        <v/>
      </c>
      <c r="AP80">
        <f>AJ80-AN80</f>
        <v/>
      </c>
      <c r="AQ80" s="42">
        <f>AU79</f>
        <v/>
      </c>
      <c r="AR80" s="42">
        <f>ROUND(AQ80*AR$6/12,2)</f>
        <v/>
      </c>
      <c r="AS80" s="42">
        <f>MIN(AS$6,AQ80+AR80)</f>
        <v/>
      </c>
      <c r="AT80" s="42">
        <f>MAX(0,MIN(AQ80+AR80-AS80,AP80))</f>
        <v/>
      </c>
      <c r="AU80" s="42">
        <f>ROUND(AQ80+AR80-AS80-AT80,2)</f>
        <v/>
      </c>
      <c r="AV80">
        <f>AP80-AT80</f>
        <v/>
      </c>
      <c r="AW80" s="42">
        <f>BA79</f>
        <v/>
      </c>
      <c r="AX80" s="42">
        <f>ROUND(AW80*AX$6/12,2)</f>
        <v/>
      </c>
      <c r="AY80" s="42">
        <f>MIN(AY$6,AW80+AX80)</f>
        <v/>
      </c>
      <c r="AZ80" s="42">
        <f>MAX(0,MIN(AW80+AX80-AY80,AV80))</f>
        <v/>
      </c>
      <c r="BA80" s="42">
        <f>ROUND(AW80+AX80-AY80-AZ80,2)</f>
        <v/>
      </c>
      <c r="BB80">
        <f>AV80-AZ80</f>
        <v/>
      </c>
      <c r="BC80" s="42">
        <f>BG79</f>
        <v/>
      </c>
      <c r="BD80" s="42">
        <f>ROUND(BC80*BD$6/12,2)</f>
        <v/>
      </c>
      <c r="BE80" s="42">
        <f>MIN(BE$6,BC80+BD80)</f>
        <v/>
      </c>
      <c r="BF80" s="42">
        <f>MAX(0,MIN(BC80+BD80-BE80,BB80))</f>
        <v/>
      </c>
      <c r="BG80" s="42">
        <f>ROUND(BC80+BD80-BE80-BF80,2)</f>
        <v/>
      </c>
      <c r="BH80">
        <f>BB80-BF80</f>
        <v/>
      </c>
      <c r="BI80" s="42">
        <f>BM79</f>
        <v/>
      </c>
      <c r="BJ80" s="42">
        <f>ROUND(BI80*BJ$6/12,2)</f>
        <v/>
      </c>
      <c r="BK80" s="42">
        <f>MIN(BK$6,BI80+BJ80)</f>
        <v/>
      </c>
      <c r="BL80" s="42">
        <f>MAX(0,MIN(BI80+BJ80-BK80,BH80))</f>
        <v/>
      </c>
      <c r="BM80" s="42">
        <f>ROUND(BI80+BJ80-BK80-BL80,2)</f>
        <v/>
      </c>
      <c r="BN80">
        <f>BH80-BL80</f>
        <v/>
      </c>
    </row>
    <row r="81">
      <c r="A81" s="43" t="n">
        <v>74</v>
      </c>
      <c r="B81" s="44">
        <f>EDATE('My Debts'!$C$6,A81-1)</f>
        <v/>
      </c>
      <c r="C81" s="45">
        <f>K81+Q81+W81+AC81+AI81+AO81+AU81+BA81+BG81+BM81</f>
        <v/>
      </c>
      <c r="D81" s="46">
        <f>I81+O81+U81+AA81+AG81+AM81+AS81+AY81+BE81+BK81+J81+P81+V81+AB81+AH81+AN81+AT81+AZ81+BF81+BL81</f>
        <v/>
      </c>
      <c r="E81" s="46">
        <f>H81+N81+T81+Z81+AF81+AL81+AR81+AX81+BD81+BJ81</f>
        <v/>
      </c>
      <c r="F81" t="n">
        <v>0</v>
      </c>
      <c r="G81" s="42">
        <f>K80</f>
        <v/>
      </c>
      <c r="H81" s="42">
        <f>ROUND(G81*H$6/12,2)</f>
        <v/>
      </c>
      <c r="I81" s="42">
        <f>MIN(I$6,G81+H81)</f>
        <v/>
      </c>
      <c r="J81" s="42">
        <f>MAX(0,MIN(G81+H81-I81,$F81))</f>
        <v/>
      </c>
      <c r="K81" s="42">
        <f>ROUND(G81+H81-I81-J81,2)</f>
        <v/>
      </c>
      <c r="L81">
        <f>$F81-J81</f>
        <v/>
      </c>
      <c r="M81" s="42">
        <f>Q80</f>
        <v/>
      </c>
      <c r="N81" s="42">
        <f>ROUND(M81*N$6/12,2)</f>
        <v/>
      </c>
      <c r="O81" s="42">
        <f>MIN(O$6,M81+N81)</f>
        <v/>
      </c>
      <c r="P81" s="42">
        <f>MAX(0,MIN(M81+N81-O81,L81))</f>
        <v/>
      </c>
      <c r="Q81" s="42">
        <f>ROUND(M81+N81-O81-P81,2)</f>
        <v/>
      </c>
      <c r="R81">
        <f>L81-P81</f>
        <v/>
      </c>
      <c r="S81" s="42">
        <f>W80</f>
        <v/>
      </c>
      <c r="T81" s="42">
        <f>ROUND(S81*T$6/12,2)</f>
        <v/>
      </c>
      <c r="U81" s="42">
        <f>MIN(U$6,S81+T81)</f>
        <v/>
      </c>
      <c r="V81" s="42">
        <f>MAX(0,MIN(S81+T81-U81,R81))</f>
        <v/>
      </c>
      <c r="W81" s="42">
        <f>ROUND(S81+T81-U81-V81,2)</f>
        <v/>
      </c>
      <c r="X81">
        <f>R81-V81</f>
        <v/>
      </c>
      <c r="Y81" s="42">
        <f>AC80</f>
        <v/>
      </c>
      <c r="Z81" s="42">
        <f>ROUND(Y81*Z$6/12,2)</f>
        <v/>
      </c>
      <c r="AA81" s="42">
        <f>MIN(AA$6,Y81+Z81)</f>
        <v/>
      </c>
      <c r="AB81" s="42">
        <f>MAX(0,MIN(Y81+Z81-AA81,X81))</f>
        <v/>
      </c>
      <c r="AC81" s="42">
        <f>ROUND(Y81+Z81-AA81-AB81,2)</f>
        <v/>
      </c>
      <c r="AD81">
        <f>X81-AB81</f>
        <v/>
      </c>
      <c r="AE81" s="42">
        <f>AI80</f>
        <v/>
      </c>
      <c r="AF81" s="42">
        <f>ROUND(AE81*AF$6/12,2)</f>
        <v/>
      </c>
      <c r="AG81" s="42">
        <f>MIN(AG$6,AE81+AF81)</f>
        <v/>
      </c>
      <c r="AH81" s="42">
        <f>MAX(0,MIN(AE81+AF81-AG81,AD81))</f>
        <v/>
      </c>
      <c r="AI81" s="42">
        <f>ROUND(AE81+AF81-AG81-AH81,2)</f>
        <v/>
      </c>
      <c r="AJ81">
        <f>AD81-AH81</f>
        <v/>
      </c>
      <c r="AK81" s="42">
        <f>AO80</f>
        <v/>
      </c>
      <c r="AL81" s="42">
        <f>ROUND(AK81*AL$6/12,2)</f>
        <v/>
      </c>
      <c r="AM81" s="42">
        <f>MIN(AM$6,AK81+AL81)</f>
        <v/>
      </c>
      <c r="AN81" s="42">
        <f>MAX(0,MIN(AK81+AL81-AM81,AJ81))</f>
        <v/>
      </c>
      <c r="AO81" s="42">
        <f>ROUND(AK81+AL81-AM81-AN81,2)</f>
        <v/>
      </c>
      <c r="AP81">
        <f>AJ81-AN81</f>
        <v/>
      </c>
      <c r="AQ81" s="42">
        <f>AU80</f>
        <v/>
      </c>
      <c r="AR81" s="42">
        <f>ROUND(AQ81*AR$6/12,2)</f>
        <v/>
      </c>
      <c r="AS81" s="42">
        <f>MIN(AS$6,AQ81+AR81)</f>
        <v/>
      </c>
      <c r="AT81" s="42">
        <f>MAX(0,MIN(AQ81+AR81-AS81,AP81))</f>
        <v/>
      </c>
      <c r="AU81" s="42">
        <f>ROUND(AQ81+AR81-AS81-AT81,2)</f>
        <v/>
      </c>
      <c r="AV81">
        <f>AP81-AT81</f>
        <v/>
      </c>
      <c r="AW81" s="42">
        <f>BA80</f>
        <v/>
      </c>
      <c r="AX81" s="42">
        <f>ROUND(AW81*AX$6/12,2)</f>
        <v/>
      </c>
      <c r="AY81" s="42">
        <f>MIN(AY$6,AW81+AX81)</f>
        <v/>
      </c>
      <c r="AZ81" s="42">
        <f>MAX(0,MIN(AW81+AX81-AY81,AV81))</f>
        <v/>
      </c>
      <c r="BA81" s="42">
        <f>ROUND(AW81+AX81-AY81-AZ81,2)</f>
        <v/>
      </c>
      <c r="BB81">
        <f>AV81-AZ81</f>
        <v/>
      </c>
      <c r="BC81" s="42">
        <f>BG80</f>
        <v/>
      </c>
      <c r="BD81" s="42">
        <f>ROUND(BC81*BD$6/12,2)</f>
        <v/>
      </c>
      <c r="BE81" s="42">
        <f>MIN(BE$6,BC81+BD81)</f>
        <v/>
      </c>
      <c r="BF81" s="42">
        <f>MAX(0,MIN(BC81+BD81-BE81,BB81))</f>
        <v/>
      </c>
      <c r="BG81" s="42">
        <f>ROUND(BC81+BD81-BE81-BF81,2)</f>
        <v/>
      </c>
      <c r="BH81">
        <f>BB81-BF81</f>
        <v/>
      </c>
      <c r="BI81" s="42">
        <f>BM80</f>
        <v/>
      </c>
      <c r="BJ81" s="42">
        <f>ROUND(BI81*BJ$6/12,2)</f>
        <v/>
      </c>
      <c r="BK81" s="42">
        <f>MIN(BK$6,BI81+BJ81)</f>
        <v/>
      </c>
      <c r="BL81" s="42">
        <f>MAX(0,MIN(BI81+BJ81-BK81,BH81))</f>
        <v/>
      </c>
      <c r="BM81" s="42">
        <f>ROUND(BI81+BJ81-BK81-BL81,2)</f>
        <v/>
      </c>
      <c r="BN81">
        <f>BH81-BL81</f>
        <v/>
      </c>
    </row>
    <row r="82">
      <c r="A82" s="39" t="n">
        <v>75</v>
      </c>
      <c r="B82" s="40">
        <f>EDATE('My Debts'!$C$6,A82-1)</f>
        <v/>
      </c>
      <c r="C82" s="41">
        <f>K82+Q82+W82+AC82+AI82+AO82+AU82+BA82+BG82+BM82</f>
        <v/>
      </c>
      <c r="D82" s="42">
        <f>I82+O82+U82+AA82+AG82+AM82+AS82+AY82+BE82+BK82+J82+P82+V82+AB82+AH82+AN82+AT82+AZ82+BF82+BL82</f>
        <v/>
      </c>
      <c r="E82" s="42">
        <f>H82+N82+T82+Z82+AF82+AL82+AR82+AX82+BD82+BJ82</f>
        <v/>
      </c>
      <c r="F82" t="n">
        <v>0</v>
      </c>
      <c r="G82" s="42">
        <f>K81</f>
        <v/>
      </c>
      <c r="H82" s="42">
        <f>ROUND(G82*H$6/12,2)</f>
        <v/>
      </c>
      <c r="I82" s="42">
        <f>MIN(I$6,G82+H82)</f>
        <v/>
      </c>
      <c r="J82" s="42">
        <f>MAX(0,MIN(G82+H82-I82,$F82))</f>
        <v/>
      </c>
      <c r="K82" s="42">
        <f>ROUND(G82+H82-I82-J82,2)</f>
        <v/>
      </c>
      <c r="L82">
        <f>$F82-J82</f>
        <v/>
      </c>
      <c r="M82" s="42">
        <f>Q81</f>
        <v/>
      </c>
      <c r="N82" s="42">
        <f>ROUND(M82*N$6/12,2)</f>
        <v/>
      </c>
      <c r="O82" s="42">
        <f>MIN(O$6,M82+N82)</f>
        <v/>
      </c>
      <c r="P82" s="42">
        <f>MAX(0,MIN(M82+N82-O82,L82))</f>
        <v/>
      </c>
      <c r="Q82" s="42">
        <f>ROUND(M82+N82-O82-P82,2)</f>
        <v/>
      </c>
      <c r="R82">
        <f>L82-P82</f>
        <v/>
      </c>
      <c r="S82" s="42">
        <f>W81</f>
        <v/>
      </c>
      <c r="T82" s="42">
        <f>ROUND(S82*T$6/12,2)</f>
        <v/>
      </c>
      <c r="U82" s="42">
        <f>MIN(U$6,S82+T82)</f>
        <v/>
      </c>
      <c r="V82" s="42">
        <f>MAX(0,MIN(S82+T82-U82,R82))</f>
        <v/>
      </c>
      <c r="W82" s="42">
        <f>ROUND(S82+T82-U82-V82,2)</f>
        <v/>
      </c>
      <c r="X82">
        <f>R82-V82</f>
        <v/>
      </c>
      <c r="Y82" s="42">
        <f>AC81</f>
        <v/>
      </c>
      <c r="Z82" s="42">
        <f>ROUND(Y82*Z$6/12,2)</f>
        <v/>
      </c>
      <c r="AA82" s="42">
        <f>MIN(AA$6,Y82+Z82)</f>
        <v/>
      </c>
      <c r="AB82" s="42">
        <f>MAX(0,MIN(Y82+Z82-AA82,X82))</f>
        <v/>
      </c>
      <c r="AC82" s="42">
        <f>ROUND(Y82+Z82-AA82-AB82,2)</f>
        <v/>
      </c>
      <c r="AD82">
        <f>X82-AB82</f>
        <v/>
      </c>
      <c r="AE82" s="42">
        <f>AI81</f>
        <v/>
      </c>
      <c r="AF82" s="42">
        <f>ROUND(AE82*AF$6/12,2)</f>
        <v/>
      </c>
      <c r="AG82" s="42">
        <f>MIN(AG$6,AE82+AF82)</f>
        <v/>
      </c>
      <c r="AH82" s="42">
        <f>MAX(0,MIN(AE82+AF82-AG82,AD82))</f>
        <v/>
      </c>
      <c r="AI82" s="42">
        <f>ROUND(AE82+AF82-AG82-AH82,2)</f>
        <v/>
      </c>
      <c r="AJ82">
        <f>AD82-AH82</f>
        <v/>
      </c>
      <c r="AK82" s="42">
        <f>AO81</f>
        <v/>
      </c>
      <c r="AL82" s="42">
        <f>ROUND(AK82*AL$6/12,2)</f>
        <v/>
      </c>
      <c r="AM82" s="42">
        <f>MIN(AM$6,AK82+AL82)</f>
        <v/>
      </c>
      <c r="AN82" s="42">
        <f>MAX(0,MIN(AK82+AL82-AM82,AJ82))</f>
        <v/>
      </c>
      <c r="AO82" s="42">
        <f>ROUND(AK82+AL82-AM82-AN82,2)</f>
        <v/>
      </c>
      <c r="AP82">
        <f>AJ82-AN82</f>
        <v/>
      </c>
      <c r="AQ82" s="42">
        <f>AU81</f>
        <v/>
      </c>
      <c r="AR82" s="42">
        <f>ROUND(AQ82*AR$6/12,2)</f>
        <v/>
      </c>
      <c r="AS82" s="42">
        <f>MIN(AS$6,AQ82+AR82)</f>
        <v/>
      </c>
      <c r="AT82" s="42">
        <f>MAX(0,MIN(AQ82+AR82-AS82,AP82))</f>
        <v/>
      </c>
      <c r="AU82" s="42">
        <f>ROUND(AQ82+AR82-AS82-AT82,2)</f>
        <v/>
      </c>
      <c r="AV82">
        <f>AP82-AT82</f>
        <v/>
      </c>
      <c r="AW82" s="42">
        <f>BA81</f>
        <v/>
      </c>
      <c r="AX82" s="42">
        <f>ROUND(AW82*AX$6/12,2)</f>
        <v/>
      </c>
      <c r="AY82" s="42">
        <f>MIN(AY$6,AW82+AX82)</f>
        <v/>
      </c>
      <c r="AZ82" s="42">
        <f>MAX(0,MIN(AW82+AX82-AY82,AV82))</f>
        <v/>
      </c>
      <c r="BA82" s="42">
        <f>ROUND(AW82+AX82-AY82-AZ82,2)</f>
        <v/>
      </c>
      <c r="BB82">
        <f>AV82-AZ82</f>
        <v/>
      </c>
      <c r="BC82" s="42">
        <f>BG81</f>
        <v/>
      </c>
      <c r="BD82" s="42">
        <f>ROUND(BC82*BD$6/12,2)</f>
        <v/>
      </c>
      <c r="BE82" s="42">
        <f>MIN(BE$6,BC82+BD82)</f>
        <v/>
      </c>
      <c r="BF82" s="42">
        <f>MAX(0,MIN(BC82+BD82-BE82,BB82))</f>
        <v/>
      </c>
      <c r="BG82" s="42">
        <f>ROUND(BC82+BD82-BE82-BF82,2)</f>
        <v/>
      </c>
      <c r="BH82">
        <f>BB82-BF82</f>
        <v/>
      </c>
      <c r="BI82" s="42">
        <f>BM81</f>
        <v/>
      </c>
      <c r="BJ82" s="42">
        <f>ROUND(BI82*BJ$6/12,2)</f>
        <v/>
      </c>
      <c r="BK82" s="42">
        <f>MIN(BK$6,BI82+BJ82)</f>
        <v/>
      </c>
      <c r="BL82" s="42">
        <f>MAX(0,MIN(BI82+BJ82-BK82,BH82))</f>
        <v/>
      </c>
      <c r="BM82" s="42">
        <f>ROUND(BI82+BJ82-BK82-BL82,2)</f>
        <v/>
      </c>
      <c r="BN82">
        <f>BH82-BL82</f>
        <v/>
      </c>
    </row>
    <row r="83">
      <c r="A83" s="43" t="n">
        <v>76</v>
      </c>
      <c r="B83" s="44">
        <f>EDATE('My Debts'!$C$6,A83-1)</f>
        <v/>
      </c>
      <c r="C83" s="45">
        <f>K83+Q83+W83+AC83+AI83+AO83+AU83+BA83+BG83+BM83</f>
        <v/>
      </c>
      <c r="D83" s="46">
        <f>I83+O83+U83+AA83+AG83+AM83+AS83+AY83+BE83+BK83+J83+P83+V83+AB83+AH83+AN83+AT83+AZ83+BF83+BL83</f>
        <v/>
      </c>
      <c r="E83" s="46">
        <f>H83+N83+T83+Z83+AF83+AL83+AR83+AX83+BD83+BJ83</f>
        <v/>
      </c>
      <c r="F83" t="n">
        <v>0</v>
      </c>
      <c r="G83" s="42">
        <f>K82</f>
        <v/>
      </c>
      <c r="H83" s="42">
        <f>ROUND(G83*H$6/12,2)</f>
        <v/>
      </c>
      <c r="I83" s="42">
        <f>MIN(I$6,G83+H83)</f>
        <v/>
      </c>
      <c r="J83" s="42">
        <f>MAX(0,MIN(G83+H83-I83,$F83))</f>
        <v/>
      </c>
      <c r="K83" s="42">
        <f>ROUND(G83+H83-I83-J83,2)</f>
        <v/>
      </c>
      <c r="L83">
        <f>$F83-J83</f>
        <v/>
      </c>
      <c r="M83" s="42">
        <f>Q82</f>
        <v/>
      </c>
      <c r="N83" s="42">
        <f>ROUND(M83*N$6/12,2)</f>
        <v/>
      </c>
      <c r="O83" s="42">
        <f>MIN(O$6,M83+N83)</f>
        <v/>
      </c>
      <c r="P83" s="42">
        <f>MAX(0,MIN(M83+N83-O83,L83))</f>
        <v/>
      </c>
      <c r="Q83" s="42">
        <f>ROUND(M83+N83-O83-P83,2)</f>
        <v/>
      </c>
      <c r="R83">
        <f>L83-P83</f>
        <v/>
      </c>
      <c r="S83" s="42">
        <f>W82</f>
        <v/>
      </c>
      <c r="T83" s="42">
        <f>ROUND(S83*T$6/12,2)</f>
        <v/>
      </c>
      <c r="U83" s="42">
        <f>MIN(U$6,S83+T83)</f>
        <v/>
      </c>
      <c r="V83" s="42">
        <f>MAX(0,MIN(S83+T83-U83,R83))</f>
        <v/>
      </c>
      <c r="W83" s="42">
        <f>ROUND(S83+T83-U83-V83,2)</f>
        <v/>
      </c>
      <c r="X83">
        <f>R83-V83</f>
        <v/>
      </c>
      <c r="Y83" s="42">
        <f>AC82</f>
        <v/>
      </c>
      <c r="Z83" s="42">
        <f>ROUND(Y83*Z$6/12,2)</f>
        <v/>
      </c>
      <c r="AA83" s="42">
        <f>MIN(AA$6,Y83+Z83)</f>
        <v/>
      </c>
      <c r="AB83" s="42">
        <f>MAX(0,MIN(Y83+Z83-AA83,X83))</f>
        <v/>
      </c>
      <c r="AC83" s="42">
        <f>ROUND(Y83+Z83-AA83-AB83,2)</f>
        <v/>
      </c>
      <c r="AD83">
        <f>X83-AB83</f>
        <v/>
      </c>
      <c r="AE83" s="42">
        <f>AI82</f>
        <v/>
      </c>
      <c r="AF83" s="42">
        <f>ROUND(AE83*AF$6/12,2)</f>
        <v/>
      </c>
      <c r="AG83" s="42">
        <f>MIN(AG$6,AE83+AF83)</f>
        <v/>
      </c>
      <c r="AH83" s="42">
        <f>MAX(0,MIN(AE83+AF83-AG83,AD83))</f>
        <v/>
      </c>
      <c r="AI83" s="42">
        <f>ROUND(AE83+AF83-AG83-AH83,2)</f>
        <v/>
      </c>
      <c r="AJ83">
        <f>AD83-AH83</f>
        <v/>
      </c>
      <c r="AK83" s="42">
        <f>AO82</f>
        <v/>
      </c>
      <c r="AL83" s="42">
        <f>ROUND(AK83*AL$6/12,2)</f>
        <v/>
      </c>
      <c r="AM83" s="42">
        <f>MIN(AM$6,AK83+AL83)</f>
        <v/>
      </c>
      <c r="AN83" s="42">
        <f>MAX(0,MIN(AK83+AL83-AM83,AJ83))</f>
        <v/>
      </c>
      <c r="AO83" s="42">
        <f>ROUND(AK83+AL83-AM83-AN83,2)</f>
        <v/>
      </c>
      <c r="AP83">
        <f>AJ83-AN83</f>
        <v/>
      </c>
      <c r="AQ83" s="42">
        <f>AU82</f>
        <v/>
      </c>
      <c r="AR83" s="42">
        <f>ROUND(AQ83*AR$6/12,2)</f>
        <v/>
      </c>
      <c r="AS83" s="42">
        <f>MIN(AS$6,AQ83+AR83)</f>
        <v/>
      </c>
      <c r="AT83" s="42">
        <f>MAX(0,MIN(AQ83+AR83-AS83,AP83))</f>
        <v/>
      </c>
      <c r="AU83" s="42">
        <f>ROUND(AQ83+AR83-AS83-AT83,2)</f>
        <v/>
      </c>
      <c r="AV83">
        <f>AP83-AT83</f>
        <v/>
      </c>
      <c r="AW83" s="42">
        <f>BA82</f>
        <v/>
      </c>
      <c r="AX83" s="42">
        <f>ROUND(AW83*AX$6/12,2)</f>
        <v/>
      </c>
      <c r="AY83" s="42">
        <f>MIN(AY$6,AW83+AX83)</f>
        <v/>
      </c>
      <c r="AZ83" s="42">
        <f>MAX(0,MIN(AW83+AX83-AY83,AV83))</f>
        <v/>
      </c>
      <c r="BA83" s="42">
        <f>ROUND(AW83+AX83-AY83-AZ83,2)</f>
        <v/>
      </c>
      <c r="BB83">
        <f>AV83-AZ83</f>
        <v/>
      </c>
      <c r="BC83" s="42">
        <f>BG82</f>
        <v/>
      </c>
      <c r="BD83" s="42">
        <f>ROUND(BC83*BD$6/12,2)</f>
        <v/>
      </c>
      <c r="BE83" s="42">
        <f>MIN(BE$6,BC83+BD83)</f>
        <v/>
      </c>
      <c r="BF83" s="42">
        <f>MAX(0,MIN(BC83+BD83-BE83,BB83))</f>
        <v/>
      </c>
      <c r="BG83" s="42">
        <f>ROUND(BC83+BD83-BE83-BF83,2)</f>
        <v/>
      </c>
      <c r="BH83">
        <f>BB83-BF83</f>
        <v/>
      </c>
      <c r="BI83" s="42">
        <f>BM82</f>
        <v/>
      </c>
      <c r="BJ83" s="42">
        <f>ROUND(BI83*BJ$6/12,2)</f>
        <v/>
      </c>
      <c r="BK83" s="42">
        <f>MIN(BK$6,BI83+BJ83)</f>
        <v/>
      </c>
      <c r="BL83" s="42">
        <f>MAX(0,MIN(BI83+BJ83-BK83,BH83))</f>
        <v/>
      </c>
      <c r="BM83" s="42">
        <f>ROUND(BI83+BJ83-BK83-BL83,2)</f>
        <v/>
      </c>
      <c r="BN83">
        <f>BH83-BL83</f>
        <v/>
      </c>
    </row>
    <row r="84">
      <c r="A84" s="39" t="n">
        <v>77</v>
      </c>
      <c r="B84" s="40">
        <f>EDATE('My Debts'!$C$6,A84-1)</f>
        <v/>
      </c>
      <c r="C84" s="41">
        <f>K84+Q84+W84+AC84+AI84+AO84+AU84+BA84+BG84+BM84</f>
        <v/>
      </c>
      <c r="D84" s="42">
        <f>I84+O84+U84+AA84+AG84+AM84+AS84+AY84+BE84+BK84+J84+P84+V84+AB84+AH84+AN84+AT84+AZ84+BF84+BL84</f>
        <v/>
      </c>
      <c r="E84" s="42">
        <f>H84+N84+T84+Z84+AF84+AL84+AR84+AX84+BD84+BJ84</f>
        <v/>
      </c>
      <c r="F84" t="n">
        <v>0</v>
      </c>
      <c r="G84" s="42">
        <f>K83</f>
        <v/>
      </c>
      <c r="H84" s="42">
        <f>ROUND(G84*H$6/12,2)</f>
        <v/>
      </c>
      <c r="I84" s="42">
        <f>MIN(I$6,G84+H84)</f>
        <v/>
      </c>
      <c r="J84" s="42">
        <f>MAX(0,MIN(G84+H84-I84,$F84))</f>
        <v/>
      </c>
      <c r="K84" s="42">
        <f>ROUND(G84+H84-I84-J84,2)</f>
        <v/>
      </c>
      <c r="L84">
        <f>$F84-J84</f>
        <v/>
      </c>
      <c r="M84" s="42">
        <f>Q83</f>
        <v/>
      </c>
      <c r="N84" s="42">
        <f>ROUND(M84*N$6/12,2)</f>
        <v/>
      </c>
      <c r="O84" s="42">
        <f>MIN(O$6,M84+N84)</f>
        <v/>
      </c>
      <c r="P84" s="42">
        <f>MAX(0,MIN(M84+N84-O84,L84))</f>
        <v/>
      </c>
      <c r="Q84" s="42">
        <f>ROUND(M84+N84-O84-P84,2)</f>
        <v/>
      </c>
      <c r="R84">
        <f>L84-P84</f>
        <v/>
      </c>
      <c r="S84" s="42">
        <f>W83</f>
        <v/>
      </c>
      <c r="T84" s="42">
        <f>ROUND(S84*T$6/12,2)</f>
        <v/>
      </c>
      <c r="U84" s="42">
        <f>MIN(U$6,S84+T84)</f>
        <v/>
      </c>
      <c r="V84" s="42">
        <f>MAX(0,MIN(S84+T84-U84,R84))</f>
        <v/>
      </c>
      <c r="W84" s="42">
        <f>ROUND(S84+T84-U84-V84,2)</f>
        <v/>
      </c>
      <c r="X84">
        <f>R84-V84</f>
        <v/>
      </c>
      <c r="Y84" s="42">
        <f>AC83</f>
        <v/>
      </c>
      <c r="Z84" s="42">
        <f>ROUND(Y84*Z$6/12,2)</f>
        <v/>
      </c>
      <c r="AA84" s="42">
        <f>MIN(AA$6,Y84+Z84)</f>
        <v/>
      </c>
      <c r="AB84" s="42">
        <f>MAX(0,MIN(Y84+Z84-AA84,X84))</f>
        <v/>
      </c>
      <c r="AC84" s="42">
        <f>ROUND(Y84+Z84-AA84-AB84,2)</f>
        <v/>
      </c>
      <c r="AD84">
        <f>X84-AB84</f>
        <v/>
      </c>
      <c r="AE84" s="42">
        <f>AI83</f>
        <v/>
      </c>
      <c r="AF84" s="42">
        <f>ROUND(AE84*AF$6/12,2)</f>
        <v/>
      </c>
      <c r="AG84" s="42">
        <f>MIN(AG$6,AE84+AF84)</f>
        <v/>
      </c>
      <c r="AH84" s="42">
        <f>MAX(0,MIN(AE84+AF84-AG84,AD84))</f>
        <v/>
      </c>
      <c r="AI84" s="42">
        <f>ROUND(AE84+AF84-AG84-AH84,2)</f>
        <v/>
      </c>
      <c r="AJ84">
        <f>AD84-AH84</f>
        <v/>
      </c>
      <c r="AK84" s="42">
        <f>AO83</f>
        <v/>
      </c>
      <c r="AL84" s="42">
        <f>ROUND(AK84*AL$6/12,2)</f>
        <v/>
      </c>
      <c r="AM84" s="42">
        <f>MIN(AM$6,AK84+AL84)</f>
        <v/>
      </c>
      <c r="AN84" s="42">
        <f>MAX(0,MIN(AK84+AL84-AM84,AJ84))</f>
        <v/>
      </c>
      <c r="AO84" s="42">
        <f>ROUND(AK84+AL84-AM84-AN84,2)</f>
        <v/>
      </c>
      <c r="AP84">
        <f>AJ84-AN84</f>
        <v/>
      </c>
      <c r="AQ84" s="42">
        <f>AU83</f>
        <v/>
      </c>
      <c r="AR84" s="42">
        <f>ROUND(AQ84*AR$6/12,2)</f>
        <v/>
      </c>
      <c r="AS84" s="42">
        <f>MIN(AS$6,AQ84+AR84)</f>
        <v/>
      </c>
      <c r="AT84" s="42">
        <f>MAX(0,MIN(AQ84+AR84-AS84,AP84))</f>
        <v/>
      </c>
      <c r="AU84" s="42">
        <f>ROUND(AQ84+AR84-AS84-AT84,2)</f>
        <v/>
      </c>
      <c r="AV84">
        <f>AP84-AT84</f>
        <v/>
      </c>
      <c r="AW84" s="42">
        <f>BA83</f>
        <v/>
      </c>
      <c r="AX84" s="42">
        <f>ROUND(AW84*AX$6/12,2)</f>
        <v/>
      </c>
      <c r="AY84" s="42">
        <f>MIN(AY$6,AW84+AX84)</f>
        <v/>
      </c>
      <c r="AZ84" s="42">
        <f>MAX(0,MIN(AW84+AX84-AY84,AV84))</f>
        <v/>
      </c>
      <c r="BA84" s="42">
        <f>ROUND(AW84+AX84-AY84-AZ84,2)</f>
        <v/>
      </c>
      <c r="BB84">
        <f>AV84-AZ84</f>
        <v/>
      </c>
      <c r="BC84" s="42">
        <f>BG83</f>
        <v/>
      </c>
      <c r="BD84" s="42">
        <f>ROUND(BC84*BD$6/12,2)</f>
        <v/>
      </c>
      <c r="BE84" s="42">
        <f>MIN(BE$6,BC84+BD84)</f>
        <v/>
      </c>
      <c r="BF84" s="42">
        <f>MAX(0,MIN(BC84+BD84-BE84,BB84))</f>
        <v/>
      </c>
      <c r="BG84" s="42">
        <f>ROUND(BC84+BD84-BE84-BF84,2)</f>
        <v/>
      </c>
      <c r="BH84">
        <f>BB84-BF84</f>
        <v/>
      </c>
      <c r="BI84" s="42">
        <f>BM83</f>
        <v/>
      </c>
      <c r="BJ84" s="42">
        <f>ROUND(BI84*BJ$6/12,2)</f>
        <v/>
      </c>
      <c r="BK84" s="42">
        <f>MIN(BK$6,BI84+BJ84)</f>
        <v/>
      </c>
      <c r="BL84" s="42">
        <f>MAX(0,MIN(BI84+BJ84-BK84,BH84))</f>
        <v/>
      </c>
      <c r="BM84" s="42">
        <f>ROUND(BI84+BJ84-BK84-BL84,2)</f>
        <v/>
      </c>
      <c r="BN84">
        <f>BH84-BL84</f>
        <v/>
      </c>
    </row>
    <row r="85">
      <c r="A85" s="43" t="n">
        <v>78</v>
      </c>
      <c r="B85" s="44">
        <f>EDATE('My Debts'!$C$6,A85-1)</f>
        <v/>
      </c>
      <c r="C85" s="45">
        <f>K85+Q85+W85+AC85+AI85+AO85+AU85+BA85+BG85+BM85</f>
        <v/>
      </c>
      <c r="D85" s="46">
        <f>I85+O85+U85+AA85+AG85+AM85+AS85+AY85+BE85+BK85+J85+P85+V85+AB85+AH85+AN85+AT85+AZ85+BF85+BL85</f>
        <v/>
      </c>
      <c r="E85" s="46">
        <f>H85+N85+T85+Z85+AF85+AL85+AR85+AX85+BD85+BJ85</f>
        <v/>
      </c>
      <c r="F85" t="n">
        <v>0</v>
      </c>
      <c r="G85" s="42">
        <f>K84</f>
        <v/>
      </c>
      <c r="H85" s="42">
        <f>ROUND(G85*H$6/12,2)</f>
        <v/>
      </c>
      <c r="I85" s="42">
        <f>MIN(I$6,G85+H85)</f>
        <v/>
      </c>
      <c r="J85" s="42">
        <f>MAX(0,MIN(G85+H85-I85,$F85))</f>
        <v/>
      </c>
      <c r="K85" s="42">
        <f>ROUND(G85+H85-I85-J85,2)</f>
        <v/>
      </c>
      <c r="L85">
        <f>$F85-J85</f>
        <v/>
      </c>
      <c r="M85" s="42">
        <f>Q84</f>
        <v/>
      </c>
      <c r="N85" s="42">
        <f>ROUND(M85*N$6/12,2)</f>
        <v/>
      </c>
      <c r="O85" s="42">
        <f>MIN(O$6,M85+N85)</f>
        <v/>
      </c>
      <c r="P85" s="42">
        <f>MAX(0,MIN(M85+N85-O85,L85))</f>
        <v/>
      </c>
      <c r="Q85" s="42">
        <f>ROUND(M85+N85-O85-P85,2)</f>
        <v/>
      </c>
      <c r="R85">
        <f>L85-P85</f>
        <v/>
      </c>
      <c r="S85" s="42">
        <f>W84</f>
        <v/>
      </c>
      <c r="T85" s="42">
        <f>ROUND(S85*T$6/12,2)</f>
        <v/>
      </c>
      <c r="U85" s="42">
        <f>MIN(U$6,S85+T85)</f>
        <v/>
      </c>
      <c r="V85" s="42">
        <f>MAX(0,MIN(S85+T85-U85,R85))</f>
        <v/>
      </c>
      <c r="W85" s="42">
        <f>ROUND(S85+T85-U85-V85,2)</f>
        <v/>
      </c>
      <c r="X85">
        <f>R85-V85</f>
        <v/>
      </c>
      <c r="Y85" s="42">
        <f>AC84</f>
        <v/>
      </c>
      <c r="Z85" s="42">
        <f>ROUND(Y85*Z$6/12,2)</f>
        <v/>
      </c>
      <c r="AA85" s="42">
        <f>MIN(AA$6,Y85+Z85)</f>
        <v/>
      </c>
      <c r="AB85" s="42">
        <f>MAX(0,MIN(Y85+Z85-AA85,X85))</f>
        <v/>
      </c>
      <c r="AC85" s="42">
        <f>ROUND(Y85+Z85-AA85-AB85,2)</f>
        <v/>
      </c>
      <c r="AD85">
        <f>X85-AB85</f>
        <v/>
      </c>
      <c r="AE85" s="42">
        <f>AI84</f>
        <v/>
      </c>
      <c r="AF85" s="42">
        <f>ROUND(AE85*AF$6/12,2)</f>
        <v/>
      </c>
      <c r="AG85" s="42">
        <f>MIN(AG$6,AE85+AF85)</f>
        <v/>
      </c>
      <c r="AH85" s="42">
        <f>MAX(0,MIN(AE85+AF85-AG85,AD85))</f>
        <v/>
      </c>
      <c r="AI85" s="42">
        <f>ROUND(AE85+AF85-AG85-AH85,2)</f>
        <v/>
      </c>
      <c r="AJ85">
        <f>AD85-AH85</f>
        <v/>
      </c>
      <c r="AK85" s="42">
        <f>AO84</f>
        <v/>
      </c>
      <c r="AL85" s="42">
        <f>ROUND(AK85*AL$6/12,2)</f>
        <v/>
      </c>
      <c r="AM85" s="42">
        <f>MIN(AM$6,AK85+AL85)</f>
        <v/>
      </c>
      <c r="AN85" s="42">
        <f>MAX(0,MIN(AK85+AL85-AM85,AJ85))</f>
        <v/>
      </c>
      <c r="AO85" s="42">
        <f>ROUND(AK85+AL85-AM85-AN85,2)</f>
        <v/>
      </c>
      <c r="AP85">
        <f>AJ85-AN85</f>
        <v/>
      </c>
      <c r="AQ85" s="42">
        <f>AU84</f>
        <v/>
      </c>
      <c r="AR85" s="42">
        <f>ROUND(AQ85*AR$6/12,2)</f>
        <v/>
      </c>
      <c r="AS85" s="42">
        <f>MIN(AS$6,AQ85+AR85)</f>
        <v/>
      </c>
      <c r="AT85" s="42">
        <f>MAX(0,MIN(AQ85+AR85-AS85,AP85))</f>
        <v/>
      </c>
      <c r="AU85" s="42">
        <f>ROUND(AQ85+AR85-AS85-AT85,2)</f>
        <v/>
      </c>
      <c r="AV85">
        <f>AP85-AT85</f>
        <v/>
      </c>
      <c r="AW85" s="42">
        <f>BA84</f>
        <v/>
      </c>
      <c r="AX85" s="42">
        <f>ROUND(AW85*AX$6/12,2)</f>
        <v/>
      </c>
      <c r="AY85" s="42">
        <f>MIN(AY$6,AW85+AX85)</f>
        <v/>
      </c>
      <c r="AZ85" s="42">
        <f>MAX(0,MIN(AW85+AX85-AY85,AV85))</f>
        <v/>
      </c>
      <c r="BA85" s="42">
        <f>ROUND(AW85+AX85-AY85-AZ85,2)</f>
        <v/>
      </c>
      <c r="BB85">
        <f>AV85-AZ85</f>
        <v/>
      </c>
      <c r="BC85" s="42">
        <f>BG84</f>
        <v/>
      </c>
      <c r="BD85" s="42">
        <f>ROUND(BC85*BD$6/12,2)</f>
        <v/>
      </c>
      <c r="BE85" s="42">
        <f>MIN(BE$6,BC85+BD85)</f>
        <v/>
      </c>
      <c r="BF85" s="42">
        <f>MAX(0,MIN(BC85+BD85-BE85,BB85))</f>
        <v/>
      </c>
      <c r="BG85" s="42">
        <f>ROUND(BC85+BD85-BE85-BF85,2)</f>
        <v/>
      </c>
      <c r="BH85">
        <f>BB85-BF85</f>
        <v/>
      </c>
      <c r="BI85" s="42">
        <f>BM84</f>
        <v/>
      </c>
      <c r="BJ85" s="42">
        <f>ROUND(BI85*BJ$6/12,2)</f>
        <v/>
      </c>
      <c r="BK85" s="42">
        <f>MIN(BK$6,BI85+BJ85)</f>
        <v/>
      </c>
      <c r="BL85" s="42">
        <f>MAX(0,MIN(BI85+BJ85-BK85,BH85))</f>
        <v/>
      </c>
      <c r="BM85" s="42">
        <f>ROUND(BI85+BJ85-BK85-BL85,2)</f>
        <v/>
      </c>
      <c r="BN85">
        <f>BH85-BL85</f>
        <v/>
      </c>
    </row>
    <row r="86">
      <c r="A86" s="39" t="n">
        <v>79</v>
      </c>
      <c r="B86" s="40">
        <f>EDATE('My Debts'!$C$6,A86-1)</f>
        <v/>
      </c>
      <c r="C86" s="41">
        <f>K86+Q86+W86+AC86+AI86+AO86+AU86+BA86+BG86+BM86</f>
        <v/>
      </c>
      <c r="D86" s="42">
        <f>I86+O86+U86+AA86+AG86+AM86+AS86+AY86+BE86+BK86+J86+P86+V86+AB86+AH86+AN86+AT86+AZ86+BF86+BL86</f>
        <v/>
      </c>
      <c r="E86" s="42">
        <f>H86+N86+T86+Z86+AF86+AL86+AR86+AX86+BD86+BJ86</f>
        <v/>
      </c>
      <c r="F86" t="n">
        <v>0</v>
      </c>
      <c r="G86" s="42">
        <f>K85</f>
        <v/>
      </c>
      <c r="H86" s="42">
        <f>ROUND(G86*H$6/12,2)</f>
        <v/>
      </c>
      <c r="I86" s="42">
        <f>MIN(I$6,G86+H86)</f>
        <v/>
      </c>
      <c r="J86" s="42">
        <f>MAX(0,MIN(G86+H86-I86,$F86))</f>
        <v/>
      </c>
      <c r="K86" s="42">
        <f>ROUND(G86+H86-I86-J86,2)</f>
        <v/>
      </c>
      <c r="L86">
        <f>$F86-J86</f>
        <v/>
      </c>
      <c r="M86" s="42">
        <f>Q85</f>
        <v/>
      </c>
      <c r="N86" s="42">
        <f>ROUND(M86*N$6/12,2)</f>
        <v/>
      </c>
      <c r="O86" s="42">
        <f>MIN(O$6,M86+N86)</f>
        <v/>
      </c>
      <c r="P86" s="42">
        <f>MAX(0,MIN(M86+N86-O86,L86))</f>
        <v/>
      </c>
      <c r="Q86" s="42">
        <f>ROUND(M86+N86-O86-P86,2)</f>
        <v/>
      </c>
      <c r="R86">
        <f>L86-P86</f>
        <v/>
      </c>
      <c r="S86" s="42">
        <f>W85</f>
        <v/>
      </c>
      <c r="T86" s="42">
        <f>ROUND(S86*T$6/12,2)</f>
        <v/>
      </c>
      <c r="U86" s="42">
        <f>MIN(U$6,S86+T86)</f>
        <v/>
      </c>
      <c r="V86" s="42">
        <f>MAX(0,MIN(S86+T86-U86,R86))</f>
        <v/>
      </c>
      <c r="W86" s="42">
        <f>ROUND(S86+T86-U86-V86,2)</f>
        <v/>
      </c>
      <c r="X86">
        <f>R86-V86</f>
        <v/>
      </c>
      <c r="Y86" s="42">
        <f>AC85</f>
        <v/>
      </c>
      <c r="Z86" s="42">
        <f>ROUND(Y86*Z$6/12,2)</f>
        <v/>
      </c>
      <c r="AA86" s="42">
        <f>MIN(AA$6,Y86+Z86)</f>
        <v/>
      </c>
      <c r="AB86" s="42">
        <f>MAX(0,MIN(Y86+Z86-AA86,X86))</f>
        <v/>
      </c>
      <c r="AC86" s="42">
        <f>ROUND(Y86+Z86-AA86-AB86,2)</f>
        <v/>
      </c>
      <c r="AD86">
        <f>X86-AB86</f>
        <v/>
      </c>
      <c r="AE86" s="42">
        <f>AI85</f>
        <v/>
      </c>
      <c r="AF86" s="42">
        <f>ROUND(AE86*AF$6/12,2)</f>
        <v/>
      </c>
      <c r="AG86" s="42">
        <f>MIN(AG$6,AE86+AF86)</f>
        <v/>
      </c>
      <c r="AH86" s="42">
        <f>MAX(0,MIN(AE86+AF86-AG86,AD86))</f>
        <v/>
      </c>
      <c r="AI86" s="42">
        <f>ROUND(AE86+AF86-AG86-AH86,2)</f>
        <v/>
      </c>
      <c r="AJ86">
        <f>AD86-AH86</f>
        <v/>
      </c>
      <c r="AK86" s="42">
        <f>AO85</f>
        <v/>
      </c>
      <c r="AL86" s="42">
        <f>ROUND(AK86*AL$6/12,2)</f>
        <v/>
      </c>
      <c r="AM86" s="42">
        <f>MIN(AM$6,AK86+AL86)</f>
        <v/>
      </c>
      <c r="AN86" s="42">
        <f>MAX(0,MIN(AK86+AL86-AM86,AJ86))</f>
        <v/>
      </c>
      <c r="AO86" s="42">
        <f>ROUND(AK86+AL86-AM86-AN86,2)</f>
        <v/>
      </c>
      <c r="AP86">
        <f>AJ86-AN86</f>
        <v/>
      </c>
      <c r="AQ86" s="42">
        <f>AU85</f>
        <v/>
      </c>
      <c r="AR86" s="42">
        <f>ROUND(AQ86*AR$6/12,2)</f>
        <v/>
      </c>
      <c r="AS86" s="42">
        <f>MIN(AS$6,AQ86+AR86)</f>
        <v/>
      </c>
      <c r="AT86" s="42">
        <f>MAX(0,MIN(AQ86+AR86-AS86,AP86))</f>
        <v/>
      </c>
      <c r="AU86" s="42">
        <f>ROUND(AQ86+AR86-AS86-AT86,2)</f>
        <v/>
      </c>
      <c r="AV86">
        <f>AP86-AT86</f>
        <v/>
      </c>
      <c r="AW86" s="42">
        <f>BA85</f>
        <v/>
      </c>
      <c r="AX86" s="42">
        <f>ROUND(AW86*AX$6/12,2)</f>
        <v/>
      </c>
      <c r="AY86" s="42">
        <f>MIN(AY$6,AW86+AX86)</f>
        <v/>
      </c>
      <c r="AZ86" s="42">
        <f>MAX(0,MIN(AW86+AX86-AY86,AV86))</f>
        <v/>
      </c>
      <c r="BA86" s="42">
        <f>ROUND(AW86+AX86-AY86-AZ86,2)</f>
        <v/>
      </c>
      <c r="BB86">
        <f>AV86-AZ86</f>
        <v/>
      </c>
      <c r="BC86" s="42">
        <f>BG85</f>
        <v/>
      </c>
      <c r="BD86" s="42">
        <f>ROUND(BC86*BD$6/12,2)</f>
        <v/>
      </c>
      <c r="BE86" s="42">
        <f>MIN(BE$6,BC86+BD86)</f>
        <v/>
      </c>
      <c r="BF86" s="42">
        <f>MAX(0,MIN(BC86+BD86-BE86,BB86))</f>
        <v/>
      </c>
      <c r="BG86" s="42">
        <f>ROUND(BC86+BD86-BE86-BF86,2)</f>
        <v/>
      </c>
      <c r="BH86">
        <f>BB86-BF86</f>
        <v/>
      </c>
      <c r="BI86" s="42">
        <f>BM85</f>
        <v/>
      </c>
      <c r="BJ86" s="42">
        <f>ROUND(BI86*BJ$6/12,2)</f>
        <v/>
      </c>
      <c r="BK86" s="42">
        <f>MIN(BK$6,BI86+BJ86)</f>
        <v/>
      </c>
      <c r="BL86" s="42">
        <f>MAX(0,MIN(BI86+BJ86-BK86,BH86))</f>
        <v/>
      </c>
      <c r="BM86" s="42">
        <f>ROUND(BI86+BJ86-BK86-BL86,2)</f>
        <v/>
      </c>
      <c r="BN86">
        <f>BH86-BL86</f>
        <v/>
      </c>
    </row>
    <row r="87">
      <c r="A87" s="43" t="n">
        <v>80</v>
      </c>
      <c r="B87" s="44">
        <f>EDATE('My Debts'!$C$6,A87-1)</f>
        <v/>
      </c>
      <c r="C87" s="45">
        <f>K87+Q87+W87+AC87+AI87+AO87+AU87+BA87+BG87+BM87</f>
        <v/>
      </c>
      <c r="D87" s="46">
        <f>I87+O87+U87+AA87+AG87+AM87+AS87+AY87+BE87+BK87+J87+P87+V87+AB87+AH87+AN87+AT87+AZ87+BF87+BL87</f>
        <v/>
      </c>
      <c r="E87" s="46">
        <f>H87+N87+T87+Z87+AF87+AL87+AR87+AX87+BD87+BJ87</f>
        <v/>
      </c>
      <c r="F87" t="n">
        <v>0</v>
      </c>
      <c r="G87" s="42">
        <f>K86</f>
        <v/>
      </c>
      <c r="H87" s="42">
        <f>ROUND(G87*H$6/12,2)</f>
        <v/>
      </c>
      <c r="I87" s="42">
        <f>MIN(I$6,G87+H87)</f>
        <v/>
      </c>
      <c r="J87" s="42">
        <f>MAX(0,MIN(G87+H87-I87,$F87))</f>
        <v/>
      </c>
      <c r="K87" s="42">
        <f>ROUND(G87+H87-I87-J87,2)</f>
        <v/>
      </c>
      <c r="L87">
        <f>$F87-J87</f>
        <v/>
      </c>
      <c r="M87" s="42">
        <f>Q86</f>
        <v/>
      </c>
      <c r="N87" s="42">
        <f>ROUND(M87*N$6/12,2)</f>
        <v/>
      </c>
      <c r="O87" s="42">
        <f>MIN(O$6,M87+N87)</f>
        <v/>
      </c>
      <c r="P87" s="42">
        <f>MAX(0,MIN(M87+N87-O87,L87))</f>
        <v/>
      </c>
      <c r="Q87" s="42">
        <f>ROUND(M87+N87-O87-P87,2)</f>
        <v/>
      </c>
      <c r="R87">
        <f>L87-P87</f>
        <v/>
      </c>
      <c r="S87" s="42">
        <f>W86</f>
        <v/>
      </c>
      <c r="T87" s="42">
        <f>ROUND(S87*T$6/12,2)</f>
        <v/>
      </c>
      <c r="U87" s="42">
        <f>MIN(U$6,S87+T87)</f>
        <v/>
      </c>
      <c r="V87" s="42">
        <f>MAX(0,MIN(S87+T87-U87,R87))</f>
        <v/>
      </c>
      <c r="W87" s="42">
        <f>ROUND(S87+T87-U87-V87,2)</f>
        <v/>
      </c>
      <c r="X87">
        <f>R87-V87</f>
        <v/>
      </c>
      <c r="Y87" s="42">
        <f>AC86</f>
        <v/>
      </c>
      <c r="Z87" s="42">
        <f>ROUND(Y87*Z$6/12,2)</f>
        <v/>
      </c>
      <c r="AA87" s="42">
        <f>MIN(AA$6,Y87+Z87)</f>
        <v/>
      </c>
      <c r="AB87" s="42">
        <f>MAX(0,MIN(Y87+Z87-AA87,X87))</f>
        <v/>
      </c>
      <c r="AC87" s="42">
        <f>ROUND(Y87+Z87-AA87-AB87,2)</f>
        <v/>
      </c>
      <c r="AD87">
        <f>X87-AB87</f>
        <v/>
      </c>
      <c r="AE87" s="42">
        <f>AI86</f>
        <v/>
      </c>
      <c r="AF87" s="42">
        <f>ROUND(AE87*AF$6/12,2)</f>
        <v/>
      </c>
      <c r="AG87" s="42">
        <f>MIN(AG$6,AE87+AF87)</f>
        <v/>
      </c>
      <c r="AH87" s="42">
        <f>MAX(0,MIN(AE87+AF87-AG87,AD87))</f>
        <v/>
      </c>
      <c r="AI87" s="42">
        <f>ROUND(AE87+AF87-AG87-AH87,2)</f>
        <v/>
      </c>
      <c r="AJ87">
        <f>AD87-AH87</f>
        <v/>
      </c>
      <c r="AK87" s="42">
        <f>AO86</f>
        <v/>
      </c>
      <c r="AL87" s="42">
        <f>ROUND(AK87*AL$6/12,2)</f>
        <v/>
      </c>
      <c r="AM87" s="42">
        <f>MIN(AM$6,AK87+AL87)</f>
        <v/>
      </c>
      <c r="AN87" s="42">
        <f>MAX(0,MIN(AK87+AL87-AM87,AJ87))</f>
        <v/>
      </c>
      <c r="AO87" s="42">
        <f>ROUND(AK87+AL87-AM87-AN87,2)</f>
        <v/>
      </c>
      <c r="AP87">
        <f>AJ87-AN87</f>
        <v/>
      </c>
      <c r="AQ87" s="42">
        <f>AU86</f>
        <v/>
      </c>
      <c r="AR87" s="42">
        <f>ROUND(AQ87*AR$6/12,2)</f>
        <v/>
      </c>
      <c r="AS87" s="42">
        <f>MIN(AS$6,AQ87+AR87)</f>
        <v/>
      </c>
      <c r="AT87" s="42">
        <f>MAX(0,MIN(AQ87+AR87-AS87,AP87))</f>
        <v/>
      </c>
      <c r="AU87" s="42">
        <f>ROUND(AQ87+AR87-AS87-AT87,2)</f>
        <v/>
      </c>
      <c r="AV87">
        <f>AP87-AT87</f>
        <v/>
      </c>
      <c r="AW87" s="42">
        <f>BA86</f>
        <v/>
      </c>
      <c r="AX87" s="42">
        <f>ROUND(AW87*AX$6/12,2)</f>
        <v/>
      </c>
      <c r="AY87" s="42">
        <f>MIN(AY$6,AW87+AX87)</f>
        <v/>
      </c>
      <c r="AZ87" s="42">
        <f>MAX(0,MIN(AW87+AX87-AY87,AV87))</f>
        <v/>
      </c>
      <c r="BA87" s="42">
        <f>ROUND(AW87+AX87-AY87-AZ87,2)</f>
        <v/>
      </c>
      <c r="BB87">
        <f>AV87-AZ87</f>
        <v/>
      </c>
      <c r="BC87" s="42">
        <f>BG86</f>
        <v/>
      </c>
      <c r="BD87" s="42">
        <f>ROUND(BC87*BD$6/12,2)</f>
        <v/>
      </c>
      <c r="BE87" s="42">
        <f>MIN(BE$6,BC87+BD87)</f>
        <v/>
      </c>
      <c r="BF87" s="42">
        <f>MAX(0,MIN(BC87+BD87-BE87,BB87))</f>
        <v/>
      </c>
      <c r="BG87" s="42">
        <f>ROUND(BC87+BD87-BE87-BF87,2)</f>
        <v/>
      </c>
      <c r="BH87">
        <f>BB87-BF87</f>
        <v/>
      </c>
      <c r="BI87" s="42">
        <f>BM86</f>
        <v/>
      </c>
      <c r="BJ87" s="42">
        <f>ROUND(BI87*BJ$6/12,2)</f>
        <v/>
      </c>
      <c r="BK87" s="42">
        <f>MIN(BK$6,BI87+BJ87)</f>
        <v/>
      </c>
      <c r="BL87" s="42">
        <f>MAX(0,MIN(BI87+BJ87-BK87,BH87))</f>
        <v/>
      </c>
      <c r="BM87" s="42">
        <f>ROUND(BI87+BJ87-BK87-BL87,2)</f>
        <v/>
      </c>
      <c r="BN87">
        <f>BH87-BL87</f>
        <v/>
      </c>
    </row>
    <row r="88">
      <c r="A88" s="39" t="n">
        <v>81</v>
      </c>
      <c r="B88" s="40">
        <f>EDATE('My Debts'!$C$6,A88-1)</f>
        <v/>
      </c>
      <c r="C88" s="41">
        <f>K88+Q88+W88+AC88+AI88+AO88+AU88+BA88+BG88+BM88</f>
        <v/>
      </c>
      <c r="D88" s="42">
        <f>I88+O88+U88+AA88+AG88+AM88+AS88+AY88+BE88+BK88+J88+P88+V88+AB88+AH88+AN88+AT88+AZ88+BF88+BL88</f>
        <v/>
      </c>
      <c r="E88" s="42">
        <f>H88+N88+T88+Z88+AF88+AL88+AR88+AX88+BD88+BJ88</f>
        <v/>
      </c>
      <c r="F88" t="n">
        <v>0</v>
      </c>
      <c r="G88" s="42">
        <f>K87</f>
        <v/>
      </c>
      <c r="H88" s="42">
        <f>ROUND(G88*H$6/12,2)</f>
        <v/>
      </c>
      <c r="I88" s="42">
        <f>MIN(I$6,G88+H88)</f>
        <v/>
      </c>
      <c r="J88" s="42">
        <f>MAX(0,MIN(G88+H88-I88,$F88))</f>
        <v/>
      </c>
      <c r="K88" s="42">
        <f>ROUND(G88+H88-I88-J88,2)</f>
        <v/>
      </c>
      <c r="L88">
        <f>$F88-J88</f>
        <v/>
      </c>
      <c r="M88" s="42">
        <f>Q87</f>
        <v/>
      </c>
      <c r="N88" s="42">
        <f>ROUND(M88*N$6/12,2)</f>
        <v/>
      </c>
      <c r="O88" s="42">
        <f>MIN(O$6,M88+N88)</f>
        <v/>
      </c>
      <c r="P88" s="42">
        <f>MAX(0,MIN(M88+N88-O88,L88))</f>
        <v/>
      </c>
      <c r="Q88" s="42">
        <f>ROUND(M88+N88-O88-P88,2)</f>
        <v/>
      </c>
      <c r="R88">
        <f>L88-P88</f>
        <v/>
      </c>
      <c r="S88" s="42">
        <f>W87</f>
        <v/>
      </c>
      <c r="T88" s="42">
        <f>ROUND(S88*T$6/12,2)</f>
        <v/>
      </c>
      <c r="U88" s="42">
        <f>MIN(U$6,S88+T88)</f>
        <v/>
      </c>
      <c r="V88" s="42">
        <f>MAX(0,MIN(S88+T88-U88,R88))</f>
        <v/>
      </c>
      <c r="W88" s="42">
        <f>ROUND(S88+T88-U88-V88,2)</f>
        <v/>
      </c>
      <c r="X88">
        <f>R88-V88</f>
        <v/>
      </c>
      <c r="Y88" s="42">
        <f>AC87</f>
        <v/>
      </c>
      <c r="Z88" s="42">
        <f>ROUND(Y88*Z$6/12,2)</f>
        <v/>
      </c>
      <c r="AA88" s="42">
        <f>MIN(AA$6,Y88+Z88)</f>
        <v/>
      </c>
      <c r="AB88" s="42">
        <f>MAX(0,MIN(Y88+Z88-AA88,X88))</f>
        <v/>
      </c>
      <c r="AC88" s="42">
        <f>ROUND(Y88+Z88-AA88-AB88,2)</f>
        <v/>
      </c>
      <c r="AD88">
        <f>X88-AB88</f>
        <v/>
      </c>
      <c r="AE88" s="42">
        <f>AI87</f>
        <v/>
      </c>
      <c r="AF88" s="42">
        <f>ROUND(AE88*AF$6/12,2)</f>
        <v/>
      </c>
      <c r="AG88" s="42">
        <f>MIN(AG$6,AE88+AF88)</f>
        <v/>
      </c>
      <c r="AH88" s="42">
        <f>MAX(0,MIN(AE88+AF88-AG88,AD88))</f>
        <v/>
      </c>
      <c r="AI88" s="42">
        <f>ROUND(AE88+AF88-AG88-AH88,2)</f>
        <v/>
      </c>
      <c r="AJ88">
        <f>AD88-AH88</f>
        <v/>
      </c>
      <c r="AK88" s="42">
        <f>AO87</f>
        <v/>
      </c>
      <c r="AL88" s="42">
        <f>ROUND(AK88*AL$6/12,2)</f>
        <v/>
      </c>
      <c r="AM88" s="42">
        <f>MIN(AM$6,AK88+AL88)</f>
        <v/>
      </c>
      <c r="AN88" s="42">
        <f>MAX(0,MIN(AK88+AL88-AM88,AJ88))</f>
        <v/>
      </c>
      <c r="AO88" s="42">
        <f>ROUND(AK88+AL88-AM88-AN88,2)</f>
        <v/>
      </c>
      <c r="AP88">
        <f>AJ88-AN88</f>
        <v/>
      </c>
      <c r="AQ88" s="42">
        <f>AU87</f>
        <v/>
      </c>
      <c r="AR88" s="42">
        <f>ROUND(AQ88*AR$6/12,2)</f>
        <v/>
      </c>
      <c r="AS88" s="42">
        <f>MIN(AS$6,AQ88+AR88)</f>
        <v/>
      </c>
      <c r="AT88" s="42">
        <f>MAX(0,MIN(AQ88+AR88-AS88,AP88))</f>
        <v/>
      </c>
      <c r="AU88" s="42">
        <f>ROUND(AQ88+AR88-AS88-AT88,2)</f>
        <v/>
      </c>
      <c r="AV88">
        <f>AP88-AT88</f>
        <v/>
      </c>
      <c r="AW88" s="42">
        <f>BA87</f>
        <v/>
      </c>
      <c r="AX88" s="42">
        <f>ROUND(AW88*AX$6/12,2)</f>
        <v/>
      </c>
      <c r="AY88" s="42">
        <f>MIN(AY$6,AW88+AX88)</f>
        <v/>
      </c>
      <c r="AZ88" s="42">
        <f>MAX(0,MIN(AW88+AX88-AY88,AV88))</f>
        <v/>
      </c>
      <c r="BA88" s="42">
        <f>ROUND(AW88+AX88-AY88-AZ88,2)</f>
        <v/>
      </c>
      <c r="BB88">
        <f>AV88-AZ88</f>
        <v/>
      </c>
      <c r="BC88" s="42">
        <f>BG87</f>
        <v/>
      </c>
      <c r="BD88" s="42">
        <f>ROUND(BC88*BD$6/12,2)</f>
        <v/>
      </c>
      <c r="BE88" s="42">
        <f>MIN(BE$6,BC88+BD88)</f>
        <v/>
      </c>
      <c r="BF88" s="42">
        <f>MAX(0,MIN(BC88+BD88-BE88,BB88))</f>
        <v/>
      </c>
      <c r="BG88" s="42">
        <f>ROUND(BC88+BD88-BE88-BF88,2)</f>
        <v/>
      </c>
      <c r="BH88">
        <f>BB88-BF88</f>
        <v/>
      </c>
      <c r="BI88" s="42">
        <f>BM87</f>
        <v/>
      </c>
      <c r="BJ88" s="42">
        <f>ROUND(BI88*BJ$6/12,2)</f>
        <v/>
      </c>
      <c r="BK88" s="42">
        <f>MIN(BK$6,BI88+BJ88)</f>
        <v/>
      </c>
      <c r="BL88" s="42">
        <f>MAX(0,MIN(BI88+BJ88-BK88,BH88))</f>
        <v/>
      </c>
      <c r="BM88" s="42">
        <f>ROUND(BI88+BJ88-BK88-BL88,2)</f>
        <v/>
      </c>
      <c r="BN88">
        <f>BH88-BL88</f>
        <v/>
      </c>
    </row>
    <row r="89">
      <c r="A89" s="43" t="n">
        <v>82</v>
      </c>
      <c r="B89" s="44">
        <f>EDATE('My Debts'!$C$6,A89-1)</f>
        <v/>
      </c>
      <c r="C89" s="45">
        <f>K89+Q89+W89+AC89+AI89+AO89+AU89+BA89+BG89+BM89</f>
        <v/>
      </c>
      <c r="D89" s="46">
        <f>I89+O89+U89+AA89+AG89+AM89+AS89+AY89+BE89+BK89+J89+P89+V89+AB89+AH89+AN89+AT89+AZ89+BF89+BL89</f>
        <v/>
      </c>
      <c r="E89" s="46">
        <f>H89+N89+T89+Z89+AF89+AL89+AR89+AX89+BD89+BJ89</f>
        <v/>
      </c>
      <c r="F89" t="n">
        <v>0</v>
      </c>
      <c r="G89" s="42">
        <f>K88</f>
        <v/>
      </c>
      <c r="H89" s="42">
        <f>ROUND(G89*H$6/12,2)</f>
        <v/>
      </c>
      <c r="I89" s="42">
        <f>MIN(I$6,G89+H89)</f>
        <v/>
      </c>
      <c r="J89" s="42">
        <f>MAX(0,MIN(G89+H89-I89,$F89))</f>
        <v/>
      </c>
      <c r="K89" s="42">
        <f>ROUND(G89+H89-I89-J89,2)</f>
        <v/>
      </c>
      <c r="L89">
        <f>$F89-J89</f>
        <v/>
      </c>
      <c r="M89" s="42">
        <f>Q88</f>
        <v/>
      </c>
      <c r="N89" s="42">
        <f>ROUND(M89*N$6/12,2)</f>
        <v/>
      </c>
      <c r="O89" s="42">
        <f>MIN(O$6,M89+N89)</f>
        <v/>
      </c>
      <c r="P89" s="42">
        <f>MAX(0,MIN(M89+N89-O89,L89))</f>
        <v/>
      </c>
      <c r="Q89" s="42">
        <f>ROUND(M89+N89-O89-P89,2)</f>
        <v/>
      </c>
      <c r="R89">
        <f>L89-P89</f>
        <v/>
      </c>
      <c r="S89" s="42">
        <f>W88</f>
        <v/>
      </c>
      <c r="T89" s="42">
        <f>ROUND(S89*T$6/12,2)</f>
        <v/>
      </c>
      <c r="U89" s="42">
        <f>MIN(U$6,S89+T89)</f>
        <v/>
      </c>
      <c r="V89" s="42">
        <f>MAX(0,MIN(S89+T89-U89,R89))</f>
        <v/>
      </c>
      <c r="W89" s="42">
        <f>ROUND(S89+T89-U89-V89,2)</f>
        <v/>
      </c>
      <c r="X89">
        <f>R89-V89</f>
        <v/>
      </c>
      <c r="Y89" s="42">
        <f>AC88</f>
        <v/>
      </c>
      <c r="Z89" s="42">
        <f>ROUND(Y89*Z$6/12,2)</f>
        <v/>
      </c>
      <c r="AA89" s="42">
        <f>MIN(AA$6,Y89+Z89)</f>
        <v/>
      </c>
      <c r="AB89" s="42">
        <f>MAX(0,MIN(Y89+Z89-AA89,X89))</f>
        <v/>
      </c>
      <c r="AC89" s="42">
        <f>ROUND(Y89+Z89-AA89-AB89,2)</f>
        <v/>
      </c>
      <c r="AD89">
        <f>X89-AB89</f>
        <v/>
      </c>
      <c r="AE89" s="42">
        <f>AI88</f>
        <v/>
      </c>
      <c r="AF89" s="42">
        <f>ROUND(AE89*AF$6/12,2)</f>
        <v/>
      </c>
      <c r="AG89" s="42">
        <f>MIN(AG$6,AE89+AF89)</f>
        <v/>
      </c>
      <c r="AH89" s="42">
        <f>MAX(0,MIN(AE89+AF89-AG89,AD89))</f>
        <v/>
      </c>
      <c r="AI89" s="42">
        <f>ROUND(AE89+AF89-AG89-AH89,2)</f>
        <v/>
      </c>
      <c r="AJ89">
        <f>AD89-AH89</f>
        <v/>
      </c>
      <c r="AK89" s="42">
        <f>AO88</f>
        <v/>
      </c>
      <c r="AL89" s="42">
        <f>ROUND(AK89*AL$6/12,2)</f>
        <v/>
      </c>
      <c r="AM89" s="42">
        <f>MIN(AM$6,AK89+AL89)</f>
        <v/>
      </c>
      <c r="AN89" s="42">
        <f>MAX(0,MIN(AK89+AL89-AM89,AJ89))</f>
        <v/>
      </c>
      <c r="AO89" s="42">
        <f>ROUND(AK89+AL89-AM89-AN89,2)</f>
        <v/>
      </c>
      <c r="AP89">
        <f>AJ89-AN89</f>
        <v/>
      </c>
      <c r="AQ89" s="42">
        <f>AU88</f>
        <v/>
      </c>
      <c r="AR89" s="42">
        <f>ROUND(AQ89*AR$6/12,2)</f>
        <v/>
      </c>
      <c r="AS89" s="42">
        <f>MIN(AS$6,AQ89+AR89)</f>
        <v/>
      </c>
      <c r="AT89" s="42">
        <f>MAX(0,MIN(AQ89+AR89-AS89,AP89))</f>
        <v/>
      </c>
      <c r="AU89" s="42">
        <f>ROUND(AQ89+AR89-AS89-AT89,2)</f>
        <v/>
      </c>
      <c r="AV89">
        <f>AP89-AT89</f>
        <v/>
      </c>
      <c r="AW89" s="42">
        <f>BA88</f>
        <v/>
      </c>
      <c r="AX89" s="42">
        <f>ROUND(AW89*AX$6/12,2)</f>
        <v/>
      </c>
      <c r="AY89" s="42">
        <f>MIN(AY$6,AW89+AX89)</f>
        <v/>
      </c>
      <c r="AZ89" s="42">
        <f>MAX(0,MIN(AW89+AX89-AY89,AV89))</f>
        <v/>
      </c>
      <c r="BA89" s="42">
        <f>ROUND(AW89+AX89-AY89-AZ89,2)</f>
        <v/>
      </c>
      <c r="BB89">
        <f>AV89-AZ89</f>
        <v/>
      </c>
      <c r="BC89" s="42">
        <f>BG88</f>
        <v/>
      </c>
      <c r="BD89" s="42">
        <f>ROUND(BC89*BD$6/12,2)</f>
        <v/>
      </c>
      <c r="BE89" s="42">
        <f>MIN(BE$6,BC89+BD89)</f>
        <v/>
      </c>
      <c r="BF89" s="42">
        <f>MAX(0,MIN(BC89+BD89-BE89,BB89))</f>
        <v/>
      </c>
      <c r="BG89" s="42">
        <f>ROUND(BC89+BD89-BE89-BF89,2)</f>
        <v/>
      </c>
      <c r="BH89">
        <f>BB89-BF89</f>
        <v/>
      </c>
      <c r="BI89" s="42">
        <f>BM88</f>
        <v/>
      </c>
      <c r="BJ89" s="42">
        <f>ROUND(BI89*BJ$6/12,2)</f>
        <v/>
      </c>
      <c r="BK89" s="42">
        <f>MIN(BK$6,BI89+BJ89)</f>
        <v/>
      </c>
      <c r="BL89" s="42">
        <f>MAX(0,MIN(BI89+BJ89-BK89,BH89))</f>
        <v/>
      </c>
      <c r="BM89" s="42">
        <f>ROUND(BI89+BJ89-BK89-BL89,2)</f>
        <v/>
      </c>
      <c r="BN89">
        <f>BH89-BL89</f>
        <v/>
      </c>
    </row>
    <row r="90">
      <c r="A90" s="39" t="n">
        <v>83</v>
      </c>
      <c r="B90" s="40">
        <f>EDATE('My Debts'!$C$6,A90-1)</f>
        <v/>
      </c>
      <c r="C90" s="41">
        <f>K90+Q90+W90+AC90+AI90+AO90+AU90+BA90+BG90+BM90</f>
        <v/>
      </c>
      <c r="D90" s="42">
        <f>I90+O90+U90+AA90+AG90+AM90+AS90+AY90+BE90+BK90+J90+P90+V90+AB90+AH90+AN90+AT90+AZ90+BF90+BL90</f>
        <v/>
      </c>
      <c r="E90" s="42">
        <f>H90+N90+T90+Z90+AF90+AL90+AR90+AX90+BD90+BJ90</f>
        <v/>
      </c>
      <c r="F90" t="n">
        <v>0</v>
      </c>
      <c r="G90" s="42">
        <f>K89</f>
        <v/>
      </c>
      <c r="H90" s="42">
        <f>ROUND(G90*H$6/12,2)</f>
        <v/>
      </c>
      <c r="I90" s="42">
        <f>MIN(I$6,G90+H90)</f>
        <v/>
      </c>
      <c r="J90" s="42">
        <f>MAX(0,MIN(G90+H90-I90,$F90))</f>
        <v/>
      </c>
      <c r="K90" s="42">
        <f>ROUND(G90+H90-I90-J90,2)</f>
        <v/>
      </c>
      <c r="L90">
        <f>$F90-J90</f>
        <v/>
      </c>
      <c r="M90" s="42">
        <f>Q89</f>
        <v/>
      </c>
      <c r="N90" s="42">
        <f>ROUND(M90*N$6/12,2)</f>
        <v/>
      </c>
      <c r="O90" s="42">
        <f>MIN(O$6,M90+N90)</f>
        <v/>
      </c>
      <c r="P90" s="42">
        <f>MAX(0,MIN(M90+N90-O90,L90))</f>
        <v/>
      </c>
      <c r="Q90" s="42">
        <f>ROUND(M90+N90-O90-P90,2)</f>
        <v/>
      </c>
      <c r="R90">
        <f>L90-P90</f>
        <v/>
      </c>
      <c r="S90" s="42">
        <f>W89</f>
        <v/>
      </c>
      <c r="T90" s="42">
        <f>ROUND(S90*T$6/12,2)</f>
        <v/>
      </c>
      <c r="U90" s="42">
        <f>MIN(U$6,S90+T90)</f>
        <v/>
      </c>
      <c r="V90" s="42">
        <f>MAX(0,MIN(S90+T90-U90,R90))</f>
        <v/>
      </c>
      <c r="W90" s="42">
        <f>ROUND(S90+T90-U90-V90,2)</f>
        <v/>
      </c>
      <c r="X90">
        <f>R90-V90</f>
        <v/>
      </c>
      <c r="Y90" s="42">
        <f>AC89</f>
        <v/>
      </c>
      <c r="Z90" s="42">
        <f>ROUND(Y90*Z$6/12,2)</f>
        <v/>
      </c>
      <c r="AA90" s="42">
        <f>MIN(AA$6,Y90+Z90)</f>
        <v/>
      </c>
      <c r="AB90" s="42">
        <f>MAX(0,MIN(Y90+Z90-AA90,X90))</f>
        <v/>
      </c>
      <c r="AC90" s="42">
        <f>ROUND(Y90+Z90-AA90-AB90,2)</f>
        <v/>
      </c>
      <c r="AD90">
        <f>X90-AB90</f>
        <v/>
      </c>
      <c r="AE90" s="42">
        <f>AI89</f>
        <v/>
      </c>
      <c r="AF90" s="42">
        <f>ROUND(AE90*AF$6/12,2)</f>
        <v/>
      </c>
      <c r="AG90" s="42">
        <f>MIN(AG$6,AE90+AF90)</f>
        <v/>
      </c>
      <c r="AH90" s="42">
        <f>MAX(0,MIN(AE90+AF90-AG90,AD90))</f>
        <v/>
      </c>
      <c r="AI90" s="42">
        <f>ROUND(AE90+AF90-AG90-AH90,2)</f>
        <v/>
      </c>
      <c r="AJ90">
        <f>AD90-AH90</f>
        <v/>
      </c>
      <c r="AK90" s="42">
        <f>AO89</f>
        <v/>
      </c>
      <c r="AL90" s="42">
        <f>ROUND(AK90*AL$6/12,2)</f>
        <v/>
      </c>
      <c r="AM90" s="42">
        <f>MIN(AM$6,AK90+AL90)</f>
        <v/>
      </c>
      <c r="AN90" s="42">
        <f>MAX(0,MIN(AK90+AL90-AM90,AJ90))</f>
        <v/>
      </c>
      <c r="AO90" s="42">
        <f>ROUND(AK90+AL90-AM90-AN90,2)</f>
        <v/>
      </c>
      <c r="AP90">
        <f>AJ90-AN90</f>
        <v/>
      </c>
      <c r="AQ90" s="42">
        <f>AU89</f>
        <v/>
      </c>
      <c r="AR90" s="42">
        <f>ROUND(AQ90*AR$6/12,2)</f>
        <v/>
      </c>
      <c r="AS90" s="42">
        <f>MIN(AS$6,AQ90+AR90)</f>
        <v/>
      </c>
      <c r="AT90" s="42">
        <f>MAX(0,MIN(AQ90+AR90-AS90,AP90))</f>
        <v/>
      </c>
      <c r="AU90" s="42">
        <f>ROUND(AQ90+AR90-AS90-AT90,2)</f>
        <v/>
      </c>
      <c r="AV90">
        <f>AP90-AT90</f>
        <v/>
      </c>
      <c r="AW90" s="42">
        <f>BA89</f>
        <v/>
      </c>
      <c r="AX90" s="42">
        <f>ROUND(AW90*AX$6/12,2)</f>
        <v/>
      </c>
      <c r="AY90" s="42">
        <f>MIN(AY$6,AW90+AX90)</f>
        <v/>
      </c>
      <c r="AZ90" s="42">
        <f>MAX(0,MIN(AW90+AX90-AY90,AV90))</f>
        <v/>
      </c>
      <c r="BA90" s="42">
        <f>ROUND(AW90+AX90-AY90-AZ90,2)</f>
        <v/>
      </c>
      <c r="BB90">
        <f>AV90-AZ90</f>
        <v/>
      </c>
      <c r="BC90" s="42">
        <f>BG89</f>
        <v/>
      </c>
      <c r="BD90" s="42">
        <f>ROUND(BC90*BD$6/12,2)</f>
        <v/>
      </c>
      <c r="BE90" s="42">
        <f>MIN(BE$6,BC90+BD90)</f>
        <v/>
      </c>
      <c r="BF90" s="42">
        <f>MAX(0,MIN(BC90+BD90-BE90,BB90))</f>
        <v/>
      </c>
      <c r="BG90" s="42">
        <f>ROUND(BC90+BD90-BE90-BF90,2)</f>
        <v/>
      </c>
      <c r="BH90">
        <f>BB90-BF90</f>
        <v/>
      </c>
      <c r="BI90" s="42">
        <f>BM89</f>
        <v/>
      </c>
      <c r="BJ90" s="42">
        <f>ROUND(BI90*BJ$6/12,2)</f>
        <v/>
      </c>
      <c r="BK90" s="42">
        <f>MIN(BK$6,BI90+BJ90)</f>
        <v/>
      </c>
      <c r="BL90" s="42">
        <f>MAX(0,MIN(BI90+BJ90-BK90,BH90))</f>
        <v/>
      </c>
      <c r="BM90" s="42">
        <f>ROUND(BI90+BJ90-BK90-BL90,2)</f>
        <v/>
      </c>
      <c r="BN90">
        <f>BH90-BL90</f>
        <v/>
      </c>
    </row>
    <row r="91">
      <c r="A91" s="43" t="n">
        <v>84</v>
      </c>
      <c r="B91" s="44">
        <f>EDATE('My Debts'!$C$6,A91-1)</f>
        <v/>
      </c>
      <c r="C91" s="45">
        <f>K91+Q91+W91+AC91+AI91+AO91+AU91+BA91+BG91+BM91</f>
        <v/>
      </c>
      <c r="D91" s="46">
        <f>I91+O91+U91+AA91+AG91+AM91+AS91+AY91+BE91+BK91+J91+P91+V91+AB91+AH91+AN91+AT91+AZ91+BF91+BL91</f>
        <v/>
      </c>
      <c r="E91" s="46">
        <f>H91+N91+T91+Z91+AF91+AL91+AR91+AX91+BD91+BJ91</f>
        <v/>
      </c>
      <c r="F91" t="n">
        <v>0</v>
      </c>
      <c r="G91" s="42">
        <f>K90</f>
        <v/>
      </c>
      <c r="H91" s="42">
        <f>ROUND(G91*H$6/12,2)</f>
        <v/>
      </c>
      <c r="I91" s="42">
        <f>MIN(I$6,G91+H91)</f>
        <v/>
      </c>
      <c r="J91" s="42">
        <f>MAX(0,MIN(G91+H91-I91,$F91))</f>
        <v/>
      </c>
      <c r="K91" s="42">
        <f>ROUND(G91+H91-I91-J91,2)</f>
        <v/>
      </c>
      <c r="L91">
        <f>$F91-J91</f>
        <v/>
      </c>
      <c r="M91" s="42">
        <f>Q90</f>
        <v/>
      </c>
      <c r="N91" s="42">
        <f>ROUND(M91*N$6/12,2)</f>
        <v/>
      </c>
      <c r="O91" s="42">
        <f>MIN(O$6,M91+N91)</f>
        <v/>
      </c>
      <c r="P91" s="42">
        <f>MAX(0,MIN(M91+N91-O91,L91))</f>
        <v/>
      </c>
      <c r="Q91" s="42">
        <f>ROUND(M91+N91-O91-P91,2)</f>
        <v/>
      </c>
      <c r="R91">
        <f>L91-P91</f>
        <v/>
      </c>
      <c r="S91" s="42">
        <f>W90</f>
        <v/>
      </c>
      <c r="T91" s="42">
        <f>ROUND(S91*T$6/12,2)</f>
        <v/>
      </c>
      <c r="U91" s="42">
        <f>MIN(U$6,S91+T91)</f>
        <v/>
      </c>
      <c r="V91" s="42">
        <f>MAX(0,MIN(S91+T91-U91,R91))</f>
        <v/>
      </c>
      <c r="W91" s="42">
        <f>ROUND(S91+T91-U91-V91,2)</f>
        <v/>
      </c>
      <c r="X91">
        <f>R91-V91</f>
        <v/>
      </c>
      <c r="Y91" s="42">
        <f>AC90</f>
        <v/>
      </c>
      <c r="Z91" s="42">
        <f>ROUND(Y91*Z$6/12,2)</f>
        <v/>
      </c>
      <c r="AA91" s="42">
        <f>MIN(AA$6,Y91+Z91)</f>
        <v/>
      </c>
      <c r="AB91" s="42">
        <f>MAX(0,MIN(Y91+Z91-AA91,X91))</f>
        <v/>
      </c>
      <c r="AC91" s="42">
        <f>ROUND(Y91+Z91-AA91-AB91,2)</f>
        <v/>
      </c>
      <c r="AD91">
        <f>X91-AB91</f>
        <v/>
      </c>
      <c r="AE91" s="42">
        <f>AI90</f>
        <v/>
      </c>
      <c r="AF91" s="42">
        <f>ROUND(AE91*AF$6/12,2)</f>
        <v/>
      </c>
      <c r="AG91" s="42">
        <f>MIN(AG$6,AE91+AF91)</f>
        <v/>
      </c>
      <c r="AH91" s="42">
        <f>MAX(0,MIN(AE91+AF91-AG91,AD91))</f>
        <v/>
      </c>
      <c r="AI91" s="42">
        <f>ROUND(AE91+AF91-AG91-AH91,2)</f>
        <v/>
      </c>
      <c r="AJ91">
        <f>AD91-AH91</f>
        <v/>
      </c>
      <c r="AK91" s="42">
        <f>AO90</f>
        <v/>
      </c>
      <c r="AL91" s="42">
        <f>ROUND(AK91*AL$6/12,2)</f>
        <v/>
      </c>
      <c r="AM91" s="42">
        <f>MIN(AM$6,AK91+AL91)</f>
        <v/>
      </c>
      <c r="AN91" s="42">
        <f>MAX(0,MIN(AK91+AL91-AM91,AJ91))</f>
        <v/>
      </c>
      <c r="AO91" s="42">
        <f>ROUND(AK91+AL91-AM91-AN91,2)</f>
        <v/>
      </c>
      <c r="AP91">
        <f>AJ91-AN91</f>
        <v/>
      </c>
      <c r="AQ91" s="42">
        <f>AU90</f>
        <v/>
      </c>
      <c r="AR91" s="42">
        <f>ROUND(AQ91*AR$6/12,2)</f>
        <v/>
      </c>
      <c r="AS91" s="42">
        <f>MIN(AS$6,AQ91+AR91)</f>
        <v/>
      </c>
      <c r="AT91" s="42">
        <f>MAX(0,MIN(AQ91+AR91-AS91,AP91))</f>
        <v/>
      </c>
      <c r="AU91" s="42">
        <f>ROUND(AQ91+AR91-AS91-AT91,2)</f>
        <v/>
      </c>
      <c r="AV91">
        <f>AP91-AT91</f>
        <v/>
      </c>
      <c r="AW91" s="42">
        <f>BA90</f>
        <v/>
      </c>
      <c r="AX91" s="42">
        <f>ROUND(AW91*AX$6/12,2)</f>
        <v/>
      </c>
      <c r="AY91" s="42">
        <f>MIN(AY$6,AW91+AX91)</f>
        <v/>
      </c>
      <c r="AZ91" s="42">
        <f>MAX(0,MIN(AW91+AX91-AY91,AV91))</f>
        <v/>
      </c>
      <c r="BA91" s="42">
        <f>ROUND(AW91+AX91-AY91-AZ91,2)</f>
        <v/>
      </c>
      <c r="BB91">
        <f>AV91-AZ91</f>
        <v/>
      </c>
      <c r="BC91" s="42">
        <f>BG90</f>
        <v/>
      </c>
      <c r="BD91" s="42">
        <f>ROUND(BC91*BD$6/12,2)</f>
        <v/>
      </c>
      <c r="BE91" s="42">
        <f>MIN(BE$6,BC91+BD91)</f>
        <v/>
      </c>
      <c r="BF91" s="42">
        <f>MAX(0,MIN(BC91+BD91-BE91,BB91))</f>
        <v/>
      </c>
      <c r="BG91" s="42">
        <f>ROUND(BC91+BD91-BE91-BF91,2)</f>
        <v/>
      </c>
      <c r="BH91">
        <f>BB91-BF91</f>
        <v/>
      </c>
      <c r="BI91" s="42">
        <f>BM90</f>
        <v/>
      </c>
      <c r="BJ91" s="42">
        <f>ROUND(BI91*BJ$6/12,2)</f>
        <v/>
      </c>
      <c r="BK91" s="42">
        <f>MIN(BK$6,BI91+BJ91)</f>
        <v/>
      </c>
      <c r="BL91" s="42">
        <f>MAX(0,MIN(BI91+BJ91-BK91,BH91))</f>
        <v/>
      </c>
      <c r="BM91" s="42">
        <f>ROUND(BI91+BJ91-BK91-BL91,2)</f>
        <v/>
      </c>
      <c r="BN91">
        <f>BH91-BL91</f>
        <v/>
      </c>
    </row>
    <row r="92">
      <c r="A92" s="39" t="n">
        <v>85</v>
      </c>
      <c r="B92" s="40">
        <f>EDATE('My Debts'!$C$6,A92-1)</f>
        <v/>
      </c>
      <c r="C92" s="41">
        <f>K92+Q92+W92+AC92+AI92+AO92+AU92+BA92+BG92+BM92</f>
        <v/>
      </c>
      <c r="D92" s="42">
        <f>I92+O92+U92+AA92+AG92+AM92+AS92+AY92+BE92+BK92+J92+P92+V92+AB92+AH92+AN92+AT92+AZ92+BF92+BL92</f>
        <v/>
      </c>
      <c r="E92" s="42">
        <f>H92+N92+T92+Z92+AF92+AL92+AR92+AX92+BD92+BJ92</f>
        <v/>
      </c>
      <c r="F92" t="n">
        <v>0</v>
      </c>
      <c r="G92" s="42">
        <f>K91</f>
        <v/>
      </c>
      <c r="H92" s="42">
        <f>ROUND(G92*H$6/12,2)</f>
        <v/>
      </c>
      <c r="I92" s="42">
        <f>MIN(I$6,G92+H92)</f>
        <v/>
      </c>
      <c r="J92" s="42">
        <f>MAX(0,MIN(G92+H92-I92,$F92))</f>
        <v/>
      </c>
      <c r="K92" s="42">
        <f>ROUND(G92+H92-I92-J92,2)</f>
        <v/>
      </c>
      <c r="L92">
        <f>$F92-J92</f>
        <v/>
      </c>
      <c r="M92" s="42">
        <f>Q91</f>
        <v/>
      </c>
      <c r="N92" s="42">
        <f>ROUND(M92*N$6/12,2)</f>
        <v/>
      </c>
      <c r="O92" s="42">
        <f>MIN(O$6,M92+N92)</f>
        <v/>
      </c>
      <c r="P92" s="42">
        <f>MAX(0,MIN(M92+N92-O92,L92))</f>
        <v/>
      </c>
      <c r="Q92" s="42">
        <f>ROUND(M92+N92-O92-P92,2)</f>
        <v/>
      </c>
      <c r="R92">
        <f>L92-P92</f>
        <v/>
      </c>
      <c r="S92" s="42">
        <f>W91</f>
        <v/>
      </c>
      <c r="T92" s="42">
        <f>ROUND(S92*T$6/12,2)</f>
        <v/>
      </c>
      <c r="U92" s="42">
        <f>MIN(U$6,S92+T92)</f>
        <v/>
      </c>
      <c r="V92" s="42">
        <f>MAX(0,MIN(S92+T92-U92,R92))</f>
        <v/>
      </c>
      <c r="W92" s="42">
        <f>ROUND(S92+T92-U92-V92,2)</f>
        <v/>
      </c>
      <c r="X92">
        <f>R92-V92</f>
        <v/>
      </c>
      <c r="Y92" s="42">
        <f>AC91</f>
        <v/>
      </c>
      <c r="Z92" s="42">
        <f>ROUND(Y92*Z$6/12,2)</f>
        <v/>
      </c>
      <c r="AA92" s="42">
        <f>MIN(AA$6,Y92+Z92)</f>
        <v/>
      </c>
      <c r="AB92" s="42">
        <f>MAX(0,MIN(Y92+Z92-AA92,X92))</f>
        <v/>
      </c>
      <c r="AC92" s="42">
        <f>ROUND(Y92+Z92-AA92-AB92,2)</f>
        <v/>
      </c>
      <c r="AD92">
        <f>X92-AB92</f>
        <v/>
      </c>
      <c r="AE92" s="42">
        <f>AI91</f>
        <v/>
      </c>
      <c r="AF92" s="42">
        <f>ROUND(AE92*AF$6/12,2)</f>
        <v/>
      </c>
      <c r="AG92" s="42">
        <f>MIN(AG$6,AE92+AF92)</f>
        <v/>
      </c>
      <c r="AH92" s="42">
        <f>MAX(0,MIN(AE92+AF92-AG92,AD92))</f>
        <v/>
      </c>
      <c r="AI92" s="42">
        <f>ROUND(AE92+AF92-AG92-AH92,2)</f>
        <v/>
      </c>
      <c r="AJ92">
        <f>AD92-AH92</f>
        <v/>
      </c>
      <c r="AK92" s="42">
        <f>AO91</f>
        <v/>
      </c>
      <c r="AL92" s="42">
        <f>ROUND(AK92*AL$6/12,2)</f>
        <v/>
      </c>
      <c r="AM92" s="42">
        <f>MIN(AM$6,AK92+AL92)</f>
        <v/>
      </c>
      <c r="AN92" s="42">
        <f>MAX(0,MIN(AK92+AL92-AM92,AJ92))</f>
        <v/>
      </c>
      <c r="AO92" s="42">
        <f>ROUND(AK92+AL92-AM92-AN92,2)</f>
        <v/>
      </c>
      <c r="AP92">
        <f>AJ92-AN92</f>
        <v/>
      </c>
      <c r="AQ92" s="42">
        <f>AU91</f>
        <v/>
      </c>
      <c r="AR92" s="42">
        <f>ROUND(AQ92*AR$6/12,2)</f>
        <v/>
      </c>
      <c r="AS92" s="42">
        <f>MIN(AS$6,AQ92+AR92)</f>
        <v/>
      </c>
      <c r="AT92" s="42">
        <f>MAX(0,MIN(AQ92+AR92-AS92,AP92))</f>
        <v/>
      </c>
      <c r="AU92" s="42">
        <f>ROUND(AQ92+AR92-AS92-AT92,2)</f>
        <v/>
      </c>
      <c r="AV92">
        <f>AP92-AT92</f>
        <v/>
      </c>
      <c r="AW92" s="42">
        <f>BA91</f>
        <v/>
      </c>
      <c r="AX92" s="42">
        <f>ROUND(AW92*AX$6/12,2)</f>
        <v/>
      </c>
      <c r="AY92" s="42">
        <f>MIN(AY$6,AW92+AX92)</f>
        <v/>
      </c>
      <c r="AZ92" s="42">
        <f>MAX(0,MIN(AW92+AX92-AY92,AV92))</f>
        <v/>
      </c>
      <c r="BA92" s="42">
        <f>ROUND(AW92+AX92-AY92-AZ92,2)</f>
        <v/>
      </c>
      <c r="BB92">
        <f>AV92-AZ92</f>
        <v/>
      </c>
      <c r="BC92" s="42">
        <f>BG91</f>
        <v/>
      </c>
      <c r="BD92" s="42">
        <f>ROUND(BC92*BD$6/12,2)</f>
        <v/>
      </c>
      <c r="BE92" s="42">
        <f>MIN(BE$6,BC92+BD92)</f>
        <v/>
      </c>
      <c r="BF92" s="42">
        <f>MAX(0,MIN(BC92+BD92-BE92,BB92))</f>
        <v/>
      </c>
      <c r="BG92" s="42">
        <f>ROUND(BC92+BD92-BE92-BF92,2)</f>
        <v/>
      </c>
      <c r="BH92">
        <f>BB92-BF92</f>
        <v/>
      </c>
      <c r="BI92" s="42">
        <f>BM91</f>
        <v/>
      </c>
      <c r="BJ92" s="42">
        <f>ROUND(BI92*BJ$6/12,2)</f>
        <v/>
      </c>
      <c r="BK92" s="42">
        <f>MIN(BK$6,BI92+BJ92)</f>
        <v/>
      </c>
      <c r="BL92" s="42">
        <f>MAX(0,MIN(BI92+BJ92-BK92,BH92))</f>
        <v/>
      </c>
      <c r="BM92" s="42">
        <f>ROUND(BI92+BJ92-BK92-BL92,2)</f>
        <v/>
      </c>
      <c r="BN92">
        <f>BH92-BL92</f>
        <v/>
      </c>
    </row>
    <row r="93">
      <c r="A93" s="43" t="n">
        <v>86</v>
      </c>
      <c r="B93" s="44">
        <f>EDATE('My Debts'!$C$6,A93-1)</f>
        <v/>
      </c>
      <c r="C93" s="45">
        <f>K93+Q93+W93+AC93+AI93+AO93+AU93+BA93+BG93+BM93</f>
        <v/>
      </c>
      <c r="D93" s="46">
        <f>I93+O93+U93+AA93+AG93+AM93+AS93+AY93+BE93+BK93+J93+P93+V93+AB93+AH93+AN93+AT93+AZ93+BF93+BL93</f>
        <v/>
      </c>
      <c r="E93" s="46">
        <f>H93+N93+T93+Z93+AF93+AL93+AR93+AX93+BD93+BJ93</f>
        <v/>
      </c>
      <c r="F93" t="n">
        <v>0</v>
      </c>
      <c r="G93" s="42">
        <f>K92</f>
        <v/>
      </c>
      <c r="H93" s="42">
        <f>ROUND(G93*H$6/12,2)</f>
        <v/>
      </c>
      <c r="I93" s="42">
        <f>MIN(I$6,G93+H93)</f>
        <v/>
      </c>
      <c r="J93" s="42">
        <f>MAX(0,MIN(G93+H93-I93,$F93))</f>
        <v/>
      </c>
      <c r="K93" s="42">
        <f>ROUND(G93+H93-I93-J93,2)</f>
        <v/>
      </c>
      <c r="L93">
        <f>$F93-J93</f>
        <v/>
      </c>
      <c r="M93" s="42">
        <f>Q92</f>
        <v/>
      </c>
      <c r="N93" s="42">
        <f>ROUND(M93*N$6/12,2)</f>
        <v/>
      </c>
      <c r="O93" s="42">
        <f>MIN(O$6,M93+N93)</f>
        <v/>
      </c>
      <c r="P93" s="42">
        <f>MAX(0,MIN(M93+N93-O93,L93))</f>
        <v/>
      </c>
      <c r="Q93" s="42">
        <f>ROUND(M93+N93-O93-P93,2)</f>
        <v/>
      </c>
      <c r="R93">
        <f>L93-P93</f>
        <v/>
      </c>
      <c r="S93" s="42">
        <f>W92</f>
        <v/>
      </c>
      <c r="T93" s="42">
        <f>ROUND(S93*T$6/12,2)</f>
        <v/>
      </c>
      <c r="U93" s="42">
        <f>MIN(U$6,S93+T93)</f>
        <v/>
      </c>
      <c r="V93" s="42">
        <f>MAX(0,MIN(S93+T93-U93,R93))</f>
        <v/>
      </c>
      <c r="W93" s="42">
        <f>ROUND(S93+T93-U93-V93,2)</f>
        <v/>
      </c>
      <c r="X93">
        <f>R93-V93</f>
        <v/>
      </c>
      <c r="Y93" s="42">
        <f>AC92</f>
        <v/>
      </c>
      <c r="Z93" s="42">
        <f>ROUND(Y93*Z$6/12,2)</f>
        <v/>
      </c>
      <c r="AA93" s="42">
        <f>MIN(AA$6,Y93+Z93)</f>
        <v/>
      </c>
      <c r="AB93" s="42">
        <f>MAX(0,MIN(Y93+Z93-AA93,X93))</f>
        <v/>
      </c>
      <c r="AC93" s="42">
        <f>ROUND(Y93+Z93-AA93-AB93,2)</f>
        <v/>
      </c>
      <c r="AD93">
        <f>X93-AB93</f>
        <v/>
      </c>
      <c r="AE93" s="42">
        <f>AI92</f>
        <v/>
      </c>
      <c r="AF93" s="42">
        <f>ROUND(AE93*AF$6/12,2)</f>
        <v/>
      </c>
      <c r="AG93" s="42">
        <f>MIN(AG$6,AE93+AF93)</f>
        <v/>
      </c>
      <c r="AH93" s="42">
        <f>MAX(0,MIN(AE93+AF93-AG93,AD93))</f>
        <v/>
      </c>
      <c r="AI93" s="42">
        <f>ROUND(AE93+AF93-AG93-AH93,2)</f>
        <v/>
      </c>
      <c r="AJ93">
        <f>AD93-AH93</f>
        <v/>
      </c>
      <c r="AK93" s="42">
        <f>AO92</f>
        <v/>
      </c>
      <c r="AL93" s="42">
        <f>ROUND(AK93*AL$6/12,2)</f>
        <v/>
      </c>
      <c r="AM93" s="42">
        <f>MIN(AM$6,AK93+AL93)</f>
        <v/>
      </c>
      <c r="AN93" s="42">
        <f>MAX(0,MIN(AK93+AL93-AM93,AJ93))</f>
        <v/>
      </c>
      <c r="AO93" s="42">
        <f>ROUND(AK93+AL93-AM93-AN93,2)</f>
        <v/>
      </c>
      <c r="AP93">
        <f>AJ93-AN93</f>
        <v/>
      </c>
      <c r="AQ93" s="42">
        <f>AU92</f>
        <v/>
      </c>
      <c r="AR93" s="42">
        <f>ROUND(AQ93*AR$6/12,2)</f>
        <v/>
      </c>
      <c r="AS93" s="42">
        <f>MIN(AS$6,AQ93+AR93)</f>
        <v/>
      </c>
      <c r="AT93" s="42">
        <f>MAX(0,MIN(AQ93+AR93-AS93,AP93))</f>
        <v/>
      </c>
      <c r="AU93" s="42">
        <f>ROUND(AQ93+AR93-AS93-AT93,2)</f>
        <v/>
      </c>
      <c r="AV93">
        <f>AP93-AT93</f>
        <v/>
      </c>
      <c r="AW93" s="42">
        <f>BA92</f>
        <v/>
      </c>
      <c r="AX93" s="42">
        <f>ROUND(AW93*AX$6/12,2)</f>
        <v/>
      </c>
      <c r="AY93" s="42">
        <f>MIN(AY$6,AW93+AX93)</f>
        <v/>
      </c>
      <c r="AZ93" s="42">
        <f>MAX(0,MIN(AW93+AX93-AY93,AV93))</f>
        <v/>
      </c>
      <c r="BA93" s="42">
        <f>ROUND(AW93+AX93-AY93-AZ93,2)</f>
        <v/>
      </c>
      <c r="BB93">
        <f>AV93-AZ93</f>
        <v/>
      </c>
      <c r="BC93" s="42">
        <f>BG92</f>
        <v/>
      </c>
      <c r="BD93" s="42">
        <f>ROUND(BC93*BD$6/12,2)</f>
        <v/>
      </c>
      <c r="BE93" s="42">
        <f>MIN(BE$6,BC93+BD93)</f>
        <v/>
      </c>
      <c r="BF93" s="42">
        <f>MAX(0,MIN(BC93+BD93-BE93,BB93))</f>
        <v/>
      </c>
      <c r="BG93" s="42">
        <f>ROUND(BC93+BD93-BE93-BF93,2)</f>
        <v/>
      </c>
      <c r="BH93">
        <f>BB93-BF93</f>
        <v/>
      </c>
      <c r="BI93" s="42">
        <f>BM92</f>
        <v/>
      </c>
      <c r="BJ93" s="42">
        <f>ROUND(BI93*BJ$6/12,2)</f>
        <v/>
      </c>
      <c r="BK93" s="42">
        <f>MIN(BK$6,BI93+BJ93)</f>
        <v/>
      </c>
      <c r="BL93" s="42">
        <f>MAX(0,MIN(BI93+BJ93-BK93,BH93))</f>
        <v/>
      </c>
      <c r="BM93" s="42">
        <f>ROUND(BI93+BJ93-BK93-BL93,2)</f>
        <v/>
      </c>
      <c r="BN93">
        <f>BH93-BL93</f>
        <v/>
      </c>
    </row>
    <row r="94">
      <c r="A94" s="39" t="n">
        <v>87</v>
      </c>
      <c r="B94" s="40">
        <f>EDATE('My Debts'!$C$6,A94-1)</f>
        <v/>
      </c>
      <c r="C94" s="41">
        <f>K94+Q94+W94+AC94+AI94+AO94+AU94+BA94+BG94+BM94</f>
        <v/>
      </c>
      <c r="D94" s="42">
        <f>I94+O94+U94+AA94+AG94+AM94+AS94+AY94+BE94+BK94+J94+P94+V94+AB94+AH94+AN94+AT94+AZ94+BF94+BL94</f>
        <v/>
      </c>
      <c r="E94" s="42">
        <f>H94+N94+T94+Z94+AF94+AL94+AR94+AX94+BD94+BJ94</f>
        <v/>
      </c>
      <c r="F94" t="n">
        <v>0</v>
      </c>
      <c r="G94" s="42">
        <f>K93</f>
        <v/>
      </c>
      <c r="H94" s="42">
        <f>ROUND(G94*H$6/12,2)</f>
        <v/>
      </c>
      <c r="I94" s="42">
        <f>MIN(I$6,G94+H94)</f>
        <v/>
      </c>
      <c r="J94" s="42">
        <f>MAX(0,MIN(G94+H94-I94,$F94))</f>
        <v/>
      </c>
      <c r="K94" s="42">
        <f>ROUND(G94+H94-I94-J94,2)</f>
        <v/>
      </c>
      <c r="L94">
        <f>$F94-J94</f>
        <v/>
      </c>
      <c r="M94" s="42">
        <f>Q93</f>
        <v/>
      </c>
      <c r="N94" s="42">
        <f>ROUND(M94*N$6/12,2)</f>
        <v/>
      </c>
      <c r="O94" s="42">
        <f>MIN(O$6,M94+N94)</f>
        <v/>
      </c>
      <c r="P94" s="42">
        <f>MAX(0,MIN(M94+N94-O94,L94))</f>
        <v/>
      </c>
      <c r="Q94" s="42">
        <f>ROUND(M94+N94-O94-P94,2)</f>
        <v/>
      </c>
      <c r="R94">
        <f>L94-P94</f>
        <v/>
      </c>
      <c r="S94" s="42">
        <f>W93</f>
        <v/>
      </c>
      <c r="T94" s="42">
        <f>ROUND(S94*T$6/12,2)</f>
        <v/>
      </c>
      <c r="U94" s="42">
        <f>MIN(U$6,S94+T94)</f>
        <v/>
      </c>
      <c r="V94" s="42">
        <f>MAX(0,MIN(S94+T94-U94,R94))</f>
        <v/>
      </c>
      <c r="W94" s="42">
        <f>ROUND(S94+T94-U94-V94,2)</f>
        <v/>
      </c>
      <c r="X94">
        <f>R94-V94</f>
        <v/>
      </c>
      <c r="Y94" s="42">
        <f>AC93</f>
        <v/>
      </c>
      <c r="Z94" s="42">
        <f>ROUND(Y94*Z$6/12,2)</f>
        <v/>
      </c>
      <c r="AA94" s="42">
        <f>MIN(AA$6,Y94+Z94)</f>
        <v/>
      </c>
      <c r="AB94" s="42">
        <f>MAX(0,MIN(Y94+Z94-AA94,X94))</f>
        <v/>
      </c>
      <c r="AC94" s="42">
        <f>ROUND(Y94+Z94-AA94-AB94,2)</f>
        <v/>
      </c>
      <c r="AD94">
        <f>X94-AB94</f>
        <v/>
      </c>
      <c r="AE94" s="42">
        <f>AI93</f>
        <v/>
      </c>
      <c r="AF94" s="42">
        <f>ROUND(AE94*AF$6/12,2)</f>
        <v/>
      </c>
      <c r="AG94" s="42">
        <f>MIN(AG$6,AE94+AF94)</f>
        <v/>
      </c>
      <c r="AH94" s="42">
        <f>MAX(0,MIN(AE94+AF94-AG94,AD94))</f>
        <v/>
      </c>
      <c r="AI94" s="42">
        <f>ROUND(AE94+AF94-AG94-AH94,2)</f>
        <v/>
      </c>
      <c r="AJ94">
        <f>AD94-AH94</f>
        <v/>
      </c>
      <c r="AK94" s="42">
        <f>AO93</f>
        <v/>
      </c>
      <c r="AL94" s="42">
        <f>ROUND(AK94*AL$6/12,2)</f>
        <v/>
      </c>
      <c r="AM94" s="42">
        <f>MIN(AM$6,AK94+AL94)</f>
        <v/>
      </c>
      <c r="AN94" s="42">
        <f>MAX(0,MIN(AK94+AL94-AM94,AJ94))</f>
        <v/>
      </c>
      <c r="AO94" s="42">
        <f>ROUND(AK94+AL94-AM94-AN94,2)</f>
        <v/>
      </c>
      <c r="AP94">
        <f>AJ94-AN94</f>
        <v/>
      </c>
      <c r="AQ94" s="42">
        <f>AU93</f>
        <v/>
      </c>
      <c r="AR94" s="42">
        <f>ROUND(AQ94*AR$6/12,2)</f>
        <v/>
      </c>
      <c r="AS94" s="42">
        <f>MIN(AS$6,AQ94+AR94)</f>
        <v/>
      </c>
      <c r="AT94" s="42">
        <f>MAX(0,MIN(AQ94+AR94-AS94,AP94))</f>
        <v/>
      </c>
      <c r="AU94" s="42">
        <f>ROUND(AQ94+AR94-AS94-AT94,2)</f>
        <v/>
      </c>
      <c r="AV94">
        <f>AP94-AT94</f>
        <v/>
      </c>
      <c r="AW94" s="42">
        <f>BA93</f>
        <v/>
      </c>
      <c r="AX94" s="42">
        <f>ROUND(AW94*AX$6/12,2)</f>
        <v/>
      </c>
      <c r="AY94" s="42">
        <f>MIN(AY$6,AW94+AX94)</f>
        <v/>
      </c>
      <c r="AZ94" s="42">
        <f>MAX(0,MIN(AW94+AX94-AY94,AV94))</f>
        <v/>
      </c>
      <c r="BA94" s="42">
        <f>ROUND(AW94+AX94-AY94-AZ94,2)</f>
        <v/>
      </c>
      <c r="BB94">
        <f>AV94-AZ94</f>
        <v/>
      </c>
      <c r="BC94" s="42">
        <f>BG93</f>
        <v/>
      </c>
      <c r="BD94" s="42">
        <f>ROUND(BC94*BD$6/12,2)</f>
        <v/>
      </c>
      <c r="BE94" s="42">
        <f>MIN(BE$6,BC94+BD94)</f>
        <v/>
      </c>
      <c r="BF94" s="42">
        <f>MAX(0,MIN(BC94+BD94-BE94,BB94))</f>
        <v/>
      </c>
      <c r="BG94" s="42">
        <f>ROUND(BC94+BD94-BE94-BF94,2)</f>
        <v/>
      </c>
      <c r="BH94">
        <f>BB94-BF94</f>
        <v/>
      </c>
      <c r="BI94" s="42">
        <f>BM93</f>
        <v/>
      </c>
      <c r="BJ94" s="42">
        <f>ROUND(BI94*BJ$6/12,2)</f>
        <v/>
      </c>
      <c r="BK94" s="42">
        <f>MIN(BK$6,BI94+BJ94)</f>
        <v/>
      </c>
      <c r="BL94" s="42">
        <f>MAX(0,MIN(BI94+BJ94-BK94,BH94))</f>
        <v/>
      </c>
      <c r="BM94" s="42">
        <f>ROUND(BI94+BJ94-BK94-BL94,2)</f>
        <v/>
      </c>
      <c r="BN94">
        <f>BH94-BL94</f>
        <v/>
      </c>
    </row>
    <row r="95">
      <c r="A95" s="43" t="n">
        <v>88</v>
      </c>
      <c r="B95" s="44">
        <f>EDATE('My Debts'!$C$6,A95-1)</f>
        <v/>
      </c>
      <c r="C95" s="45">
        <f>K95+Q95+W95+AC95+AI95+AO95+AU95+BA95+BG95+BM95</f>
        <v/>
      </c>
      <c r="D95" s="46">
        <f>I95+O95+U95+AA95+AG95+AM95+AS95+AY95+BE95+BK95+J95+P95+V95+AB95+AH95+AN95+AT95+AZ95+BF95+BL95</f>
        <v/>
      </c>
      <c r="E95" s="46">
        <f>H95+N95+T95+Z95+AF95+AL95+AR95+AX95+BD95+BJ95</f>
        <v/>
      </c>
      <c r="F95" t="n">
        <v>0</v>
      </c>
      <c r="G95" s="42">
        <f>K94</f>
        <v/>
      </c>
      <c r="H95" s="42">
        <f>ROUND(G95*H$6/12,2)</f>
        <v/>
      </c>
      <c r="I95" s="42">
        <f>MIN(I$6,G95+H95)</f>
        <v/>
      </c>
      <c r="J95" s="42">
        <f>MAX(0,MIN(G95+H95-I95,$F95))</f>
        <v/>
      </c>
      <c r="K95" s="42">
        <f>ROUND(G95+H95-I95-J95,2)</f>
        <v/>
      </c>
      <c r="L95">
        <f>$F95-J95</f>
        <v/>
      </c>
      <c r="M95" s="42">
        <f>Q94</f>
        <v/>
      </c>
      <c r="N95" s="42">
        <f>ROUND(M95*N$6/12,2)</f>
        <v/>
      </c>
      <c r="O95" s="42">
        <f>MIN(O$6,M95+N95)</f>
        <v/>
      </c>
      <c r="P95" s="42">
        <f>MAX(0,MIN(M95+N95-O95,L95))</f>
        <v/>
      </c>
      <c r="Q95" s="42">
        <f>ROUND(M95+N95-O95-P95,2)</f>
        <v/>
      </c>
      <c r="R95">
        <f>L95-P95</f>
        <v/>
      </c>
      <c r="S95" s="42">
        <f>W94</f>
        <v/>
      </c>
      <c r="T95" s="42">
        <f>ROUND(S95*T$6/12,2)</f>
        <v/>
      </c>
      <c r="U95" s="42">
        <f>MIN(U$6,S95+T95)</f>
        <v/>
      </c>
      <c r="V95" s="42">
        <f>MAX(0,MIN(S95+T95-U95,R95))</f>
        <v/>
      </c>
      <c r="W95" s="42">
        <f>ROUND(S95+T95-U95-V95,2)</f>
        <v/>
      </c>
      <c r="X95">
        <f>R95-V95</f>
        <v/>
      </c>
      <c r="Y95" s="42">
        <f>AC94</f>
        <v/>
      </c>
      <c r="Z95" s="42">
        <f>ROUND(Y95*Z$6/12,2)</f>
        <v/>
      </c>
      <c r="AA95" s="42">
        <f>MIN(AA$6,Y95+Z95)</f>
        <v/>
      </c>
      <c r="AB95" s="42">
        <f>MAX(0,MIN(Y95+Z95-AA95,X95))</f>
        <v/>
      </c>
      <c r="AC95" s="42">
        <f>ROUND(Y95+Z95-AA95-AB95,2)</f>
        <v/>
      </c>
      <c r="AD95">
        <f>X95-AB95</f>
        <v/>
      </c>
      <c r="AE95" s="42">
        <f>AI94</f>
        <v/>
      </c>
      <c r="AF95" s="42">
        <f>ROUND(AE95*AF$6/12,2)</f>
        <v/>
      </c>
      <c r="AG95" s="42">
        <f>MIN(AG$6,AE95+AF95)</f>
        <v/>
      </c>
      <c r="AH95" s="42">
        <f>MAX(0,MIN(AE95+AF95-AG95,AD95))</f>
        <v/>
      </c>
      <c r="AI95" s="42">
        <f>ROUND(AE95+AF95-AG95-AH95,2)</f>
        <v/>
      </c>
      <c r="AJ95">
        <f>AD95-AH95</f>
        <v/>
      </c>
      <c r="AK95" s="42">
        <f>AO94</f>
        <v/>
      </c>
      <c r="AL95" s="42">
        <f>ROUND(AK95*AL$6/12,2)</f>
        <v/>
      </c>
      <c r="AM95" s="42">
        <f>MIN(AM$6,AK95+AL95)</f>
        <v/>
      </c>
      <c r="AN95" s="42">
        <f>MAX(0,MIN(AK95+AL95-AM95,AJ95))</f>
        <v/>
      </c>
      <c r="AO95" s="42">
        <f>ROUND(AK95+AL95-AM95-AN95,2)</f>
        <v/>
      </c>
      <c r="AP95">
        <f>AJ95-AN95</f>
        <v/>
      </c>
      <c r="AQ95" s="42">
        <f>AU94</f>
        <v/>
      </c>
      <c r="AR95" s="42">
        <f>ROUND(AQ95*AR$6/12,2)</f>
        <v/>
      </c>
      <c r="AS95" s="42">
        <f>MIN(AS$6,AQ95+AR95)</f>
        <v/>
      </c>
      <c r="AT95" s="42">
        <f>MAX(0,MIN(AQ95+AR95-AS95,AP95))</f>
        <v/>
      </c>
      <c r="AU95" s="42">
        <f>ROUND(AQ95+AR95-AS95-AT95,2)</f>
        <v/>
      </c>
      <c r="AV95">
        <f>AP95-AT95</f>
        <v/>
      </c>
      <c r="AW95" s="42">
        <f>BA94</f>
        <v/>
      </c>
      <c r="AX95" s="42">
        <f>ROUND(AW95*AX$6/12,2)</f>
        <v/>
      </c>
      <c r="AY95" s="42">
        <f>MIN(AY$6,AW95+AX95)</f>
        <v/>
      </c>
      <c r="AZ95" s="42">
        <f>MAX(0,MIN(AW95+AX95-AY95,AV95))</f>
        <v/>
      </c>
      <c r="BA95" s="42">
        <f>ROUND(AW95+AX95-AY95-AZ95,2)</f>
        <v/>
      </c>
      <c r="BB95">
        <f>AV95-AZ95</f>
        <v/>
      </c>
      <c r="BC95" s="42">
        <f>BG94</f>
        <v/>
      </c>
      <c r="BD95" s="42">
        <f>ROUND(BC95*BD$6/12,2)</f>
        <v/>
      </c>
      <c r="BE95" s="42">
        <f>MIN(BE$6,BC95+BD95)</f>
        <v/>
      </c>
      <c r="BF95" s="42">
        <f>MAX(0,MIN(BC95+BD95-BE95,BB95))</f>
        <v/>
      </c>
      <c r="BG95" s="42">
        <f>ROUND(BC95+BD95-BE95-BF95,2)</f>
        <v/>
      </c>
      <c r="BH95">
        <f>BB95-BF95</f>
        <v/>
      </c>
      <c r="BI95" s="42">
        <f>BM94</f>
        <v/>
      </c>
      <c r="BJ95" s="42">
        <f>ROUND(BI95*BJ$6/12,2)</f>
        <v/>
      </c>
      <c r="BK95" s="42">
        <f>MIN(BK$6,BI95+BJ95)</f>
        <v/>
      </c>
      <c r="BL95" s="42">
        <f>MAX(0,MIN(BI95+BJ95-BK95,BH95))</f>
        <v/>
      </c>
      <c r="BM95" s="42">
        <f>ROUND(BI95+BJ95-BK95-BL95,2)</f>
        <v/>
      </c>
      <c r="BN95">
        <f>BH95-BL95</f>
        <v/>
      </c>
    </row>
    <row r="96">
      <c r="A96" s="39" t="n">
        <v>89</v>
      </c>
      <c r="B96" s="40">
        <f>EDATE('My Debts'!$C$6,A96-1)</f>
        <v/>
      </c>
      <c r="C96" s="41">
        <f>K96+Q96+W96+AC96+AI96+AO96+AU96+BA96+BG96+BM96</f>
        <v/>
      </c>
      <c r="D96" s="42">
        <f>I96+O96+U96+AA96+AG96+AM96+AS96+AY96+BE96+BK96+J96+P96+V96+AB96+AH96+AN96+AT96+AZ96+BF96+BL96</f>
        <v/>
      </c>
      <c r="E96" s="42">
        <f>H96+N96+T96+Z96+AF96+AL96+AR96+AX96+BD96+BJ96</f>
        <v/>
      </c>
      <c r="F96" t="n">
        <v>0</v>
      </c>
      <c r="G96" s="42">
        <f>K95</f>
        <v/>
      </c>
      <c r="H96" s="42">
        <f>ROUND(G96*H$6/12,2)</f>
        <v/>
      </c>
      <c r="I96" s="42">
        <f>MIN(I$6,G96+H96)</f>
        <v/>
      </c>
      <c r="J96" s="42">
        <f>MAX(0,MIN(G96+H96-I96,$F96))</f>
        <v/>
      </c>
      <c r="K96" s="42">
        <f>ROUND(G96+H96-I96-J96,2)</f>
        <v/>
      </c>
      <c r="L96">
        <f>$F96-J96</f>
        <v/>
      </c>
      <c r="M96" s="42">
        <f>Q95</f>
        <v/>
      </c>
      <c r="N96" s="42">
        <f>ROUND(M96*N$6/12,2)</f>
        <v/>
      </c>
      <c r="O96" s="42">
        <f>MIN(O$6,M96+N96)</f>
        <v/>
      </c>
      <c r="P96" s="42">
        <f>MAX(0,MIN(M96+N96-O96,L96))</f>
        <v/>
      </c>
      <c r="Q96" s="42">
        <f>ROUND(M96+N96-O96-P96,2)</f>
        <v/>
      </c>
      <c r="R96">
        <f>L96-P96</f>
        <v/>
      </c>
      <c r="S96" s="42">
        <f>W95</f>
        <v/>
      </c>
      <c r="T96" s="42">
        <f>ROUND(S96*T$6/12,2)</f>
        <v/>
      </c>
      <c r="U96" s="42">
        <f>MIN(U$6,S96+T96)</f>
        <v/>
      </c>
      <c r="V96" s="42">
        <f>MAX(0,MIN(S96+T96-U96,R96))</f>
        <v/>
      </c>
      <c r="W96" s="42">
        <f>ROUND(S96+T96-U96-V96,2)</f>
        <v/>
      </c>
      <c r="X96">
        <f>R96-V96</f>
        <v/>
      </c>
      <c r="Y96" s="42">
        <f>AC95</f>
        <v/>
      </c>
      <c r="Z96" s="42">
        <f>ROUND(Y96*Z$6/12,2)</f>
        <v/>
      </c>
      <c r="AA96" s="42">
        <f>MIN(AA$6,Y96+Z96)</f>
        <v/>
      </c>
      <c r="AB96" s="42">
        <f>MAX(0,MIN(Y96+Z96-AA96,X96))</f>
        <v/>
      </c>
      <c r="AC96" s="42">
        <f>ROUND(Y96+Z96-AA96-AB96,2)</f>
        <v/>
      </c>
      <c r="AD96">
        <f>X96-AB96</f>
        <v/>
      </c>
      <c r="AE96" s="42">
        <f>AI95</f>
        <v/>
      </c>
      <c r="AF96" s="42">
        <f>ROUND(AE96*AF$6/12,2)</f>
        <v/>
      </c>
      <c r="AG96" s="42">
        <f>MIN(AG$6,AE96+AF96)</f>
        <v/>
      </c>
      <c r="AH96" s="42">
        <f>MAX(0,MIN(AE96+AF96-AG96,AD96))</f>
        <v/>
      </c>
      <c r="AI96" s="42">
        <f>ROUND(AE96+AF96-AG96-AH96,2)</f>
        <v/>
      </c>
      <c r="AJ96">
        <f>AD96-AH96</f>
        <v/>
      </c>
      <c r="AK96" s="42">
        <f>AO95</f>
        <v/>
      </c>
      <c r="AL96" s="42">
        <f>ROUND(AK96*AL$6/12,2)</f>
        <v/>
      </c>
      <c r="AM96" s="42">
        <f>MIN(AM$6,AK96+AL96)</f>
        <v/>
      </c>
      <c r="AN96" s="42">
        <f>MAX(0,MIN(AK96+AL96-AM96,AJ96))</f>
        <v/>
      </c>
      <c r="AO96" s="42">
        <f>ROUND(AK96+AL96-AM96-AN96,2)</f>
        <v/>
      </c>
      <c r="AP96">
        <f>AJ96-AN96</f>
        <v/>
      </c>
      <c r="AQ96" s="42">
        <f>AU95</f>
        <v/>
      </c>
      <c r="AR96" s="42">
        <f>ROUND(AQ96*AR$6/12,2)</f>
        <v/>
      </c>
      <c r="AS96" s="42">
        <f>MIN(AS$6,AQ96+AR96)</f>
        <v/>
      </c>
      <c r="AT96" s="42">
        <f>MAX(0,MIN(AQ96+AR96-AS96,AP96))</f>
        <v/>
      </c>
      <c r="AU96" s="42">
        <f>ROUND(AQ96+AR96-AS96-AT96,2)</f>
        <v/>
      </c>
      <c r="AV96">
        <f>AP96-AT96</f>
        <v/>
      </c>
      <c r="AW96" s="42">
        <f>BA95</f>
        <v/>
      </c>
      <c r="AX96" s="42">
        <f>ROUND(AW96*AX$6/12,2)</f>
        <v/>
      </c>
      <c r="AY96" s="42">
        <f>MIN(AY$6,AW96+AX96)</f>
        <v/>
      </c>
      <c r="AZ96" s="42">
        <f>MAX(0,MIN(AW96+AX96-AY96,AV96))</f>
        <v/>
      </c>
      <c r="BA96" s="42">
        <f>ROUND(AW96+AX96-AY96-AZ96,2)</f>
        <v/>
      </c>
      <c r="BB96">
        <f>AV96-AZ96</f>
        <v/>
      </c>
      <c r="BC96" s="42">
        <f>BG95</f>
        <v/>
      </c>
      <c r="BD96" s="42">
        <f>ROUND(BC96*BD$6/12,2)</f>
        <v/>
      </c>
      <c r="BE96" s="42">
        <f>MIN(BE$6,BC96+BD96)</f>
        <v/>
      </c>
      <c r="BF96" s="42">
        <f>MAX(0,MIN(BC96+BD96-BE96,BB96))</f>
        <v/>
      </c>
      <c r="BG96" s="42">
        <f>ROUND(BC96+BD96-BE96-BF96,2)</f>
        <v/>
      </c>
      <c r="BH96">
        <f>BB96-BF96</f>
        <v/>
      </c>
      <c r="BI96" s="42">
        <f>BM95</f>
        <v/>
      </c>
      <c r="BJ96" s="42">
        <f>ROUND(BI96*BJ$6/12,2)</f>
        <v/>
      </c>
      <c r="BK96" s="42">
        <f>MIN(BK$6,BI96+BJ96)</f>
        <v/>
      </c>
      <c r="BL96" s="42">
        <f>MAX(0,MIN(BI96+BJ96-BK96,BH96))</f>
        <v/>
      </c>
      <c r="BM96" s="42">
        <f>ROUND(BI96+BJ96-BK96-BL96,2)</f>
        <v/>
      </c>
      <c r="BN96">
        <f>BH96-BL96</f>
        <v/>
      </c>
    </row>
    <row r="97">
      <c r="A97" s="43" t="n">
        <v>90</v>
      </c>
      <c r="B97" s="44">
        <f>EDATE('My Debts'!$C$6,A97-1)</f>
        <v/>
      </c>
      <c r="C97" s="45">
        <f>K97+Q97+W97+AC97+AI97+AO97+AU97+BA97+BG97+BM97</f>
        <v/>
      </c>
      <c r="D97" s="46">
        <f>I97+O97+U97+AA97+AG97+AM97+AS97+AY97+BE97+BK97+J97+P97+V97+AB97+AH97+AN97+AT97+AZ97+BF97+BL97</f>
        <v/>
      </c>
      <c r="E97" s="46">
        <f>H97+N97+T97+Z97+AF97+AL97+AR97+AX97+BD97+BJ97</f>
        <v/>
      </c>
      <c r="F97" t="n">
        <v>0</v>
      </c>
      <c r="G97" s="42">
        <f>K96</f>
        <v/>
      </c>
      <c r="H97" s="42">
        <f>ROUND(G97*H$6/12,2)</f>
        <v/>
      </c>
      <c r="I97" s="42">
        <f>MIN(I$6,G97+H97)</f>
        <v/>
      </c>
      <c r="J97" s="42">
        <f>MAX(0,MIN(G97+H97-I97,$F97))</f>
        <v/>
      </c>
      <c r="K97" s="42">
        <f>ROUND(G97+H97-I97-J97,2)</f>
        <v/>
      </c>
      <c r="L97">
        <f>$F97-J97</f>
        <v/>
      </c>
      <c r="M97" s="42">
        <f>Q96</f>
        <v/>
      </c>
      <c r="N97" s="42">
        <f>ROUND(M97*N$6/12,2)</f>
        <v/>
      </c>
      <c r="O97" s="42">
        <f>MIN(O$6,M97+N97)</f>
        <v/>
      </c>
      <c r="P97" s="42">
        <f>MAX(0,MIN(M97+N97-O97,L97))</f>
        <v/>
      </c>
      <c r="Q97" s="42">
        <f>ROUND(M97+N97-O97-P97,2)</f>
        <v/>
      </c>
      <c r="R97">
        <f>L97-P97</f>
        <v/>
      </c>
      <c r="S97" s="42">
        <f>W96</f>
        <v/>
      </c>
      <c r="T97" s="42">
        <f>ROUND(S97*T$6/12,2)</f>
        <v/>
      </c>
      <c r="U97" s="42">
        <f>MIN(U$6,S97+T97)</f>
        <v/>
      </c>
      <c r="V97" s="42">
        <f>MAX(0,MIN(S97+T97-U97,R97))</f>
        <v/>
      </c>
      <c r="W97" s="42">
        <f>ROUND(S97+T97-U97-V97,2)</f>
        <v/>
      </c>
      <c r="X97">
        <f>R97-V97</f>
        <v/>
      </c>
      <c r="Y97" s="42">
        <f>AC96</f>
        <v/>
      </c>
      <c r="Z97" s="42">
        <f>ROUND(Y97*Z$6/12,2)</f>
        <v/>
      </c>
      <c r="AA97" s="42">
        <f>MIN(AA$6,Y97+Z97)</f>
        <v/>
      </c>
      <c r="AB97" s="42">
        <f>MAX(0,MIN(Y97+Z97-AA97,X97))</f>
        <v/>
      </c>
      <c r="AC97" s="42">
        <f>ROUND(Y97+Z97-AA97-AB97,2)</f>
        <v/>
      </c>
      <c r="AD97">
        <f>X97-AB97</f>
        <v/>
      </c>
      <c r="AE97" s="42">
        <f>AI96</f>
        <v/>
      </c>
      <c r="AF97" s="42">
        <f>ROUND(AE97*AF$6/12,2)</f>
        <v/>
      </c>
      <c r="AG97" s="42">
        <f>MIN(AG$6,AE97+AF97)</f>
        <v/>
      </c>
      <c r="AH97" s="42">
        <f>MAX(0,MIN(AE97+AF97-AG97,AD97))</f>
        <v/>
      </c>
      <c r="AI97" s="42">
        <f>ROUND(AE97+AF97-AG97-AH97,2)</f>
        <v/>
      </c>
      <c r="AJ97">
        <f>AD97-AH97</f>
        <v/>
      </c>
      <c r="AK97" s="42">
        <f>AO96</f>
        <v/>
      </c>
      <c r="AL97" s="42">
        <f>ROUND(AK97*AL$6/12,2)</f>
        <v/>
      </c>
      <c r="AM97" s="42">
        <f>MIN(AM$6,AK97+AL97)</f>
        <v/>
      </c>
      <c r="AN97" s="42">
        <f>MAX(0,MIN(AK97+AL97-AM97,AJ97))</f>
        <v/>
      </c>
      <c r="AO97" s="42">
        <f>ROUND(AK97+AL97-AM97-AN97,2)</f>
        <v/>
      </c>
      <c r="AP97">
        <f>AJ97-AN97</f>
        <v/>
      </c>
      <c r="AQ97" s="42">
        <f>AU96</f>
        <v/>
      </c>
      <c r="AR97" s="42">
        <f>ROUND(AQ97*AR$6/12,2)</f>
        <v/>
      </c>
      <c r="AS97" s="42">
        <f>MIN(AS$6,AQ97+AR97)</f>
        <v/>
      </c>
      <c r="AT97" s="42">
        <f>MAX(0,MIN(AQ97+AR97-AS97,AP97))</f>
        <v/>
      </c>
      <c r="AU97" s="42">
        <f>ROUND(AQ97+AR97-AS97-AT97,2)</f>
        <v/>
      </c>
      <c r="AV97">
        <f>AP97-AT97</f>
        <v/>
      </c>
      <c r="AW97" s="42">
        <f>BA96</f>
        <v/>
      </c>
      <c r="AX97" s="42">
        <f>ROUND(AW97*AX$6/12,2)</f>
        <v/>
      </c>
      <c r="AY97" s="42">
        <f>MIN(AY$6,AW97+AX97)</f>
        <v/>
      </c>
      <c r="AZ97" s="42">
        <f>MAX(0,MIN(AW97+AX97-AY97,AV97))</f>
        <v/>
      </c>
      <c r="BA97" s="42">
        <f>ROUND(AW97+AX97-AY97-AZ97,2)</f>
        <v/>
      </c>
      <c r="BB97">
        <f>AV97-AZ97</f>
        <v/>
      </c>
      <c r="BC97" s="42">
        <f>BG96</f>
        <v/>
      </c>
      <c r="BD97" s="42">
        <f>ROUND(BC97*BD$6/12,2)</f>
        <v/>
      </c>
      <c r="BE97" s="42">
        <f>MIN(BE$6,BC97+BD97)</f>
        <v/>
      </c>
      <c r="BF97" s="42">
        <f>MAX(0,MIN(BC97+BD97-BE97,BB97))</f>
        <v/>
      </c>
      <c r="BG97" s="42">
        <f>ROUND(BC97+BD97-BE97-BF97,2)</f>
        <v/>
      </c>
      <c r="BH97">
        <f>BB97-BF97</f>
        <v/>
      </c>
      <c r="BI97" s="42">
        <f>BM96</f>
        <v/>
      </c>
      <c r="BJ97" s="42">
        <f>ROUND(BI97*BJ$6/12,2)</f>
        <v/>
      </c>
      <c r="BK97" s="42">
        <f>MIN(BK$6,BI97+BJ97)</f>
        <v/>
      </c>
      <c r="BL97" s="42">
        <f>MAX(0,MIN(BI97+BJ97-BK97,BH97))</f>
        <v/>
      </c>
      <c r="BM97" s="42">
        <f>ROUND(BI97+BJ97-BK97-BL97,2)</f>
        <v/>
      </c>
      <c r="BN97">
        <f>BH97-BL97</f>
        <v/>
      </c>
    </row>
    <row r="98">
      <c r="A98" s="39" t="n">
        <v>91</v>
      </c>
      <c r="B98" s="40">
        <f>EDATE('My Debts'!$C$6,A98-1)</f>
        <v/>
      </c>
      <c r="C98" s="41">
        <f>K98+Q98+W98+AC98+AI98+AO98+AU98+BA98+BG98+BM98</f>
        <v/>
      </c>
      <c r="D98" s="42">
        <f>I98+O98+U98+AA98+AG98+AM98+AS98+AY98+BE98+BK98+J98+P98+V98+AB98+AH98+AN98+AT98+AZ98+BF98+BL98</f>
        <v/>
      </c>
      <c r="E98" s="42">
        <f>H98+N98+T98+Z98+AF98+AL98+AR98+AX98+BD98+BJ98</f>
        <v/>
      </c>
      <c r="F98" t="n">
        <v>0</v>
      </c>
      <c r="G98" s="42">
        <f>K97</f>
        <v/>
      </c>
      <c r="H98" s="42">
        <f>ROUND(G98*H$6/12,2)</f>
        <v/>
      </c>
      <c r="I98" s="42">
        <f>MIN(I$6,G98+H98)</f>
        <v/>
      </c>
      <c r="J98" s="42">
        <f>MAX(0,MIN(G98+H98-I98,$F98))</f>
        <v/>
      </c>
      <c r="K98" s="42">
        <f>ROUND(G98+H98-I98-J98,2)</f>
        <v/>
      </c>
      <c r="L98">
        <f>$F98-J98</f>
        <v/>
      </c>
      <c r="M98" s="42">
        <f>Q97</f>
        <v/>
      </c>
      <c r="N98" s="42">
        <f>ROUND(M98*N$6/12,2)</f>
        <v/>
      </c>
      <c r="O98" s="42">
        <f>MIN(O$6,M98+N98)</f>
        <v/>
      </c>
      <c r="P98" s="42">
        <f>MAX(0,MIN(M98+N98-O98,L98))</f>
        <v/>
      </c>
      <c r="Q98" s="42">
        <f>ROUND(M98+N98-O98-P98,2)</f>
        <v/>
      </c>
      <c r="R98">
        <f>L98-P98</f>
        <v/>
      </c>
      <c r="S98" s="42">
        <f>W97</f>
        <v/>
      </c>
      <c r="T98" s="42">
        <f>ROUND(S98*T$6/12,2)</f>
        <v/>
      </c>
      <c r="U98" s="42">
        <f>MIN(U$6,S98+T98)</f>
        <v/>
      </c>
      <c r="V98" s="42">
        <f>MAX(0,MIN(S98+T98-U98,R98))</f>
        <v/>
      </c>
      <c r="W98" s="42">
        <f>ROUND(S98+T98-U98-V98,2)</f>
        <v/>
      </c>
      <c r="X98">
        <f>R98-V98</f>
        <v/>
      </c>
      <c r="Y98" s="42">
        <f>AC97</f>
        <v/>
      </c>
      <c r="Z98" s="42">
        <f>ROUND(Y98*Z$6/12,2)</f>
        <v/>
      </c>
      <c r="AA98" s="42">
        <f>MIN(AA$6,Y98+Z98)</f>
        <v/>
      </c>
      <c r="AB98" s="42">
        <f>MAX(0,MIN(Y98+Z98-AA98,X98))</f>
        <v/>
      </c>
      <c r="AC98" s="42">
        <f>ROUND(Y98+Z98-AA98-AB98,2)</f>
        <v/>
      </c>
      <c r="AD98">
        <f>X98-AB98</f>
        <v/>
      </c>
      <c r="AE98" s="42">
        <f>AI97</f>
        <v/>
      </c>
      <c r="AF98" s="42">
        <f>ROUND(AE98*AF$6/12,2)</f>
        <v/>
      </c>
      <c r="AG98" s="42">
        <f>MIN(AG$6,AE98+AF98)</f>
        <v/>
      </c>
      <c r="AH98" s="42">
        <f>MAX(0,MIN(AE98+AF98-AG98,AD98))</f>
        <v/>
      </c>
      <c r="AI98" s="42">
        <f>ROUND(AE98+AF98-AG98-AH98,2)</f>
        <v/>
      </c>
      <c r="AJ98">
        <f>AD98-AH98</f>
        <v/>
      </c>
      <c r="AK98" s="42">
        <f>AO97</f>
        <v/>
      </c>
      <c r="AL98" s="42">
        <f>ROUND(AK98*AL$6/12,2)</f>
        <v/>
      </c>
      <c r="AM98" s="42">
        <f>MIN(AM$6,AK98+AL98)</f>
        <v/>
      </c>
      <c r="AN98" s="42">
        <f>MAX(0,MIN(AK98+AL98-AM98,AJ98))</f>
        <v/>
      </c>
      <c r="AO98" s="42">
        <f>ROUND(AK98+AL98-AM98-AN98,2)</f>
        <v/>
      </c>
      <c r="AP98">
        <f>AJ98-AN98</f>
        <v/>
      </c>
      <c r="AQ98" s="42">
        <f>AU97</f>
        <v/>
      </c>
      <c r="AR98" s="42">
        <f>ROUND(AQ98*AR$6/12,2)</f>
        <v/>
      </c>
      <c r="AS98" s="42">
        <f>MIN(AS$6,AQ98+AR98)</f>
        <v/>
      </c>
      <c r="AT98" s="42">
        <f>MAX(0,MIN(AQ98+AR98-AS98,AP98))</f>
        <v/>
      </c>
      <c r="AU98" s="42">
        <f>ROUND(AQ98+AR98-AS98-AT98,2)</f>
        <v/>
      </c>
      <c r="AV98">
        <f>AP98-AT98</f>
        <v/>
      </c>
      <c r="AW98" s="42">
        <f>BA97</f>
        <v/>
      </c>
      <c r="AX98" s="42">
        <f>ROUND(AW98*AX$6/12,2)</f>
        <v/>
      </c>
      <c r="AY98" s="42">
        <f>MIN(AY$6,AW98+AX98)</f>
        <v/>
      </c>
      <c r="AZ98" s="42">
        <f>MAX(0,MIN(AW98+AX98-AY98,AV98))</f>
        <v/>
      </c>
      <c r="BA98" s="42">
        <f>ROUND(AW98+AX98-AY98-AZ98,2)</f>
        <v/>
      </c>
      <c r="BB98">
        <f>AV98-AZ98</f>
        <v/>
      </c>
      <c r="BC98" s="42">
        <f>BG97</f>
        <v/>
      </c>
      <c r="BD98" s="42">
        <f>ROUND(BC98*BD$6/12,2)</f>
        <v/>
      </c>
      <c r="BE98" s="42">
        <f>MIN(BE$6,BC98+BD98)</f>
        <v/>
      </c>
      <c r="BF98" s="42">
        <f>MAX(0,MIN(BC98+BD98-BE98,BB98))</f>
        <v/>
      </c>
      <c r="BG98" s="42">
        <f>ROUND(BC98+BD98-BE98-BF98,2)</f>
        <v/>
      </c>
      <c r="BH98">
        <f>BB98-BF98</f>
        <v/>
      </c>
      <c r="BI98" s="42">
        <f>BM97</f>
        <v/>
      </c>
      <c r="BJ98" s="42">
        <f>ROUND(BI98*BJ$6/12,2)</f>
        <v/>
      </c>
      <c r="BK98" s="42">
        <f>MIN(BK$6,BI98+BJ98)</f>
        <v/>
      </c>
      <c r="BL98" s="42">
        <f>MAX(0,MIN(BI98+BJ98-BK98,BH98))</f>
        <v/>
      </c>
      <c r="BM98" s="42">
        <f>ROUND(BI98+BJ98-BK98-BL98,2)</f>
        <v/>
      </c>
      <c r="BN98">
        <f>BH98-BL98</f>
        <v/>
      </c>
    </row>
    <row r="99">
      <c r="A99" s="43" t="n">
        <v>92</v>
      </c>
      <c r="B99" s="44">
        <f>EDATE('My Debts'!$C$6,A99-1)</f>
        <v/>
      </c>
      <c r="C99" s="45">
        <f>K99+Q99+W99+AC99+AI99+AO99+AU99+BA99+BG99+BM99</f>
        <v/>
      </c>
      <c r="D99" s="46">
        <f>I99+O99+U99+AA99+AG99+AM99+AS99+AY99+BE99+BK99+J99+P99+V99+AB99+AH99+AN99+AT99+AZ99+BF99+BL99</f>
        <v/>
      </c>
      <c r="E99" s="46">
        <f>H99+N99+T99+Z99+AF99+AL99+AR99+AX99+BD99+BJ99</f>
        <v/>
      </c>
      <c r="F99" t="n">
        <v>0</v>
      </c>
      <c r="G99" s="42">
        <f>K98</f>
        <v/>
      </c>
      <c r="H99" s="42">
        <f>ROUND(G99*H$6/12,2)</f>
        <v/>
      </c>
      <c r="I99" s="42">
        <f>MIN(I$6,G99+H99)</f>
        <v/>
      </c>
      <c r="J99" s="42">
        <f>MAX(0,MIN(G99+H99-I99,$F99))</f>
        <v/>
      </c>
      <c r="K99" s="42">
        <f>ROUND(G99+H99-I99-J99,2)</f>
        <v/>
      </c>
      <c r="L99">
        <f>$F99-J99</f>
        <v/>
      </c>
      <c r="M99" s="42">
        <f>Q98</f>
        <v/>
      </c>
      <c r="N99" s="42">
        <f>ROUND(M99*N$6/12,2)</f>
        <v/>
      </c>
      <c r="O99" s="42">
        <f>MIN(O$6,M99+N99)</f>
        <v/>
      </c>
      <c r="P99" s="42">
        <f>MAX(0,MIN(M99+N99-O99,L99))</f>
        <v/>
      </c>
      <c r="Q99" s="42">
        <f>ROUND(M99+N99-O99-P99,2)</f>
        <v/>
      </c>
      <c r="R99">
        <f>L99-P99</f>
        <v/>
      </c>
      <c r="S99" s="42">
        <f>W98</f>
        <v/>
      </c>
      <c r="T99" s="42">
        <f>ROUND(S99*T$6/12,2)</f>
        <v/>
      </c>
      <c r="U99" s="42">
        <f>MIN(U$6,S99+T99)</f>
        <v/>
      </c>
      <c r="V99" s="42">
        <f>MAX(0,MIN(S99+T99-U99,R99))</f>
        <v/>
      </c>
      <c r="W99" s="42">
        <f>ROUND(S99+T99-U99-V99,2)</f>
        <v/>
      </c>
      <c r="X99">
        <f>R99-V99</f>
        <v/>
      </c>
      <c r="Y99" s="42">
        <f>AC98</f>
        <v/>
      </c>
      <c r="Z99" s="42">
        <f>ROUND(Y99*Z$6/12,2)</f>
        <v/>
      </c>
      <c r="AA99" s="42">
        <f>MIN(AA$6,Y99+Z99)</f>
        <v/>
      </c>
      <c r="AB99" s="42">
        <f>MAX(0,MIN(Y99+Z99-AA99,X99))</f>
        <v/>
      </c>
      <c r="AC99" s="42">
        <f>ROUND(Y99+Z99-AA99-AB99,2)</f>
        <v/>
      </c>
      <c r="AD99">
        <f>X99-AB99</f>
        <v/>
      </c>
      <c r="AE99" s="42">
        <f>AI98</f>
        <v/>
      </c>
      <c r="AF99" s="42">
        <f>ROUND(AE99*AF$6/12,2)</f>
        <v/>
      </c>
      <c r="AG99" s="42">
        <f>MIN(AG$6,AE99+AF99)</f>
        <v/>
      </c>
      <c r="AH99" s="42">
        <f>MAX(0,MIN(AE99+AF99-AG99,AD99))</f>
        <v/>
      </c>
      <c r="AI99" s="42">
        <f>ROUND(AE99+AF99-AG99-AH99,2)</f>
        <v/>
      </c>
      <c r="AJ99">
        <f>AD99-AH99</f>
        <v/>
      </c>
      <c r="AK99" s="42">
        <f>AO98</f>
        <v/>
      </c>
      <c r="AL99" s="42">
        <f>ROUND(AK99*AL$6/12,2)</f>
        <v/>
      </c>
      <c r="AM99" s="42">
        <f>MIN(AM$6,AK99+AL99)</f>
        <v/>
      </c>
      <c r="AN99" s="42">
        <f>MAX(0,MIN(AK99+AL99-AM99,AJ99))</f>
        <v/>
      </c>
      <c r="AO99" s="42">
        <f>ROUND(AK99+AL99-AM99-AN99,2)</f>
        <v/>
      </c>
      <c r="AP99">
        <f>AJ99-AN99</f>
        <v/>
      </c>
      <c r="AQ99" s="42">
        <f>AU98</f>
        <v/>
      </c>
      <c r="AR99" s="42">
        <f>ROUND(AQ99*AR$6/12,2)</f>
        <v/>
      </c>
      <c r="AS99" s="42">
        <f>MIN(AS$6,AQ99+AR99)</f>
        <v/>
      </c>
      <c r="AT99" s="42">
        <f>MAX(0,MIN(AQ99+AR99-AS99,AP99))</f>
        <v/>
      </c>
      <c r="AU99" s="42">
        <f>ROUND(AQ99+AR99-AS99-AT99,2)</f>
        <v/>
      </c>
      <c r="AV99">
        <f>AP99-AT99</f>
        <v/>
      </c>
      <c r="AW99" s="42">
        <f>BA98</f>
        <v/>
      </c>
      <c r="AX99" s="42">
        <f>ROUND(AW99*AX$6/12,2)</f>
        <v/>
      </c>
      <c r="AY99" s="42">
        <f>MIN(AY$6,AW99+AX99)</f>
        <v/>
      </c>
      <c r="AZ99" s="42">
        <f>MAX(0,MIN(AW99+AX99-AY99,AV99))</f>
        <v/>
      </c>
      <c r="BA99" s="42">
        <f>ROUND(AW99+AX99-AY99-AZ99,2)</f>
        <v/>
      </c>
      <c r="BB99">
        <f>AV99-AZ99</f>
        <v/>
      </c>
      <c r="BC99" s="42">
        <f>BG98</f>
        <v/>
      </c>
      <c r="BD99" s="42">
        <f>ROUND(BC99*BD$6/12,2)</f>
        <v/>
      </c>
      <c r="BE99" s="42">
        <f>MIN(BE$6,BC99+BD99)</f>
        <v/>
      </c>
      <c r="BF99" s="42">
        <f>MAX(0,MIN(BC99+BD99-BE99,BB99))</f>
        <v/>
      </c>
      <c r="BG99" s="42">
        <f>ROUND(BC99+BD99-BE99-BF99,2)</f>
        <v/>
      </c>
      <c r="BH99">
        <f>BB99-BF99</f>
        <v/>
      </c>
      <c r="BI99" s="42">
        <f>BM98</f>
        <v/>
      </c>
      <c r="BJ99" s="42">
        <f>ROUND(BI99*BJ$6/12,2)</f>
        <v/>
      </c>
      <c r="BK99" s="42">
        <f>MIN(BK$6,BI99+BJ99)</f>
        <v/>
      </c>
      <c r="BL99" s="42">
        <f>MAX(0,MIN(BI99+BJ99-BK99,BH99))</f>
        <v/>
      </c>
      <c r="BM99" s="42">
        <f>ROUND(BI99+BJ99-BK99-BL99,2)</f>
        <v/>
      </c>
      <c r="BN99">
        <f>BH99-BL99</f>
        <v/>
      </c>
    </row>
    <row r="100">
      <c r="A100" s="39" t="n">
        <v>93</v>
      </c>
      <c r="B100" s="40">
        <f>EDATE('My Debts'!$C$6,A100-1)</f>
        <v/>
      </c>
      <c r="C100" s="41">
        <f>K100+Q100+W100+AC100+AI100+AO100+AU100+BA100+BG100+BM100</f>
        <v/>
      </c>
      <c r="D100" s="42">
        <f>I100+O100+U100+AA100+AG100+AM100+AS100+AY100+BE100+BK100+J100+P100+V100+AB100+AH100+AN100+AT100+AZ100+BF100+BL100</f>
        <v/>
      </c>
      <c r="E100" s="42">
        <f>H100+N100+T100+Z100+AF100+AL100+AR100+AX100+BD100+BJ100</f>
        <v/>
      </c>
      <c r="F100" t="n">
        <v>0</v>
      </c>
      <c r="G100" s="42">
        <f>K99</f>
        <v/>
      </c>
      <c r="H100" s="42">
        <f>ROUND(G100*H$6/12,2)</f>
        <v/>
      </c>
      <c r="I100" s="42">
        <f>MIN(I$6,G100+H100)</f>
        <v/>
      </c>
      <c r="J100" s="42">
        <f>MAX(0,MIN(G100+H100-I100,$F100))</f>
        <v/>
      </c>
      <c r="K100" s="42">
        <f>ROUND(G100+H100-I100-J100,2)</f>
        <v/>
      </c>
      <c r="L100">
        <f>$F100-J100</f>
        <v/>
      </c>
      <c r="M100" s="42">
        <f>Q99</f>
        <v/>
      </c>
      <c r="N100" s="42">
        <f>ROUND(M100*N$6/12,2)</f>
        <v/>
      </c>
      <c r="O100" s="42">
        <f>MIN(O$6,M100+N100)</f>
        <v/>
      </c>
      <c r="P100" s="42">
        <f>MAX(0,MIN(M100+N100-O100,L100))</f>
        <v/>
      </c>
      <c r="Q100" s="42">
        <f>ROUND(M100+N100-O100-P100,2)</f>
        <v/>
      </c>
      <c r="R100">
        <f>L100-P100</f>
        <v/>
      </c>
      <c r="S100" s="42">
        <f>W99</f>
        <v/>
      </c>
      <c r="T100" s="42">
        <f>ROUND(S100*T$6/12,2)</f>
        <v/>
      </c>
      <c r="U100" s="42">
        <f>MIN(U$6,S100+T100)</f>
        <v/>
      </c>
      <c r="V100" s="42">
        <f>MAX(0,MIN(S100+T100-U100,R100))</f>
        <v/>
      </c>
      <c r="W100" s="42">
        <f>ROUND(S100+T100-U100-V100,2)</f>
        <v/>
      </c>
      <c r="X100">
        <f>R100-V100</f>
        <v/>
      </c>
      <c r="Y100" s="42">
        <f>AC99</f>
        <v/>
      </c>
      <c r="Z100" s="42">
        <f>ROUND(Y100*Z$6/12,2)</f>
        <v/>
      </c>
      <c r="AA100" s="42">
        <f>MIN(AA$6,Y100+Z100)</f>
        <v/>
      </c>
      <c r="AB100" s="42">
        <f>MAX(0,MIN(Y100+Z100-AA100,X100))</f>
        <v/>
      </c>
      <c r="AC100" s="42">
        <f>ROUND(Y100+Z100-AA100-AB100,2)</f>
        <v/>
      </c>
      <c r="AD100">
        <f>X100-AB100</f>
        <v/>
      </c>
      <c r="AE100" s="42">
        <f>AI99</f>
        <v/>
      </c>
      <c r="AF100" s="42">
        <f>ROUND(AE100*AF$6/12,2)</f>
        <v/>
      </c>
      <c r="AG100" s="42">
        <f>MIN(AG$6,AE100+AF100)</f>
        <v/>
      </c>
      <c r="AH100" s="42">
        <f>MAX(0,MIN(AE100+AF100-AG100,AD100))</f>
        <v/>
      </c>
      <c r="AI100" s="42">
        <f>ROUND(AE100+AF100-AG100-AH100,2)</f>
        <v/>
      </c>
      <c r="AJ100">
        <f>AD100-AH100</f>
        <v/>
      </c>
      <c r="AK100" s="42">
        <f>AO99</f>
        <v/>
      </c>
      <c r="AL100" s="42">
        <f>ROUND(AK100*AL$6/12,2)</f>
        <v/>
      </c>
      <c r="AM100" s="42">
        <f>MIN(AM$6,AK100+AL100)</f>
        <v/>
      </c>
      <c r="AN100" s="42">
        <f>MAX(0,MIN(AK100+AL100-AM100,AJ100))</f>
        <v/>
      </c>
      <c r="AO100" s="42">
        <f>ROUND(AK100+AL100-AM100-AN100,2)</f>
        <v/>
      </c>
      <c r="AP100">
        <f>AJ100-AN100</f>
        <v/>
      </c>
      <c r="AQ100" s="42">
        <f>AU99</f>
        <v/>
      </c>
      <c r="AR100" s="42">
        <f>ROUND(AQ100*AR$6/12,2)</f>
        <v/>
      </c>
      <c r="AS100" s="42">
        <f>MIN(AS$6,AQ100+AR100)</f>
        <v/>
      </c>
      <c r="AT100" s="42">
        <f>MAX(0,MIN(AQ100+AR100-AS100,AP100))</f>
        <v/>
      </c>
      <c r="AU100" s="42">
        <f>ROUND(AQ100+AR100-AS100-AT100,2)</f>
        <v/>
      </c>
      <c r="AV100">
        <f>AP100-AT100</f>
        <v/>
      </c>
      <c r="AW100" s="42">
        <f>BA99</f>
        <v/>
      </c>
      <c r="AX100" s="42">
        <f>ROUND(AW100*AX$6/12,2)</f>
        <v/>
      </c>
      <c r="AY100" s="42">
        <f>MIN(AY$6,AW100+AX100)</f>
        <v/>
      </c>
      <c r="AZ100" s="42">
        <f>MAX(0,MIN(AW100+AX100-AY100,AV100))</f>
        <v/>
      </c>
      <c r="BA100" s="42">
        <f>ROUND(AW100+AX100-AY100-AZ100,2)</f>
        <v/>
      </c>
      <c r="BB100">
        <f>AV100-AZ100</f>
        <v/>
      </c>
      <c r="BC100" s="42">
        <f>BG99</f>
        <v/>
      </c>
      <c r="BD100" s="42">
        <f>ROUND(BC100*BD$6/12,2)</f>
        <v/>
      </c>
      <c r="BE100" s="42">
        <f>MIN(BE$6,BC100+BD100)</f>
        <v/>
      </c>
      <c r="BF100" s="42">
        <f>MAX(0,MIN(BC100+BD100-BE100,BB100))</f>
        <v/>
      </c>
      <c r="BG100" s="42">
        <f>ROUND(BC100+BD100-BE100-BF100,2)</f>
        <v/>
      </c>
      <c r="BH100">
        <f>BB100-BF100</f>
        <v/>
      </c>
      <c r="BI100" s="42">
        <f>BM99</f>
        <v/>
      </c>
      <c r="BJ100" s="42">
        <f>ROUND(BI100*BJ$6/12,2)</f>
        <v/>
      </c>
      <c r="BK100" s="42">
        <f>MIN(BK$6,BI100+BJ100)</f>
        <v/>
      </c>
      <c r="BL100" s="42">
        <f>MAX(0,MIN(BI100+BJ100-BK100,BH100))</f>
        <v/>
      </c>
      <c r="BM100" s="42">
        <f>ROUND(BI100+BJ100-BK100-BL100,2)</f>
        <v/>
      </c>
      <c r="BN100">
        <f>BH100-BL100</f>
        <v/>
      </c>
    </row>
    <row r="101">
      <c r="A101" s="43" t="n">
        <v>94</v>
      </c>
      <c r="B101" s="44">
        <f>EDATE('My Debts'!$C$6,A101-1)</f>
        <v/>
      </c>
      <c r="C101" s="45">
        <f>K101+Q101+W101+AC101+AI101+AO101+AU101+BA101+BG101+BM101</f>
        <v/>
      </c>
      <c r="D101" s="46">
        <f>I101+O101+U101+AA101+AG101+AM101+AS101+AY101+BE101+BK101+J101+P101+V101+AB101+AH101+AN101+AT101+AZ101+BF101+BL101</f>
        <v/>
      </c>
      <c r="E101" s="46">
        <f>H101+N101+T101+Z101+AF101+AL101+AR101+AX101+BD101+BJ101</f>
        <v/>
      </c>
      <c r="F101" t="n">
        <v>0</v>
      </c>
      <c r="G101" s="42">
        <f>K100</f>
        <v/>
      </c>
      <c r="H101" s="42">
        <f>ROUND(G101*H$6/12,2)</f>
        <v/>
      </c>
      <c r="I101" s="42">
        <f>MIN(I$6,G101+H101)</f>
        <v/>
      </c>
      <c r="J101" s="42">
        <f>MAX(0,MIN(G101+H101-I101,$F101))</f>
        <v/>
      </c>
      <c r="K101" s="42">
        <f>ROUND(G101+H101-I101-J101,2)</f>
        <v/>
      </c>
      <c r="L101">
        <f>$F101-J101</f>
        <v/>
      </c>
      <c r="M101" s="42">
        <f>Q100</f>
        <v/>
      </c>
      <c r="N101" s="42">
        <f>ROUND(M101*N$6/12,2)</f>
        <v/>
      </c>
      <c r="O101" s="42">
        <f>MIN(O$6,M101+N101)</f>
        <v/>
      </c>
      <c r="P101" s="42">
        <f>MAX(0,MIN(M101+N101-O101,L101))</f>
        <v/>
      </c>
      <c r="Q101" s="42">
        <f>ROUND(M101+N101-O101-P101,2)</f>
        <v/>
      </c>
      <c r="R101">
        <f>L101-P101</f>
        <v/>
      </c>
      <c r="S101" s="42">
        <f>W100</f>
        <v/>
      </c>
      <c r="T101" s="42">
        <f>ROUND(S101*T$6/12,2)</f>
        <v/>
      </c>
      <c r="U101" s="42">
        <f>MIN(U$6,S101+T101)</f>
        <v/>
      </c>
      <c r="V101" s="42">
        <f>MAX(0,MIN(S101+T101-U101,R101))</f>
        <v/>
      </c>
      <c r="W101" s="42">
        <f>ROUND(S101+T101-U101-V101,2)</f>
        <v/>
      </c>
      <c r="X101">
        <f>R101-V101</f>
        <v/>
      </c>
      <c r="Y101" s="42">
        <f>AC100</f>
        <v/>
      </c>
      <c r="Z101" s="42">
        <f>ROUND(Y101*Z$6/12,2)</f>
        <v/>
      </c>
      <c r="AA101" s="42">
        <f>MIN(AA$6,Y101+Z101)</f>
        <v/>
      </c>
      <c r="AB101" s="42">
        <f>MAX(0,MIN(Y101+Z101-AA101,X101))</f>
        <v/>
      </c>
      <c r="AC101" s="42">
        <f>ROUND(Y101+Z101-AA101-AB101,2)</f>
        <v/>
      </c>
      <c r="AD101">
        <f>X101-AB101</f>
        <v/>
      </c>
      <c r="AE101" s="42">
        <f>AI100</f>
        <v/>
      </c>
      <c r="AF101" s="42">
        <f>ROUND(AE101*AF$6/12,2)</f>
        <v/>
      </c>
      <c r="AG101" s="42">
        <f>MIN(AG$6,AE101+AF101)</f>
        <v/>
      </c>
      <c r="AH101" s="42">
        <f>MAX(0,MIN(AE101+AF101-AG101,AD101))</f>
        <v/>
      </c>
      <c r="AI101" s="42">
        <f>ROUND(AE101+AF101-AG101-AH101,2)</f>
        <v/>
      </c>
      <c r="AJ101">
        <f>AD101-AH101</f>
        <v/>
      </c>
      <c r="AK101" s="42">
        <f>AO100</f>
        <v/>
      </c>
      <c r="AL101" s="42">
        <f>ROUND(AK101*AL$6/12,2)</f>
        <v/>
      </c>
      <c r="AM101" s="42">
        <f>MIN(AM$6,AK101+AL101)</f>
        <v/>
      </c>
      <c r="AN101" s="42">
        <f>MAX(0,MIN(AK101+AL101-AM101,AJ101))</f>
        <v/>
      </c>
      <c r="AO101" s="42">
        <f>ROUND(AK101+AL101-AM101-AN101,2)</f>
        <v/>
      </c>
      <c r="AP101">
        <f>AJ101-AN101</f>
        <v/>
      </c>
      <c r="AQ101" s="42">
        <f>AU100</f>
        <v/>
      </c>
      <c r="AR101" s="42">
        <f>ROUND(AQ101*AR$6/12,2)</f>
        <v/>
      </c>
      <c r="AS101" s="42">
        <f>MIN(AS$6,AQ101+AR101)</f>
        <v/>
      </c>
      <c r="AT101" s="42">
        <f>MAX(0,MIN(AQ101+AR101-AS101,AP101))</f>
        <v/>
      </c>
      <c r="AU101" s="42">
        <f>ROUND(AQ101+AR101-AS101-AT101,2)</f>
        <v/>
      </c>
      <c r="AV101">
        <f>AP101-AT101</f>
        <v/>
      </c>
      <c r="AW101" s="42">
        <f>BA100</f>
        <v/>
      </c>
      <c r="AX101" s="42">
        <f>ROUND(AW101*AX$6/12,2)</f>
        <v/>
      </c>
      <c r="AY101" s="42">
        <f>MIN(AY$6,AW101+AX101)</f>
        <v/>
      </c>
      <c r="AZ101" s="42">
        <f>MAX(0,MIN(AW101+AX101-AY101,AV101))</f>
        <v/>
      </c>
      <c r="BA101" s="42">
        <f>ROUND(AW101+AX101-AY101-AZ101,2)</f>
        <v/>
      </c>
      <c r="BB101">
        <f>AV101-AZ101</f>
        <v/>
      </c>
      <c r="BC101" s="42">
        <f>BG100</f>
        <v/>
      </c>
      <c r="BD101" s="42">
        <f>ROUND(BC101*BD$6/12,2)</f>
        <v/>
      </c>
      <c r="BE101" s="42">
        <f>MIN(BE$6,BC101+BD101)</f>
        <v/>
      </c>
      <c r="BF101" s="42">
        <f>MAX(0,MIN(BC101+BD101-BE101,BB101))</f>
        <v/>
      </c>
      <c r="BG101" s="42">
        <f>ROUND(BC101+BD101-BE101-BF101,2)</f>
        <v/>
      </c>
      <c r="BH101">
        <f>BB101-BF101</f>
        <v/>
      </c>
      <c r="BI101" s="42">
        <f>BM100</f>
        <v/>
      </c>
      <c r="BJ101" s="42">
        <f>ROUND(BI101*BJ$6/12,2)</f>
        <v/>
      </c>
      <c r="BK101" s="42">
        <f>MIN(BK$6,BI101+BJ101)</f>
        <v/>
      </c>
      <c r="BL101" s="42">
        <f>MAX(0,MIN(BI101+BJ101-BK101,BH101))</f>
        <v/>
      </c>
      <c r="BM101" s="42">
        <f>ROUND(BI101+BJ101-BK101-BL101,2)</f>
        <v/>
      </c>
      <c r="BN101">
        <f>BH101-BL101</f>
        <v/>
      </c>
    </row>
    <row r="102">
      <c r="A102" s="39" t="n">
        <v>95</v>
      </c>
      <c r="B102" s="40">
        <f>EDATE('My Debts'!$C$6,A102-1)</f>
        <v/>
      </c>
      <c r="C102" s="41">
        <f>K102+Q102+W102+AC102+AI102+AO102+AU102+BA102+BG102+BM102</f>
        <v/>
      </c>
      <c r="D102" s="42">
        <f>I102+O102+U102+AA102+AG102+AM102+AS102+AY102+BE102+BK102+J102+P102+V102+AB102+AH102+AN102+AT102+AZ102+BF102+BL102</f>
        <v/>
      </c>
      <c r="E102" s="42">
        <f>H102+N102+T102+Z102+AF102+AL102+AR102+AX102+BD102+BJ102</f>
        <v/>
      </c>
      <c r="F102" t="n">
        <v>0</v>
      </c>
      <c r="G102" s="42">
        <f>K101</f>
        <v/>
      </c>
      <c r="H102" s="42">
        <f>ROUND(G102*H$6/12,2)</f>
        <v/>
      </c>
      <c r="I102" s="42">
        <f>MIN(I$6,G102+H102)</f>
        <v/>
      </c>
      <c r="J102" s="42">
        <f>MAX(0,MIN(G102+H102-I102,$F102))</f>
        <v/>
      </c>
      <c r="K102" s="42">
        <f>ROUND(G102+H102-I102-J102,2)</f>
        <v/>
      </c>
      <c r="L102">
        <f>$F102-J102</f>
        <v/>
      </c>
      <c r="M102" s="42">
        <f>Q101</f>
        <v/>
      </c>
      <c r="N102" s="42">
        <f>ROUND(M102*N$6/12,2)</f>
        <v/>
      </c>
      <c r="O102" s="42">
        <f>MIN(O$6,M102+N102)</f>
        <v/>
      </c>
      <c r="P102" s="42">
        <f>MAX(0,MIN(M102+N102-O102,L102))</f>
        <v/>
      </c>
      <c r="Q102" s="42">
        <f>ROUND(M102+N102-O102-P102,2)</f>
        <v/>
      </c>
      <c r="R102">
        <f>L102-P102</f>
        <v/>
      </c>
      <c r="S102" s="42">
        <f>W101</f>
        <v/>
      </c>
      <c r="T102" s="42">
        <f>ROUND(S102*T$6/12,2)</f>
        <v/>
      </c>
      <c r="U102" s="42">
        <f>MIN(U$6,S102+T102)</f>
        <v/>
      </c>
      <c r="V102" s="42">
        <f>MAX(0,MIN(S102+T102-U102,R102))</f>
        <v/>
      </c>
      <c r="W102" s="42">
        <f>ROUND(S102+T102-U102-V102,2)</f>
        <v/>
      </c>
      <c r="X102">
        <f>R102-V102</f>
        <v/>
      </c>
      <c r="Y102" s="42">
        <f>AC101</f>
        <v/>
      </c>
      <c r="Z102" s="42">
        <f>ROUND(Y102*Z$6/12,2)</f>
        <v/>
      </c>
      <c r="AA102" s="42">
        <f>MIN(AA$6,Y102+Z102)</f>
        <v/>
      </c>
      <c r="AB102" s="42">
        <f>MAX(0,MIN(Y102+Z102-AA102,X102))</f>
        <v/>
      </c>
      <c r="AC102" s="42">
        <f>ROUND(Y102+Z102-AA102-AB102,2)</f>
        <v/>
      </c>
      <c r="AD102">
        <f>X102-AB102</f>
        <v/>
      </c>
      <c r="AE102" s="42">
        <f>AI101</f>
        <v/>
      </c>
      <c r="AF102" s="42">
        <f>ROUND(AE102*AF$6/12,2)</f>
        <v/>
      </c>
      <c r="AG102" s="42">
        <f>MIN(AG$6,AE102+AF102)</f>
        <v/>
      </c>
      <c r="AH102" s="42">
        <f>MAX(0,MIN(AE102+AF102-AG102,AD102))</f>
        <v/>
      </c>
      <c r="AI102" s="42">
        <f>ROUND(AE102+AF102-AG102-AH102,2)</f>
        <v/>
      </c>
      <c r="AJ102">
        <f>AD102-AH102</f>
        <v/>
      </c>
      <c r="AK102" s="42">
        <f>AO101</f>
        <v/>
      </c>
      <c r="AL102" s="42">
        <f>ROUND(AK102*AL$6/12,2)</f>
        <v/>
      </c>
      <c r="AM102" s="42">
        <f>MIN(AM$6,AK102+AL102)</f>
        <v/>
      </c>
      <c r="AN102" s="42">
        <f>MAX(0,MIN(AK102+AL102-AM102,AJ102))</f>
        <v/>
      </c>
      <c r="AO102" s="42">
        <f>ROUND(AK102+AL102-AM102-AN102,2)</f>
        <v/>
      </c>
      <c r="AP102">
        <f>AJ102-AN102</f>
        <v/>
      </c>
      <c r="AQ102" s="42">
        <f>AU101</f>
        <v/>
      </c>
      <c r="AR102" s="42">
        <f>ROUND(AQ102*AR$6/12,2)</f>
        <v/>
      </c>
      <c r="AS102" s="42">
        <f>MIN(AS$6,AQ102+AR102)</f>
        <v/>
      </c>
      <c r="AT102" s="42">
        <f>MAX(0,MIN(AQ102+AR102-AS102,AP102))</f>
        <v/>
      </c>
      <c r="AU102" s="42">
        <f>ROUND(AQ102+AR102-AS102-AT102,2)</f>
        <v/>
      </c>
      <c r="AV102">
        <f>AP102-AT102</f>
        <v/>
      </c>
      <c r="AW102" s="42">
        <f>BA101</f>
        <v/>
      </c>
      <c r="AX102" s="42">
        <f>ROUND(AW102*AX$6/12,2)</f>
        <v/>
      </c>
      <c r="AY102" s="42">
        <f>MIN(AY$6,AW102+AX102)</f>
        <v/>
      </c>
      <c r="AZ102" s="42">
        <f>MAX(0,MIN(AW102+AX102-AY102,AV102))</f>
        <v/>
      </c>
      <c r="BA102" s="42">
        <f>ROUND(AW102+AX102-AY102-AZ102,2)</f>
        <v/>
      </c>
      <c r="BB102">
        <f>AV102-AZ102</f>
        <v/>
      </c>
      <c r="BC102" s="42">
        <f>BG101</f>
        <v/>
      </c>
      <c r="BD102" s="42">
        <f>ROUND(BC102*BD$6/12,2)</f>
        <v/>
      </c>
      <c r="BE102" s="42">
        <f>MIN(BE$6,BC102+BD102)</f>
        <v/>
      </c>
      <c r="BF102" s="42">
        <f>MAX(0,MIN(BC102+BD102-BE102,BB102))</f>
        <v/>
      </c>
      <c r="BG102" s="42">
        <f>ROUND(BC102+BD102-BE102-BF102,2)</f>
        <v/>
      </c>
      <c r="BH102">
        <f>BB102-BF102</f>
        <v/>
      </c>
      <c r="BI102" s="42">
        <f>BM101</f>
        <v/>
      </c>
      <c r="BJ102" s="42">
        <f>ROUND(BI102*BJ$6/12,2)</f>
        <v/>
      </c>
      <c r="BK102" s="42">
        <f>MIN(BK$6,BI102+BJ102)</f>
        <v/>
      </c>
      <c r="BL102" s="42">
        <f>MAX(0,MIN(BI102+BJ102-BK102,BH102))</f>
        <v/>
      </c>
      <c r="BM102" s="42">
        <f>ROUND(BI102+BJ102-BK102-BL102,2)</f>
        <v/>
      </c>
      <c r="BN102">
        <f>BH102-BL102</f>
        <v/>
      </c>
    </row>
    <row r="103">
      <c r="A103" s="43" t="n">
        <v>96</v>
      </c>
      <c r="B103" s="44">
        <f>EDATE('My Debts'!$C$6,A103-1)</f>
        <v/>
      </c>
      <c r="C103" s="45">
        <f>K103+Q103+W103+AC103+AI103+AO103+AU103+BA103+BG103+BM103</f>
        <v/>
      </c>
      <c r="D103" s="46">
        <f>I103+O103+U103+AA103+AG103+AM103+AS103+AY103+BE103+BK103+J103+P103+V103+AB103+AH103+AN103+AT103+AZ103+BF103+BL103</f>
        <v/>
      </c>
      <c r="E103" s="46">
        <f>H103+N103+T103+Z103+AF103+AL103+AR103+AX103+BD103+BJ103</f>
        <v/>
      </c>
      <c r="F103" t="n">
        <v>0</v>
      </c>
      <c r="G103" s="42">
        <f>K102</f>
        <v/>
      </c>
      <c r="H103" s="42">
        <f>ROUND(G103*H$6/12,2)</f>
        <v/>
      </c>
      <c r="I103" s="42">
        <f>MIN(I$6,G103+H103)</f>
        <v/>
      </c>
      <c r="J103" s="42">
        <f>MAX(0,MIN(G103+H103-I103,$F103))</f>
        <v/>
      </c>
      <c r="K103" s="42">
        <f>ROUND(G103+H103-I103-J103,2)</f>
        <v/>
      </c>
      <c r="L103">
        <f>$F103-J103</f>
        <v/>
      </c>
      <c r="M103" s="42">
        <f>Q102</f>
        <v/>
      </c>
      <c r="N103" s="42">
        <f>ROUND(M103*N$6/12,2)</f>
        <v/>
      </c>
      <c r="O103" s="42">
        <f>MIN(O$6,M103+N103)</f>
        <v/>
      </c>
      <c r="P103" s="42">
        <f>MAX(0,MIN(M103+N103-O103,L103))</f>
        <v/>
      </c>
      <c r="Q103" s="42">
        <f>ROUND(M103+N103-O103-P103,2)</f>
        <v/>
      </c>
      <c r="R103">
        <f>L103-P103</f>
        <v/>
      </c>
      <c r="S103" s="42">
        <f>W102</f>
        <v/>
      </c>
      <c r="T103" s="42">
        <f>ROUND(S103*T$6/12,2)</f>
        <v/>
      </c>
      <c r="U103" s="42">
        <f>MIN(U$6,S103+T103)</f>
        <v/>
      </c>
      <c r="V103" s="42">
        <f>MAX(0,MIN(S103+T103-U103,R103))</f>
        <v/>
      </c>
      <c r="W103" s="42">
        <f>ROUND(S103+T103-U103-V103,2)</f>
        <v/>
      </c>
      <c r="X103">
        <f>R103-V103</f>
        <v/>
      </c>
      <c r="Y103" s="42">
        <f>AC102</f>
        <v/>
      </c>
      <c r="Z103" s="42">
        <f>ROUND(Y103*Z$6/12,2)</f>
        <v/>
      </c>
      <c r="AA103" s="42">
        <f>MIN(AA$6,Y103+Z103)</f>
        <v/>
      </c>
      <c r="AB103" s="42">
        <f>MAX(0,MIN(Y103+Z103-AA103,X103))</f>
        <v/>
      </c>
      <c r="AC103" s="42">
        <f>ROUND(Y103+Z103-AA103-AB103,2)</f>
        <v/>
      </c>
      <c r="AD103">
        <f>X103-AB103</f>
        <v/>
      </c>
      <c r="AE103" s="42">
        <f>AI102</f>
        <v/>
      </c>
      <c r="AF103" s="42">
        <f>ROUND(AE103*AF$6/12,2)</f>
        <v/>
      </c>
      <c r="AG103" s="42">
        <f>MIN(AG$6,AE103+AF103)</f>
        <v/>
      </c>
      <c r="AH103" s="42">
        <f>MAX(0,MIN(AE103+AF103-AG103,AD103))</f>
        <v/>
      </c>
      <c r="AI103" s="42">
        <f>ROUND(AE103+AF103-AG103-AH103,2)</f>
        <v/>
      </c>
      <c r="AJ103">
        <f>AD103-AH103</f>
        <v/>
      </c>
      <c r="AK103" s="42">
        <f>AO102</f>
        <v/>
      </c>
      <c r="AL103" s="42">
        <f>ROUND(AK103*AL$6/12,2)</f>
        <v/>
      </c>
      <c r="AM103" s="42">
        <f>MIN(AM$6,AK103+AL103)</f>
        <v/>
      </c>
      <c r="AN103" s="42">
        <f>MAX(0,MIN(AK103+AL103-AM103,AJ103))</f>
        <v/>
      </c>
      <c r="AO103" s="42">
        <f>ROUND(AK103+AL103-AM103-AN103,2)</f>
        <v/>
      </c>
      <c r="AP103">
        <f>AJ103-AN103</f>
        <v/>
      </c>
      <c r="AQ103" s="42">
        <f>AU102</f>
        <v/>
      </c>
      <c r="AR103" s="42">
        <f>ROUND(AQ103*AR$6/12,2)</f>
        <v/>
      </c>
      <c r="AS103" s="42">
        <f>MIN(AS$6,AQ103+AR103)</f>
        <v/>
      </c>
      <c r="AT103" s="42">
        <f>MAX(0,MIN(AQ103+AR103-AS103,AP103))</f>
        <v/>
      </c>
      <c r="AU103" s="42">
        <f>ROUND(AQ103+AR103-AS103-AT103,2)</f>
        <v/>
      </c>
      <c r="AV103">
        <f>AP103-AT103</f>
        <v/>
      </c>
      <c r="AW103" s="42">
        <f>BA102</f>
        <v/>
      </c>
      <c r="AX103" s="42">
        <f>ROUND(AW103*AX$6/12,2)</f>
        <v/>
      </c>
      <c r="AY103" s="42">
        <f>MIN(AY$6,AW103+AX103)</f>
        <v/>
      </c>
      <c r="AZ103" s="42">
        <f>MAX(0,MIN(AW103+AX103-AY103,AV103))</f>
        <v/>
      </c>
      <c r="BA103" s="42">
        <f>ROUND(AW103+AX103-AY103-AZ103,2)</f>
        <v/>
      </c>
      <c r="BB103">
        <f>AV103-AZ103</f>
        <v/>
      </c>
      <c r="BC103" s="42">
        <f>BG102</f>
        <v/>
      </c>
      <c r="BD103" s="42">
        <f>ROUND(BC103*BD$6/12,2)</f>
        <v/>
      </c>
      <c r="BE103" s="42">
        <f>MIN(BE$6,BC103+BD103)</f>
        <v/>
      </c>
      <c r="BF103" s="42">
        <f>MAX(0,MIN(BC103+BD103-BE103,BB103))</f>
        <v/>
      </c>
      <c r="BG103" s="42">
        <f>ROUND(BC103+BD103-BE103-BF103,2)</f>
        <v/>
      </c>
      <c r="BH103">
        <f>BB103-BF103</f>
        <v/>
      </c>
      <c r="BI103" s="42">
        <f>BM102</f>
        <v/>
      </c>
      <c r="BJ103" s="42">
        <f>ROUND(BI103*BJ$6/12,2)</f>
        <v/>
      </c>
      <c r="BK103" s="42">
        <f>MIN(BK$6,BI103+BJ103)</f>
        <v/>
      </c>
      <c r="BL103" s="42">
        <f>MAX(0,MIN(BI103+BJ103-BK103,BH103))</f>
        <v/>
      </c>
      <c r="BM103" s="42">
        <f>ROUND(BI103+BJ103-BK103-BL103,2)</f>
        <v/>
      </c>
      <c r="BN103">
        <f>BH103-BL103</f>
        <v/>
      </c>
    </row>
    <row r="104">
      <c r="A104" s="39" t="n">
        <v>97</v>
      </c>
      <c r="B104" s="40">
        <f>EDATE('My Debts'!$C$6,A104-1)</f>
        <v/>
      </c>
      <c r="C104" s="41">
        <f>K104+Q104+W104+AC104+AI104+AO104+AU104+BA104+BG104+BM104</f>
        <v/>
      </c>
      <c r="D104" s="42">
        <f>I104+O104+U104+AA104+AG104+AM104+AS104+AY104+BE104+BK104+J104+P104+V104+AB104+AH104+AN104+AT104+AZ104+BF104+BL104</f>
        <v/>
      </c>
      <c r="E104" s="42">
        <f>H104+N104+T104+Z104+AF104+AL104+AR104+AX104+BD104+BJ104</f>
        <v/>
      </c>
      <c r="F104" t="n">
        <v>0</v>
      </c>
      <c r="G104" s="42">
        <f>K103</f>
        <v/>
      </c>
      <c r="H104" s="42">
        <f>ROUND(G104*H$6/12,2)</f>
        <v/>
      </c>
      <c r="I104" s="42">
        <f>MIN(I$6,G104+H104)</f>
        <v/>
      </c>
      <c r="J104" s="42">
        <f>MAX(0,MIN(G104+H104-I104,$F104))</f>
        <v/>
      </c>
      <c r="K104" s="42">
        <f>ROUND(G104+H104-I104-J104,2)</f>
        <v/>
      </c>
      <c r="L104">
        <f>$F104-J104</f>
        <v/>
      </c>
      <c r="M104" s="42">
        <f>Q103</f>
        <v/>
      </c>
      <c r="N104" s="42">
        <f>ROUND(M104*N$6/12,2)</f>
        <v/>
      </c>
      <c r="O104" s="42">
        <f>MIN(O$6,M104+N104)</f>
        <v/>
      </c>
      <c r="P104" s="42">
        <f>MAX(0,MIN(M104+N104-O104,L104))</f>
        <v/>
      </c>
      <c r="Q104" s="42">
        <f>ROUND(M104+N104-O104-P104,2)</f>
        <v/>
      </c>
      <c r="R104">
        <f>L104-P104</f>
        <v/>
      </c>
      <c r="S104" s="42">
        <f>W103</f>
        <v/>
      </c>
      <c r="T104" s="42">
        <f>ROUND(S104*T$6/12,2)</f>
        <v/>
      </c>
      <c r="U104" s="42">
        <f>MIN(U$6,S104+T104)</f>
        <v/>
      </c>
      <c r="V104" s="42">
        <f>MAX(0,MIN(S104+T104-U104,R104))</f>
        <v/>
      </c>
      <c r="W104" s="42">
        <f>ROUND(S104+T104-U104-V104,2)</f>
        <v/>
      </c>
      <c r="X104">
        <f>R104-V104</f>
        <v/>
      </c>
      <c r="Y104" s="42">
        <f>AC103</f>
        <v/>
      </c>
      <c r="Z104" s="42">
        <f>ROUND(Y104*Z$6/12,2)</f>
        <v/>
      </c>
      <c r="AA104" s="42">
        <f>MIN(AA$6,Y104+Z104)</f>
        <v/>
      </c>
      <c r="AB104" s="42">
        <f>MAX(0,MIN(Y104+Z104-AA104,X104))</f>
        <v/>
      </c>
      <c r="AC104" s="42">
        <f>ROUND(Y104+Z104-AA104-AB104,2)</f>
        <v/>
      </c>
      <c r="AD104">
        <f>X104-AB104</f>
        <v/>
      </c>
      <c r="AE104" s="42">
        <f>AI103</f>
        <v/>
      </c>
      <c r="AF104" s="42">
        <f>ROUND(AE104*AF$6/12,2)</f>
        <v/>
      </c>
      <c r="AG104" s="42">
        <f>MIN(AG$6,AE104+AF104)</f>
        <v/>
      </c>
      <c r="AH104" s="42">
        <f>MAX(0,MIN(AE104+AF104-AG104,AD104))</f>
        <v/>
      </c>
      <c r="AI104" s="42">
        <f>ROUND(AE104+AF104-AG104-AH104,2)</f>
        <v/>
      </c>
      <c r="AJ104">
        <f>AD104-AH104</f>
        <v/>
      </c>
      <c r="AK104" s="42">
        <f>AO103</f>
        <v/>
      </c>
      <c r="AL104" s="42">
        <f>ROUND(AK104*AL$6/12,2)</f>
        <v/>
      </c>
      <c r="AM104" s="42">
        <f>MIN(AM$6,AK104+AL104)</f>
        <v/>
      </c>
      <c r="AN104" s="42">
        <f>MAX(0,MIN(AK104+AL104-AM104,AJ104))</f>
        <v/>
      </c>
      <c r="AO104" s="42">
        <f>ROUND(AK104+AL104-AM104-AN104,2)</f>
        <v/>
      </c>
      <c r="AP104">
        <f>AJ104-AN104</f>
        <v/>
      </c>
      <c r="AQ104" s="42">
        <f>AU103</f>
        <v/>
      </c>
      <c r="AR104" s="42">
        <f>ROUND(AQ104*AR$6/12,2)</f>
        <v/>
      </c>
      <c r="AS104" s="42">
        <f>MIN(AS$6,AQ104+AR104)</f>
        <v/>
      </c>
      <c r="AT104" s="42">
        <f>MAX(0,MIN(AQ104+AR104-AS104,AP104))</f>
        <v/>
      </c>
      <c r="AU104" s="42">
        <f>ROUND(AQ104+AR104-AS104-AT104,2)</f>
        <v/>
      </c>
      <c r="AV104">
        <f>AP104-AT104</f>
        <v/>
      </c>
      <c r="AW104" s="42">
        <f>BA103</f>
        <v/>
      </c>
      <c r="AX104" s="42">
        <f>ROUND(AW104*AX$6/12,2)</f>
        <v/>
      </c>
      <c r="AY104" s="42">
        <f>MIN(AY$6,AW104+AX104)</f>
        <v/>
      </c>
      <c r="AZ104" s="42">
        <f>MAX(0,MIN(AW104+AX104-AY104,AV104))</f>
        <v/>
      </c>
      <c r="BA104" s="42">
        <f>ROUND(AW104+AX104-AY104-AZ104,2)</f>
        <v/>
      </c>
      <c r="BB104">
        <f>AV104-AZ104</f>
        <v/>
      </c>
      <c r="BC104" s="42">
        <f>BG103</f>
        <v/>
      </c>
      <c r="BD104" s="42">
        <f>ROUND(BC104*BD$6/12,2)</f>
        <v/>
      </c>
      <c r="BE104" s="42">
        <f>MIN(BE$6,BC104+BD104)</f>
        <v/>
      </c>
      <c r="BF104" s="42">
        <f>MAX(0,MIN(BC104+BD104-BE104,BB104))</f>
        <v/>
      </c>
      <c r="BG104" s="42">
        <f>ROUND(BC104+BD104-BE104-BF104,2)</f>
        <v/>
      </c>
      <c r="BH104">
        <f>BB104-BF104</f>
        <v/>
      </c>
      <c r="BI104" s="42">
        <f>BM103</f>
        <v/>
      </c>
      <c r="BJ104" s="42">
        <f>ROUND(BI104*BJ$6/12,2)</f>
        <v/>
      </c>
      <c r="BK104" s="42">
        <f>MIN(BK$6,BI104+BJ104)</f>
        <v/>
      </c>
      <c r="BL104" s="42">
        <f>MAX(0,MIN(BI104+BJ104-BK104,BH104))</f>
        <v/>
      </c>
      <c r="BM104" s="42">
        <f>ROUND(BI104+BJ104-BK104-BL104,2)</f>
        <v/>
      </c>
      <c r="BN104">
        <f>BH104-BL104</f>
        <v/>
      </c>
    </row>
    <row r="105">
      <c r="A105" s="43" t="n">
        <v>98</v>
      </c>
      <c r="B105" s="44">
        <f>EDATE('My Debts'!$C$6,A105-1)</f>
        <v/>
      </c>
      <c r="C105" s="45">
        <f>K105+Q105+W105+AC105+AI105+AO105+AU105+BA105+BG105+BM105</f>
        <v/>
      </c>
      <c r="D105" s="46">
        <f>I105+O105+U105+AA105+AG105+AM105+AS105+AY105+BE105+BK105+J105+P105+V105+AB105+AH105+AN105+AT105+AZ105+BF105+BL105</f>
        <v/>
      </c>
      <c r="E105" s="46">
        <f>H105+N105+T105+Z105+AF105+AL105+AR105+AX105+BD105+BJ105</f>
        <v/>
      </c>
      <c r="F105" t="n">
        <v>0</v>
      </c>
      <c r="G105" s="42">
        <f>K104</f>
        <v/>
      </c>
      <c r="H105" s="42">
        <f>ROUND(G105*H$6/12,2)</f>
        <v/>
      </c>
      <c r="I105" s="42">
        <f>MIN(I$6,G105+H105)</f>
        <v/>
      </c>
      <c r="J105" s="42">
        <f>MAX(0,MIN(G105+H105-I105,$F105))</f>
        <v/>
      </c>
      <c r="K105" s="42">
        <f>ROUND(G105+H105-I105-J105,2)</f>
        <v/>
      </c>
      <c r="L105">
        <f>$F105-J105</f>
        <v/>
      </c>
      <c r="M105" s="42">
        <f>Q104</f>
        <v/>
      </c>
      <c r="N105" s="42">
        <f>ROUND(M105*N$6/12,2)</f>
        <v/>
      </c>
      <c r="O105" s="42">
        <f>MIN(O$6,M105+N105)</f>
        <v/>
      </c>
      <c r="P105" s="42">
        <f>MAX(0,MIN(M105+N105-O105,L105))</f>
        <v/>
      </c>
      <c r="Q105" s="42">
        <f>ROUND(M105+N105-O105-P105,2)</f>
        <v/>
      </c>
      <c r="R105">
        <f>L105-P105</f>
        <v/>
      </c>
      <c r="S105" s="42">
        <f>W104</f>
        <v/>
      </c>
      <c r="T105" s="42">
        <f>ROUND(S105*T$6/12,2)</f>
        <v/>
      </c>
      <c r="U105" s="42">
        <f>MIN(U$6,S105+T105)</f>
        <v/>
      </c>
      <c r="V105" s="42">
        <f>MAX(0,MIN(S105+T105-U105,R105))</f>
        <v/>
      </c>
      <c r="W105" s="42">
        <f>ROUND(S105+T105-U105-V105,2)</f>
        <v/>
      </c>
      <c r="X105">
        <f>R105-V105</f>
        <v/>
      </c>
      <c r="Y105" s="42">
        <f>AC104</f>
        <v/>
      </c>
      <c r="Z105" s="42">
        <f>ROUND(Y105*Z$6/12,2)</f>
        <v/>
      </c>
      <c r="AA105" s="42">
        <f>MIN(AA$6,Y105+Z105)</f>
        <v/>
      </c>
      <c r="AB105" s="42">
        <f>MAX(0,MIN(Y105+Z105-AA105,X105))</f>
        <v/>
      </c>
      <c r="AC105" s="42">
        <f>ROUND(Y105+Z105-AA105-AB105,2)</f>
        <v/>
      </c>
      <c r="AD105">
        <f>X105-AB105</f>
        <v/>
      </c>
      <c r="AE105" s="42">
        <f>AI104</f>
        <v/>
      </c>
      <c r="AF105" s="42">
        <f>ROUND(AE105*AF$6/12,2)</f>
        <v/>
      </c>
      <c r="AG105" s="42">
        <f>MIN(AG$6,AE105+AF105)</f>
        <v/>
      </c>
      <c r="AH105" s="42">
        <f>MAX(0,MIN(AE105+AF105-AG105,AD105))</f>
        <v/>
      </c>
      <c r="AI105" s="42">
        <f>ROUND(AE105+AF105-AG105-AH105,2)</f>
        <v/>
      </c>
      <c r="AJ105">
        <f>AD105-AH105</f>
        <v/>
      </c>
      <c r="AK105" s="42">
        <f>AO104</f>
        <v/>
      </c>
      <c r="AL105" s="42">
        <f>ROUND(AK105*AL$6/12,2)</f>
        <v/>
      </c>
      <c r="AM105" s="42">
        <f>MIN(AM$6,AK105+AL105)</f>
        <v/>
      </c>
      <c r="AN105" s="42">
        <f>MAX(0,MIN(AK105+AL105-AM105,AJ105))</f>
        <v/>
      </c>
      <c r="AO105" s="42">
        <f>ROUND(AK105+AL105-AM105-AN105,2)</f>
        <v/>
      </c>
      <c r="AP105">
        <f>AJ105-AN105</f>
        <v/>
      </c>
      <c r="AQ105" s="42">
        <f>AU104</f>
        <v/>
      </c>
      <c r="AR105" s="42">
        <f>ROUND(AQ105*AR$6/12,2)</f>
        <v/>
      </c>
      <c r="AS105" s="42">
        <f>MIN(AS$6,AQ105+AR105)</f>
        <v/>
      </c>
      <c r="AT105" s="42">
        <f>MAX(0,MIN(AQ105+AR105-AS105,AP105))</f>
        <v/>
      </c>
      <c r="AU105" s="42">
        <f>ROUND(AQ105+AR105-AS105-AT105,2)</f>
        <v/>
      </c>
      <c r="AV105">
        <f>AP105-AT105</f>
        <v/>
      </c>
      <c r="AW105" s="42">
        <f>BA104</f>
        <v/>
      </c>
      <c r="AX105" s="42">
        <f>ROUND(AW105*AX$6/12,2)</f>
        <v/>
      </c>
      <c r="AY105" s="42">
        <f>MIN(AY$6,AW105+AX105)</f>
        <v/>
      </c>
      <c r="AZ105" s="42">
        <f>MAX(0,MIN(AW105+AX105-AY105,AV105))</f>
        <v/>
      </c>
      <c r="BA105" s="42">
        <f>ROUND(AW105+AX105-AY105-AZ105,2)</f>
        <v/>
      </c>
      <c r="BB105">
        <f>AV105-AZ105</f>
        <v/>
      </c>
      <c r="BC105" s="42">
        <f>BG104</f>
        <v/>
      </c>
      <c r="BD105" s="42">
        <f>ROUND(BC105*BD$6/12,2)</f>
        <v/>
      </c>
      <c r="BE105" s="42">
        <f>MIN(BE$6,BC105+BD105)</f>
        <v/>
      </c>
      <c r="BF105" s="42">
        <f>MAX(0,MIN(BC105+BD105-BE105,BB105))</f>
        <v/>
      </c>
      <c r="BG105" s="42">
        <f>ROUND(BC105+BD105-BE105-BF105,2)</f>
        <v/>
      </c>
      <c r="BH105">
        <f>BB105-BF105</f>
        <v/>
      </c>
      <c r="BI105" s="42">
        <f>BM104</f>
        <v/>
      </c>
      <c r="BJ105" s="42">
        <f>ROUND(BI105*BJ$6/12,2)</f>
        <v/>
      </c>
      <c r="BK105" s="42">
        <f>MIN(BK$6,BI105+BJ105)</f>
        <v/>
      </c>
      <c r="BL105" s="42">
        <f>MAX(0,MIN(BI105+BJ105-BK105,BH105))</f>
        <v/>
      </c>
      <c r="BM105" s="42">
        <f>ROUND(BI105+BJ105-BK105-BL105,2)</f>
        <v/>
      </c>
      <c r="BN105">
        <f>BH105-BL105</f>
        <v/>
      </c>
    </row>
    <row r="106">
      <c r="A106" s="39" t="n">
        <v>99</v>
      </c>
      <c r="B106" s="40">
        <f>EDATE('My Debts'!$C$6,A106-1)</f>
        <v/>
      </c>
      <c r="C106" s="41">
        <f>K106+Q106+W106+AC106+AI106+AO106+AU106+BA106+BG106+BM106</f>
        <v/>
      </c>
      <c r="D106" s="42">
        <f>I106+O106+U106+AA106+AG106+AM106+AS106+AY106+BE106+BK106+J106+P106+V106+AB106+AH106+AN106+AT106+AZ106+BF106+BL106</f>
        <v/>
      </c>
      <c r="E106" s="42">
        <f>H106+N106+T106+Z106+AF106+AL106+AR106+AX106+BD106+BJ106</f>
        <v/>
      </c>
      <c r="F106" t="n">
        <v>0</v>
      </c>
      <c r="G106" s="42">
        <f>K105</f>
        <v/>
      </c>
      <c r="H106" s="42">
        <f>ROUND(G106*H$6/12,2)</f>
        <v/>
      </c>
      <c r="I106" s="42">
        <f>MIN(I$6,G106+H106)</f>
        <v/>
      </c>
      <c r="J106" s="42">
        <f>MAX(0,MIN(G106+H106-I106,$F106))</f>
        <v/>
      </c>
      <c r="K106" s="42">
        <f>ROUND(G106+H106-I106-J106,2)</f>
        <v/>
      </c>
      <c r="L106">
        <f>$F106-J106</f>
        <v/>
      </c>
      <c r="M106" s="42">
        <f>Q105</f>
        <v/>
      </c>
      <c r="N106" s="42">
        <f>ROUND(M106*N$6/12,2)</f>
        <v/>
      </c>
      <c r="O106" s="42">
        <f>MIN(O$6,M106+N106)</f>
        <v/>
      </c>
      <c r="P106" s="42">
        <f>MAX(0,MIN(M106+N106-O106,L106))</f>
        <v/>
      </c>
      <c r="Q106" s="42">
        <f>ROUND(M106+N106-O106-P106,2)</f>
        <v/>
      </c>
      <c r="R106">
        <f>L106-P106</f>
        <v/>
      </c>
      <c r="S106" s="42">
        <f>W105</f>
        <v/>
      </c>
      <c r="T106" s="42">
        <f>ROUND(S106*T$6/12,2)</f>
        <v/>
      </c>
      <c r="U106" s="42">
        <f>MIN(U$6,S106+T106)</f>
        <v/>
      </c>
      <c r="V106" s="42">
        <f>MAX(0,MIN(S106+T106-U106,R106))</f>
        <v/>
      </c>
      <c r="W106" s="42">
        <f>ROUND(S106+T106-U106-V106,2)</f>
        <v/>
      </c>
      <c r="X106">
        <f>R106-V106</f>
        <v/>
      </c>
      <c r="Y106" s="42">
        <f>AC105</f>
        <v/>
      </c>
      <c r="Z106" s="42">
        <f>ROUND(Y106*Z$6/12,2)</f>
        <v/>
      </c>
      <c r="AA106" s="42">
        <f>MIN(AA$6,Y106+Z106)</f>
        <v/>
      </c>
      <c r="AB106" s="42">
        <f>MAX(0,MIN(Y106+Z106-AA106,X106))</f>
        <v/>
      </c>
      <c r="AC106" s="42">
        <f>ROUND(Y106+Z106-AA106-AB106,2)</f>
        <v/>
      </c>
      <c r="AD106">
        <f>X106-AB106</f>
        <v/>
      </c>
      <c r="AE106" s="42">
        <f>AI105</f>
        <v/>
      </c>
      <c r="AF106" s="42">
        <f>ROUND(AE106*AF$6/12,2)</f>
        <v/>
      </c>
      <c r="AG106" s="42">
        <f>MIN(AG$6,AE106+AF106)</f>
        <v/>
      </c>
      <c r="AH106" s="42">
        <f>MAX(0,MIN(AE106+AF106-AG106,AD106))</f>
        <v/>
      </c>
      <c r="AI106" s="42">
        <f>ROUND(AE106+AF106-AG106-AH106,2)</f>
        <v/>
      </c>
      <c r="AJ106">
        <f>AD106-AH106</f>
        <v/>
      </c>
      <c r="AK106" s="42">
        <f>AO105</f>
        <v/>
      </c>
      <c r="AL106" s="42">
        <f>ROUND(AK106*AL$6/12,2)</f>
        <v/>
      </c>
      <c r="AM106" s="42">
        <f>MIN(AM$6,AK106+AL106)</f>
        <v/>
      </c>
      <c r="AN106" s="42">
        <f>MAX(0,MIN(AK106+AL106-AM106,AJ106))</f>
        <v/>
      </c>
      <c r="AO106" s="42">
        <f>ROUND(AK106+AL106-AM106-AN106,2)</f>
        <v/>
      </c>
      <c r="AP106">
        <f>AJ106-AN106</f>
        <v/>
      </c>
      <c r="AQ106" s="42">
        <f>AU105</f>
        <v/>
      </c>
      <c r="AR106" s="42">
        <f>ROUND(AQ106*AR$6/12,2)</f>
        <v/>
      </c>
      <c r="AS106" s="42">
        <f>MIN(AS$6,AQ106+AR106)</f>
        <v/>
      </c>
      <c r="AT106" s="42">
        <f>MAX(0,MIN(AQ106+AR106-AS106,AP106))</f>
        <v/>
      </c>
      <c r="AU106" s="42">
        <f>ROUND(AQ106+AR106-AS106-AT106,2)</f>
        <v/>
      </c>
      <c r="AV106">
        <f>AP106-AT106</f>
        <v/>
      </c>
      <c r="AW106" s="42">
        <f>BA105</f>
        <v/>
      </c>
      <c r="AX106" s="42">
        <f>ROUND(AW106*AX$6/12,2)</f>
        <v/>
      </c>
      <c r="AY106" s="42">
        <f>MIN(AY$6,AW106+AX106)</f>
        <v/>
      </c>
      <c r="AZ106" s="42">
        <f>MAX(0,MIN(AW106+AX106-AY106,AV106))</f>
        <v/>
      </c>
      <c r="BA106" s="42">
        <f>ROUND(AW106+AX106-AY106-AZ106,2)</f>
        <v/>
      </c>
      <c r="BB106">
        <f>AV106-AZ106</f>
        <v/>
      </c>
      <c r="BC106" s="42">
        <f>BG105</f>
        <v/>
      </c>
      <c r="BD106" s="42">
        <f>ROUND(BC106*BD$6/12,2)</f>
        <v/>
      </c>
      <c r="BE106" s="42">
        <f>MIN(BE$6,BC106+BD106)</f>
        <v/>
      </c>
      <c r="BF106" s="42">
        <f>MAX(0,MIN(BC106+BD106-BE106,BB106))</f>
        <v/>
      </c>
      <c r="BG106" s="42">
        <f>ROUND(BC106+BD106-BE106-BF106,2)</f>
        <v/>
      </c>
      <c r="BH106">
        <f>BB106-BF106</f>
        <v/>
      </c>
      <c r="BI106" s="42">
        <f>BM105</f>
        <v/>
      </c>
      <c r="BJ106" s="42">
        <f>ROUND(BI106*BJ$6/12,2)</f>
        <v/>
      </c>
      <c r="BK106" s="42">
        <f>MIN(BK$6,BI106+BJ106)</f>
        <v/>
      </c>
      <c r="BL106" s="42">
        <f>MAX(0,MIN(BI106+BJ106-BK106,BH106))</f>
        <v/>
      </c>
      <c r="BM106" s="42">
        <f>ROUND(BI106+BJ106-BK106-BL106,2)</f>
        <v/>
      </c>
      <c r="BN106">
        <f>BH106-BL106</f>
        <v/>
      </c>
    </row>
    <row r="107">
      <c r="A107" s="43" t="n">
        <v>100</v>
      </c>
      <c r="B107" s="44">
        <f>EDATE('My Debts'!$C$6,A107-1)</f>
        <v/>
      </c>
      <c r="C107" s="45">
        <f>K107+Q107+W107+AC107+AI107+AO107+AU107+BA107+BG107+BM107</f>
        <v/>
      </c>
      <c r="D107" s="46">
        <f>I107+O107+U107+AA107+AG107+AM107+AS107+AY107+BE107+BK107+J107+P107+V107+AB107+AH107+AN107+AT107+AZ107+BF107+BL107</f>
        <v/>
      </c>
      <c r="E107" s="46">
        <f>H107+N107+T107+Z107+AF107+AL107+AR107+AX107+BD107+BJ107</f>
        <v/>
      </c>
      <c r="F107" t="n">
        <v>0</v>
      </c>
      <c r="G107" s="42">
        <f>K106</f>
        <v/>
      </c>
      <c r="H107" s="42">
        <f>ROUND(G107*H$6/12,2)</f>
        <v/>
      </c>
      <c r="I107" s="42">
        <f>MIN(I$6,G107+H107)</f>
        <v/>
      </c>
      <c r="J107" s="42">
        <f>MAX(0,MIN(G107+H107-I107,$F107))</f>
        <v/>
      </c>
      <c r="K107" s="42">
        <f>ROUND(G107+H107-I107-J107,2)</f>
        <v/>
      </c>
      <c r="L107">
        <f>$F107-J107</f>
        <v/>
      </c>
      <c r="M107" s="42">
        <f>Q106</f>
        <v/>
      </c>
      <c r="N107" s="42">
        <f>ROUND(M107*N$6/12,2)</f>
        <v/>
      </c>
      <c r="O107" s="42">
        <f>MIN(O$6,M107+N107)</f>
        <v/>
      </c>
      <c r="P107" s="42">
        <f>MAX(0,MIN(M107+N107-O107,L107))</f>
        <v/>
      </c>
      <c r="Q107" s="42">
        <f>ROUND(M107+N107-O107-P107,2)</f>
        <v/>
      </c>
      <c r="R107">
        <f>L107-P107</f>
        <v/>
      </c>
      <c r="S107" s="42">
        <f>W106</f>
        <v/>
      </c>
      <c r="T107" s="42">
        <f>ROUND(S107*T$6/12,2)</f>
        <v/>
      </c>
      <c r="U107" s="42">
        <f>MIN(U$6,S107+T107)</f>
        <v/>
      </c>
      <c r="V107" s="42">
        <f>MAX(0,MIN(S107+T107-U107,R107))</f>
        <v/>
      </c>
      <c r="W107" s="42">
        <f>ROUND(S107+T107-U107-V107,2)</f>
        <v/>
      </c>
      <c r="X107">
        <f>R107-V107</f>
        <v/>
      </c>
      <c r="Y107" s="42">
        <f>AC106</f>
        <v/>
      </c>
      <c r="Z107" s="42">
        <f>ROUND(Y107*Z$6/12,2)</f>
        <v/>
      </c>
      <c r="AA107" s="42">
        <f>MIN(AA$6,Y107+Z107)</f>
        <v/>
      </c>
      <c r="AB107" s="42">
        <f>MAX(0,MIN(Y107+Z107-AA107,X107))</f>
        <v/>
      </c>
      <c r="AC107" s="42">
        <f>ROUND(Y107+Z107-AA107-AB107,2)</f>
        <v/>
      </c>
      <c r="AD107">
        <f>X107-AB107</f>
        <v/>
      </c>
      <c r="AE107" s="42">
        <f>AI106</f>
        <v/>
      </c>
      <c r="AF107" s="42">
        <f>ROUND(AE107*AF$6/12,2)</f>
        <v/>
      </c>
      <c r="AG107" s="42">
        <f>MIN(AG$6,AE107+AF107)</f>
        <v/>
      </c>
      <c r="AH107" s="42">
        <f>MAX(0,MIN(AE107+AF107-AG107,AD107))</f>
        <v/>
      </c>
      <c r="AI107" s="42">
        <f>ROUND(AE107+AF107-AG107-AH107,2)</f>
        <v/>
      </c>
      <c r="AJ107">
        <f>AD107-AH107</f>
        <v/>
      </c>
      <c r="AK107" s="42">
        <f>AO106</f>
        <v/>
      </c>
      <c r="AL107" s="42">
        <f>ROUND(AK107*AL$6/12,2)</f>
        <v/>
      </c>
      <c r="AM107" s="42">
        <f>MIN(AM$6,AK107+AL107)</f>
        <v/>
      </c>
      <c r="AN107" s="42">
        <f>MAX(0,MIN(AK107+AL107-AM107,AJ107))</f>
        <v/>
      </c>
      <c r="AO107" s="42">
        <f>ROUND(AK107+AL107-AM107-AN107,2)</f>
        <v/>
      </c>
      <c r="AP107">
        <f>AJ107-AN107</f>
        <v/>
      </c>
      <c r="AQ107" s="42">
        <f>AU106</f>
        <v/>
      </c>
      <c r="AR107" s="42">
        <f>ROUND(AQ107*AR$6/12,2)</f>
        <v/>
      </c>
      <c r="AS107" s="42">
        <f>MIN(AS$6,AQ107+AR107)</f>
        <v/>
      </c>
      <c r="AT107" s="42">
        <f>MAX(0,MIN(AQ107+AR107-AS107,AP107))</f>
        <v/>
      </c>
      <c r="AU107" s="42">
        <f>ROUND(AQ107+AR107-AS107-AT107,2)</f>
        <v/>
      </c>
      <c r="AV107">
        <f>AP107-AT107</f>
        <v/>
      </c>
      <c r="AW107" s="42">
        <f>BA106</f>
        <v/>
      </c>
      <c r="AX107" s="42">
        <f>ROUND(AW107*AX$6/12,2)</f>
        <v/>
      </c>
      <c r="AY107" s="42">
        <f>MIN(AY$6,AW107+AX107)</f>
        <v/>
      </c>
      <c r="AZ107" s="42">
        <f>MAX(0,MIN(AW107+AX107-AY107,AV107))</f>
        <v/>
      </c>
      <c r="BA107" s="42">
        <f>ROUND(AW107+AX107-AY107-AZ107,2)</f>
        <v/>
      </c>
      <c r="BB107">
        <f>AV107-AZ107</f>
        <v/>
      </c>
      <c r="BC107" s="42">
        <f>BG106</f>
        <v/>
      </c>
      <c r="BD107" s="42">
        <f>ROUND(BC107*BD$6/12,2)</f>
        <v/>
      </c>
      <c r="BE107" s="42">
        <f>MIN(BE$6,BC107+BD107)</f>
        <v/>
      </c>
      <c r="BF107" s="42">
        <f>MAX(0,MIN(BC107+BD107-BE107,BB107))</f>
        <v/>
      </c>
      <c r="BG107" s="42">
        <f>ROUND(BC107+BD107-BE107-BF107,2)</f>
        <v/>
      </c>
      <c r="BH107">
        <f>BB107-BF107</f>
        <v/>
      </c>
      <c r="BI107" s="42">
        <f>BM106</f>
        <v/>
      </c>
      <c r="BJ107" s="42">
        <f>ROUND(BI107*BJ$6/12,2)</f>
        <v/>
      </c>
      <c r="BK107" s="42">
        <f>MIN(BK$6,BI107+BJ107)</f>
        <v/>
      </c>
      <c r="BL107" s="42">
        <f>MAX(0,MIN(BI107+BJ107-BK107,BH107))</f>
        <v/>
      </c>
      <c r="BM107" s="42">
        <f>ROUND(BI107+BJ107-BK107-BL107,2)</f>
        <v/>
      </c>
      <c r="BN107">
        <f>BH107-BL107</f>
        <v/>
      </c>
    </row>
    <row r="108">
      <c r="A108" s="39" t="n">
        <v>101</v>
      </c>
      <c r="B108" s="40">
        <f>EDATE('My Debts'!$C$6,A108-1)</f>
        <v/>
      </c>
      <c r="C108" s="41">
        <f>K108+Q108+W108+AC108+AI108+AO108+AU108+BA108+BG108+BM108</f>
        <v/>
      </c>
      <c r="D108" s="42">
        <f>I108+O108+U108+AA108+AG108+AM108+AS108+AY108+BE108+BK108+J108+P108+V108+AB108+AH108+AN108+AT108+AZ108+BF108+BL108</f>
        <v/>
      </c>
      <c r="E108" s="42">
        <f>H108+N108+T108+Z108+AF108+AL108+AR108+AX108+BD108+BJ108</f>
        <v/>
      </c>
      <c r="F108" t="n">
        <v>0</v>
      </c>
      <c r="G108" s="42">
        <f>K107</f>
        <v/>
      </c>
      <c r="H108" s="42">
        <f>ROUND(G108*H$6/12,2)</f>
        <v/>
      </c>
      <c r="I108" s="42">
        <f>MIN(I$6,G108+H108)</f>
        <v/>
      </c>
      <c r="J108" s="42">
        <f>MAX(0,MIN(G108+H108-I108,$F108))</f>
        <v/>
      </c>
      <c r="K108" s="42">
        <f>ROUND(G108+H108-I108-J108,2)</f>
        <v/>
      </c>
      <c r="L108">
        <f>$F108-J108</f>
        <v/>
      </c>
      <c r="M108" s="42">
        <f>Q107</f>
        <v/>
      </c>
      <c r="N108" s="42">
        <f>ROUND(M108*N$6/12,2)</f>
        <v/>
      </c>
      <c r="O108" s="42">
        <f>MIN(O$6,M108+N108)</f>
        <v/>
      </c>
      <c r="P108" s="42">
        <f>MAX(0,MIN(M108+N108-O108,L108))</f>
        <v/>
      </c>
      <c r="Q108" s="42">
        <f>ROUND(M108+N108-O108-P108,2)</f>
        <v/>
      </c>
      <c r="R108">
        <f>L108-P108</f>
        <v/>
      </c>
      <c r="S108" s="42">
        <f>W107</f>
        <v/>
      </c>
      <c r="T108" s="42">
        <f>ROUND(S108*T$6/12,2)</f>
        <v/>
      </c>
      <c r="U108" s="42">
        <f>MIN(U$6,S108+T108)</f>
        <v/>
      </c>
      <c r="V108" s="42">
        <f>MAX(0,MIN(S108+T108-U108,R108))</f>
        <v/>
      </c>
      <c r="W108" s="42">
        <f>ROUND(S108+T108-U108-V108,2)</f>
        <v/>
      </c>
      <c r="X108">
        <f>R108-V108</f>
        <v/>
      </c>
      <c r="Y108" s="42">
        <f>AC107</f>
        <v/>
      </c>
      <c r="Z108" s="42">
        <f>ROUND(Y108*Z$6/12,2)</f>
        <v/>
      </c>
      <c r="AA108" s="42">
        <f>MIN(AA$6,Y108+Z108)</f>
        <v/>
      </c>
      <c r="AB108" s="42">
        <f>MAX(0,MIN(Y108+Z108-AA108,X108))</f>
        <v/>
      </c>
      <c r="AC108" s="42">
        <f>ROUND(Y108+Z108-AA108-AB108,2)</f>
        <v/>
      </c>
      <c r="AD108">
        <f>X108-AB108</f>
        <v/>
      </c>
      <c r="AE108" s="42">
        <f>AI107</f>
        <v/>
      </c>
      <c r="AF108" s="42">
        <f>ROUND(AE108*AF$6/12,2)</f>
        <v/>
      </c>
      <c r="AG108" s="42">
        <f>MIN(AG$6,AE108+AF108)</f>
        <v/>
      </c>
      <c r="AH108" s="42">
        <f>MAX(0,MIN(AE108+AF108-AG108,AD108))</f>
        <v/>
      </c>
      <c r="AI108" s="42">
        <f>ROUND(AE108+AF108-AG108-AH108,2)</f>
        <v/>
      </c>
      <c r="AJ108">
        <f>AD108-AH108</f>
        <v/>
      </c>
      <c r="AK108" s="42">
        <f>AO107</f>
        <v/>
      </c>
      <c r="AL108" s="42">
        <f>ROUND(AK108*AL$6/12,2)</f>
        <v/>
      </c>
      <c r="AM108" s="42">
        <f>MIN(AM$6,AK108+AL108)</f>
        <v/>
      </c>
      <c r="AN108" s="42">
        <f>MAX(0,MIN(AK108+AL108-AM108,AJ108))</f>
        <v/>
      </c>
      <c r="AO108" s="42">
        <f>ROUND(AK108+AL108-AM108-AN108,2)</f>
        <v/>
      </c>
      <c r="AP108">
        <f>AJ108-AN108</f>
        <v/>
      </c>
      <c r="AQ108" s="42">
        <f>AU107</f>
        <v/>
      </c>
      <c r="AR108" s="42">
        <f>ROUND(AQ108*AR$6/12,2)</f>
        <v/>
      </c>
      <c r="AS108" s="42">
        <f>MIN(AS$6,AQ108+AR108)</f>
        <v/>
      </c>
      <c r="AT108" s="42">
        <f>MAX(0,MIN(AQ108+AR108-AS108,AP108))</f>
        <v/>
      </c>
      <c r="AU108" s="42">
        <f>ROUND(AQ108+AR108-AS108-AT108,2)</f>
        <v/>
      </c>
      <c r="AV108">
        <f>AP108-AT108</f>
        <v/>
      </c>
      <c r="AW108" s="42">
        <f>BA107</f>
        <v/>
      </c>
      <c r="AX108" s="42">
        <f>ROUND(AW108*AX$6/12,2)</f>
        <v/>
      </c>
      <c r="AY108" s="42">
        <f>MIN(AY$6,AW108+AX108)</f>
        <v/>
      </c>
      <c r="AZ108" s="42">
        <f>MAX(0,MIN(AW108+AX108-AY108,AV108))</f>
        <v/>
      </c>
      <c r="BA108" s="42">
        <f>ROUND(AW108+AX108-AY108-AZ108,2)</f>
        <v/>
      </c>
      <c r="BB108">
        <f>AV108-AZ108</f>
        <v/>
      </c>
      <c r="BC108" s="42">
        <f>BG107</f>
        <v/>
      </c>
      <c r="BD108" s="42">
        <f>ROUND(BC108*BD$6/12,2)</f>
        <v/>
      </c>
      <c r="BE108" s="42">
        <f>MIN(BE$6,BC108+BD108)</f>
        <v/>
      </c>
      <c r="BF108" s="42">
        <f>MAX(0,MIN(BC108+BD108-BE108,BB108))</f>
        <v/>
      </c>
      <c r="BG108" s="42">
        <f>ROUND(BC108+BD108-BE108-BF108,2)</f>
        <v/>
      </c>
      <c r="BH108">
        <f>BB108-BF108</f>
        <v/>
      </c>
      <c r="BI108" s="42">
        <f>BM107</f>
        <v/>
      </c>
      <c r="BJ108" s="42">
        <f>ROUND(BI108*BJ$6/12,2)</f>
        <v/>
      </c>
      <c r="BK108" s="42">
        <f>MIN(BK$6,BI108+BJ108)</f>
        <v/>
      </c>
      <c r="BL108" s="42">
        <f>MAX(0,MIN(BI108+BJ108-BK108,BH108))</f>
        <v/>
      </c>
      <c r="BM108" s="42">
        <f>ROUND(BI108+BJ108-BK108-BL108,2)</f>
        <v/>
      </c>
      <c r="BN108">
        <f>BH108-BL108</f>
        <v/>
      </c>
    </row>
    <row r="109">
      <c r="A109" s="43" t="n">
        <v>102</v>
      </c>
      <c r="B109" s="44">
        <f>EDATE('My Debts'!$C$6,A109-1)</f>
        <v/>
      </c>
      <c r="C109" s="45">
        <f>K109+Q109+W109+AC109+AI109+AO109+AU109+BA109+BG109+BM109</f>
        <v/>
      </c>
      <c r="D109" s="46">
        <f>I109+O109+U109+AA109+AG109+AM109+AS109+AY109+BE109+BK109+J109+P109+V109+AB109+AH109+AN109+AT109+AZ109+BF109+BL109</f>
        <v/>
      </c>
      <c r="E109" s="46">
        <f>H109+N109+T109+Z109+AF109+AL109+AR109+AX109+BD109+BJ109</f>
        <v/>
      </c>
      <c r="F109" t="n">
        <v>0</v>
      </c>
      <c r="G109" s="42">
        <f>K108</f>
        <v/>
      </c>
      <c r="H109" s="42">
        <f>ROUND(G109*H$6/12,2)</f>
        <v/>
      </c>
      <c r="I109" s="42">
        <f>MIN(I$6,G109+H109)</f>
        <v/>
      </c>
      <c r="J109" s="42">
        <f>MAX(0,MIN(G109+H109-I109,$F109))</f>
        <v/>
      </c>
      <c r="K109" s="42">
        <f>ROUND(G109+H109-I109-J109,2)</f>
        <v/>
      </c>
      <c r="L109">
        <f>$F109-J109</f>
        <v/>
      </c>
      <c r="M109" s="42">
        <f>Q108</f>
        <v/>
      </c>
      <c r="N109" s="42">
        <f>ROUND(M109*N$6/12,2)</f>
        <v/>
      </c>
      <c r="O109" s="42">
        <f>MIN(O$6,M109+N109)</f>
        <v/>
      </c>
      <c r="P109" s="42">
        <f>MAX(0,MIN(M109+N109-O109,L109))</f>
        <v/>
      </c>
      <c r="Q109" s="42">
        <f>ROUND(M109+N109-O109-P109,2)</f>
        <v/>
      </c>
      <c r="R109">
        <f>L109-P109</f>
        <v/>
      </c>
      <c r="S109" s="42">
        <f>W108</f>
        <v/>
      </c>
      <c r="T109" s="42">
        <f>ROUND(S109*T$6/12,2)</f>
        <v/>
      </c>
      <c r="U109" s="42">
        <f>MIN(U$6,S109+T109)</f>
        <v/>
      </c>
      <c r="V109" s="42">
        <f>MAX(0,MIN(S109+T109-U109,R109))</f>
        <v/>
      </c>
      <c r="W109" s="42">
        <f>ROUND(S109+T109-U109-V109,2)</f>
        <v/>
      </c>
      <c r="X109">
        <f>R109-V109</f>
        <v/>
      </c>
      <c r="Y109" s="42">
        <f>AC108</f>
        <v/>
      </c>
      <c r="Z109" s="42">
        <f>ROUND(Y109*Z$6/12,2)</f>
        <v/>
      </c>
      <c r="AA109" s="42">
        <f>MIN(AA$6,Y109+Z109)</f>
        <v/>
      </c>
      <c r="AB109" s="42">
        <f>MAX(0,MIN(Y109+Z109-AA109,X109))</f>
        <v/>
      </c>
      <c r="AC109" s="42">
        <f>ROUND(Y109+Z109-AA109-AB109,2)</f>
        <v/>
      </c>
      <c r="AD109">
        <f>X109-AB109</f>
        <v/>
      </c>
      <c r="AE109" s="42">
        <f>AI108</f>
        <v/>
      </c>
      <c r="AF109" s="42">
        <f>ROUND(AE109*AF$6/12,2)</f>
        <v/>
      </c>
      <c r="AG109" s="42">
        <f>MIN(AG$6,AE109+AF109)</f>
        <v/>
      </c>
      <c r="AH109" s="42">
        <f>MAX(0,MIN(AE109+AF109-AG109,AD109))</f>
        <v/>
      </c>
      <c r="AI109" s="42">
        <f>ROUND(AE109+AF109-AG109-AH109,2)</f>
        <v/>
      </c>
      <c r="AJ109">
        <f>AD109-AH109</f>
        <v/>
      </c>
      <c r="AK109" s="42">
        <f>AO108</f>
        <v/>
      </c>
      <c r="AL109" s="42">
        <f>ROUND(AK109*AL$6/12,2)</f>
        <v/>
      </c>
      <c r="AM109" s="42">
        <f>MIN(AM$6,AK109+AL109)</f>
        <v/>
      </c>
      <c r="AN109" s="42">
        <f>MAX(0,MIN(AK109+AL109-AM109,AJ109))</f>
        <v/>
      </c>
      <c r="AO109" s="42">
        <f>ROUND(AK109+AL109-AM109-AN109,2)</f>
        <v/>
      </c>
      <c r="AP109">
        <f>AJ109-AN109</f>
        <v/>
      </c>
      <c r="AQ109" s="42">
        <f>AU108</f>
        <v/>
      </c>
      <c r="AR109" s="42">
        <f>ROUND(AQ109*AR$6/12,2)</f>
        <v/>
      </c>
      <c r="AS109" s="42">
        <f>MIN(AS$6,AQ109+AR109)</f>
        <v/>
      </c>
      <c r="AT109" s="42">
        <f>MAX(0,MIN(AQ109+AR109-AS109,AP109))</f>
        <v/>
      </c>
      <c r="AU109" s="42">
        <f>ROUND(AQ109+AR109-AS109-AT109,2)</f>
        <v/>
      </c>
      <c r="AV109">
        <f>AP109-AT109</f>
        <v/>
      </c>
      <c r="AW109" s="42">
        <f>BA108</f>
        <v/>
      </c>
      <c r="AX109" s="42">
        <f>ROUND(AW109*AX$6/12,2)</f>
        <v/>
      </c>
      <c r="AY109" s="42">
        <f>MIN(AY$6,AW109+AX109)</f>
        <v/>
      </c>
      <c r="AZ109" s="42">
        <f>MAX(0,MIN(AW109+AX109-AY109,AV109))</f>
        <v/>
      </c>
      <c r="BA109" s="42">
        <f>ROUND(AW109+AX109-AY109-AZ109,2)</f>
        <v/>
      </c>
      <c r="BB109">
        <f>AV109-AZ109</f>
        <v/>
      </c>
      <c r="BC109" s="42">
        <f>BG108</f>
        <v/>
      </c>
      <c r="BD109" s="42">
        <f>ROUND(BC109*BD$6/12,2)</f>
        <v/>
      </c>
      <c r="BE109" s="42">
        <f>MIN(BE$6,BC109+BD109)</f>
        <v/>
      </c>
      <c r="BF109" s="42">
        <f>MAX(0,MIN(BC109+BD109-BE109,BB109))</f>
        <v/>
      </c>
      <c r="BG109" s="42">
        <f>ROUND(BC109+BD109-BE109-BF109,2)</f>
        <v/>
      </c>
      <c r="BH109">
        <f>BB109-BF109</f>
        <v/>
      </c>
      <c r="BI109" s="42">
        <f>BM108</f>
        <v/>
      </c>
      <c r="BJ109" s="42">
        <f>ROUND(BI109*BJ$6/12,2)</f>
        <v/>
      </c>
      <c r="BK109" s="42">
        <f>MIN(BK$6,BI109+BJ109)</f>
        <v/>
      </c>
      <c r="BL109" s="42">
        <f>MAX(0,MIN(BI109+BJ109-BK109,BH109))</f>
        <v/>
      </c>
      <c r="BM109" s="42">
        <f>ROUND(BI109+BJ109-BK109-BL109,2)</f>
        <v/>
      </c>
      <c r="BN109">
        <f>BH109-BL109</f>
        <v/>
      </c>
    </row>
    <row r="110">
      <c r="A110" s="39" t="n">
        <v>103</v>
      </c>
      <c r="B110" s="40">
        <f>EDATE('My Debts'!$C$6,A110-1)</f>
        <v/>
      </c>
      <c r="C110" s="41">
        <f>K110+Q110+W110+AC110+AI110+AO110+AU110+BA110+BG110+BM110</f>
        <v/>
      </c>
      <c r="D110" s="42">
        <f>I110+O110+U110+AA110+AG110+AM110+AS110+AY110+BE110+BK110+J110+P110+V110+AB110+AH110+AN110+AT110+AZ110+BF110+BL110</f>
        <v/>
      </c>
      <c r="E110" s="42">
        <f>H110+N110+T110+Z110+AF110+AL110+AR110+AX110+BD110+BJ110</f>
        <v/>
      </c>
      <c r="F110" t="n">
        <v>0</v>
      </c>
      <c r="G110" s="42">
        <f>K109</f>
        <v/>
      </c>
      <c r="H110" s="42">
        <f>ROUND(G110*H$6/12,2)</f>
        <v/>
      </c>
      <c r="I110" s="42">
        <f>MIN(I$6,G110+H110)</f>
        <v/>
      </c>
      <c r="J110" s="42">
        <f>MAX(0,MIN(G110+H110-I110,$F110))</f>
        <v/>
      </c>
      <c r="K110" s="42">
        <f>ROUND(G110+H110-I110-J110,2)</f>
        <v/>
      </c>
      <c r="L110">
        <f>$F110-J110</f>
        <v/>
      </c>
      <c r="M110" s="42">
        <f>Q109</f>
        <v/>
      </c>
      <c r="N110" s="42">
        <f>ROUND(M110*N$6/12,2)</f>
        <v/>
      </c>
      <c r="O110" s="42">
        <f>MIN(O$6,M110+N110)</f>
        <v/>
      </c>
      <c r="P110" s="42">
        <f>MAX(0,MIN(M110+N110-O110,L110))</f>
        <v/>
      </c>
      <c r="Q110" s="42">
        <f>ROUND(M110+N110-O110-P110,2)</f>
        <v/>
      </c>
      <c r="R110">
        <f>L110-P110</f>
        <v/>
      </c>
      <c r="S110" s="42">
        <f>W109</f>
        <v/>
      </c>
      <c r="T110" s="42">
        <f>ROUND(S110*T$6/12,2)</f>
        <v/>
      </c>
      <c r="U110" s="42">
        <f>MIN(U$6,S110+T110)</f>
        <v/>
      </c>
      <c r="V110" s="42">
        <f>MAX(0,MIN(S110+T110-U110,R110))</f>
        <v/>
      </c>
      <c r="W110" s="42">
        <f>ROUND(S110+T110-U110-V110,2)</f>
        <v/>
      </c>
      <c r="X110">
        <f>R110-V110</f>
        <v/>
      </c>
      <c r="Y110" s="42">
        <f>AC109</f>
        <v/>
      </c>
      <c r="Z110" s="42">
        <f>ROUND(Y110*Z$6/12,2)</f>
        <v/>
      </c>
      <c r="AA110" s="42">
        <f>MIN(AA$6,Y110+Z110)</f>
        <v/>
      </c>
      <c r="AB110" s="42">
        <f>MAX(0,MIN(Y110+Z110-AA110,X110))</f>
        <v/>
      </c>
      <c r="AC110" s="42">
        <f>ROUND(Y110+Z110-AA110-AB110,2)</f>
        <v/>
      </c>
      <c r="AD110">
        <f>X110-AB110</f>
        <v/>
      </c>
      <c r="AE110" s="42">
        <f>AI109</f>
        <v/>
      </c>
      <c r="AF110" s="42">
        <f>ROUND(AE110*AF$6/12,2)</f>
        <v/>
      </c>
      <c r="AG110" s="42">
        <f>MIN(AG$6,AE110+AF110)</f>
        <v/>
      </c>
      <c r="AH110" s="42">
        <f>MAX(0,MIN(AE110+AF110-AG110,AD110))</f>
        <v/>
      </c>
      <c r="AI110" s="42">
        <f>ROUND(AE110+AF110-AG110-AH110,2)</f>
        <v/>
      </c>
      <c r="AJ110">
        <f>AD110-AH110</f>
        <v/>
      </c>
      <c r="AK110" s="42">
        <f>AO109</f>
        <v/>
      </c>
      <c r="AL110" s="42">
        <f>ROUND(AK110*AL$6/12,2)</f>
        <v/>
      </c>
      <c r="AM110" s="42">
        <f>MIN(AM$6,AK110+AL110)</f>
        <v/>
      </c>
      <c r="AN110" s="42">
        <f>MAX(0,MIN(AK110+AL110-AM110,AJ110))</f>
        <v/>
      </c>
      <c r="AO110" s="42">
        <f>ROUND(AK110+AL110-AM110-AN110,2)</f>
        <v/>
      </c>
      <c r="AP110">
        <f>AJ110-AN110</f>
        <v/>
      </c>
      <c r="AQ110" s="42">
        <f>AU109</f>
        <v/>
      </c>
      <c r="AR110" s="42">
        <f>ROUND(AQ110*AR$6/12,2)</f>
        <v/>
      </c>
      <c r="AS110" s="42">
        <f>MIN(AS$6,AQ110+AR110)</f>
        <v/>
      </c>
      <c r="AT110" s="42">
        <f>MAX(0,MIN(AQ110+AR110-AS110,AP110))</f>
        <v/>
      </c>
      <c r="AU110" s="42">
        <f>ROUND(AQ110+AR110-AS110-AT110,2)</f>
        <v/>
      </c>
      <c r="AV110">
        <f>AP110-AT110</f>
        <v/>
      </c>
      <c r="AW110" s="42">
        <f>BA109</f>
        <v/>
      </c>
      <c r="AX110" s="42">
        <f>ROUND(AW110*AX$6/12,2)</f>
        <v/>
      </c>
      <c r="AY110" s="42">
        <f>MIN(AY$6,AW110+AX110)</f>
        <v/>
      </c>
      <c r="AZ110" s="42">
        <f>MAX(0,MIN(AW110+AX110-AY110,AV110))</f>
        <v/>
      </c>
      <c r="BA110" s="42">
        <f>ROUND(AW110+AX110-AY110-AZ110,2)</f>
        <v/>
      </c>
      <c r="BB110">
        <f>AV110-AZ110</f>
        <v/>
      </c>
      <c r="BC110" s="42">
        <f>BG109</f>
        <v/>
      </c>
      <c r="BD110" s="42">
        <f>ROUND(BC110*BD$6/12,2)</f>
        <v/>
      </c>
      <c r="BE110" s="42">
        <f>MIN(BE$6,BC110+BD110)</f>
        <v/>
      </c>
      <c r="BF110" s="42">
        <f>MAX(0,MIN(BC110+BD110-BE110,BB110))</f>
        <v/>
      </c>
      <c r="BG110" s="42">
        <f>ROUND(BC110+BD110-BE110-BF110,2)</f>
        <v/>
      </c>
      <c r="BH110">
        <f>BB110-BF110</f>
        <v/>
      </c>
      <c r="BI110" s="42">
        <f>BM109</f>
        <v/>
      </c>
      <c r="BJ110" s="42">
        <f>ROUND(BI110*BJ$6/12,2)</f>
        <v/>
      </c>
      <c r="BK110" s="42">
        <f>MIN(BK$6,BI110+BJ110)</f>
        <v/>
      </c>
      <c r="BL110" s="42">
        <f>MAX(0,MIN(BI110+BJ110-BK110,BH110))</f>
        <v/>
      </c>
      <c r="BM110" s="42">
        <f>ROUND(BI110+BJ110-BK110-BL110,2)</f>
        <v/>
      </c>
      <c r="BN110">
        <f>BH110-BL110</f>
        <v/>
      </c>
    </row>
    <row r="111">
      <c r="A111" s="43" t="n">
        <v>104</v>
      </c>
      <c r="B111" s="44">
        <f>EDATE('My Debts'!$C$6,A111-1)</f>
        <v/>
      </c>
      <c r="C111" s="45">
        <f>K111+Q111+W111+AC111+AI111+AO111+AU111+BA111+BG111+BM111</f>
        <v/>
      </c>
      <c r="D111" s="46">
        <f>I111+O111+U111+AA111+AG111+AM111+AS111+AY111+BE111+BK111+J111+P111+V111+AB111+AH111+AN111+AT111+AZ111+BF111+BL111</f>
        <v/>
      </c>
      <c r="E111" s="46">
        <f>H111+N111+T111+Z111+AF111+AL111+AR111+AX111+BD111+BJ111</f>
        <v/>
      </c>
      <c r="F111" t="n">
        <v>0</v>
      </c>
      <c r="G111" s="42">
        <f>K110</f>
        <v/>
      </c>
      <c r="H111" s="42">
        <f>ROUND(G111*H$6/12,2)</f>
        <v/>
      </c>
      <c r="I111" s="42">
        <f>MIN(I$6,G111+H111)</f>
        <v/>
      </c>
      <c r="J111" s="42">
        <f>MAX(0,MIN(G111+H111-I111,$F111))</f>
        <v/>
      </c>
      <c r="K111" s="42">
        <f>ROUND(G111+H111-I111-J111,2)</f>
        <v/>
      </c>
      <c r="L111">
        <f>$F111-J111</f>
        <v/>
      </c>
      <c r="M111" s="42">
        <f>Q110</f>
        <v/>
      </c>
      <c r="N111" s="42">
        <f>ROUND(M111*N$6/12,2)</f>
        <v/>
      </c>
      <c r="O111" s="42">
        <f>MIN(O$6,M111+N111)</f>
        <v/>
      </c>
      <c r="P111" s="42">
        <f>MAX(0,MIN(M111+N111-O111,L111))</f>
        <v/>
      </c>
      <c r="Q111" s="42">
        <f>ROUND(M111+N111-O111-P111,2)</f>
        <v/>
      </c>
      <c r="R111">
        <f>L111-P111</f>
        <v/>
      </c>
      <c r="S111" s="42">
        <f>W110</f>
        <v/>
      </c>
      <c r="T111" s="42">
        <f>ROUND(S111*T$6/12,2)</f>
        <v/>
      </c>
      <c r="U111" s="42">
        <f>MIN(U$6,S111+T111)</f>
        <v/>
      </c>
      <c r="V111" s="42">
        <f>MAX(0,MIN(S111+T111-U111,R111))</f>
        <v/>
      </c>
      <c r="W111" s="42">
        <f>ROUND(S111+T111-U111-V111,2)</f>
        <v/>
      </c>
      <c r="X111">
        <f>R111-V111</f>
        <v/>
      </c>
      <c r="Y111" s="42">
        <f>AC110</f>
        <v/>
      </c>
      <c r="Z111" s="42">
        <f>ROUND(Y111*Z$6/12,2)</f>
        <v/>
      </c>
      <c r="AA111" s="42">
        <f>MIN(AA$6,Y111+Z111)</f>
        <v/>
      </c>
      <c r="AB111" s="42">
        <f>MAX(0,MIN(Y111+Z111-AA111,X111))</f>
        <v/>
      </c>
      <c r="AC111" s="42">
        <f>ROUND(Y111+Z111-AA111-AB111,2)</f>
        <v/>
      </c>
      <c r="AD111">
        <f>X111-AB111</f>
        <v/>
      </c>
      <c r="AE111" s="42">
        <f>AI110</f>
        <v/>
      </c>
      <c r="AF111" s="42">
        <f>ROUND(AE111*AF$6/12,2)</f>
        <v/>
      </c>
      <c r="AG111" s="42">
        <f>MIN(AG$6,AE111+AF111)</f>
        <v/>
      </c>
      <c r="AH111" s="42">
        <f>MAX(0,MIN(AE111+AF111-AG111,AD111))</f>
        <v/>
      </c>
      <c r="AI111" s="42">
        <f>ROUND(AE111+AF111-AG111-AH111,2)</f>
        <v/>
      </c>
      <c r="AJ111">
        <f>AD111-AH111</f>
        <v/>
      </c>
      <c r="AK111" s="42">
        <f>AO110</f>
        <v/>
      </c>
      <c r="AL111" s="42">
        <f>ROUND(AK111*AL$6/12,2)</f>
        <v/>
      </c>
      <c r="AM111" s="42">
        <f>MIN(AM$6,AK111+AL111)</f>
        <v/>
      </c>
      <c r="AN111" s="42">
        <f>MAX(0,MIN(AK111+AL111-AM111,AJ111))</f>
        <v/>
      </c>
      <c r="AO111" s="42">
        <f>ROUND(AK111+AL111-AM111-AN111,2)</f>
        <v/>
      </c>
      <c r="AP111">
        <f>AJ111-AN111</f>
        <v/>
      </c>
      <c r="AQ111" s="42">
        <f>AU110</f>
        <v/>
      </c>
      <c r="AR111" s="42">
        <f>ROUND(AQ111*AR$6/12,2)</f>
        <v/>
      </c>
      <c r="AS111" s="42">
        <f>MIN(AS$6,AQ111+AR111)</f>
        <v/>
      </c>
      <c r="AT111" s="42">
        <f>MAX(0,MIN(AQ111+AR111-AS111,AP111))</f>
        <v/>
      </c>
      <c r="AU111" s="42">
        <f>ROUND(AQ111+AR111-AS111-AT111,2)</f>
        <v/>
      </c>
      <c r="AV111">
        <f>AP111-AT111</f>
        <v/>
      </c>
      <c r="AW111" s="42">
        <f>BA110</f>
        <v/>
      </c>
      <c r="AX111" s="42">
        <f>ROUND(AW111*AX$6/12,2)</f>
        <v/>
      </c>
      <c r="AY111" s="42">
        <f>MIN(AY$6,AW111+AX111)</f>
        <v/>
      </c>
      <c r="AZ111" s="42">
        <f>MAX(0,MIN(AW111+AX111-AY111,AV111))</f>
        <v/>
      </c>
      <c r="BA111" s="42">
        <f>ROUND(AW111+AX111-AY111-AZ111,2)</f>
        <v/>
      </c>
      <c r="BB111">
        <f>AV111-AZ111</f>
        <v/>
      </c>
      <c r="BC111" s="42">
        <f>BG110</f>
        <v/>
      </c>
      <c r="BD111" s="42">
        <f>ROUND(BC111*BD$6/12,2)</f>
        <v/>
      </c>
      <c r="BE111" s="42">
        <f>MIN(BE$6,BC111+BD111)</f>
        <v/>
      </c>
      <c r="BF111" s="42">
        <f>MAX(0,MIN(BC111+BD111-BE111,BB111))</f>
        <v/>
      </c>
      <c r="BG111" s="42">
        <f>ROUND(BC111+BD111-BE111-BF111,2)</f>
        <v/>
      </c>
      <c r="BH111">
        <f>BB111-BF111</f>
        <v/>
      </c>
      <c r="BI111" s="42">
        <f>BM110</f>
        <v/>
      </c>
      <c r="BJ111" s="42">
        <f>ROUND(BI111*BJ$6/12,2)</f>
        <v/>
      </c>
      <c r="BK111" s="42">
        <f>MIN(BK$6,BI111+BJ111)</f>
        <v/>
      </c>
      <c r="BL111" s="42">
        <f>MAX(0,MIN(BI111+BJ111-BK111,BH111))</f>
        <v/>
      </c>
      <c r="BM111" s="42">
        <f>ROUND(BI111+BJ111-BK111-BL111,2)</f>
        <v/>
      </c>
      <c r="BN111">
        <f>BH111-BL111</f>
        <v/>
      </c>
    </row>
    <row r="112">
      <c r="A112" s="39" t="n">
        <v>105</v>
      </c>
      <c r="B112" s="40">
        <f>EDATE('My Debts'!$C$6,A112-1)</f>
        <v/>
      </c>
      <c r="C112" s="41">
        <f>K112+Q112+W112+AC112+AI112+AO112+AU112+BA112+BG112+BM112</f>
        <v/>
      </c>
      <c r="D112" s="42">
        <f>I112+O112+U112+AA112+AG112+AM112+AS112+AY112+BE112+BK112+J112+P112+V112+AB112+AH112+AN112+AT112+AZ112+BF112+BL112</f>
        <v/>
      </c>
      <c r="E112" s="42">
        <f>H112+N112+T112+Z112+AF112+AL112+AR112+AX112+BD112+BJ112</f>
        <v/>
      </c>
      <c r="F112" t="n">
        <v>0</v>
      </c>
      <c r="G112" s="42">
        <f>K111</f>
        <v/>
      </c>
      <c r="H112" s="42">
        <f>ROUND(G112*H$6/12,2)</f>
        <v/>
      </c>
      <c r="I112" s="42">
        <f>MIN(I$6,G112+H112)</f>
        <v/>
      </c>
      <c r="J112" s="42">
        <f>MAX(0,MIN(G112+H112-I112,$F112))</f>
        <v/>
      </c>
      <c r="K112" s="42">
        <f>ROUND(G112+H112-I112-J112,2)</f>
        <v/>
      </c>
      <c r="L112">
        <f>$F112-J112</f>
        <v/>
      </c>
      <c r="M112" s="42">
        <f>Q111</f>
        <v/>
      </c>
      <c r="N112" s="42">
        <f>ROUND(M112*N$6/12,2)</f>
        <v/>
      </c>
      <c r="O112" s="42">
        <f>MIN(O$6,M112+N112)</f>
        <v/>
      </c>
      <c r="P112" s="42">
        <f>MAX(0,MIN(M112+N112-O112,L112))</f>
        <v/>
      </c>
      <c r="Q112" s="42">
        <f>ROUND(M112+N112-O112-P112,2)</f>
        <v/>
      </c>
      <c r="R112">
        <f>L112-P112</f>
        <v/>
      </c>
      <c r="S112" s="42">
        <f>W111</f>
        <v/>
      </c>
      <c r="T112" s="42">
        <f>ROUND(S112*T$6/12,2)</f>
        <v/>
      </c>
      <c r="U112" s="42">
        <f>MIN(U$6,S112+T112)</f>
        <v/>
      </c>
      <c r="V112" s="42">
        <f>MAX(0,MIN(S112+T112-U112,R112))</f>
        <v/>
      </c>
      <c r="W112" s="42">
        <f>ROUND(S112+T112-U112-V112,2)</f>
        <v/>
      </c>
      <c r="X112">
        <f>R112-V112</f>
        <v/>
      </c>
      <c r="Y112" s="42">
        <f>AC111</f>
        <v/>
      </c>
      <c r="Z112" s="42">
        <f>ROUND(Y112*Z$6/12,2)</f>
        <v/>
      </c>
      <c r="AA112" s="42">
        <f>MIN(AA$6,Y112+Z112)</f>
        <v/>
      </c>
      <c r="AB112" s="42">
        <f>MAX(0,MIN(Y112+Z112-AA112,X112))</f>
        <v/>
      </c>
      <c r="AC112" s="42">
        <f>ROUND(Y112+Z112-AA112-AB112,2)</f>
        <v/>
      </c>
      <c r="AD112">
        <f>X112-AB112</f>
        <v/>
      </c>
      <c r="AE112" s="42">
        <f>AI111</f>
        <v/>
      </c>
      <c r="AF112" s="42">
        <f>ROUND(AE112*AF$6/12,2)</f>
        <v/>
      </c>
      <c r="AG112" s="42">
        <f>MIN(AG$6,AE112+AF112)</f>
        <v/>
      </c>
      <c r="AH112" s="42">
        <f>MAX(0,MIN(AE112+AF112-AG112,AD112))</f>
        <v/>
      </c>
      <c r="AI112" s="42">
        <f>ROUND(AE112+AF112-AG112-AH112,2)</f>
        <v/>
      </c>
      <c r="AJ112">
        <f>AD112-AH112</f>
        <v/>
      </c>
      <c r="AK112" s="42">
        <f>AO111</f>
        <v/>
      </c>
      <c r="AL112" s="42">
        <f>ROUND(AK112*AL$6/12,2)</f>
        <v/>
      </c>
      <c r="AM112" s="42">
        <f>MIN(AM$6,AK112+AL112)</f>
        <v/>
      </c>
      <c r="AN112" s="42">
        <f>MAX(0,MIN(AK112+AL112-AM112,AJ112))</f>
        <v/>
      </c>
      <c r="AO112" s="42">
        <f>ROUND(AK112+AL112-AM112-AN112,2)</f>
        <v/>
      </c>
      <c r="AP112">
        <f>AJ112-AN112</f>
        <v/>
      </c>
      <c r="AQ112" s="42">
        <f>AU111</f>
        <v/>
      </c>
      <c r="AR112" s="42">
        <f>ROUND(AQ112*AR$6/12,2)</f>
        <v/>
      </c>
      <c r="AS112" s="42">
        <f>MIN(AS$6,AQ112+AR112)</f>
        <v/>
      </c>
      <c r="AT112" s="42">
        <f>MAX(0,MIN(AQ112+AR112-AS112,AP112))</f>
        <v/>
      </c>
      <c r="AU112" s="42">
        <f>ROUND(AQ112+AR112-AS112-AT112,2)</f>
        <v/>
      </c>
      <c r="AV112">
        <f>AP112-AT112</f>
        <v/>
      </c>
      <c r="AW112" s="42">
        <f>BA111</f>
        <v/>
      </c>
      <c r="AX112" s="42">
        <f>ROUND(AW112*AX$6/12,2)</f>
        <v/>
      </c>
      <c r="AY112" s="42">
        <f>MIN(AY$6,AW112+AX112)</f>
        <v/>
      </c>
      <c r="AZ112" s="42">
        <f>MAX(0,MIN(AW112+AX112-AY112,AV112))</f>
        <v/>
      </c>
      <c r="BA112" s="42">
        <f>ROUND(AW112+AX112-AY112-AZ112,2)</f>
        <v/>
      </c>
      <c r="BB112">
        <f>AV112-AZ112</f>
        <v/>
      </c>
      <c r="BC112" s="42">
        <f>BG111</f>
        <v/>
      </c>
      <c r="BD112" s="42">
        <f>ROUND(BC112*BD$6/12,2)</f>
        <v/>
      </c>
      <c r="BE112" s="42">
        <f>MIN(BE$6,BC112+BD112)</f>
        <v/>
      </c>
      <c r="BF112" s="42">
        <f>MAX(0,MIN(BC112+BD112-BE112,BB112))</f>
        <v/>
      </c>
      <c r="BG112" s="42">
        <f>ROUND(BC112+BD112-BE112-BF112,2)</f>
        <v/>
      </c>
      <c r="BH112">
        <f>BB112-BF112</f>
        <v/>
      </c>
      <c r="BI112" s="42">
        <f>BM111</f>
        <v/>
      </c>
      <c r="BJ112" s="42">
        <f>ROUND(BI112*BJ$6/12,2)</f>
        <v/>
      </c>
      <c r="BK112" s="42">
        <f>MIN(BK$6,BI112+BJ112)</f>
        <v/>
      </c>
      <c r="BL112" s="42">
        <f>MAX(0,MIN(BI112+BJ112-BK112,BH112))</f>
        <v/>
      </c>
      <c r="BM112" s="42">
        <f>ROUND(BI112+BJ112-BK112-BL112,2)</f>
        <v/>
      </c>
      <c r="BN112">
        <f>BH112-BL112</f>
        <v/>
      </c>
    </row>
    <row r="113">
      <c r="A113" s="43" t="n">
        <v>106</v>
      </c>
      <c r="B113" s="44">
        <f>EDATE('My Debts'!$C$6,A113-1)</f>
        <v/>
      </c>
      <c r="C113" s="45">
        <f>K113+Q113+W113+AC113+AI113+AO113+AU113+BA113+BG113+BM113</f>
        <v/>
      </c>
      <c r="D113" s="46">
        <f>I113+O113+U113+AA113+AG113+AM113+AS113+AY113+BE113+BK113+J113+P113+V113+AB113+AH113+AN113+AT113+AZ113+BF113+BL113</f>
        <v/>
      </c>
      <c r="E113" s="46">
        <f>H113+N113+T113+Z113+AF113+AL113+AR113+AX113+BD113+BJ113</f>
        <v/>
      </c>
      <c r="F113" t="n">
        <v>0</v>
      </c>
      <c r="G113" s="42">
        <f>K112</f>
        <v/>
      </c>
      <c r="H113" s="42">
        <f>ROUND(G113*H$6/12,2)</f>
        <v/>
      </c>
      <c r="I113" s="42">
        <f>MIN(I$6,G113+H113)</f>
        <v/>
      </c>
      <c r="J113" s="42">
        <f>MAX(0,MIN(G113+H113-I113,$F113))</f>
        <v/>
      </c>
      <c r="K113" s="42">
        <f>ROUND(G113+H113-I113-J113,2)</f>
        <v/>
      </c>
      <c r="L113">
        <f>$F113-J113</f>
        <v/>
      </c>
      <c r="M113" s="42">
        <f>Q112</f>
        <v/>
      </c>
      <c r="N113" s="42">
        <f>ROUND(M113*N$6/12,2)</f>
        <v/>
      </c>
      <c r="O113" s="42">
        <f>MIN(O$6,M113+N113)</f>
        <v/>
      </c>
      <c r="P113" s="42">
        <f>MAX(0,MIN(M113+N113-O113,L113))</f>
        <v/>
      </c>
      <c r="Q113" s="42">
        <f>ROUND(M113+N113-O113-P113,2)</f>
        <v/>
      </c>
      <c r="R113">
        <f>L113-P113</f>
        <v/>
      </c>
      <c r="S113" s="42">
        <f>W112</f>
        <v/>
      </c>
      <c r="T113" s="42">
        <f>ROUND(S113*T$6/12,2)</f>
        <v/>
      </c>
      <c r="U113" s="42">
        <f>MIN(U$6,S113+T113)</f>
        <v/>
      </c>
      <c r="V113" s="42">
        <f>MAX(0,MIN(S113+T113-U113,R113))</f>
        <v/>
      </c>
      <c r="W113" s="42">
        <f>ROUND(S113+T113-U113-V113,2)</f>
        <v/>
      </c>
      <c r="X113">
        <f>R113-V113</f>
        <v/>
      </c>
      <c r="Y113" s="42">
        <f>AC112</f>
        <v/>
      </c>
      <c r="Z113" s="42">
        <f>ROUND(Y113*Z$6/12,2)</f>
        <v/>
      </c>
      <c r="AA113" s="42">
        <f>MIN(AA$6,Y113+Z113)</f>
        <v/>
      </c>
      <c r="AB113" s="42">
        <f>MAX(0,MIN(Y113+Z113-AA113,X113))</f>
        <v/>
      </c>
      <c r="AC113" s="42">
        <f>ROUND(Y113+Z113-AA113-AB113,2)</f>
        <v/>
      </c>
      <c r="AD113">
        <f>X113-AB113</f>
        <v/>
      </c>
      <c r="AE113" s="42">
        <f>AI112</f>
        <v/>
      </c>
      <c r="AF113" s="42">
        <f>ROUND(AE113*AF$6/12,2)</f>
        <v/>
      </c>
      <c r="AG113" s="42">
        <f>MIN(AG$6,AE113+AF113)</f>
        <v/>
      </c>
      <c r="AH113" s="42">
        <f>MAX(0,MIN(AE113+AF113-AG113,AD113))</f>
        <v/>
      </c>
      <c r="AI113" s="42">
        <f>ROUND(AE113+AF113-AG113-AH113,2)</f>
        <v/>
      </c>
      <c r="AJ113">
        <f>AD113-AH113</f>
        <v/>
      </c>
      <c r="AK113" s="42">
        <f>AO112</f>
        <v/>
      </c>
      <c r="AL113" s="42">
        <f>ROUND(AK113*AL$6/12,2)</f>
        <v/>
      </c>
      <c r="AM113" s="42">
        <f>MIN(AM$6,AK113+AL113)</f>
        <v/>
      </c>
      <c r="AN113" s="42">
        <f>MAX(0,MIN(AK113+AL113-AM113,AJ113))</f>
        <v/>
      </c>
      <c r="AO113" s="42">
        <f>ROUND(AK113+AL113-AM113-AN113,2)</f>
        <v/>
      </c>
      <c r="AP113">
        <f>AJ113-AN113</f>
        <v/>
      </c>
      <c r="AQ113" s="42">
        <f>AU112</f>
        <v/>
      </c>
      <c r="AR113" s="42">
        <f>ROUND(AQ113*AR$6/12,2)</f>
        <v/>
      </c>
      <c r="AS113" s="42">
        <f>MIN(AS$6,AQ113+AR113)</f>
        <v/>
      </c>
      <c r="AT113" s="42">
        <f>MAX(0,MIN(AQ113+AR113-AS113,AP113))</f>
        <v/>
      </c>
      <c r="AU113" s="42">
        <f>ROUND(AQ113+AR113-AS113-AT113,2)</f>
        <v/>
      </c>
      <c r="AV113">
        <f>AP113-AT113</f>
        <v/>
      </c>
      <c r="AW113" s="42">
        <f>BA112</f>
        <v/>
      </c>
      <c r="AX113" s="42">
        <f>ROUND(AW113*AX$6/12,2)</f>
        <v/>
      </c>
      <c r="AY113" s="42">
        <f>MIN(AY$6,AW113+AX113)</f>
        <v/>
      </c>
      <c r="AZ113" s="42">
        <f>MAX(0,MIN(AW113+AX113-AY113,AV113))</f>
        <v/>
      </c>
      <c r="BA113" s="42">
        <f>ROUND(AW113+AX113-AY113-AZ113,2)</f>
        <v/>
      </c>
      <c r="BB113">
        <f>AV113-AZ113</f>
        <v/>
      </c>
      <c r="BC113" s="42">
        <f>BG112</f>
        <v/>
      </c>
      <c r="BD113" s="42">
        <f>ROUND(BC113*BD$6/12,2)</f>
        <v/>
      </c>
      <c r="BE113" s="42">
        <f>MIN(BE$6,BC113+BD113)</f>
        <v/>
      </c>
      <c r="BF113" s="42">
        <f>MAX(0,MIN(BC113+BD113-BE113,BB113))</f>
        <v/>
      </c>
      <c r="BG113" s="42">
        <f>ROUND(BC113+BD113-BE113-BF113,2)</f>
        <v/>
      </c>
      <c r="BH113">
        <f>BB113-BF113</f>
        <v/>
      </c>
      <c r="BI113" s="42">
        <f>BM112</f>
        <v/>
      </c>
      <c r="BJ113" s="42">
        <f>ROUND(BI113*BJ$6/12,2)</f>
        <v/>
      </c>
      <c r="BK113" s="42">
        <f>MIN(BK$6,BI113+BJ113)</f>
        <v/>
      </c>
      <c r="BL113" s="42">
        <f>MAX(0,MIN(BI113+BJ113-BK113,BH113))</f>
        <v/>
      </c>
      <c r="BM113" s="42">
        <f>ROUND(BI113+BJ113-BK113-BL113,2)</f>
        <v/>
      </c>
      <c r="BN113">
        <f>BH113-BL113</f>
        <v/>
      </c>
    </row>
    <row r="114">
      <c r="A114" s="39" t="n">
        <v>107</v>
      </c>
      <c r="B114" s="40">
        <f>EDATE('My Debts'!$C$6,A114-1)</f>
        <v/>
      </c>
      <c r="C114" s="41">
        <f>K114+Q114+W114+AC114+AI114+AO114+AU114+BA114+BG114+BM114</f>
        <v/>
      </c>
      <c r="D114" s="42">
        <f>I114+O114+U114+AA114+AG114+AM114+AS114+AY114+BE114+BK114+J114+P114+V114+AB114+AH114+AN114+AT114+AZ114+BF114+BL114</f>
        <v/>
      </c>
      <c r="E114" s="42">
        <f>H114+N114+T114+Z114+AF114+AL114+AR114+AX114+BD114+BJ114</f>
        <v/>
      </c>
      <c r="F114" t="n">
        <v>0</v>
      </c>
      <c r="G114" s="42">
        <f>K113</f>
        <v/>
      </c>
      <c r="H114" s="42">
        <f>ROUND(G114*H$6/12,2)</f>
        <v/>
      </c>
      <c r="I114" s="42">
        <f>MIN(I$6,G114+H114)</f>
        <v/>
      </c>
      <c r="J114" s="42">
        <f>MAX(0,MIN(G114+H114-I114,$F114))</f>
        <v/>
      </c>
      <c r="K114" s="42">
        <f>ROUND(G114+H114-I114-J114,2)</f>
        <v/>
      </c>
      <c r="L114">
        <f>$F114-J114</f>
        <v/>
      </c>
      <c r="M114" s="42">
        <f>Q113</f>
        <v/>
      </c>
      <c r="N114" s="42">
        <f>ROUND(M114*N$6/12,2)</f>
        <v/>
      </c>
      <c r="O114" s="42">
        <f>MIN(O$6,M114+N114)</f>
        <v/>
      </c>
      <c r="P114" s="42">
        <f>MAX(0,MIN(M114+N114-O114,L114))</f>
        <v/>
      </c>
      <c r="Q114" s="42">
        <f>ROUND(M114+N114-O114-P114,2)</f>
        <v/>
      </c>
      <c r="R114">
        <f>L114-P114</f>
        <v/>
      </c>
      <c r="S114" s="42">
        <f>W113</f>
        <v/>
      </c>
      <c r="T114" s="42">
        <f>ROUND(S114*T$6/12,2)</f>
        <v/>
      </c>
      <c r="U114" s="42">
        <f>MIN(U$6,S114+T114)</f>
        <v/>
      </c>
      <c r="V114" s="42">
        <f>MAX(0,MIN(S114+T114-U114,R114))</f>
        <v/>
      </c>
      <c r="W114" s="42">
        <f>ROUND(S114+T114-U114-V114,2)</f>
        <v/>
      </c>
      <c r="X114">
        <f>R114-V114</f>
        <v/>
      </c>
      <c r="Y114" s="42">
        <f>AC113</f>
        <v/>
      </c>
      <c r="Z114" s="42">
        <f>ROUND(Y114*Z$6/12,2)</f>
        <v/>
      </c>
      <c r="AA114" s="42">
        <f>MIN(AA$6,Y114+Z114)</f>
        <v/>
      </c>
      <c r="AB114" s="42">
        <f>MAX(0,MIN(Y114+Z114-AA114,X114))</f>
        <v/>
      </c>
      <c r="AC114" s="42">
        <f>ROUND(Y114+Z114-AA114-AB114,2)</f>
        <v/>
      </c>
      <c r="AD114">
        <f>X114-AB114</f>
        <v/>
      </c>
      <c r="AE114" s="42">
        <f>AI113</f>
        <v/>
      </c>
      <c r="AF114" s="42">
        <f>ROUND(AE114*AF$6/12,2)</f>
        <v/>
      </c>
      <c r="AG114" s="42">
        <f>MIN(AG$6,AE114+AF114)</f>
        <v/>
      </c>
      <c r="AH114" s="42">
        <f>MAX(0,MIN(AE114+AF114-AG114,AD114))</f>
        <v/>
      </c>
      <c r="AI114" s="42">
        <f>ROUND(AE114+AF114-AG114-AH114,2)</f>
        <v/>
      </c>
      <c r="AJ114">
        <f>AD114-AH114</f>
        <v/>
      </c>
      <c r="AK114" s="42">
        <f>AO113</f>
        <v/>
      </c>
      <c r="AL114" s="42">
        <f>ROUND(AK114*AL$6/12,2)</f>
        <v/>
      </c>
      <c r="AM114" s="42">
        <f>MIN(AM$6,AK114+AL114)</f>
        <v/>
      </c>
      <c r="AN114" s="42">
        <f>MAX(0,MIN(AK114+AL114-AM114,AJ114))</f>
        <v/>
      </c>
      <c r="AO114" s="42">
        <f>ROUND(AK114+AL114-AM114-AN114,2)</f>
        <v/>
      </c>
      <c r="AP114">
        <f>AJ114-AN114</f>
        <v/>
      </c>
      <c r="AQ114" s="42">
        <f>AU113</f>
        <v/>
      </c>
      <c r="AR114" s="42">
        <f>ROUND(AQ114*AR$6/12,2)</f>
        <v/>
      </c>
      <c r="AS114" s="42">
        <f>MIN(AS$6,AQ114+AR114)</f>
        <v/>
      </c>
      <c r="AT114" s="42">
        <f>MAX(0,MIN(AQ114+AR114-AS114,AP114))</f>
        <v/>
      </c>
      <c r="AU114" s="42">
        <f>ROUND(AQ114+AR114-AS114-AT114,2)</f>
        <v/>
      </c>
      <c r="AV114">
        <f>AP114-AT114</f>
        <v/>
      </c>
      <c r="AW114" s="42">
        <f>BA113</f>
        <v/>
      </c>
      <c r="AX114" s="42">
        <f>ROUND(AW114*AX$6/12,2)</f>
        <v/>
      </c>
      <c r="AY114" s="42">
        <f>MIN(AY$6,AW114+AX114)</f>
        <v/>
      </c>
      <c r="AZ114" s="42">
        <f>MAX(0,MIN(AW114+AX114-AY114,AV114))</f>
        <v/>
      </c>
      <c r="BA114" s="42">
        <f>ROUND(AW114+AX114-AY114-AZ114,2)</f>
        <v/>
      </c>
      <c r="BB114">
        <f>AV114-AZ114</f>
        <v/>
      </c>
      <c r="BC114" s="42">
        <f>BG113</f>
        <v/>
      </c>
      <c r="BD114" s="42">
        <f>ROUND(BC114*BD$6/12,2)</f>
        <v/>
      </c>
      <c r="BE114" s="42">
        <f>MIN(BE$6,BC114+BD114)</f>
        <v/>
      </c>
      <c r="BF114" s="42">
        <f>MAX(0,MIN(BC114+BD114-BE114,BB114))</f>
        <v/>
      </c>
      <c r="BG114" s="42">
        <f>ROUND(BC114+BD114-BE114-BF114,2)</f>
        <v/>
      </c>
      <c r="BH114">
        <f>BB114-BF114</f>
        <v/>
      </c>
      <c r="BI114" s="42">
        <f>BM113</f>
        <v/>
      </c>
      <c r="BJ114" s="42">
        <f>ROUND(BI114*BJ$6/12,2)</f>
        <v/>
      </c>
      <c r="BK114" s="42">
        <f>MIN(BK$6,BI114+BJ114)</f>
        <v/>
      </c>
      <c r="BL114" s="42">
        <f>MAX(0,MIN(BI114+BJ114-BK114,BH114))</f>
        <v/>
      </c>
      <c r="BM114" s="42">
        <f>ROUND(BI114+BJ114-BK114-BL114,2)</f>
        <v/>
      </c>
      <c r="BN114">
        <f>BH114-BL114</f>
        <v/>
      </c>
    </row>
    <row r="115">
      <c r="A115" s="43" t="n">
        <v>108</v>
      </c>
      <c r="B115" s="44">
        <f>EDATE('My Debts'!$C$6,A115-1)</f>
        <v/>
      </c>
      <c r="C115" s="45">
        <f>K115+Q115+W115+AC115+AI115+AO115+AU115+BA115+BG115+BM115</f>
        <v/>
      </c>
      <c r="D115" s="46">
        <f>I115+O115+U115+AA115+AG115+AM115+AS115+AY115+BE115+BK115+J115+P115+V115+AB115+AH115+AN115+AT115+AZ115+BF115+BL115</f>
        <v/>
      </c>
      <c r="E115" s="46">
        <f>H115+N115+T115+Z115+AF115+AL115+AR115+AX115+BD115+BJ115</f>
        <v/>
      </c>
      <c r="F115" t="n">
        <v>0</v>
      </c>
      <c r="G115" s="42">
        <f>K114</f>
        <v/>
      </c>
      <c r="H115" s="42">
        <f>ROUND(G115*H$6/12,2)</f>
        <v/>
      </c>
      <c r="I115" s="42">
        <f>MIN(I$6,G115+H115)</f>
        <v/>
      </c>
      <c r="J115" s="42">
        <f>MAX(0,MIN(G115+H115-I115,$F115))</f>
        <v/>
      </c>
      <c r="K115" s="42">
        <f>ROUND(G115+H115-I115-J115,2)</f>
        <v/>
      </c>
      <c r="L115">
        <f>$F115-J115</f>
        <v/>
      </c>
      <c r="M115" s="42">
        <f>Q114</f>
        <v/>
      </c>
      <c r="N115" s="42">
        <f>ROUND(M115*N$6/12,2)</f>
        <v/>
      </c>
      <c r="O115" s="42">
        <f>MIN(O$6,M115+N115)</f>
        <v/>
      </c>
      <c r="P115" s="42">
        <f>MAX(0,MIN(M115+N115-O115,L115))</f>
        <v/>
      </c>
      <c r="Q115" s="42">
        <f>ROUND(M115+N115-O115-P115,2)</f>
        <v/>
      </c>
      <c r="R115">
        <f>L115-P115</f>
        <v/>
      </c>
      <c r="S115" s="42">
        <f>W114</f>
        <v/>
      </c>
      <c r="T115" s="42">
        <f>ROUND(S115*T$6/12,2)</f>
        <v/>
      </c>
      <c r="U115" s="42">
        <f>MIN(U$6,S115+T115)</f>
        <v/>
      </c>
      <c r="V115" s="42">
        <f>MAX(0,MIN(S115+T115-U115,R115))</f>
        <v/>
      </c>
      <c r="W115" s="42">
        <f>ROUND(S115+T115-U115-V115,2)</f>
        <v/>
      </c>
      <c r="X115">
        <f>R115-V115</f>
        <v/>
      </c>
      <c r="Y115" s="42">
        <f>AC114</f>
        <v/>
      </c>
      <c r="Z115" s="42">
        <f>ROUND(Y115*Z$6/12,2)</f>
        <v/>
      </c>
      <c r="AA115" s="42">
        <f>MIN(AA$6,Y115+Z115)</f>
        <v/>
      </c>
      <c r="AB115" s="42">
        <f>MAX(0,MIN(Y115+Z115-AA115,X115))</f>
        <v/>
      </c>
      <c r="AC115" s="42">
        <f>ROUND(Y115+Z115-AA115-AB115,2)</f>
        <v/>
      </c>
      <c r="AD115">
        <f>X115-AB115</f>
        <v/>
      </c>
      <c r="AE115" s="42">
        <f>AI114</f>
        <v/>
      </c>
      <c r="AF115" s="42">
        <f>ROUND(AE115*AF$6/12,2)</f>
        <v/>
      </c>
      <c r="AG115" s="42">
        <f>MIN(AG$6,AE115+AF115)</f>
        <v/>
      </c>
      <c r="AH115" s="42">
        <f>MAX(0,MIN(AE115+AF115-AG115,AD115))</f>
        <v/>
      </c>
      <c r="AI115" s="42">
        <f>ROUND(AE115+AF115-AG115-AH115,2)</f>
        <v/>
      </c>
      <c r="AJ115">
        <f>AD115-AH115</f>
        <v/>
      </c>
      <c r="AK115" s="42">
        <f>AO114</f>
        <v/>
      </c>
      <c r="AL115" s="42">
        <f>ROUND(AK115*AL$6/12,2)</f>
        <v/>
      </c>
      <c r="AM115" s="42">
        <f>MIN(AM$6,AK115+AL115)</f>
        <v/>
      </c>
      <c r="AN115" s="42">
        <f>MAX(0,MIN(AK115+AL115-AM115,AJ115))</f>
        <v/>
      </c>
      <c r="AO115" s="42">
        <f>ROUND(AK115+AL115-AM115-AN115,2)</f>
        <v/>
      </c>
      <c r="AP115">
        <f>AJ115-AN115</f>
        <v/>
      </c>
      <c r="AQ115" s="42">
        <f>AU114</f>
        <v/>
      </c>
      <c r="AR115" s="42">
        <f>ROUND(AQ115*AR$6/12,2)</f>
        <v/>
      </c>
      <c r="AS115" s="42">
        <f>MIN(AS$6,AQ115+AR115)</f>
        <v/>
      </c>
      <c r="AT115" s="42">
        <f>MAX(0,MIN(AQ115+AR115-AS115,AP115))</f>
        <v/>
      </c>
      <c r="AU115" s="42">
        <f>ROUND(AQ115+AR115-AS115-AT115,2)</f>
        <v/>
      </c>
      <c r="AV115">
        <f>AP115-AT115</f>
        <v/>
      </c>
      <c r="AW115" s="42">
        <f>BA114</f>
        <v/>
      </c>
      <c r="AX115" s="42">
        <f>ROUND(AW115*AX$6/12,2)</f>
        <v/>
      </c>
      <c r="AY115" s="42">
        <f>MIN(AY$6,AW115+AX115)</f>
        <v/>
      </c>
      <c r="AZ115" s="42">
        <f>MAX(0,MIN(AW115+AX115-AY115,AV115))</f>
        <v/>
      </c>
      <c r="BA115" s="42">
        <f>ROUND(AW115+AX115-AY115-AZ115,2)</f>
        <v/>
      </c>
      <c r="BB115">
        <f>AV115-AZ115</f>
        <v/>
      </c>
      <c r="BC115" s="42">
        <f>BG114</f>
        <v/>
      </c>
      <c r="BD115" s="42">
        <f>ROUND(BC115*BD$6/12,2)</f>
        <v/>
      </c>
      <c r="BE115" s="42">
        <f>MIN(BE$6,BC115+BD115)</f>
        <v/>
      </c>
      <c r="BF115" s="42">
        <f>MAX(0,MIN(BC115+BD115-BE115,BB115))</f>
        <v/>
      </c>
      <c r="BG115" s="42">
        <f>ROUND(BC115+BD115-BE115-BF115,2)</f>
        <v/>
      </c>
      <c r="BH115">
        <f>BB115-BF115</f>
        <v/>
      </c>
      <c r="BI115" s="42">
        <f>BM114</f>
        <v/>
      </c>
      <c r="BJ115" s="42">
        <f>ROUND(BI115*BJ$6/12,2)</f>
        <v/>
      </c>
      <c r="BK115" s="42">
        <f>MIN(BK$6,BI115+BJ115)</f>
        <v/>
      </c>
      <c r="BL115" s="42">
        <f>MAX(0,MIN(BI115+BJ115-BK115,BH115))</f>
        <v/>
      </c>
      <c r="BM115" s="42">
        <f>ROUND(BI115+BJ115-BK115-BL115,2)</f>
        <v/>
      </c>
      <c r="BN115">
        <f>BH115-BL115</f>
        <v/>
      </c>
    </row>
    <row r="116">
      <c r="A116" s="39" t="n">
        <v>109</v>
      </c>
      <c r="B116" s="40">
        <f>EDATE('My Debts'!$C$6,A116-1)</f>
        <v/>
      </c>
      <c r="C116" s="41">
        <f>K116+Q116+W116+AC116+AI116+AO116+AU116+BA116+BG116+BM116</f>
        <v/>
      </c>
      <c r="D116" s="42">
        <f>I116+O116+U116+AA116+AG116+AM116+AS116+AY116+BE116+BK116+J116+P116+V116+AB116+AH116+AN116+AT116+AZ116+BF116+BL116</f>
        <v/>
      </c>
      <c r="E116" s="42">
        <f>H116+N116+T116+Z116+AF116+AL116+AR116+AX116+BD116+BJ116</f>
        <v/>
      </c>
      <c r="F116" t="n">
        <v>0</v>
      </c>
      <c r="G116" s="42">
        <f>K115</f>
        <v/>
      </c>
      <c r="H116" s="42">
        <f>ROUND(G116*H$6/12,2)</f>
        <v/>
      </c>
      <c r="I116" s="42">
        <f>MIN(I$6,G116+H116)</f>
        <v/>
      </c>
      <c r="J116" s="42">
        <f>MAX(0,MIN(G116+H116-I116,$F116))</f>
        <v/>
      </c>
      <c r="K116" s="42">
        <f>ROUND(G116+H116-I116-J116,2)</f>
        <v/>
      </c>
      <c r="L116">
        <f>$F116-J116</f>
        <v/>
      </c>
      <c r="M116" s="42">
        <f>Q115</f>
        <v/>
      </c>
      <c r="N116" s="42">
        <f>ROUND(M116*N$6/12,2)</f>
        <v/>
      </c>
      <c r="O116" s="42">
        <f>MIN(O$6,M116+N116)</f>
        <v/>
      </c>
      <c r="P116" s="42">
        <f>MAX(0,MIN(M116+N116-O116,L116))</f>
        <v/>
      </c>
      <c r="Q116" s="42">
        <f>ROUND(M116+N116-O116-P116,2)</f>
        <v/>
      </c>
      <c r="R116">
        <f>L116-P116</f>
        <v/>
      </c>
      <c r="S116" s="42">
        <f>W115</f>
        <v/>
      </c>
      <c r="T116" s="42">
        <f>ROUND(S116*T$6/12,2)</f>
        <v/>
      </c>
      <c r="U116" s="42">
        <f>MIN(U$6,S116+T116)</f>
        <v/>
      </c>
      <c r="V116" s="42">
        <f>MAX(0,MIN(S116+T116-U116,R116))</f>
        <v/>
      </c>
      <c r="W116" s="42">
        <f>ROUND(S116+T116-U116-V116,2)</f>
        <v/>
      </c>
      <c r="X116">
        <f>R116-V116</f>
        <v/>
      </c>
      <c r="Y116" s="42">
        <f>AC115</f>
        <v/>
      </c>
      <c r="Z116" s="42">
        <f>ROUND(Y116*Z$6/12,2)</f>
        <v/>
      </c>
      <c r="AA116" s="42">
        <f>MIN(AA$6,Y116+Z116)</f>
        <v/>
      </c>
      <c r="AB116" s="42">
        <f>MAX(0,MIN(Y116+Z116-AA116,X116))</f>
        <v/>
      </c>
      <c r="AC116" s="42">
        <f>ROUND(Y116+Z116-AA116-AB116,2)</f>
        <v/>
      </c>
      <c r="AD116">
        <f>X116-AB116</f>
        <v/>
      </c>
      <c r="AE116" s="42">
        <f>AI115</f>
        <v/>
      </c>
      <c r="AF116" s="42">
        <f>ROUND(AE116*AF$6/12,2)</f>
        <v/>
      </c>
      <c r="AG116" s="42">
        <f>MIN(AG$6,AE116+AF116)</f>
        <v/>
      </c>
      <c r="AH116" s="42">
        <f>MAX(0,MIN(AE116+AF116-AG116,AD116))</f>
        <v/>
      </c>
      <c r="AI116" s="42">
        <f>ROUND(AE116+AF116-AG116-AH116,2)</f>
        <v/>
      </c>
      <c r="AJ116">
        <f>AD116-AH116</f>
        <v/>
      </c>
      <c r="AK116" s="42">
        <f>AO115</f>
        <v/>
      </c>
      <c r="AL116" s="42">
        <f>ROUND(AK116*AL$6/12,2)</f>
        <v/>
      </c>
      <c r="AM116" s="42">
        <f>MIN(AM$6,AK116+AL116)</f>
        <v/>
      </c>
      <c r="AN116" s="42">
        <f>MAX(0,MIN(AK116+AL116-AM116,AJ116))</f>
        <v/>
      </c>
      <c r="AO116" s="42">
        <f>ROUND(AK116+AL116-AM116-AN116,2)</f>
        <v/>
      </c>
      <c r="AP116">
        <f>AJ116-AN116</f>
        <v/>
      </c>
      <c r="AQ116" s="42">
        <f>AU115</f>
        <v/>
      </c>
      <c r="AR116" s="42">
        <f>ROUND(AQ116*AR$6/12,2)</f>
        <v/>
      </c>
      <c r="AS116" s="42">
        <f>MIN(AS$6,AQ116+AR116)</f>
        <v/>
      </c>
      <c r="AT116" s="42">
        <f>MAX(0,MIN(AQ116+AR116-AS116,AP116))</f>
        <v/>
      </c>
      <c r="AU116" s="42">
        <f>ROUND(AQ116+AR116-AS116-AT116,2)</f>
        <v/>
      </c>
      <c r="AV116">
        <f>AP116-AT116</f>
        <v/>
      </c>
      <c r="AW116" s="42">
        <f>BA115</f>
        <v/>
      </c>
      <c r="AX116" s="42">
        <f>ROUND(AW116*AX$6/12,2)</f>
        <v/>
      </c>
      <c r="AY116" s="42">
        <f>MIN(AY$6,AW116+AX116)</f>
        <v/>
      </c>
      <c r="AZ116" s="42">
        <f>MAX(0,MIN(AW116+AX116-AY116,AV116))</f>
        <v/>
      </c>
      <c r="BA116" s="42">
        <f>ROUND(AW116+AX116-AY116-AZ116,2)</f>
        <v/>
      </c>
      <c r="BB116">
        <f>AV116-AZ116</f>
        <v/>
      </c>
      <c r="BC116" s="42">
        <f>BG115</f>
        <v/>
      </c>
      <c r="BD116" s="42">
        <f>ROUND(BC116*BD$6/12,2)</f>
        <v/>
      </c>
      <c r="BE116" s="42">
        <f>MIN(BE$6,BC116+BD116)</f>
        <v/>
      </c>
      <c r="BF116" s="42">
        <f>MAX(0,MIN(BC116+BD116-BE116,BB116))</f>
        <v/>
      </c>
      <c r="BG116" s="42">
        <f>ROUND(BC116+BD116-BE116-BF116,2)</f>
        <v/>
      </c>
      <c r="BH116">
        <f>BB116-BF116</f>
        <v/>
      </c>
      <c r="BI116" s="42">
        <f>BM115</f>
        <v/>
      </c>
      <c r="BJ116" s="42">
        <f>ROUND(BI116*BJ$6/12,2)</f>
        <v/>
      </c>
      <c r="BK116" s="42">
        <f>MIN(BK$6,BI116+BJ116)</f>
        <v/>
      </c>
      <c r="BL116" s="42">
        <f>MAX(0,MIN(BI116+BJ116-BK116,BH116))</f>
        <v/>
      </c>
      <c r="BM116" s="42">
        <f>ROUND(BI116+BJ116-BK116-BL116,2)</f>
        <v/>
      </c>
      <c r="BN116">
        <f>BH116-BL116</f>
        <v/>
      </c>
    </row>
    <row r="117">
      <c r="A117" s="43" t="n">
        <v>110</v>
      </c>
      <c r="B117" s="44">
        <f>EDATE('My Debts'!$C$6,A117-1)</f>
        <v/>
      </c>
      <c r="C117" s="45">
        <f>K117+Q117+W117+AC117+AI117+AO117+AU117+BA117+BG117+BM117</f>
        <v/>
      </c>
      <c r="D117" s="46">
        <f>I117+O117+U117+AA117+AG117+AM117+AS117+AY117+BE117+BK117+J117+P117+V117+AB117+AH117+AN117+AT117+AZ117+BF117+BL117</f>
        <v/>
      </c>
      <c r="E117" s="46">
        <f>H117+N117+T117+Z117+AF117+AL117+AR117+AX117+BD117+BJ117</f>
        <v/>
      </c>
      <c r="F117" t="n">
        <v>0</v>
      </c>
      <c r="G117" s="42">
        <f>K116</f>
        <v/>
      </c>
      <c r="H117" s="42">
        <f>ROUND(G117*H$6/12,2)</f>
        <v/>
      </c>
      <c r="I117" s="42">
        <f>MIN(I$6,G117+H117)</f>
        <v/>
      </c>
      <c r="J117" s="42">
        <f>MAX(0,MIN(G117+H117-I117,$F117))</f>
        <v/>
      </c>
      <c r="K117" s="42">
        <f>ROUND(G117+H117-I117-J117,2)</f>
        <v/>
      </c>
      <c r="L117">
        <f>$F117-J117</f>
        <v/>
      </c>
      <c r="M117" s="42">
        <f>Q116</f>
        <v/>
      </c>
      <c r="N117" s="42">
        <f>ROUND(M117*N$6/12,2)</f>
        <v/>
      </c>
      <c r="O117" s="42">
        <f>MIN(O$6,M117+N117)</f>
        <v/>
      </c>
      <c r="P117" s="42">
        <f>MAX(0,MIN(M117+N117-O117,L117))</f>
        <v/>
      </c>
      <c r="Q117" s="42">
        <f>ROUND(M117+N117-O117-P117,2)</f>
        <v/>
      </c>
      <c r="R117">
        <f>L117-P117</f>
        <v/>
      </c>
      <c r="S117" s="42">
        <f>W116</f>
        <v/>
      </c>
      <c r="T117" s="42">
        <f>ROUND(S117*T$6/12,2)</f>
        <v/>
      </c>
      <c r="U117" s="42">
        <f>MIN(U$6,S117+T117)</f>
        <v/>
      </c>
      <c r="V117" s="42">
        <f>MAX(0,MIN(S117+T117-U117,R117))</f>
        <v/>
      </c>
      <c r="W117" s="42">
        <f>ROUND(S117+T117-U117-V117,2)</f>
        <v/>
      </c>
      <c r="X117">
        <f>R117-V117</f>
        <v/>
      </c>
      <c r="Y117" s="42">
        <f>AC116</f>
        <v/>
      </c>
      <c r="Z117" s="42">
        <f>ROUND(Y117*Z$6/12,2)</f>
        <v/>
      </c>
      <c r="AA117" s="42">
        <f>MIN(AA$6,Y117+Z117)</f>
        <v/>
      </c>
      <c r="AB117" s="42">
        <f>MAX(0,MIN(Y117+Z117-AA117,X117))</f>
        <v/>
      </c>
      <c r="AC117" s="42">
        <f>ROUND(Y117+Z117-AA117-AB117,2)</f>
        <v/>
      </c>
      <c r="AD117">
        <f>X117-AB117</f>
        <v/>
      </c>
      <c r="AE117" s="42">
        <f>AI116</f>
        <v/>
      </c>
      <c r="AF117" s="42">
        <f>ROUND(AE117*AF$6/12,2)</f>
        <v/>
      </c>
      <c r="AG117" s="42">
        <f>MIN(AG$6,AE117+AF117)</f>
        <v/>
      </c>
      <c r="AH117" s="42">
        <f>MAX(0,MIN(AE117+AF117-AG117,AD117))</f>
        <v/>
      </c>
      <c r="AI117" s="42">
        <f>ROUND(AE117+AF117-AG117-AH117,2)</f>
        <v/>
      </c>
      <c r="AJ117">
        <f>AD117-AH117</f>
        <v/>
      </c>
      <c r="AK117" s="42">
        <f>AO116</f>
        <v/>
      </c>
      <c r="AL117" s="42">
        <f>ROUND(AK117*AL$6/12,2)</f>
        <v/>
      </c>
      <c r="AM117" s="42">
        <f>MIN(AM$6,AK117+AL117)</f>
        <v/>
      </c>
      <c r="AN117" s="42">
        <f>MAX(0,MIN(AK117+AL117-AM117,AJ117))</f>
        <v/>
      </c>
      <c r="AO117" s="42">
        <f>ROUND(AK117+AL117-AM117-AN117,2)</f>
        <v/>
      </c>
      <c r="AP117">
        <f>AJ117-AN117</f>
        <v/>
      </c>
      <c r="AQ117" s="42">
        <f>AU116</f>
        <v/>
      </c>
      <c r="AR117" s="42">
        <f>ROUND(AQ117*AR$6/12,2)</f>
        <v/>
      </c>
      <c r="AS117" s="42">
        <f>MIN(AS$6,AQ117+AR117)</f>
        <v/>
      </c>
      <c r="AT117" s="42">
        <f>MAX(0,MIN(AQ117+AR117-AS117,AP117))</f>
        <v/>
      </c>
      <c r="AU117" s="42">
        <f>ROUND(AQ117+AR117-AS117-AT117,2)</f>
        <v/>
      </c>
      <c r="AV117">
        <f>AP117-AT117</f>
        <v/>
      </c>
      <c r="AW117" s="42">
        <f>BA116</f>
        <v/>
      </c>
      <c r="AX117" s="42">
        <f>ROUND(AW117*AX$6/12,2)</f>
        <v/>
      </c>
      <c r="AY117" s="42">
        <f>MIN(AY$6,AW117+AX117)</f>
        <v/>
      </c>
      <c r="AZ117" s="42">
        <f>MAX(0,MIN(AW117+AX117-AY117,AV117))</f>
        <v/>
      </c>
      <c r="BA117" s="42">
        <f>ROUND(AW117+AX117-AY117-AZ117,2)</f>
        <v/>
      </c>
      <c r="BB117">
        <f>AV117-AZ117</f>
        <v/>
      </c>
      <c r="BC117" s="42">
        <f>BG116</f>
        <v/>
      </c>
      <c r="BD117" s="42">
        <f>ROUND(BC117*BD$6/12,2)</f>
        <v/>
      </c>
      <c r="BE117" s="42">
        <f>MIN(BE$6,BC117+BD117)</f>
        <v/>
      </c>
      <c r="BF117" s="42">
        <f>MAX(0,MIN(BC117+BD117-BE117,BB117))</f>
        <v/>
      </c>
      <c r="BG117" s="42">
        <f>ROUND(BC117+BD117-BE117-BF117,2)</f>
        <v/>
      </c>
      <c r="BH117">
        <f>BB117-BF117</f>
        <v/>
      </c>
      <c r="BI117" s="42">
        <f>BM116</f>
        <v/>
      </c>
      <c r="BJ117" s="42">
        <f>ROUND(BI117*BJ$6/12,2)</f>
        <v/>
      </c>
      <c r="BK117" s="42">
        <f>MIN(BK$6,BI117+BJ117)</f>
        <v/>
      </c>
      <c r="BL117" s="42">
        <f>MAX(0,MIN(BI117+BJ117-BK117,BH117))</f>
        <v/>
      </c>
      <c r="BM117" s="42">
        <f>ROUND(BI117+BJ117-BK117-BL117,2)</f>
        <v/>
      </c>
      <c r="BN117">
        <f>BH117-BL117</f>
        <v/>
      </c>
    </row>
    <row r="118">
      <c r="A118" s="39" t="n">
        <v>111</v>
      </c>
      <c r="B118" s="40">
        <f>EDATE('My Debts'!$C$6,A118-1)</f>
        <v/>
      </c>
      <c r="C118" s="41">
        <f>K118+Q118+W118+AC118+AI118+AO118+AU118+BA118+BG118+BM118</f>
        <v/>
      </c>
      <c r="D118" s="42">
        <f>I118+O118+U118+AA118+AG118+AM118+AS118+AY118+BE118+BK118+J118+P118+V118+AB118+AH118+AN118+AT118+AZ118+BF118+BL118</f>
        <v/>
      </c>
      <c r="E118" s="42">
        <f>H118+N118+T118+Z118+AF118+AL118+AR118+AX118+BD118+BJ118</f>
        <v/>
      </c>
      <c r="F118" t="n">
        <v>0</v>
      </c>
      <c r="G118" s="42">
        <f>K117</f>
        <v/>
      </c>
      <c r="H118" s="42">
        <f>ROUND(G118*H$6/12,2)</f>
        <v/>
      </c>
      <c r="I118" s="42">
        <f>MIN(I$6,G118+H118)</f>
        <v/>
      </c>
      <c r="J118" s="42">
        <f>MAX(0,MIN(G118+H118-I118,$F118))</f>
        <v/>
      </c>
      <c r="K118" s="42">
        <f>ROUND(G118+H118-I118-J118,2)</f>
        <v/>
      </c>
      <c r="L118">
        <f>$F118-J118</f>
        <v/>
      </c>
      <c r="M118" s="42">
        <f>Q117</f>
        <v/>
      </c>
      <c r="N118" s="42">
        <f>ROUND(M118*N$6/12,2)</f>
        <v/>
      </c>
      <c r="O118" s="42">
        <f>MIN(O$6,M118+N118)</f>
        <v/>
      </c>
      <c r="P118" s="42">
        <f>MAX(0,MIN(M118+N118-O118,L118))</f>
        <v/>
      </c>
      <c r="Q118" s="42">
        <f>ROUND(M118+N118-O118-P118,2)</f>
        <v/>
      </c>
      <c r="R118">
        <f>L118-P118</f>
        <v/>
      </c>
      <c r="S118" s="42">
        <f>W117</f>
        <v/>
      </c>
      <c r="T118" s="42">
        <f>ROUND(S118*T$6/12,2)</f>
        <v/>
      </c>
      <c r="U118" s="42">
        <f>MIN(U$6,S118+T118)</f>
        <v/>
      </c>
      <c r="V118" s="42">
        <f>MAX(0,MIN(S118+T118-U118,R118))</f>
        <v/>
      </c>
      <c r="W118" s="42">
        <f>ROUND(S118+T118-U118-V118,2)</f>
        <v/>
      </c>
      <c r="X118">
        <f>R118-V118</f>
        <v/>
      </c>
      <c r="Y118" s="42">
        <f>AC117</f>
        <v/>
      </c>
      <c r="Z118" s="42">
        <f>ROUND(Y118*Z$6/12,2)</f>
        <v/>
      </c>
      <c r="AA118" s="42">
        <f>MIN(AA$6,Y118+Z118)</f>
        <v/>
      </c>
      <c r="AB118" s="42">
        <f>MAX(0,MIN(Y118+Z118-AA118,X118))</f>
        <v/>
      </c>
      <c r="AC118" s="42">
        <f>ROUND(Y118+Z118-AA118-AB118,2)</f>
        <v/>
      </c>
      <c r="AD118">
        <f>X118-AB118</f>
        <v/>
      </c>
      <c r="AE118" s="42">
        <f>AI117</f>
        <v/>
      </c>
      <c r="AF118" s="42">
        <f>ROUND(AE118*AF$6/12,2)</f>
        <v/>
      </c>
      <c r="AG118" s="42">
        <f>MIN(AG$6,AE118+AF118)</f>
        <v/>
      </c>
      <c r="AH118" s="42">
        <f>MAX(0,MIN(AE118+AF118-AG118,AD118))</f>
        <v/>
      </c>
      <c r="AI118" s="42">
        <f>ROUND(AE118+AF118-AG118-AH118,2)</f>
        <v/>
      </c>
      <c r="AJ118">
        <f>AD118-AH118</f>
        <v/>
      </c>
      <c r="AK118" s="42">
        <f>AO117</f>
        <v/>
      </c>
      <c r="AL118" s="42">
        <f>ROUND(AK118*AL$6/12,2)</f>
        <v/>
      </c>
      <c r="AM118" s="42">
        <f>MIN(AM$6,AK118+AL118)</f>
        <v/>
      </c>
      <c r="AN118" s="42">
        <f>MAX(0,MIN(AK118+AL118-AM118,AJ118))</f>
        <v/>
      </c>
      <c r="AO118" s="42">
        <f>ROUND(AK118+AL118-AM118-AN118,2)</f>
        <v/>
      </c>
      <c r="AP118">
        <f>AJ118-AN118</f>
        <v/>
      </c>
      <c r="AQ118" s="42">
        <f>AU117</f>
        <v/>
      </c>
      <c r="AR118" s="42">
        <f>ROUND(AQ118*AR$6/12,2)</f>
        <v/>
      </c>
      <c r="AS118" s="42">
        <f>MIN(AS$6,AQ118+AR118)</f>
        <v/>
      </c>
      <c r="AT118" s="42">
        <f>MAX(0,MIN(AQ118+AR118-AS118,AP118))</f>
        <v/>
      </c>
      <c r="AU118" s="42">
        <f>ROUND(AQ118+AR118-AS118-AT118,2)</f>
        <v/>
      </c>
      <c r="AV118">
        <f>AP118-AT118</f>
        <v/>
      </c>
      <c r="AW118" s="42">
        <f>BA117</f>
        <v/>
      </c>
      <c r="AX118" s="42">
        <f>ROUND(AW118*AX$6/12,2)</f>
        <v/>
      </c>
      <c r="AY118" s="42">
        <f>MIN(AY$6,AW118+AX118)</f>
        <v/>
      </c>
      <c r="AZ118" s="42">
        <f>MAX(0,MIN(AW118+AX118-AY118,AV118))</f>
        <v/>
      </c>
      <c r="BA118" s="42">
        <f>ROUND(AW118+AX118-AY118-AZ118,2)</f>
        <v/>
      </c>
      <c r="BB118">
        <f>AV118-AZ118</f>
        <v/>
      </c>
      <c r="BC118" s="42">
        <f>BG117</f>
        <v/>
      </c>
      <c r="BD118" s="42">
        <f>ROUND(BC118*BD$6/12,2)</f>
        <v/>
      </c>
      <c r="BE118" s="42">
        <f>MIN(BE$6,BC118+BD118)</f>
        <v/>
      </c>
      <c r="BF118" s="42">
        <f>MAX(0,MIN(BC118+BD118-BE118,BB118))</f>
        <v/>
      </c>
      <c r="BG118" s="42">
        <f>ROUND(BC118+BD118-BE118-BF118,2)</f>
        <v/>
      </c>
      <c r="BH118">
        <f>BB118-BF118</f>
        <v/>
      </c>
      <c r="BI118" s="42">
        <f>BM117</f>
        <v/>
      </c>
      <c r="BJ118" s="42">
        <f>ROUND(BI118*BJ$6/12,2)</f>
        <v/>
      </c>
      <c r="BK118" s="42">
        <f>MIN(BK$6,BI118+BJ118)</f>
        <v/>
      </c>
      <c r="BL118" s="42">
        <f>MAX(0,MIN(BI118+BJ118-BK118,BH118))</f>
        <v/>
      </c>
      <c r="BM118" s="42">
        <f>ROUND(BI118+BJ118-BK118-BL118,2)</f>
        <v/>
      </c>
      <c r="BN118">
        <f>BH118-BL118</f>
        <v/>
      </c>
    </row>
    <row r="119">
      <c r="A119" s="43" t="n">
        <v>112</v>
      </c>
      <c r="B119" s="44">
        <f>EDATE('My Debts'!$C$6,A119-1)</f>
        <v/>
      </c>
      <c r="C119" s="45">
        <f>K119+Q119+W119+AC119+AI119+AO119+AU119+BA119+BG119+BM119</f>
        <v/>
      </c>
      <c r="D119" s="46">
        <f>I119+O119+U119+AA119+AG119+AM119+AS119+AY119+BE119+BK119+J119+P119+V119+AB119+AH119+AN119+AT119+AZ119+BF119+BL119</f>
        <v/>
      </c>
      <c r="E119" s="46">
        <f>H119+N119+T119+Z119+AF119+AL119+AR119+AX119+BD119+BJ119</f>
        <v/>
      </c>
      <c r="F119" t="n">
        <v>0</v>
      </c>
      <c r="G119" s="42">
        <f>K118</f>
        <v/>
      </c>
      <c r="H119" s="42">
        <f>ROUND(G119*H$6/12,2)</f>
        <v/>
      </c>
      <c r="I119" s="42">
        <f>MIN(I$6,G119+H119)</f>
        <v/>
      </c>
      <c r="J119" s="42">
        <f>MAX(0,MIN(G119+H119-I119,$F119))</f>
        <v/>
      </c>
      <c r="K119" s="42">
        <f>ROUND(G119+H119-I119-J119,2)</f>
        <v/>
      </c>
      <c r="L119">
        <f>$F119-J119</f>
        <v/>
      </c>
      <c r="M119" s="42">
        <f>Q118</f>
        <v/>
      </c>
      <c r="N119" s="42">
        <f>ROUND(M119*N$6/12,2)</f>
        <v/>
      </c>
      <c r="O119" s="42">
        <f>MIN(O$6,M119+N119)</f>
        <v/>
      </c>
      <c r="P119" s="42">
        <f>MAX(0,MIN(M119+N119-O119,L119))</f>
        <v/>
      </c>
      <c r="Q119" s="42">
        <f>ROUND(M119+N119-O119-P119,2)</f>
        <v/>
      </c>
      <c r="R119">
        <f>L119-P119</f>
        <v/>
      </c>
      <c r="S119" s="42">
        <f>W118</f>
        <v/>
      </c>
      <c r="T119" s="42">
        <f>ROUND(S119*T$6/12,2)</f>
        <v/>
      </c>
      <c r="U119" s="42">
        <f>MIN(U$6,S119+T119)</f>
        <v/>
      </c>
      <c r="V119" s="42">
        <f>MAX(0,MIN(S119+T119-U119,R119))</f>
        <v/>
      </c>
      <c r="W119" s="42">
        <f>ROUND(S119+T119-U119-V119,2)</f>
        <v/>
      </c>
      <c r="X119">
        <f>R119-V119</f>
        <v/>
      </c>
      <c r="Y119" s="42">
        <f>AC118</f>
        <v/>
      </c>
      <c r="Z119" s="42">
        <f>ROUND(Y119*Z$6/12,2)</f>
        <v/>
      </c>
      <c r="AA119" s="42">
        <f>MIN(AA$6,Y119+Z119)</f>
        <v/>
      </c>
      <c r="AB119" s="42">
        <f>MAX(0,MIN(Y119+Z119-AA119,X119))</f>
        <v/>
      </c>
      <c r="AC119" s="42">
        <f>ROUND(Y119+Z119-AA119-AB119,2)</f>
        <v/>
      </c>
      <c r="AD119">
        <f>X119-AB119</f>
        <v/>
      </c>
      <c r="AE119" s="42">
        <f>AI118</f>
        <v/>
      </c>
      <c r="AF119" s="42">
        <f>ROUND(AE119*AF$6/12,2)</f>
        <v/>
      </c>
      <c r="AG119" s="42">
        <f>MIN(AG$6,AE119+AF119)</f>
        <v/>
      </c>
      <c r="AH119" s="42">
        <f>MAX(0,MIN(AE119+AF119-AG119,AD119))</f>
        <v/>
      </c>
      <c r="AI119" s="42">
        <f>ROUND(AE119+AF119-AG119-AH119,2)</f>
        <v/>
      </c>
      <c r="AJ119">
        <f>AD119-AH119</f>
        <v/>
      </c>
      <c r="AK119" s="42">
        <f>AO118</f>
        <v/>
      </c>
      <c r="AL119" s="42">
        <f>ROUND(AK119*AL$6/12,2)</f>
        <v/>
      </c>
      <c r="AM119" s="42">
        <f>MIN(AM$6,AK119+AL119)</f>
        <v/>
      </c>
      <c r="AN119" s="42">
        <f>MAX(0,MIN(AK119+AL119-AM119,AJ119))</f>
        <v/>
      </c>
      <c r="AO119" s="42">
        <f>ROUND(AK119+AL119-AM119-AN119,2)</f>
        <v/>
      </c>
      <c r="AP119">
        <f>AJ119-AN119</f>
        <v/>
      </c>
      <c r="AQ119" s="42">
        <f>AU118</f>
        <v/>
      </c>
      <c r="AR119" s="42">
        <f>ROUND(AQ119*AR$6/12,2)</f>
        <v/>
      </c>
      <c r="AS119" s="42">
        <f>MIN(AS$6,AQ119+AR119)</f>
        <v/>
      </c>
      <c r="AT119" s="42">
        <f>MAX(0,MIN(AQ119+AR119-AS119,AP119))</f>
        <v/>
      </c>
      <c r="AU119" s="42">
        <f>ROUND(AQ119+AR119-AS119-AT119,2)</f>
        <v/>
      </c>
      <c r="AV119">
        <f>AP119-AT119</f>
        <v/>
      </c>
      <c r="AW119" s="42">
        <f>BA118</f>
        <v/>
      </c>
      <c r="AX119" s="42">
        <f>ROUND(AW119*AX$6/12,2)</f>
        <v/>
      </c>
      <c r="AY119" s="42">
        <f>MIN(AY$6,AW119+AX119)</f>
        <v/>
      </c>
      <c r="AZ119" s="42">
        <f>MAX(0,MIN(AW119+AX119-AY119,AV119))</f>
        <v/>
      </c>
      <c r="BA119" s="42">
        <f>ROUND(AW119+AX119-AY119-AZ119,2)</f>
        <v/>
      </c>
      <c r="BB119">
        <f>AV119-AZ119</f>
        <v/>
      </c>
      <c r="BC119" s="42">
        <f>BG118</f>
        <v/>
      </c>
      <c r="BD119" s="42">
        <f>ROUND(BC119*BD$6/12,2)</f>
        <v/>
      </c>
      <c r="BE119" s="42">
        <f>MIN(BE$6,BC119+BD119)</f>
        <v/>
      </c>
      <c r="BF119" s="42">
        <f>MAX(0,MIN(BC119+BD119-BE119,BB119))</f>
        <v/>
      </c>
      <c r="BG119" s="42">
        <f>ROUND(BC119+BD119-BE119-BF119,2)</f>
        <v/>
      </c>
      <c r="BH119">
        <f>BB119-BF119</f>
        <v/>
      </c>
      <c r="BI119" s="42">
        <f>BM118</f>
        <v/>
      </c>
      <c r="BJ119" s="42">
        <f>ROUND(BI119*BJ$6/12,2)</f>
        <v/>
      </c>
      <c r="BK119" s="42">
        <f>MIN(BK$6,BI119+BJ119)</f>
        <v/>
      </c>
      <c r="BL119" s="42">
        <f>MAX(0,MIN(BI119+BJ119-BK119,BH119))</f>
        <v/>
      </c>
      <c r="BM119" s="42">
        <f>ROUND(BI119+BJ119-BK119-BL119,2)</f>
        <v/>
      </c>
      <c r="BN119">
        <f>BH119-BL119</f>
        <v/>
      </c>
    </row>
    <row r="120">
      <c r="A120" s="39" t="n">
        <v>113</v>
      </c>
      <c r="B120" s="40">
        <f>EDATE('My Debts'!$C$6,A120-1)</f>
        <v/>
      </c>
      <c r="C120" s="41">
        <f>K120+Q120+W120+AC120+AI120+AO120+AU120+BA120+BG120+BM120</f>
        <v/>
      </c>
      <c r="D120" s="42">
        <f>I120+O120+U120+AA120+AG120+AM120+AS120+AY120+BE120+BK120+J120+P120+V120+AB120+AH120+AN120+AT120+AZ120+BF120+BL120</f>
        <v/>
      </c>
      <c r="E120" s="42">
        <f>H120+N120+T120+Z120+AF120+AL120+AR120+AX120+BD120+BJ120</f>
        <v/>
      </c>
      <c r="F120" t="n">
        <v>0</v>
      </c>
      <c r="G120" s="42">
        <f>K119</f>
        <v/>
      </c>
      <c r="H120" s="42">
        <f>ROUND(G120*H$6/12,2)</f>
        <v/>
      </c>
      <c r="I120" s="42">
        <f>MIN(I$6,G120+H120)</f>
        <v/>
      </c>
      <c r="J120" s="42">
        <f>MAX(0,MIN(G120+H120-I120,$F120))</f>
        <v/>
      </c>
      <c r="K120" s="42">
        <f>ROUND(G120+H120-I120-J120,2)</f>
        <v/>
      </c>
      <c r="L120">
        <f>$F120-J120</f>
        <v/>
      </c>
      <c r="M120" s="42">
        <f>Q119</f>
        <v/>
      </c>
      <c r="N120" s="42">
        <f>ROUND(M120*N$6/12,2)</f>
        <v/>
      </c>
      <c r="O120" s="42">
        <f>MIN(O$6,M120+N120)</f>
        <v/>
      </c>
      <c r="P120" s="42">
        <f>MAX(0,MIN(M120+N120-O120,L120))</f>
        <v/>
      </c>
      <c r="Q120" s="42">
        <f>ROUND(M120+N120-O120-P120,2)</f>
        <v/>
      </c>
      <c r="R120">
        <f>L120-P120</f>
        <v/>
      </c>
      <c r="S120" s="42">
        <f>W119</f>
        <v/>
      </c>
      <c r="T120" s="42">
        <f>ROUND(S120*T$6/12,2)</f>
        <v/>
      </c>
      <c r="U120" s="42">
        <f>MIN(U$6,S120+T120)</f>
        <v/>
      </c>
      <c r="V120" s="42">
        <f>MAX(0,MIN(S120+T120-U120,R120))</f>
        <v/>
      </c>
      <c r="W120" s="42">
        <f>ROUND(S120+T120-U120-V120,2)</f>
        <v/>
      </c>
      <c r="X120">
        <f>R120-V120</f>
        <v/>
      </c>
      <c r="Y120" s="42">
        <f>AC119</f>
        <v/>
      </c>
      <c r="Z120" s="42">
        <f>ROUND(Y120*Z$6/12,2)</f>
        <v/>
      </c>
      <c r="AA120" s="42">
        <f>MIN(AA$6,Y120+Z120)</f>
        <v/>
      </c>
      <c r="AB120" s="42">
        <f>MAX(0,MIN(Y120+Z120-AA120,X120))</f>
        <v/>
      </c>
      <c r="AC120" s="42">
        <f>ROUND(Y120+Z120-AA120-AB120,2)</f>
        <v/>
      </c>
      <c r="AD120">
        <f>X120-AB120</f>
        <v/>
      </c>
      <c r="AE120" s="42">
        <f>AI119</f>
        <v/>
      </c>
      <c r="AF120" s="42">
        <f>ROUND(AE120*AF$6/12,2)</f>
        <v/>
      </c>
      <c r="AG120" s="42">
        <f>MIN(AG$6,AE120+AF120)</f>
        <v/>
      </c>
      <c r="AH120" s="42">
        <f>MAX(0,MIN(AE120+AF120-AG120,AD120))</f>
        <v/>
      </c>
      <c r="AI120" s="42">
        <f>ROUND(AE120+AF120-AG120-AH120,2)</f>
        <v/>
      </c>
      <c r="AJ120">
        <f>AD120-AH120</f>
        <v/>
      </c>
      <c r="AK120" s="42">
        <f>AO119</f>
        <v/>
      </c>
      <c r="AL120" s="42">
        <f>ROUND(AK120*AL$6/12,2)</f>
        <v/>
      </c>
      <c r="AM120" s="42">
        <f>MIN(AM$6,AK120+AL120)</f>
        <v/>
      </c>
      <c r="AN120" s="42">
        <f>MAX(0,MIN(AK120+AL120-AM120,AJ120))</f>
        <v/>
      </c>
      <c r="AO120" s="42">
        <f>ROUND(AK120+AL120-AM120-AN120,2)</f>
        <v/>
      </c>
      <c r="AP120">
        <f>AJ120-AN120</f>
        <v/>
      </c>
      <c r="AQ120" s="42">
        <f>AU119</f>
        <v/>
      </c>
      <c r="AR120" s="42">
        <f>ROUND(AQ120*AR$6/12,2)</f>
        <v/>
      </c>
      <c r="AS120" s="42">
        <f>MIN(AS$6,AQ120+AR120)</f>
        <v/>
      </c>
      <c r="AT120" s="42">
        <f>MAX(0,MIN(AQ120+AR120-AS120,AP120))</f>
        <v/>
      </c>
      <c r="AU120" s="42">
        <f>ROUND(AQ120+AR120-AS120-AT120,2)</f>
        <v/>
      </c>
      <c r="AV120">
        <f>AP120-AT120</f>
        <v/>
      </c>
      <c r="AW120" s="42">
        <f>BA119</f>
        <v/>
      </c>
      <c r="AX120" s="42">
        <f>ROUND(AW120*AX$6/12,2)</f>
        <v/>
      </c>
      <c r="AY120" s="42">
        <f>MIN(AY$6,AW120+AX120)</f>
        <v/>
      </c>
      <c r="AZ120" s="42">
        <f>MAX(0,MIN(AW120+AX120-AY120,AV120))</f>
        <v/>
      </c>
      <c r="BA120" s="42">
        <f>ROUND(AW120+AX120-AY120-AZ120,2)</f>
        <v/>
      </c>
      <c r="BB120">
        <f>AV120-AZ120</f>
        <v/>
      </c>
      <c r="BC120" s="42">
        <f>BG119</f>
        <v/>
      </c>
      <c r="BD120" s="42">
        <f>ROUND(BC120*BD$6/12,2)</f>
        <v/>
      </c>
      <c r="BE120" s="42">
        <f>MIN(BE$6,BC120+BD120)</f>
        <v/>
      </c>
      <c r="BF120" s="42">
        <f>MAX(0,MIN(BC120+BD120-BE120,BB120))</f>
        <v/>
      </c>
      <c r="BG120" s="42">
        <f>ROUND(BC120+BD120-BE120-BF120,2)</f>
        <v/>
      </c>
      <c r="BH120">
        <f>BB120-BF120</f>
        <v/>
      </c>
      <c r="BI120" s="42">
        <f>BM119</f>
        <v/>
      </c>
      <c r="BJ120" s="42">
        <f>ROUND(BI120*BJ$6/12,2)</f>
        <v/>
      </c>
      <c r="BK120" s="42">
        <f>MIN(BK$6,BI120+BJ120)</f>
        <v/>
      </c>
      <c r="BL120" s="42">
        <f>MAX(0,MIN(BI120+BJ120-BK120,BH120))</f>
        <v/>
      </c>
      <c r="BM120" s="42">
        <f>ROUND(BI120+BJ120-BK120-BL120,2)</f>
        <v/>
      </c>
      <c r="BN120">
        <f>BH120-BL120</f>
        <v/>
      </c>
    </row>
    <row r="121">
      <c r="A121" s="43" t="n">
        <v>114</v>
      </c>
      <c r="B121" s="44">
        <f>EDATE('My Debts'!$C$6,A121-1)</f>
        <v/>
      </c>
      <c r="C121" s="45">
        <f>K121+Q121+W121+AC121+AI121+AO121+AU121+BA121+BG121+BM121</f>
        <v/>
      </c>
      <c r="D121" s="46">
        <f>I121+O121+U121+AA121+AG121+AM121+AS121+AY121+BE121+BK121+J121+P121+V121+AB121+AH121+AN121+AT121+AZ121+BF121+BL121</f>
        <v/>
      </c>
      <c r="E121" s="46">
        <f>H121+N121+T121+Z121+AF121+AL121+AR121+AX121+BD121+BJ121</f>
        <v/>
      </c>
      <c r="F121" t="n">
        <v>0</v>
      </c>
      <c r="G121" s="42">
        <f>K120</f>
        <v/>
      </c>
      <c r="H121" s="42">
        <f>ROUND(G121*H$6/12,2)</f>
        <v/>
      </c>
      <c r="I121" s="42">
        <f>MIN(I$6,G121+H121)</f>
        <v/>
      </c>
      <c r="J121" s="42">
        <f>MAX(0,MIN(G121+H121-I121,$F121))</f>
        <v/>
      </c>
      <c r="K121" s="42">
        <f>ROUND(G121+H121-I121-J121,2)</f>
        <v/>
      </c>
      <c r="L121">
        <f>$F121-J121</f>
        <v/>
      </c>
      <c r="M121" s="42">
        <f>Q120</f>
        <v/>
      </c>
      <c r="N121" s="42">
        <f>ROUND(M121*N$6/12,2)</f>
        <v/>
      </c>
      <c r="O121" s="42">
        <f>MIN(O$6,M121+N121)</f>
        <v/>
      </c>
      <c r="P121" s="42">
        <f>MAX(0,MIN(M121+N121-O121,L121))</f>
        <v/>
      </c>
      <c r="Q121" s="42">
        <f>ROUND(M121+N121-O121-P121,2)</f>
        <v/>
      </c>
      <c r="R121">
        <f>L121-P121</f>
        <v/>
      </c>
      <c r="S121" s="42">
        <f>W120</f>
        <v/>
      </c>
      <c r="T121" s="42">
        <f>ROUND(S121*T$6/12,2)</f>
        <v/>
      </c>
      <c r="U121" s="42">
        <f>MIN(U$6,S121+T121)</f>
        <v/>
      </c>
      <c r="V121" s="42">
        <f>MAX(0,MIN(S121+T121-U121,R121))</f>
        <v/>
      </c>
      <c r="W121" s="42">
        <f>ROUND(S121+T121-U121-V121,2)</f>
        <v/>
      </c>
      <c r="X121">
        <f>R121-V121</f>
        <v/>
      </c>
      <c r="Y121" s="42">
        <f>AC120</f>
        <v/>
      </c>
      <c r="Z121" s="42">
        <f>ROUND(Y121*Z$6/12,2)</f>
        <v/>
      </c>
      <c r="AA121" s="42">
        <f>MIN(AA$6,Y121+Z121)</f>
        <v/>
      </c>
      <c r="AB121" s="42">
        <f>MAX(0,MIN(Y121+Z121-AA121,X121))</f>
        <v/>
      </c>
      <c r="AC121" s="42">
        <f>ROUND(Y121+Z121-AA121-AB121,2)</f>
        <v/>
      </c>
      <c r="AD121">
        <f>X121-AB121</f>
        <v/>
      </c>
      <c r="AE121" s="42">
        <f>AI120</f>
        <v/>
      </c>
      <c r="AF121" s="42">
        <f>ROUND(AE121*AF$6/12,2)</f>
        <v/>
      </c>
      <c r="AG121" s="42">
        <f>MIN(AG$6,AE121+AF121)</f>
        <v/>
      </c>
      <c r="AH121" s="42">
        <f>MAX(0,MIN(AE121+AF121-AG121,AD121))</f>
        <v/>
      </c>
      <c r="AI121" s="42">
        <f>ROUND(AE121+AF121-AG121-AH121,2)</f>
        <v/>
      </c>
      <c r="AJ121">
        <f>AD121-AH121</f>
        <v/>
      </c>
      <c r="AK121" s="42">
        <f>AO120</f>
        <v/>
      </c>
      <c r="AL121" s="42">
        <f>ROUND(AK121*AL$6/12,2)</f>
        <v/>
      </c>
      <c r="AM121" s="42">
        <f>MIN(AM$6,AK121+AL121)</f>
        <v/>
      </c>
      <c r="AN121" s="42">
        <f>MAX(0,MIN(AK121+AL121-AM121,AJ121))</f>
        <v/>
      </c>
      <c r="AO121" s="42">
        <f>ROUND(AK121+AL121-AM121-AN121,2)</f>
        <v/>
      </c>
      <c r="AP121">
        <f>AJ121-AN121</f>
        <v/>
      </c>
      <c r="AQ121" s="42">
        <f>AU120</f>
        <v/>
      </c>
      <c r="AR121" s="42">
        <f>ROUND(AQ121*AR$6/12,2)</f>
        <v/>
      </c>
      <c r="AS121" s="42">
        <f>MIN(AS$6,AQ121+AR121)</f>
        <v/>
      </c>
      <c r="AT121" s="42">
        <f>MAX(0,MIN(AQ121+AR121-AS121,AP121))</f>
        <v/>
      </c>
      <c r="AU121" s="42">
        <f>ROUND(AQ121+AR121-AS121-AT121,2)</f>
        <v/>
      </c>
      <c r="AV121">
        <f>AP121-AT121</f>
        <v/>
      </c>
      <c r="AW121" s="42">
        <f>BA120</f>
        <v/>
      </c>
      <c r="AX121" s="42">
        <f>ROUND(AW121*AX$6/12,2)</f>
        <v/>
      </c>
      <c r="AY121" s="42">
        <f>MIN(AY$6,AW121+AX121)</f>
        <v/>
      </c>
      <c r="AZ121" s="42">
        <f>MAX(0,MIN(AW121+AX121-AY121,AV121))</f>
        <v/>
      </c>
      <c r="BA121" s="42">
        <f>ROUND(AW121+AX121-AY121-AZ121,2)</f>
        <v/>
      </c>
      <c r="BB121">
        <f>AV121-AZ121</f>
        <v/>
      </c>
      <c r="BC121" s="42">
        <f>BG120</f>
        <v/>
      </c>
      <c r="BD121" s="42">
        <f>ROUND(BC121*BD$6/12,2)</f>
        <v/>
      </c>
      <c r="BE121" s="42">
        <f>MIN(BE$6,BC121+BD121)</f>
        <v/>
      </c>
      <c r="BF121" s="42">
        <f>MAX(0,MIN(BC121+BD121-BE121,BB121))</f>
        <v/>
      </c>
      <c r="BG121" s="42">
        <f>ROUND(BC121+BD121-BE121-BF121,2)</f>
        <v/>
      </c>
      <c r="BH121">
        <f>BB121-BF121</f>
        <v/>
      </c>
      <c r="BI121" s="42">
        <f>BM120</f>
        <v/>
      </c>
      <c r="BJ121" s="42">
        <f>ROUND(BI121*BJ$6/12,2)</f>
        <v/>
      </c>
      <c r="BK121" s="42">
        <f>MIN(BK$6,BI121+BJ121)</f>
        <v/>
      </c>
      <c r="BL121" s="42">
        <f>MAX(0,MIN(BI121+BJ121-BK121,BH121))</f>
        <v/>
      </c>
      <c r="BM121" s="42">
        <f>ROUND(BI121+BJ121-BK121-BL121,2)</f>
        <v/>
      </c>
      <c r="BN121">
        <f>BH121-BL121</f>
        <v/>
      </c>
    </row>
    <row r="122">
      <c r="A122" s="39" t="n">
        <v>115</v>
      </c>
      <c r="B122" s="40">
        <f>EDATE('My Debts'!$C$6,A122-1)</f>
        <v/>
      </c>
      <c r="C122" s="41">
        <f>K122+Q122+W122+AC122+AI122+AO122+AU122+BA122+BG122+BM122</f>
        <v/>
      </c>
      <c r="D122" s="42">
        <f>I122+O122+U122+AA122+AG122+AM122+AS122+AY122+BE122+BK122+J122+P122+V122+AB122+AH122+AN122+AT122+AZ122+BF122+BL122</f>
        <v/>
      </c>
      <c r="E122" s="42">
        <f>H122+N122+T122+Z122+AF122+AL122+AR122+AX122+BD122+BJ122</f>
        <v/>
      </c>
      <c r="F122" t="n">
        <v>0</v>
      </c>
      <c r="G122" s="42">
        <f>K121</f>
        <v/>
      </c>
      <c r="H122" s="42">
        <f>ROUND(G122*H$6/12,2)</f>
        <v/>
      </c>
      <c r="I122" s="42">
        <f>MIN(I$6,G122+H122)</f>
        <v/>
      </c>
      <c r="J122" s="42">
        <f>MAX(0,MIN(G122+H122-I122,$F122))</f>
        <v/>
      </c>
      <c r="K122" s="42">
        <f>ROUND(G122+H122-I122-J122,2)</f>
        <v/>
      </c>
      <c r="L122">
        <f>$F122-J122</f>
        <v/>
      </c>
      <c r="M122" s="42">
        <f>Q121</f>
        <v/>
      </c>
      <c r="N122" s="42">
        <f>ROUND(M122*N$6/12,2)</f>
        <v/>
      </c>
      <c r="O122" s="42">
        <f>MIN(O$6,M122+N122)</f>
        <v/>
      </c>
      <c r="P122" s="42">
        <f>MAX(0,MIN(M122+N122-O122,L122))</f>
        <v/>
      </c>
      <c r="Q122" s="42">
        <f>ROUND(M122+N122-O122-P122,2)</f>
        <v/>
      </c>
      <c r="R122">
        <f>L122-P122</f>
        <v/>
      </c>
      <c r="S122" s="42">
        <f>W121</f>
        <v/>
      </c>
      <c r="T122" s="42">
        <f>ROUND(S122*T$6/12,2)</f>
        <v/>
      </c>
      <c r="U122" s="42">
        <f>MIN(U$6,S122+T122)</f>
        <v/>
      </c>
      <c r="V122" s="42">
        <f>MAX(0,MIN(S122+T122-U122,R122))</f>
        <v/>
      </c>
      <c r="W122" s="42">
        <f>ROUND(S122+T122-U122-V122,2)</f>
        <v/>
      </c>
      <c r="X122">
        <f>R122-V122</f>
        <v/>
      </c>
      <c r="Y122" s="42">
        <f>AC121</f>
        <v/>
      </c>
      <c r="Z122" s="42">
        <f>ROUND(Y122*Z$6/12,2)</f>
        <v/>
      </c>
      <c r="AA122" s="42">
        <f>MIN(AA$6,Y122+Z122)</f>
        <v/>
      </c>
      <c r="AB122" s="42">
        <f>MAX(0,MIN(Y122+Z122-AA122,X122))</f>
        <v/>
      </c>
      <c r="AC122" s="42">
        <f>ROUND(Y122+Z122-AA122-AB122,2)</f>
        <v/>
      </c>
      <c r="AD122">
        <f>X122-AB122</f>
        <v/>
      </c>
      <c r="AE122" s="42">
        <f>AI121</f>
        <v/>
      </c>
      <c r="AF122" s="42">
        <f>ROUND(AE122*AF$6/12,2)</f>
        <v/>
      </c>
      <c r="AG122" s="42">
        <f>MIN(AG$6,AE122+AF122)</f>
        <v/>
      </c>
      <c r="AH122" s="42">
        <f>MAX(0,MIN(AE122+AF122-AG122,AD122))</f>
        <v/>
      </c>
      <c r="AI122" s="42">
        <f>ROUND(AE122+AF122-AG122-AH122,2)</f>
        <v/>
      </c>
      <c r="AJ122">
        <f>AD122-AH122</f>
        <v/>
      </c>
      <c r="AK122" s="42">
        <f>AO121</f>
        <v/>
      </c>
      <c r="AL122" s="42">
        <f>ROUND(AK122*AL$6/12,2)</f>
        <v/>
      </c>
      <c r="AM122" s="42">
        <f>MIN(AM$6,AK122+AL122)</f>
        <v/>
      </c>
      <c r="AN122" s="42">
        <f>MAX(0,MIN(AK122+AL122-AM122,AJ122))</f>
        <v/>
      </c>
      <c r="AO122" s="42">
        <f>ROUND(AK122+AL122-AM122-AN122,2)</f>
        <v/>
      </c>
      <c r="AP122">
        <f>AJ122-AN122</f>
        <v/>
      </c>
      <c r="AQ122" s="42">
        <f>AU121</f>
        <v/>
      </c>
      <c r="AR122" s="42">
        <f>ROUND(AQ122*AR$6/12,2)</f>
        <v/>
      </c>
      <c r="AS122" s="42">
        <f>MIN(AS$6,AQ122+AR122)</f>
        <v/>
      </c>
      <c r="AT122" s="42">
        <f>MAX(0,MIN(AQ122+AR122-AS122,AP122))</f>
        <v/>
      </c>
      <c r="AU122" s="42">
        <f>ROUND(AQ122+AR122-AS122-AT122,2)</f>
        <v/>
      </c>
      <c r="AV122">
        <f>AP122-AT122</f>
        <v/>
      </c>
      <c r="AW122" s="42">
        <f>BA121</f>
        <v/>
      </c>
      <c r="AX122" s="42">
        <f>ROUND(AW122*AX$6/12,2)</f>
        <v/>
      </c>
      <c r="AY122" s="42">
        <f>MIN(AY$6,AW122+AX122)</f>
        <v/>
      </c>
      <c r="AZ122" s="42">
        <f>MAX(0,MIN(AW122+AX122-AY122,AV122))</f>
        <v/>
      </c>
      <c r="BA122" s="42">
        <f>ROUND(AW122+AX122-AY122-AZ122,2)</f>
        <v/>
      </c>
      <c r="BB122">
        <f>AV122-AZ122</f>
        <v/>
      </c>
      <c r="BC122" s="42">
        <f>BG121</f>
        <v/>
      </c>
      <c r="BD122" s="42">
        <f>ROUND(BC122*BD$6/12,2)</f>
        <v/>
      </c>
      <c r="BE122" s="42">
        <f>MIN(BE$6,BC122+BD122)</f>
        <v/>
      </c>
      <c r="BF122" s="42">
        <f>MAX(0,MIN(BC122+BD122-BE122,BB122))</f>
        <v/>
      </c>
      <c r="BG122" s="42">
        <f>ROUND(BC122+BD122-BE122-BF122,2)</f>
        <v/>
      </c>
      <c r="BH122">
        <f>BB122-BF122</f>
        <v/>
      </c>
      <c r="BI122" s="42">
        <f>BM121</f>
        <v/>
      </c>
      <c r="BJ122" s="42">
        <f>ROUND(BI122*BJ$6/12,2)</f>
        <v/>
      </c>
      <c r="BK122" s="42">
        <f>MIN(BK$6,BI122+BJ122)</f>
        <v/>
      </c>
      <c r="BL122" s="42">
        <f>MAX(0,MIN(BI122+BJ122-BK122,BH122))</f>
        <v/>
      </c>
      <c r="BM122" s="42">
        <f>ROUND(BI122+BJ122-BK122-BL122,2)</f>
        <v/>
      </c>
      <c r="BN122">
        <f>BH122-BL122</f>
        <v/>
      </c>
    </row>
    <row r="123">
      <c r="A123" s="43" t="n">
        <v>116</v>
      </c>
      <c r="B123" s="44">
        <f>EDATE('My Debts'!$C$6,A123-1)</f>
        <v/>
      </c>
      <c r="C123" s="45">
        <f>K123+Q123+W123+AC123+AI123+AO123+AU123+BA123+BG123+BM123</f>
        <v/>
      </c>
      <c r="D123" s="46">
        <f>I123+O123+U123+AA123+AG123+AM123+AS123+AY123+BE123+BK123+J123+P123+V123+AB123+AH123+AN123+AT123+AZ123+BF123+BL123</f>
        <v/>
      </c>
      <c r="E123" s="46">
        <f>H123+N123+T123+Z123+AF123+AL123+AR123+AX123+BD123+BJ123</f>
        <v/>
      </c>
      <c r="F123" t="n">
        <v>0</v>
      </c>
      <c r="G123" s="42">
        <f>K122</f>
        <v/>
      </c>
      <c r="H123" s="42">
        <f>ROUND(G123*H$6/12,2)</f>
        <v/>
      </c>
      <c r="I123" s="42">
        <f>MIN(I$6,G123+H123)</f>
        <v/>
      </c>
      <c r="J123" s="42">
        <f>MAX(0,MIN(G123+H123-I123,$F123))</f>
        <v/>
      </c>
      <c r="K123" s="42">
        <f>ROUND(G123+H123-I123-J123,2)</f>
        <v/>
      </c>
      <c r="L123">
        <f>$F123-J123</f>
        <v/>
      </c>
      <c r="M123" s="42">
        <f>Q122</f>
        <v/>
      </c>
      <c r="N123" s="42">
        <f>ROUND(M123*N$6/12,2)</f>
        <v/>
      </c>
      <c r="O123" s="42">
        <f>MIN(O$6,M123+N123)</f>
        <v/>
      </c>
      <c r="P123" s="42">
        <f>MAX(0,MIN(M123+N123-O123,L123))</f>
        <v/>
      </c>
      <c r="Q123" s="42">
        <f>ROUND(M123+N123-O123-P123,2)</f>
        <v/>
      </c>
      <c r="R123">
        <f>L123-P123</f>
        <v/>
      </c>
      <c r="S123" s="42">
        <f>W122</f>
        <v/>
      </c>
      <c r="T123" s="42">
        <f>ROUND(S123*T$6/12,2)</f>
        <v/>
      </c>
      <c r="U123" s="42">
        <f>MIN(U$6,S123+T123)</f>
        <v/>
      </c>
      <c r="V123" s="42">
        <f>MAX(0,MIN(S123+T123-U123,R123))</f>
        <v/>
      </c>
      <c r="W123" s="42">
        <f>ROUND(S123+T123-U123-V123,2)</f>
        <v/>
      </c>
      <c r="X123">
        <f>R123-V123</f>
        <v/>
      </c>
      <c r="Y123" s="42">
        <f>AC122</f>
        <v/>
      </c>
      <c r="Z123" s="42">
        <f>ROUND(Y123*Z$6/12,2)</f>
        <v/>
      </c>
      <c r="AA123" s="42">
        <f>MIN(AA$6,Y123+Z123)</f>
        <v/>
      </c>
      <c r="AB123" s="42">
        <f>MAX(0,MIN(Y123+Z123-AA123,X123))</f>
        <v/>
      </c>
      <c r="AC123" s="42">
        <f>ROUND(Y123+Z123-AA123-AB123,2)</f>
        <v/>
      </c>
      <c r="AD123">
        <f>X123-AB123</f>
        <v/>
      </c>
      <c r="AE123" s="42">
        <f>AI122</f>
        <v/>
      </c>
      <c r="AF123" s="42">
        <f>ROUND(AE123*AF$6/12,2)</f>
        <v/>
      </c>
      <c r="AG123" s="42">
        <f>MIN(AG$6,AE123+AF123)</f>
        <v/>
      </c>
      <c r="AH123" s="42">
        <f>MAX(0,MIN(AE123+AF123-AG123,AD123))</f>
        <v/>
      </c>
      <c r="AI123" s="42">
        <f>ROUND(AE123+AF123-AG123-AH123,2)</f>
        <v/>
      </c>
      <c r="AJ123">
        <f>AD123-AH123</f>
        <v/>
      </c>
      <c r="AK123" s="42">
        <f>AO122</f>
        <v/>
      </c>
      <c r="AL123" s="42">
        <f>ROUND(AK123*AL$6/12,2)</f>
        <v/>
      </c>
      <c r="AM123" s="42">
        <f>MIN(AM$6,AK123+AL123)</f>
        <v/>
      </c>
      <c r="AN123" s="42">
        <f>MAX(0,MIN(AK123+AL123-AM123,AJ123))</f>
        <v/>
      </c>
      <c r="AO123" s="42">
        <f>ROUND(AK123+AL123-AM123-AN123,2)</f>
        <v/>
      </c>
      <c r="AP123">
        <f>AJ123-AN123</f>
        <v/>
      </c>
      <c r="AQ123" s="42">
        <f>AU122</f>
        <v/>
      </c>
      <c r="AR123" s="42">
        <f>ROUND(AQ123*AR$6/12,2)</f>
        <v/>
      </c>
      <c r="AS123" s="42">
        <f>MIN(AS$6,AQ123+AR123)</f>
        <v/>
      </c>
      <c r="AT123" s="42">
        <f>MAX(0,MIN(AQ123+AR123-AS123,AP123))</f>
        <v/>
      </c>
      <c r="AU123" s="42">
        <f>ROUND(AQ123+AR123-AS123-AT123,2)</f>
        <v/>
      </c>
      <c r="AV123">
        <f>AP123-AT123</f>
        <v/>
      </c>
      <c r="AW123" s="42">
        <f>BA122</f>
        <v/>
      </c>
      <c r="AX123" s="42">
        <f>ROUND(AW123*AX$6/12,2)</f>
        <v/>
      </c>
      <c r="AY123" s="42">
        <f>MIN(AY$6,AW123+AX123)</f>
        <v/>
      </c>
      <c r="AZ123" s="42">
        <f>MAX(0,MIN(AW123+AX123-AY123,AV123))</f>
        <v/>
      </c>
      <c r="BA123" s="42">
        <f>ROUND(AW123+AX123-AY123-AZ123,2)</f>
        <v/>
      </c>
      <c r="BB123">
        <f>AV123-AZ123</f>
        <v/>
      </c>
      <c r="BC123" s="42">
        <f>BG122</f>
        <v/>
      </c>
      <c r="BD123" s="42">
        <f>ROUND(BC123*BD$6/12,2)</f>
        <v/>
      </c>
      <c r="BE123" s="42">
        <f>MIN(BE$6,BC123+BD123)</f>
        <v/>
      </c>
      <c r="BF123" s="42">
        <f>MAX(0,MIN(BC123+BD123-BE123,BB123))</f>
        <v/>
      </c>
      <c r="BG123" s="42">
        <f>ROUND(BC123+BD123-BE123-BF123,2)</f>
        <v/>
      </c>
      <c r="BH123">
        <f>BB123-BF123</f>
        <v/>
      </c>
      <c r="BI123" s="42">
        <f>BM122</f>
        <v/>
      </c>
      <c r="BJ123" s="42">
        <f>ROUND(BI123*BJ$6/12,2)</f>
        <v/>
      </c>
      <c r="BK123" s="42">
        <f>MIN(BK$6,BI123+BJ123)</f>
        <v/>
      </c>
      <c r="BL123" s="42">
        <f>MAX(0,MIN(BI123+BJ123-BK123,BH123))</f>
        <v/>
      </c>
      <c r="BM123" s="42">
        <f>ROUND(BI123+BJ123-BK123-BL123,2)</f>
        <v/>
      </c>
      <c r="BN123">
        <f>BH123-BL123</f>
        <v/>
      </c>
    </row>
    <row r="124">
      <c r="A124" s="39" t="n">
        <v>117</v>
      </c>
      <c r="B124" s="40">
        <f>EDATE('My Debts'!$C$6,A124-1)</f>
        <v/>
      </c>
      <c r="C124" s="41">
        <f>K124+Q124+W124+AC124+AI124+AO124+AU124+BA124+BG124+BM124</f>
        <v/>
      </c>
      <c r="D124" s="42">
        <f>I124+O124+U124+AA124+AG124+AM124+AS124+AY124+BE124+BK124+J124+P124+V124+AB124+AH124+AN124+AT124+AZ124+BF124+BL124</f>
        <v/>
      </c>
      <c r="E124" s="42">
        <f>H124+N124+T124+Z124+AF124+AL124+AR124+AX124+BD124+BJ124</f>
        <v/>
      </c>
      <c r="F124" t="n">
        <v>0</v>
      </c>
      <c r="G124" s="42">
        <f>K123</f>
        <v/>
      </c>
      <c r="H124" s="42">
        <f>ROUND(G124*H$6/12,2)</f>
        <v/>
      </c>
      <c r="I124" s="42">
        <f>MIN(I$6,G124+H124)</f>
        <v/>
      </c>
      <c r="J124" s="42">
        <f>MAX(0,MIN(G124+H124-I124,$F124))</f>
        <v/>
      </c>
      <c r="K124" s="42">
        <f>ROUND(G124+H124-I124-J124,2)</f>
        <v/>
      </c>
      <c r="L124">
        <f>$F124-J124</f>
        <v/>
      </c>
      <c r="M124" s="42">
        <f>Q123</f>
        <v/>
      </c>
      <c r="N124" s="42">
        <f>ROUND(M124*N$6/12,2)</f>
        <v/>
      </c>
      <c r="O124" s="42">
        <f>MIN(O$6,M124+N124)</f>
        <v/>
      </c>
      <c r="P124" s="42">
        <f>MAX(0,MIN(M124+N124-O124,L124))</f>
        <v/>
      </c>
      <c r="Q124" s="42">
        <f>ROUND(M124+N124-O124-P124,2)</f>
        <v/>
      </c>
      <c r="R124">
        <f>L124-P124</f>
        <v/>
      </c>
      <c r="S124" s="42">
        <f>W123</f>
        <v/>
      </c>
      <c r="T124" s="42">
        <f>ROUND(S124*T$6/12,2)</f>
        <v/>
      </c>
      <c r="U124" s="42">
        <f>MIN(U$6,S124+T124)</f>
        <v/>
      </c>
      <c r="V124" s="42">
        <f>MAX(0,MIN(S124+T124-U124,R124))</f>
        <v/>
      </c>
      <c r="W124" s="42">
        <f>ROUND(S124+T124-U124-V124,2)</f>
        <v/>
      </c>
      <c r="X124">
        <f>R124-V124</f>
        <v/>
      </c>
      <c r="Y124" s="42">
        <f>AC123</f>
        <v/>
      </c>
      <c r="Z124" s="42">
        <f>ROUND(Y124*Z$6/12,2)</f>
        <v/>
      </c>
      <c r="AA124" s="42">
        <f>MIN(AA$6,Y124+Z124)</f>
        <v/>
      </c>
      <c r="AB124" s="42">
        <f>MAX(0,MIN(Y124+Z124-AA124,X124))</f>
        <v/>
      </c>
      <c r="AC124" s="42">
        <f>ROUND(Y124+Z124-AA124-AB124,2)</f>
        <v/>
      </c>
      <c r="AD124">
        <f>X124-AB124</f>
        <v/>
      </c>
      <c r="AE124" s="42">
        <f>AI123</f>
        <v/>
      </c>
      <c r="AF124" s="42">
        <f>ROUND(AE124*AF$6/12,2)</f>
        <v/>
      </c>
      <c r="AG124" s="42">
        <f>MIN(AG$6,AE124+AF124)</f>
        <v/>
      </c>
      <c r="AH124" s="42">
        <f>MAX(0,MIN(AE124+AF124-AG124,AD124))</f>
        <v/>
      </c>
      <c r="AI124" s="42">
        <f>ROUND(AE124+AF124-AG124-AH124,2)</f>
        <v/>
      </c>
      <c r="AJ124">
        <f>AD124-AH124</f>
        <v/>
      </c>
      <c r="AK124" s="42">
        <f>AO123</f>
        <v/>
      </c>
      <c r="AL124" s="42">
        <f>ROUND(AK124*AL$6/12,2)</f>
        <v/>
      </c>
      <c r="AM124" s="42">
        <f>MIN(AM$6,AK124+AL124)</f>
        <v/>
      </c>
      <c r="AN124" s="42">
        <f>MAX(0,MIN(AK124+AL124-AM124,AJ124))</f>
        <v/>
      </c>
      <c r="AO124" s="42">
        <f>ROUND(AK124+AL124-AM124-AN124,2)</f>
        <v/>
      </c>
      <c r="AP124">
        <f>AJ124-AN124</f>
        <v/>
      </c>
      <c r="AQ124" s="42">
        <f>AU123</f>
        <v/>
      </c>
      <c r="AR124" s="42">
        <f>ROUND(AQ124*AR$6/12,2)</f>
        <v/>
      </c>
      <c r="AS124" s="42">
        <f>MIN(AS$6,AQ124+AR124)</f>
        <v/>
      </c>
      <c r="AT124" s="42">
        <f>MAX(0,MIN(AQ124+AR124-AS124,AP124))</f>
        <v/>
      </c>
      <c r="AU124" s="42">
        <f>ROUND(AQ124+AR124-AS124-AT124,2)</f>
        <v/>
      </c>
      <c r="AV124">
        <f>AP124-AT124</f>
        <v/>
      </c>
      <c r="AW124" s="42">
        <f>BA123</f>
        <v/>
      </c>
      <c r="AX124" s="42">
        <f>ROUND(AW124*AX$6/12,2)</f>
        <v/>
      </c>
      <c r="AY124" s="42">
        <f>MIN(AY$6,AW124+AX124)</f>
        <v/>
      </c>
      <c r="AZ124" s="42">
        <f>MAX(0,MIN(AW124+AX124-AY124,AV124))</f>
        <v/>
      </c>
      <c r="BA124" s="42">
        <f>ROUND(AW124+AX124-AY124-AZ124,2)</f>
        <v/>
      </c>
      <c r="BB124">
        <f>AV124-AZ124</f>
        <v/>
      </c>
      <c r="BC124" s="42">
        <f>BG123</f>
        <v/>
      </c>
      <c r="BD124" s="42">
        <f>ROUND(BC124*BD$6/12,2)</f>
        <v/>
      </c>
      <c r="BE124" s="42">
        <f>MIN(BE$6,BC124+BD124)</f>
        <v/>
      </c>
      <c r="BF124" s="42">
        <f>MAX(0,MIN(BC124+BD124-BE124,BB124))</f>
        <v/>
      </c>
      <c r="BG124" s="42">
        <f>ROUND(BC124+BD124-BE124-BF124,2)</f>
        <v/>
      </c>
      <c r="BH124">
        <f>BB124-BF124</f>
        <v/>
      </c>
      <c r="BI124" s="42">
        <f>BM123</f>
        <v/>
      </c>
      <c r="BJ124" s="42">
        <f>ROUND(BI124*BJ$6/12,2)</f>
        <v/>
      </c>
      <c r="BK124" s="42">
        <f>MIN(BK$6,BI124+BJ124)</f>
        <v/>
      </c>
      <c r="BL124" s="42">
        <f>MAX(0,MIN(BI124+BJ124-BK124,BH124))</f>
        <v/>
      </c>
      <c r="BM124" s="42">
        <f>ROUND(BI124+BJ124-BK124-BL124,2)</f>
        <v/>
      </c>
      <c r="BN124">
        <f>BH124-BL124</f>
        <v/>
      </c>
    </row>
    <row r="125">
      <c r="A125" s="43" t="n">
        <v>118</v>
      </c>
      <c r="B125" s="44">
        <f>EDATE('My Debts'!$C$6,A125-1)</f>
        <v/>
      </c>
      <c r="C125" s="45">
        <f>K125+Q125+W125+AC125+AI125+AO125+AU125+BA125+BG125+BM125</f>
        <v/>
      </c>
      <c r="D125" s="46">
        <f>I125+O125+U125+AA125+AG125+AM125+AS125+AY125+BE125+BK125+J125+P125+V125+AB125+AH125+AN125+AT125+AZ125+BF125+BL125</f>
        <v/>
      </c>
      <c r="E125" s="46">
        <f>H125+N125+T125+Z125+AF125+AL125+AR125+AX125+BD125+BJ125</f>
        <v/>
      </c>
      <c r="F125" t="n">
        <v>0</v>
      </c>
      <c r="G125" s="42">
        <f>K124</f>
        <v/>
      </c>
      <c r="H125" s="42">
        <f>ROUND(G125*H$6/12,2)</f>
        <v/>
      </c>
      <c r="I125" s="42">
        <f>MIN(I$6,G125+H125)</f>
        <v/>
      </c>
      <c r="J125" s="42">
        <f>MAX(0,MIN(G125+H125-I125,$F125))</f>
        <v/>
      </c>
      <c r="K125" s="42">
        <f>ROUND(G125+H125-I125-J125,2)</f>
        <v/>
      </c>
      <c r="L125">
        <f>$F125-J125</f>
        <v/>
      </c>
      <c r="M125" s="42">
        <f>Q124</f>
        <v/>
      </c>
      <c r="N125" s="42">
        <f>ROUND(M125*N$6/12,2)</f>
        <v/>
      </c>
      <c r="O125" s="42">
        <f>MIN(O$6,M125+N125)</f>
        <v/>
      </c>
      <c r="P125" s="42">
        <f>MAX(0,MIN(M125+N125-O125,L125))</f>
        <v/>
      </c>
      <c r="Q125" s="42">
        <f>ROUND(M125+N125-O125-P125,2)</f>
        <v/>
      </c>
      <c r="R125">
        <f>L125-P125</f>
        <v/>
      </c>
      <c r="S125" s="42">
        <f>W124</f>
        <v/>
      </c>
      <c r="T125" s="42">
        <f>ROUND(S125*T$6/12,2)</f>
        <v/>
      </c>
      <c r="U125" s="42">
        <f>MIN(U$6,S125+T125)</f>
        <v/>
      </c>
      <c r="V125" s="42">
        <f>MAX(0,MIN(S125+T125-U125,R125))</f>
        <v/>
      </c>
      <c r="W125" s="42">
        <f>ROUND(S125+T125-U125-V125,2)</f>
        <v/>
      </c>
      <c r="X125">
        <f>R125-V125</f>
        <v/>
      </c>
      <c r="Y125" s="42">
        <f>AC124</f>
        <v/>
      </c>
      <c r="Z125" s="42">
        <f>ROUND(Y125*Z$6/12,2)</f>
        <v/>
      </c>
      <c r="AA125" s="42">
        <f>MIN(AA$6,Y125+Z125)</f>
        <v/>
      </c>
      <c r="AB125" s="42">
        <f>MAX(0,MIN(Y125+Z125-AA125,X125))</f>
        <v/>
      </c>
      <c r="AC125" s="42">
        <f>ROUND(Y125+Z125-AA125-AB125,2)</f>
        <v/>
      </c>
      <c r="AD125">
        <f>X125-AB125</f>
        <v/>
      </c>
      <c r="AE125" s="42">
        <f>AI124</f>
        <v/>
      </c>
      <c r="AF125" s="42">
        <f>ROUND(AE125*AF$6/12,2)</f>
        <v/>
      </c>
      <c r="AG125" s="42">
        <f>MIN(AG$6,AE125+AF125)</f>
        <v/>
      </c>
      <c r="AH125" s="42">
        <f>MAX(0,MIN(AE125+AF125-AG125,AD125))</f>
        <v/>
      </c>
      <c r="AI125" s="42">
        <f>ROUND(AE125+AF125-AG125-AH125,2)</f>
        <v/>
      </c>
      <c r="AJ125">
        <f>AD125-AH125</f>
        <v/>
      </c>
      <c r="AK125" s="42">
        <f>AO124</f>
        <v/>
      </c>
      <c r="AL125" s="42">
        <f>ROUND(AK125*AL$6/12,2)</f>
        <v/>
      </c>
      <c r="AM125" s="42">
        <f>MIN(AM$6,AK125+AL125)</f>
        <v/>
      </c>
      <c r="AN125" s="42">
        <f>MAX(0,MIN(AK125+AL125-AM125,AJ125))</f>
        <v/>
      </c>
      <c r="AO125" s="42">
        <f>ROUND(AK125+AL125-AM125-AN125,2)</f>
        <v/>
      </c>
      <c r="AP125">
        <f>AJ125-AN125</f>
        <v/>
      </c>
      <c r="AQ125" s="42">
        <f>AU124</f>
        <v/>
      </c>
      <c r="AR125" s="42">
        <f>ROUND(AQ125*AR$6/12,2)</f>
        <v/>
      </c>
      <c r="AS125" s="42">
        <f>MIN(AS$6,AQ125+AR125)</f>
        <v/>
      </c>
      <c r="AT125" s="42">
        <f>MAX(0,MIN(AQ125+AR125-AS125,AP125))</f>
        <v/>
      </c>
      <c r="AU125" s="42">
        <f>ROUND(AQ125+AR125-AS125-AT125,2)</f>
        <v/>
      </c>
      <c r="AV125">
        <f>AP125-AT125</f>
        <v/>
      </c>
      <c r="AW125" s="42">
        <f>BA124</f>
        <v/>
      </c>
      <c r="AX125" s="42">
        <f>ROUND(AW125*AX$6/12,2)</f>
        <v/>
      </c>
      <c r="AY125" s="42">
        <f>MIN(AY$6,AW125+AX125)</f>
        <v/>
      </c>
      <c r="AZ125" s="42">
        <f>MAX(0,MIN(AW125+AX125-AY125,AV125))</f>
        <v/>
      </c>
      <c r="BA125" s="42">
        <f>ROUND(AW125+AX125-AY125-AZ125,2)</f>
        <v/>
      </c>
      <c r="BB125">
        <f>AV125-AZ125</f>
        <v/>
      </c>
      <c r="BC125" s="42">
        <f>BG124</f>
        <v/>
      </c>
      <c r="BD125" s="42">
        <f>ROUND(BC125*BD$6/12,2)</f>
        <v/>
      </c>
      <c r="BE125" s="42">
        <f>MIN(BE$6,BC125+BD125)</f>
        <v/>
      </c>
      <c r="BF125" s="42">
        <f>MAX(0,MIN(BC125+BD125-BE125,BB125))</f>
        <v/>
      </c>
      <c r="BG125" s="42">
        <f>ROUND(BC125+BD125-BE125-BF125,2)</f>
        <v/>
      </c>
      <c r="BH125">
        <f>BB125-BF125</f>
        <v/>
      </c>
      <c r="BI125" s="42">
        <f>BM124</f>
        <v/>
      </c>
      <c r="BJ125" s="42">
        <f>ROUND(BI125*BJ$6/12,2)</f>
        <v/>
      </c>
      <c r="BK125" s="42">
        <f>MIN(BK$6,BI125+BJ125)</f>
        <v/>
      </c>
      <c r="BL125" s="42">
        <f>MAX(0,MIN(BI125+BJ125-BK125,BH125))</f>
        <v/>
      </c>
      <c r="BM125" s="42">
        <f>ROUND(BI125+BJ125-BK125-BL125,2)</f>
        <v/>
      </c>
      <c r="BN125">
        <f>BH125-BL125</f>
        <v/>
      </c>
    </row>
    <row r="126">
      <c r="A126" s="39" t="n">
        <v>119</v>
      </c>
      <c r="B126" s="40">
        <f>EDATE('My Debts'!$C$6,A126-1)</f>
        <v/>
      </c>
      <c r="C126" s="41">
        <f>K126+Q126+W126+AC126+AI126+AO126+AU126+BA126+BG126+BM126</f>
        <v/>
      </c>
      <c r="D126" s="42">
        <f>I126+O126+U126+AA126+AG126+AM126+AS126+AY126+BE126+BK126+J126+P126+V126+AB126+AH126+AN126+AT126+AZ126+BF126+BL126</f>
        <v/>
      </c>
      <c r="E126" s="42">
        <f>H126+N126+T126+Z126+AF126+AL126+AR126+AX126+BD126+BJ126</f>
        <v/>
      </c>
      <c r="F126" t="n">
        <v>0</v>
      </c>
      <c r="G126" s="42">
        <f>K125</f>
        <v/>
      </c>
      <c r="H126" s="42">
        <f>ROUND(G126*H$6/12,2)</f>
        <v/>
      </c>
      <c r="I126" s="42">
        <f>MIN(I$6,G126+H126)</f>
        <v/>
      </c>
      <c r="J126" s="42">
        <f>MAX(0,MIN(G126+H126-I126,$F126))</f>
        <v/>
      </c>
      <c r="K126" s="42">
        <f>ROUND(G126+H126-I126-J126,2)</f>
        <v/>
      </c>
      <c r="L126">
        <f>$F126-J126</f>
        <v/>
      </c>
      <c r="M126" s="42">
        <f>Q125</f>
        <v/>
      </c>
      <c r="N126" s="42">
        <f>ROUND(M126*N$6/12,2)</f>
        <v/>
      </c>
      <c r="O126" s="42">
        <f>MIN(O$6,M126+N126)</f>
        <v/>
      </c>
      <c r="P126" s="42">
        <f>MAX(0,MIN(M126+N126-O126,L126))</f>
        <v/>
      </c>
      <c r="Q126" s="42">
        <f>ROUND(M126+N126-O126-P126,2)</f>
        <v/>
      </c>
      <c r="R126">
        <f>L126-P126</f>
        <v/>
      </c>
      <c r="S126" s="42">
        <f>W125</f>
        <v/>
      </c>
      <c r="T126" s="42">
        <f>ROUND(S126*T$6/12,2)</f>
        <v/>
      </c>
      <c r="U126" s="42">
        <f>MIN(U$6,S126+T126)</f>
        <v/>
      </c>
      <c r="V126" s="42">
        <f>MAX(0,MIN(S126+T126-U126,R126))</f>
        <v/>
      </c>
      <c r="W126" s="42">
        <f>ROUND(S126+T126-U126-V126,2)</f>
        <v/>
      </c>
      <c r="X126">
        <f>R126-V126</f>
        <v/>
      </c>
      <c r="Y126" s="42">
        <f>AC125</f>
        <v/>
      </c>
      <c r="Z126" s="42">
        <f>ROUND(Y126*Z$6/12,2)</f>
        <v/>
      </c>
      <c r="AA126" s="42">
        <f>MIN(AA$6,Y126+Z126)</f>
        <v/>
      </c>
      <c r="AB126" s="42">
        <f>MAX(0,MIN(Y126+Z126-AA126,X126))</f>
        <v/>
      </c>
      <c r="AC126" s="42">
        <f>ROUND(Y126+Z126-AA126-AB126,2)</f>
        <v/>
      </c>
      <c r="AD126">
        <f>X126-AB126</f>
        <v/>
      </c>
      <c r="AE126" s="42">
        <f>AI125</f>
        <v/>
      </c>
      <c r="AF126" s="42">
        <f>ROUND(AE126*AF$6/12,2)</f>
        <v/>
      </c>
      <c r="AG126" s="42">
        <f>MIN(AG$6,AE126+AF126)</f>
        <v/>
      </c>
      <c r="AH126" s="42">
        <f>MAX(0,MIN(AE126+AF126-AG126,AD126))</f>
        <v/>
      </c>
      <c r="AI126" s="42">
        <f>ROUND(AE126+AF126-AG126-AH126,2)</f>
        <v/>
      </c>
      <c r="AJ126">
        <f>AD126-AH126</f>
        <v/>
      </c>
      <c r="AK126" s="42">
        <f>AO125</f>
        <v/>
      </c>
      <c r="AL126" s="42">
        <f>ROUND(AK126*AL$6/12,2)</f>
        <v/>
      </c>
      <c r="AM126" s="42">
        <f>MIN(AM$6,AK126+AL126)</f>
        <v/>
      </c>
      <c r="AN126" s="42">
        <f>MAX(0,MIN(AK126+AL126-AM126,AJ126))</f>
        <v/>
      </c>
      <c r="AO126" s="42">
        <f>ROUND(AK126+AL126-AM126-AN126,2)</f>
        <v/>
      </c>
      <c r="AP126">
        <f>AJ126-AN126</f>
        <v/>
      </c>
      <c r="AQ126" s="42">
        <f>AU125</f>
        <v/>
      </c>
      <c r="AR126" s="42">
        <f>ROUND(AQ126*AR$6/12,2)</f>
        <v/>
      </c>
      <c r="AS126" s="42">
        <f>MIN(AS$6,AQ126+AR126)</f>
        <v/>
      </c>
      <c r="AT126" s="42">
        <f>MAX(0,MIN(AQ126+AR126-AS126,AP126))</f>
        <v/>
      </c>
      <c r="AU126" s="42">
        <f>ROUND(AQ126+AR126-AS126-AT126,2)</f>
        <v/>
      </c>
      <c r="AV126">
        <f>AP126-AT126</f>
        <v/>
      </c>
      <c r="AW126" s="42">
        <f>BA125</f>
        <v/>
      </c>
      <c r="AX126" s="42">
        <f>ROUND(AW126*AX$6/12,2)</f>
        <v/>
      </c>
      <c r="AY126" s="42">
        <f>MIN(AY$6,AW126+AX126)</f>
        <v/>
      </c>
      <c r="AZ126" s="42">
        <f>MAX(0,MIN(AW126+AX126-AY126,AV126))</f>
        <v/>
      </c>
      <c r="BA126" s="42">
        <f>ROUND(AW126+AX126-AY126-AZ126,2)</f>
        <v/>
      </c>
      <c r="BB126">
        <f>AV126-AZ126</f>
        <v/>
      </c>
      <c r="BC126" s="42">
        <f>BG125</f>
        <v/>
      </c>
      <c r="BD126" s="42">
        <f>ROUND(BC126*BD$6/12,2)</f>
        <v/>
      </c>
      <c r="BE126" s="42">
        <f>MIN(BE$6,BC126+BD126)</f>
        <v/>
      </c>
      <c r="BF126" s="42">
        <f>MAX(0,MIN(BC126+BD126-BE126,BB126))</f>
        <v/>
      </c>
      <c r="BG126" s="42">
        <f>ROUND(BC126+BD126-BE126-BF126,2)</f>
        <v/>
      </c>
      <c r="BH126">
        <f>BB126-BF126</f>
        <v/>
      </c>
      <c r="BI126" s="42">
        <f>BM125</f>
        <v/>
      </c>
      <c r="BJ126" s="42">
        <f>ROUND(BI126*BJ$6/12,2)</f>
        <v/>
      </c>
      <c r="BK126" s="42">
        <f>MIN(BK$6,BI126+BJ126)</f>
        <v/>
      </c>
      <c r="BL126" s="42">
        <f>MAX(0,MIN(BI126+BJ126-BK126,BH126))</f>
        <v/>
      </c>
      <c r="BM126" s="42">
        <f>ROUND(BI126+BJ126-BK126-BL126,2)</f>
        <v/>
      </c>
      <c r="BN126">
        <f>BH126-BL126</f>
        <v/>
      </c>
    </row>
    <row r="127">
      <c r="A127" s="43" t="n">
        <v>120</v>
      </c>
      <c r="B127" s="44">
        <f>EDATE('My Debts'!$C$6,A127-1)</f>
        <v/>
      </c>
      <c r="C127" s="45">
        <f>K127+Q127+W127+AC127+AI127+AO127+AU127+BA127+BG127+BM127</f>
        <v/>
      </c>
      <c r="D127" s="46">
        <f>I127+O127+U127+AA127+AG127+AM127+AS127+AY127+BE127+BK127+J127+P127+V127+AB127+AH127+AN127+AT127+AZ127+BF127+BL127</f>
        <v/>
      </c>
      <c r="E127" s="46">
        <f>H127+N127+T127+Z127+AF127+AL127+AR127+AX127+BD127+BJ127</f>
        <v/>
      </c>
      <c r="F127" t="n">
        <v>0</v>
      </c>
      <c r="G127" s="42">
        <f>K126</f>
        <v/>
      </c>
      <c r="H127" s="42">
        <f>ROUND(G127*H$6/12,2)</f>
        <v/>
      </c>
      <c r="I127" s="42">
        <f>MIN(I$6,G127+H127)</f>
        <v/>
      </c>
      <c r="J127" s="42">
        <f>MAX(0,MIN(G127+H127-I127,$F127))</f>
        <v/>
      </c>
      <c r="K127" s="42">
        <f>ROUND(G127+H127-I127-J127,2)</f>
        <v/>
      </c>
      <c r="L127">
        <f>$F127-J127</f>
        <v/>
      </c>
      <c r="M127" s="42">
        <f>Q126</f>
        <v/>
      </c>
      <c r="N127" s="42">
        <f>ROUND(M127*N$6/12,2)</f>
        <v/>
      </c>
      <c r="O127" s="42">
        <f>MIN(O$6,M127+N127)</f>
        <v/>
      </c>
      <c r="P127" s="42">
        <f>MAX(0,MIN(M127+N127-O127,L127))</f>
        <v/>
      </c>
      <c r="Q127" s="42">
        <f>ROUND(M127+N127-O127-P127,2)</f>
        <v/>
      </c>
      <c r="R127">
        <f>L127-P127</f>
        <v/>
      </c>
      <c r="S127" s="42">
        <f>W126</f>
        <v/>
      </c>
      <c r="T127" s="42">
        <f>ROUND(S127*T$6/12,2)</f>
        <v/>
      </c>
      <c r="U127" s="42">
        <f>MIN(U$6,S127+T127)</f>
        <v/>
      </c>
      <c r="V127" s="42">
        <f>MAX(0,MIN(S127+T127-U127,R127))</f>
        <v/>
      </c>
      <c r="W127" s="42">
        <f>ROUND(S127+T127-U127-V127,2)</f>
        <v/>
      </c>
      <c r="X127">
        <f>R127-V127</f>
        <v/>
      </c>
      <c r="Y127" s="42">
        <f>AC126</f>
        <v/>
      </c>
      <c r="Z127" s="42">
        <f>ROUND(Y127*Z$6/12,2)</f>
        <v/>
      </c>
      <c r="AA127" s="42">
        <f>MIN(AA$6,Y127+Z127)</f>
        <v/>
      </c>
      <c r="AB127" s="42">
        <f>MAX(0,MIN(Y127+Z127-AA127,X127))</f>
        <v/>
      </c>
      <c r="AC127" s="42">
        <f>ROUND(Y127+Z127-AA127-AB127,2)</f>
        <v/>
      </c>
      <c r="AD127">
        <f>X127-AB127</f>
        <v/>
      </c>
      <c r="AE127" s="42">
        <f>AI126</f>
        <v/>
      </c>
      <c r="AF127" s="42">
        <f>ROUND(AE127*AF$6/12,2)</f>
        <v/>
      </c>
      <c r="AG127" s="42">
        <f>MIN(AG$6,AE127+AF127)</f>
        <v/>
      </c>
      <c r="AH127" s="42">
        <f>MAX(0,MIN(AE127+AF127-AG127,AD127))</f>
        <v/>
      </c>
      <c r="AI127" s="42">
        <f>ROUND(AE127+AF127-AG127-AH127,2)</f>
        <v/>
      </c>
      <c r="AJ127">
        <f>AD127-AH127</f>
        <v/>
      </c>
      <c r="AK127" s="42">
        <f>AO126</f>
        <v/>
      </c>
      <c r="AL127" s="42">
        <f>ROUND(AK127*AL$6/12,2)</f>
        <v/>
      </c>
      <c r="AM127" s="42">
        <f>MIN(AM$6,AK127+AL127)</f>
        <v/>
      </c>
      <c r="AN127" s="42">
        <f>MAX(0,MIN(AK127+AL127-AM127,AJ127))</f>
        <v/>
      </c>
      <c r="AO127" s="42">
        <f>ROUND(AK127+AL127-AM127-AN127,2)</f>
        <v/>
      </c>
      <c r="AP127">
        <f>AJ127-AN127</f>
        <v/>
      </c>
      <c r="AQ127" s="42">
        <f>AU126</f>
        <v/>
      </c>
      <c r="AR127" s="42">
        <f>ROUND(AQ127*AR$6/12,2)</f>
        <v/>
      </c>
      <c r="AS127" s="42">
        <f>MIN(AS$6,AQ127+AR127)</f>
        <v/>
      </c>
      <c r="AT127" s="42">
        <f>MAX(0,MIN(AQ127+AR127-AS127,AP127))</f>
        <v/>
      </c>
      <c r="AU127" s="42">
        <f>ROUND(AQ127+AR127-AS127-AT127,2)</f>
        <v/>
      </c>
      <c r="AV127">
        <f>AP127-AT127</f>
        <v/>
      </c>
      <c r="AW127" s="42">
        <f>BA126</f>
        <v/>
      </c>
      <c r="AX127" s="42">
        <f>ROUND(AW127*AX$6/12,2)</f>
        <v/>
      </c>
      <c r="AY127" s="42">
        <f>MIN(AY$6,AW127+AX127)</f>
        <v/>
      </c>
      <c r="AZ127" s="42">
        <f>MAX(0,MIN(AW127+AX127-AY127,AV127))</f>
        <v/>
      </c>
      <c r="BA127" s="42">
        <f>ROUND(AW127+AX127-AY127-AZ127,2)</f>
        <v/>
      </c>
      <c r="BB127">
        <f>AV127-AZ127</f>
        <v/>
      </c>
      <c r="BC127" s="42">
        <f>BG126</f>
        <v/>
      </c>
      <c r="BD127" s="42">
        <f>ROUND(BC127*BD$6/12,2)</f>
        <v/>
      </c>
      <c r="BE127" s="42">
        <f>MIN(BE$6,BC127+BD127)</f>
        <v/>
      </c>
      <c r="BF127" s="42">
        <f>MAX(0,MIN(BC127+BD127-BE127,BB127))</f>
        <v/>
      </c>
      <c r="BG127" s="42">
        <f>ROUND(BC127+BD127-BE127-BF127,2)</f>
        <v/>
      </c>
      <c r="BH127">
        <f>BB127-BF127</f>
        <v/>
      </c>
      <c r="BI127" s="42">
        <f>BM126</f>
        <v/>
      </c>
      <c r="BJ127" s="42">
        <f>ROUND(BI127*BJ$6/12,2)</f>
        <v/>
      </c>
      <c r="BK127" s="42">
        <f>MIN(BK$6,BI127+BJ127)</f>
        <v/>
      </c>
      <c r="BL127" s="42">
        <f>MAX(0,MIN(BI127+BJ127-BK127,BH127))</f>
        <v/>
      </c>
      <c r="BM127" s="42">
        <f>ROUND(BI127+BJ127-BK127-BL127,2)</f>
        <v/>
      </c>
      <c r="BN127">
        <f>BH127-BL127</f>
        <v/>
      </c>
    </row>
    <row r="128">
      <c r="A128" s="39" t="n">
        <v>121</v>
      </c>
      <c r="B128" s="40">
        <f>EDATE('My Debts'!$C$6,A128-1)</f>
        <v/>
      </c>
      <c r="C128" s="41">
        <f>K128+Q128+W128+AC128+AI128+AO128+AU128+BA128+BG128+BM128</f>
        <v/>
      </c>
      <c r="D128" s="42">
        <f>I128+O128+U128+AA128+AG128+AM128+AS128+AY128+BE128+BK128+J128+P128+V128+AB128+AH128+AN128+AT128+AZ128+BF128+BL128</f>
        <v/>
      </c>
      <c r="E128" s="42">
        <f>H128+N128+T128+Z128+AF128+AL128+AR128+AX128+BD128+BJ128</f>
        <v/>
      </c>
      <c r="F128" t="n">
        <v>0</v>
      </c>
      <c r="G128" s="42">
        <f>K127</f>
        <v/>
      </c>
      <c r="H128" s="42">
        <f>ROUND(G128*H$6/12,2)</f>
        <v/>
      </c>
      <c r="I128" s="42">
        <f>MIN(I$6,G128+H128)</f>
        <v/>
      </c>
      <c r="J128" s="42">
        <f>MAX(0,MIN(G128+H128-I128,$F128))</f>
        <v/>
      </c>
      <c r="K128" s="42">
        <f>ROUND(G128+H128-I128-J128,2)</f>
        <v/>
      </c>
      <c r="L128">
        <f>$F128-J128</f>
        <v/>
      </c>
      <c r="M128" s="42">
        <f>Q127</f>
        <v/>
      </c>
      <c r="N128" s="42">
        <f>ROUND(M128*N$6/12,2)</f>
        <v/>
      </c>
      <c r="O128" s="42">
        <f>MIN(O$6,M128+N128)</f>
        <v/>
      </c>
      <c r="P128" s="42">
        <f>MAX(0,MIN(M128+N128-O128,L128))</f>
        <v/>
      </c>
      <c r="Q128" s="42">
        <f>ROUND(M128+N128-O128-P128,2)</f>
        <v/>
      </c>
      <c r="R128">
        <f>L128-P128</f>
        <v/>
      </c>
      <c r="S128" s="42">
        <f>W127</f>
        <v/>
      </c>
      <c r="T128" s="42">
        <f>ROUND(S128*T$6/12,2)</f>
        <v/>
      </c>
      <c r="U128" s="42">
        <f>MIN(U$6,S128+T128)</f>
        <v/>
      </c>
      <c r="V128" s="42">
        <f>MAX(0,MIN(S128+T128-U128,R128))</f>
        <v/>
      </c>
      <c r="W128" s="42">
        <f>ROUND(S128+T128-U128-V128,2)</f>
        <v/>
      </c>
      <c r="X128">
        <f>R128-V128</f>
        <v/>
      </c>
      <c r="Y128" s="42">
        <f>AC127</f>
        <v/>
      </c>
      <c r="Z128" s="42">
        <f>ROUND(Y128*Z$6/12,2)</f>
        <v/>
      </c>
      <c r="AA128" s="42">
        <f>MIN(AA$6,Y128+Z128)</f>
        <v/>
      </c>
      <c r="AB128" s="42">
        <f>MAX(0,MIN(Y128+Z128-AA128,X128))</f>
        <v/>
      </c>
      <c r="AC128" s="42">
        <f>ROUND(Y128+Z128-AA128-AB128,2)</f>
        <v/>
      </c>
      <c r="AD128">
        <f>X128-AB128</f>
        <v/>
      </c>
      <c r="AE128" s="42">
        <f>AI127</f>
        <v/>
      </c>
      <c r="AF128" s="42">
        <f>ROUND(AE128*AF$6/12,2)</f>
        <v/>
      </c>
      <c r="AG128" s="42">
        <f>MIN(AG$6,AE128+AF128)</f>
        <v/>
      </c>
      <c r="AH128" s="42">
        <f>MAX(0,MIN(AE128+AF128-AG128,AD128))</f>
        <v/>
      </c>
      <c r="AI128" s="42">
        <f>ROUND(AE128+AF128-AG128-AH128,2)</f>
        <v/>
      </c>
      <c r="AJ128">
        <f>AD128-AH128</f>
        <v/>
      </c>
      <c r="AK128" s="42">
        <f>AO127</f>
        <v/>
      </c>
      <c r="AL128" s="42">
        <f>ROUND(AK128*AL$6/12,2)</f>
        <v/>
      </c>
      <c r="AM128" s="42">
        <f>MIN(AM$6,AK128+AL128)</f>
        <v/>
      </c>
      <c r="AN128" s="42">
        <f>MAX(0,MIN(AK128+AL128-AM128,AJ128))</f>
        <v/>
      </c>
      <c r="AO128" s="42">
        <f>ROUND(AK128+AL128-AM128-AN128,2)</f>
        <v/>
      </c>
      <c r="AP128">
        <f>AJ128-AN128</f>
        <v/>
      </c>
      <c r="AQ128" s="42">
        <f>AU127</f>
        <v/>
      </c>
      <c r="AR128" s="42">
        <f>ROUND(AQ128*AR$6/12,2)</f>
        <v/>
      </c>
      <c r="AS128" s="42">
        <f>MIN(AS$6,AQ128+AR128)</f>
        <v/>
      </c>
      <c r="AT128" s="42">
        <f>MAX(0,MIN(AQ128+AR128-AS128,AP128))</f>
        <v/>
      </c>
      <c r="AU128" s="42">
        <f>ROUND(AQ128+AR128-AS128-AT128,2)</f>
        <v/>
      </c>
      <c r="AV128">
        <f>AP128-AT128</f>
        <v/>
      </c>
      <c r="AW128" s="42">
        <f>BA127</f>
        <v/>
      </c>
      <c r="AX128" s="42">
        <f>ROUND(AW128*AX$6/12,2)</f>
        <v/>
      </c>
      <c r="AY128" s="42">
        <f>MIN(AY$6,AW128+AX128)</f>
        <v/>
      </c>
      <c r="AZ128" s="42">
        <f>MAX(0,MIN(AW128+AX128-AY128,AV128))</f>
        <v/>
      </c>
      <c r="BA128" s="42">
        <f>ROUND(AW128+AX128-AY128-AZ128,2)</f>
        <v/>
      </c>
      <c r="BB128">
        <f>AV128-AZ128</f>
        <v/>
      </c>
      <c r="BC128" s="42">
        <f>BG127</f>
        <v/>
      </c>
      <c r="BD128" s="42">
        <f>ROUND(BC128*BD$6/12,2)</f>
        <v/>
      </c>
      <c r="BE128" s="42">
        <f>MIN(BE$6,BC128+BD128)</f>
        <v/>
      </c>
      <c r="BF128" s="42">
        <f>MAX(0,MIN(BC128+BD128-BE128,BB128))</f>
        <v/>
      </c>
      <c r="BG128" s="42">
        <f>ROUND(BC128+BD128-BE128-BF128,2)</f>
        <v/>
      </c>
      <c r="BH128">
        <f>BB128-BF128</f>
        <v/>
      </c>
      <c r="BI128" s="42">
        <f>BM127</f>
        <v/>
      </c>
      <c r="BJ128" s="42">
        <f>ROUND(BI128*BJ$6/12,2)</f>
        <v/>
      </c>
      <c r="BK128" s="42">
        <f>MIN(BK$6,BI128+BJ128)</f>
        <v/>
      </c>
      <c r="BL128" s="42">
        <f>MAX(0,MIN(BI128+BJ128-BK128,BH128))</f>
        <v/>
      </c>
      <c r="BM128" s="42">
        <f>ROUND(BI128+BJ128-BK128-BL128,2)</f>
        <v/>
      </c>
      <c r="BN128">
        <f>BH128-BL128</f>
        <v/>
      </c>
    </row>
    <row r="129">
      <c r="A129" s="43" t="n">
        <v>122</v>
      </c>
      <c r="B129" s="44">
        <f>EDATE('My Debts'!$C$6,A129-1)</f>
        <v/>
      </c>
      <c r="C129" s="45">
        <f>K129+Q129+W129+AC129+AI129+AO129+AU129+BA129+BG129+BM129</f>
        <v/>
      </c>
      <c r="D129" s="46">
        <f>I129+O129+U129+AA129+AG129+AM129+AS129+AY129+BE129+BK129+J129+P129+V129+AB129+AH129+AN129+AT129+AZ129+BF129+BL129</f>
        <v/>
      </c>
      <c r="E129" s="46">
        <f>H129+N129+T129+Z129+AF129+AL129+AR129+AX129+BD129+BJ129</f>
        <v/>
      </c>
      <c r="F129" t="n">
        <v>0</v>
      </c>
      <c r="G129" s="42">
        <f>K128</f>
        <v/>
      </c>
      <c r="H129" s="42">
        <f>ROUND(G129*H$6/12,2)</f>
        <v/>
      </c>
      <c r="I129" s="42">
        <f>MIN(I$6,G129+H129)</f>
        <v/>
      </c>
      <c r="J129" s="42">
        <f>MAX(0,MIN(G129+H129-I129,$F129))</f>
        <v/>
      </c>
      <c r="K129" s="42">
        <f>ROUND(G129+H129-I129-J129,2)</f>
        <v/>
      </c>
      <c r="L129">
        <f>$F129-J129</f>
        <v/>
      </c>
      <c r="M129" s="42">
        <f>Q128</f>
        <v/>
      </c>
      <c r="N129" s="42">
        <f>ROUND(M129*N$6/12,2)</f>
        <v/>
      </c>
      <c r="O129" s="42">
        <f>MIN(O$6,M129+N129)</f>
        <v/>
      </c>
      <c r="P129" s="42">
        <f>MAX(0,MIN(M129+N129-O129,L129))</f>
        <v/>
      </c>
      <c r="Q129" s="42">
        <f>ROUND(M129+N129-O129-P129,2)</f>
        <v/>
      </c>
      <c r="R129">
        <f>L129-P129</f>
        <v/>
      </c>
      <c r="S129" s="42">
        <f>W128</f>
        <v/>
      </c>
      <c r="T129" s="42">
        <f>ROUND(S129*T$6/12,2)</f>
        <v/>
      </c>
      <c r="U129" s="42">
        <f>MIN(U$6,S129+T129)</f>
        <v/>
      </c>
      <c r="V129" s="42">
        <f>MAX(0,MIN(S129+T129-U129,R129))</f>
        <v/>
      </c>
      <c r="W129" s="42">
        <f>ROUND(S129+T129-U129-V129,2)</f>
        <v/>
      </c>
      <c r="X129">
        <f>R129-V129</f>
        <v/>
      </c>
      <c r="Y129" s="42">
        <f>AC128</f>
        <v/>
      </c>
      <c r="Z129" s="42">
        <f>ROUND(Y129*Z$6/12,2)</f>
        <v/>
      </c>
      <c r="AA129" s="42">
        <f>MIN(AA$6,Y129+Z129)</f>
        <v/>
      </c>
      <c r="AB129" s="42">
        <f>MAX(0,MIN(Y129+Z129-AA129,X129))</f>
        <v/>
      </c>
      <c r="AC129" s="42">
        <f>ROUND(Y129+Z129-AA129-AB129,2)</f>
        <v/>
      </c>
      <c r="AD129">
        <f>X129-AB129</f>
        <v/>
      </c>
      <c r="AE129" s="42">
        <f>AI128</f>
        <v/>
      </c>
      <c r="AF129" s="42">
        <f>ROUND(AE129*AF$6/12,2)</f>
        <v/>
      </c>
      <c r="AG129" s="42">
        <f>MIN(AG$6,AE129+AF129)</f>
        <v/>
      </c>
      <c r="AH129" s="42">
        <f>MAX(0,MIN(AE129+AF129-AG129,AD129))</f>
        <v/>
      </c>
      <c r="AI129" s="42">
        <f>ROUND(AE129+AF129-AG129-AH129,2)</f>
        <v/>
      </c>
      <c r="AJ129">
        <f>AD129-AH129</f>
        <v/>
      </c>
      <c r="AK129" s="42">
        <f>AO128</f>
        <v/>
      </c>
      <c r="AL129" s="42">
        <f>ROUND(AK129*AL$6/12,2)</f>
        <v/>
      </c>
      <c r="AM129" s="42">
        <f>MIN(AM$6,AK129+AL129)</f>
        <v/>
      </c>
      <c r="AN129" s="42">
        <f>MAX(0,MIN(AK129+AL129-AM129,AJ129))</f>
        <v/>
      </c>
      <c r="AO129" s="42">
        <f>ROUND(AK129+AL129-AM129-AN129,2)</f>
        <v/>
      </c>
      <c r="AP129">
        <f>AJ129-AN129</f>
        <v/>
      </c>
      <c r="AQ129" s="42">
        <f>AU128</f>
        <v/>
      </c>
      <c r="AR129" s="42">
        <f>ROUND(AQ129*AR$6/12,2)</f>
        <v/>
      </c>
      <c r="AS129" s="42">
        <f>MIN(AS$6,AQ129+AR129)</f>
        <v/>
      </c>
      <c r="AT129" s="42">
        <f>MAX(0,MIN(AQ129+AR129-AS129,AP129))</f>
        <v/>
      </c>
      <c r="AU129" s="42">
        <f>ROUND(AQ129+AR129-AS129-AT129,2)</f>
        <v/>
      </c>
      <c r="AV129">
        <f>AP129-AT129</f>
        <v/>
      </c>
      <c r="AW129" s="42">
        <f>BA128</f>
        <v/>
      </c>
      <c r="AX129" s="42">
        <f>ROUND(AW129*AX$6/12,2)</f>
        <v/>
      </c>
      <c r="AY129" s="42">
        <f>MIN(AY$6,AW129+AX129)</f>
        <v/>
      </c>
      <c r="AZ129" s="42">
        <f>MAX(0,MIN(AW129+AX129-AY129,AV129))</f>
        <v/>
      </c>
      <c r="BA129" s="42">
        <f>ROUND(AW129+AX129-AY129-AZ129,2)</f>
        <v/>
      </c>
      <c r="BB129">
        <f>AV129-AZ129</f>
        <v/>
      </c>
      <c r="BC129" s="42">
        <f>BG128</f>
        <v/>
      </c>
      <c r="BD129" s="42">
        <f>ROUND(BC129*BD$6/12,2)</f>
        <v/>
      </c>
      <c r="BE129" s="42">
        <f>MIN(BE$6,BC129+BD129)</f>
        <v/>
      </c>
      <c r="BF129" s="42">
        <f>MAX(0,MIN(BC129+BD129-BE129,BB129))</f>
        <v/>
      </c>
      <c r="BG129" s="42">
        <f>ROUND(BC129+BD129-BE129-BF129,2)</f>
        <v/>
      </c>
      <c r="BH129">
        <f>BB129-BF129</f>
        <v/>
      </c>
      <c r="BI129" s="42">
        <f>BM128</f>
        <v/>
      </c>
      <c r="BJ129" s="42">
        <f>ROUND(BI129*BJ$6/12,2)</f>
        <v/>
      </c>
      <c r="BK129" s="42">
        <f>MIN(BK$6,BI129+BJ129)</f>
        <v/>
      </c>
      <c r="BL129" s="42">
        <f>MAX(0,MIN(BI129+BJ129-BK129,BH129))</f>
        <v/>
      </c>
      <c r="BM129" s="42">
        <f>ROUND(BI129+BJ129-BK129-BL129,2)</f>
        <v/>
      </c>
      <c r="BN129">
        <f>BH129-BL129</f>
        <v/>
      </c>
    </row>
    <row r="130">
      <c r="A130" s="39" t="n">
        <v>123</v>
      </c>
      <c r="B130" s="40">
        <f>EDATE('My Debts'!$C$6,A130-1)</f>
        <v/>
      </c>
      <c r="C130" s="41">
        <f>K130+Q130+W130+AC130+AI130+AO130+AU130+BA130+BG130+BM130</f>
        <v/>
      </c>
      <c r="D130" s="42">
        <f>I130+O130+U130+AA130+AG130+AM130+AS130+AY130+BE130+BK130+J130+P130+V130+AB130+AH130+AN130+AT130+AZ130+BF130+BL130</f>
        <v/>
      </c>
      <c r="E130" s="42">
        <f>H130+N130+T130+Z130+AF130+AL130+AR130+AX130+BD130+BJ130</f>
        <v/>
      </c>
      <c r="F130" t="n">
        <v>0</v>
      </c>
      <c r="G130" s="42">
        <f>K129</f>
        <v/>
      </c>
      <c r="H130" s="42">
        <f>ROUND(G130*H$6/12,2)</f>
        <v/>
      </c>
      <c r="I130" s="42">
        <f>MIN(I$6,G130+H130)</f>
        <v/>
      </c>
      <c r="J130" s="42">
        <f>MAX(0,MIN(G130+H130-I130,$F130))</f>
        <v/>
      </c>
      <c r="K130" s="42">
        <f>ROUND(G130+H130-I130-J130,2)</f>
        <v/>
      </c>
      <c r="L130">
        <f>$F130-J130</f>
        <v/>
      </c>
      <c r="M130" s="42">
        <f>Q129</f>
        <v/>
      </c>
      <c r="N130" s="42">
        <f>ROUND(M130*N$6/12,2)</f>
        <v/>
      </c>
      <c r="O130" s="42">
        <f>MIN(O$6,M130+N130)</f>
        <v/>
      </c>
      <c r="P130" s="42">
        <f>MAX(0,MIN(M130+N130-O130,L130))</f>
        <v/>
      </c>
      <c r="Q130" s="42">
        <f>ROUND(M130+N130-O130-P130,2)</f>
        <v/>
      </c>
      <c r="R130">
        <f>L130-P130</f>
        <v/>
      </c>
      <c r="S130" s="42">
        <f>W129</f>
        <v/>
      </c>
      <c r="T130" s="42">
        <f>ROUND(S130*T$6/12,2)</f>
        <v/>
      </c>
      <c r="U130" s="42">
        <f>MIN(U$6,S130+T130)</f>
        <v/>
      </c>
      <c r="V130" s="42">
        <f>MAX(0,MIN(S130+T130-U130,R130))</f>
        <v/>
      </c>
      <c r="W130" s="42">
        <f>ROUND(S130+T130-U130-V130,2)</f>
        <v/>
      </c>
      <c r="X130">
        <f>R130-V130</f>
        <v/>
      </c>
      <c r="Y130" s="42">
        <f>AC129</f>
        <v/>
      </c>
      <c r="Z130" s="42">
        <f>ROUND(Y130*Z$6/12,2)</f>
        <v/>
      </c>
      <c r="AA130" s="42">
        <f>MIN(AA$6,Y130+Z130)</f>
        <v/>
      </c>
      <c r="AB130" s="42">
        <f>MAX(0,MIN(Y130+Z130-AA130,X130))</f>
        <v/>
      </c>
      <c r="AC130" s="42">
        <f>ROUND(Y130+Z130-AA130-AB130,2)</f>
        <v/>
      </c>
      <c r="AD130">
        <f>X130-AB130</f>
        <v/>
      </c>
      <c r="AE130" s="42">
        <f>AI129</f>
        <v/>
      </c>
      <c r="AF130" s="42">
        <f>ROUND(AE130*AF$6/12,2)</f>
        <v/>
      </c>
      <c r="AG130" s="42">
        <f>MIN(AG$6,AE130+AF130)</f>
        <v/>
      </c>
      <c r="AH130" s="42">
        <f>MAX(0,MIN(AE130+AF130-AG130,AD130))</f>
        <v/>
      </c>
      <c r="AI130" s="42">
        <f>ROUND(AE130+AF130-AG130-AH130,2)</f>
        <v/>
      </c>
      <c r="AJ130">
        <f>AD130-AH130</f>
        <v/>
      </c>
      <c r="AK130" s="42">
        <f>AO129</f>
        <v/>
      </c>
      <c r="AL130" s="42">
        <f>ROUND(AK130*AL$6/12,2)</f>
        <v/>
      </c>
      <c r="AM130" s="42">
        <f>MIN(AM$6,AK130+AL130)</f>
        <v/>
      </c>
      <c r="AN130" s="42">
        <f>MAX(0,MIN(AK130+AL130-AM130,AJ130))</f>
        <v/>
      </c>
      <c r="AO130" s="42">
        <f>ROUND(AK130+AL130-AM130-AN130,2)</f>
        <v/>
      </c>
      <c r="AP130">
        <f>AJ130-AN130</f>
        <v/>
      </c>
      <c r="AQ130" s="42">
        <f>AU129</f>
        <v/>
      </c>
      <c r="AR130" s="42">
        <f>ROUND(AQ130*AR$6/12,2)</f>
        <v/>
      </c>
      <c r="AS130" s="42">
        <f>MIN(AS$6,AQ130+AR130)</f>
        <v/>
      </c>
      <c r="AT130" s="42">
        <f>MAX(0,MIN(AQ130+AR130-AS130,AP130))</f>
        <v/>
      </c>
      <c r="AU130" s="42">
        <f>ROUND(AQ130+AR130-AS130-AT130,2)</f>
        <v/>
      </c>
      <c r="AV130">
        <f>AP130-AT130</f>
        <v/>
      </c>
      <c r="AW130" s="42">
        <f>BA129</f>
        <v/>
      </c>
      <c r="AX130" s="42">
        <f>ROUND(AW130*AX$6/12,2)</f>
        <v/>
      </c>
      <c r="AY130" s="42">
        <f>MIN(AY$6,AW130+AX130)</f>
        <v/>
      </c>
      <c r="AZ130" s="42">
        <f>MAX(0,MIN(AW130+AX130-AY130,AV130))</f>
        <v/>
      </c>
      <c r="BA130" s="42">
        <f>ROUND(AW130+AX130-AY130-AZ130,2)</f>
        <v/>
      </c>
      <c r="BB130">
        <f>AV130-AZ130</f>
        <v/>
      </c>
      <c r="BC130" s="42">
        <f>BG129</f>
        <v/>
      </c>
      <c r="BD130" s="42">
        <f>ROUND(BC130*BD$6/12,2)</f>
        <v/>
      </c>
      <c r="BE130" s="42">
        <f>MIN(BE$6,BC130+BD130)</f>
        <v/>
      </c>
      <c r="BF130" s="42">
        <f>MAX(0,MIN(BC130+BD130-BE130,BB130))</f>
        <v/>
      </c>
      <c r="BG130" s="42">
        <f>ROUND(BC130+BD130-BE130-BF130,2)</f>
        <v/>
      </c>
      <c r="BH130">
        <f>BB130-BF130</f>
        <v/>
      </c>
      <c r="BI130" s="42">
        <f>BM129</f>
        <v/>
      </c>
      <c r="BJ130" s="42">
        <f>ROUND(BI130*BJ$6/12,2)</f>
        <v/>
      </c>
      <c r="BK130" s="42">
        <f>MIN(BK$6,BI130+BJ130)</f>
        <v/>
      </c>
      <c r="BL130" s="42">
        <f>MAX(0,MIN(BI130+BJ130-BK130,BH130))</f>
        <v/>
      </c>
      <c r="BM130" s="42">
        <f>ROUND(BI130+BJ130-BK130-BL130,2)</f>
        <v/>
      </c>
      <c r="BN130">
        <f>BH130-BL130</f>
        <v/>
      </c>
    </row>
    <row r="131">
      <c r="A131" s="43" t="n">
        <v>124</v>
      </c>
      <c r="B131" s="44">
        <f>EDATE('My Debts'!$C$6,A131-1)</f>
        <v/>
      </c>
      <c r="C131" s="45">
        <f>K131+Q131+W131+AC131+AI131+AO131+AU131+BA131+BG131+BM131</f>
        <v/>
      </c>
      <c r="D131" s="46">
        <f>I131+O131+U131+AA131+AG131+AM131+AS131+AY131+BE131+BK131+J131+P131+V131+AB131+AH131+AN131+AT131+AZ131+BF131+BL131</f>
        <v/>
      </c>
      <c r="E131" s="46">
        <f>H131+N131+T131+Z131+AF131+AL131+AR131+AX131+BD131+BJ131</f>
        <v/>
      </c>
      <c r="F131" t="n">
        <v>0</v>
      </c>
      <c r="G131" s="42">
        <f>K130</f>
        <v/>
      </c>
      <c r="H131" s="42">
        <f>ROUND(G131*H$6/12,2)</f>
        <v/>
      </c>
      <c r="I131" s="42">
        <f>MIN(I$6,G131+H131)</f>
        <v/>
      </c>
      <c r="J131" s="42">
        <f>MAX(0,MIN(G131+H131-I131,$F131))</f>
        <v/>
      </c>
      <c r="K131" s="42">
        <f>ROUND(G131+H131-I131-J131,2)</f>
        <v/>
      </c>
      <c r="L131">
        <f>$F131-J131</f>
        <v/>
      </c>
      <c r="M131" s="42">
        <f>Q130</f>
        <v/>
      </c>
      <c r="N131" s="42">
        <f>ROUND(M131*N$6/12,2)</f>
        <v/>
      </c>
      <c r="O131" s="42">
        <f>MIN(O$6,M131+N131)</f>
        <v/>
      </c>
      <c r="P131" s="42">
        <f>MAX(0,MIN(M131+N131-O131,L131))</f>
        <v/>
      </c>
      <c r="Q131" s="42">
        <f>ROUND(M131+N131-O131-P131,2)</f>
        <v/>
      </c>
      <c r="R131">
        <f>L131-P131</f>
        <v/>
      </c>
      <c r="S131" s="42">
        <f>W130</f>
        <v/>
      </c>
      <c r="T131" s="42">
        <f>ROUND(S131*T$6/12,2)</f>
        <v/>
      </c>
      <c r="U131" s="42">
        <f>MIN(U$6,S131+T131)</f>
        <v/>
      </c>
      <c r="V131" s="42">
        <f>MAX(0,MIN(S131+T131-U131,R131))</f>
        <v/>
      </c>
      <c r="W131" s="42">
        <f>ROUND(S131+T131-U131-V131,2)</f>
        <v/>
      </c>
      <c r="X131">
        <f>R131-V131</f>
        <v/>
      </c>
      <c r="Y131" s="42">
        <f>AC130</f>
        <v/>
      </c>
      <c r="Z131" s="42">
        <f>ROUND(Y131*Z$6/12,2)</f>
        <v/>
      </c>
      <c r="AA131" s="42">
        <f>MIN(AA$6,Y131+Z131)</f>
        <v/>
      </c>
      <c r="AB131" s="42">
        <f>MAX(0,MIN(Y131+Z131-AA131,X131))</f>
        <v/>
      </c>
      <c r="AC131" s="42">
        <f>ROUND(Y131+Z131-AA131-AB131,2)</f>
        <v/>
      </c>
      <c r="AD131">
        <f>X131-AB131</f>
        <v/>
      </c>
      <c r="AE131" s="42">
        <f>AI130</f>
        <v/>
      </c>
      <c r="AF131" s="42">
        <f>ROUND(AE131*AF$6/12,2)</f>
        <v/>
      </c>
      <c r="AG131" s="42">
        <f>MIN(AG$6,AE131+AF131)</f>
        <v/>
      </c>
      <c r="AH131" s="42">
        <f>MAX(0,MIN(AE131+AF131-AG131,AD131))</f>
        <v/>
      </c>
      <c r="AI131" s="42">
        <f>ROUND(AE131+AF131-AG131-AH131,2)</f>
        <v/>
      </c>
      <c r="AJ131">
        <f>AD131-AH131</f>
        <v/>
      </c>
      <c r="AK131" s="42">
        <f>AO130</f>
        <v/>
      </c>
      <c r="AL131" s="42">
        <f>ROUND(AK131*AL$6/12,2)</f>
        <v/>
      </c>
      <c r="AM131" s="42">
        <f>MIN(AM$6,AK131+AL131)</f>
        <v/>
      </c>
      <c r="AN131" s="42">
        <f>MAX(0,MIN(AK131+AL131-AM131,AJ131))</f>
        <v/>
      </c>
      <c r="AO131" s="42">
        <f>ROUND(AK131+AL131-AM131-AN131,2)</f>
        <v/>
      </c>
      <c r="AP131">
        <f>AJ131-AN131</f>
        <v/>
      </c>
      <c r="AQ131" s="42">
        <f>AU130</f>
        <v/>
      </c>
      <c r="AR131" s="42">
        <f>ROUND(AQ131*AR$6/12,2)</f>
        <v/>
      </c>
      <c r="AS131" s="42">
        <f>MIN(AS$6,AQ131+AR131)</f>
        <v/>
      </c>
      <c r="AT131" s="42">
        <f>MAX(0,MIN(AQ131+AR131-AS131,AP131))</f>
        <v/>
      </c>
      <c r="AU131" s="42">
        <f>ROUND(AQ131+AR131-AS131-AT131,2)</f>
        <v/>
      </c>
      <c r="AV131">
        <f>AP131-AT131</f>
        <v/>
      </c>
      <c r="AW131" s="42">
        <f>BA130</f>
        <v/>
      </c>
      <c r="AX131" s="42">
        <f>ROUND(AW131*AX$6/12,2)</f>
        <v/>
      </c>
      <c r="AY131" s="42">
        <f>MIN(AY$6,AW131+AX131)</f>
        <v/>
      </c>
      <c r="AZ131" s="42">
        <f>MAX(0,MIN(AW131+AX131-AY131,AV131))</f>
        <v/>
      </c>
      <c r="BA131" s="42">
        <f>ROUND(AW131+AX131-AY131-AZ131,2)</f>
        <v/>
      </c>
      <c r="BB131">
        <f>AV131-AZ131</f>
        <v/>
      </c>
      <c r="BC131" s="42">
        <f>BG130</f>
        <v/>
      </c>
      <c r="BD131" s="42">
        <f>ROUND(BC131*BD$6/12,2)</f>
        <v/>
      </c>
      <c r="BE131" s="42">
        <f>MIN(BE$6,BC131+BD131)</f>
        <v/>
      </c>
      <c r="BF131" s="42">
        <f>MAX(0,MIN(BC131+BD131-BE131,BB131))</f>
        <v/>
      </c>
      <c r="BG131" s="42">
        <f>ROUND(BC131+BD131-BE131-BF131,2)</f>
        <v/>
      </c>
      <c r="BH131">
        <f>BB131-BF131</f>
        <v/>
      </c>
      <c r="BI131" s="42">
        <f>BM130</f>
        <v/>
      </c>
      <c r="BJ131" s="42">
        <f>ROUND(BI131*BJ$6/12,2)</f>
        <v/>
      </c>
      <c r="BK131" s="42">
        <f>MIN(BK$6,BI131+BJ131)</f>
        <v/>
      </c>
      <c r="BL131" s="42">
        <f>MAX(0,MIN(BI131+BJ131-BK131,BH131))</f>
        <v/>
      </c>
      <c r="BM131" s="42">
        <f>ROUND(BI131+BJ131-BK131-BL131,2)</f>
        <v/>
      </c>
      <c r="BN131">
        <f>BH131-BL131</f>
        <v/>
      </c>
    </row>
    <row r="132">
      <c r="A132" s="39" t="n">
        <v>125</v>
      </c>
      <c r="B132" s="40">
        <f>EDATE('My Debts'!$C$6,A132-1)</f>
        <v/>
      </c>
      <c r="C132" s="41">
        <f>K132+Q132+W132+AC132+AI132+AO132+AU132+BA132+BG132+BM132</f>
        <v/>
      </c>
      <c r="D132" s="42">
        <f>I132+O132+U132+AA132+AG132+AM132+AS132+AY132+BE132+BK132+J132+P132+V132+AB132+AH132+AN132+AT132+AZ132+BF132+BL132</f>
        <v/>
      </c>
      <c r="E132" s="42">
        <f>H132+N132+T132+Z132+AF132+AL132+AR132+AX132+BD132+BJ132</f>
        <v/>
      </c>
      <c r="F132" t="n">
        <v>0</v>
      </c>
      <c r="G132" s="42">
        <f>K131</f>
        <v/>
      </c>
      <c r="H132" s="42">
        <f>ROUND(G132*H$6/12,2)</f>
        <v/>
      </c>
      <c r="I132" s="42">
        <f>MIN(I$6,G132+H132)</f>
        <v/>
      </c>
      <c r="J132" s="42">
        <f>MAX(0,MIN(G132+H132-I132,$F132))</f>
        <v/>
      </c>
      <c r="K132" s="42">
        <f>ROUND(G132+H132-I132-J132,2)</f>
        <v/>
      </c>
      <c r="L132">
        <f>$F132-J132</f>
        <v/>
      </c>
      <c r="M132" s="42">
        <f>Q131</f>
        <v/>
      </c>
      <c r="N132" s="42">
        <f>ROUND(M132*N$6/12,2)</f>
        <v/>
      </c>
      <c r="O132" s="42">
        <f>MIN(O$6,M132+N132)</f>
        <v/>
      </c>
      <c r="P132" s="42">
        <f>MAX(0,MIN(M132+N132-O132,L132))</f>
        <v/>
      </c>
      <c r="Q132" s="42">
        <f>ROUND(M132+N132-O132-P132,2)</f>
        <v/>
      </c>
      <c r="R132">
        <f>L132-P132</f>
        <v/>
      </c>
      <c r="S132" s="42">
        <f>W131</f>
        <v/>
      </c>
      <c r="T132" s="42">
        <f>ROUND(S132*T$6/12,2)</f>
        <v/>
      </c>
      <c r="U132" s="42">
        <f>MIN(U$6,S132+T132)</f>
        <v/>
      </c>
      <c r="V132" s="42">
        <f>MAX(0,MIN(S132+T132-U132,R132))</f>
        <v/>
      </c>
      <c r="W132" s="42">
        <f>ROUND(S132+T132-U132-V132,2)</f>
        <v/>
      </c>
      <c r="X132">
        <f>R132-V132</f>
        <v/>
      </c>
      <c r="Y132" s="42">
        <f>AC131</f>
        <v/>
      </c>
      <c r="Z132" s="42">
        <f>ROUND(Y132*Z$6/12,2)</f>
        <v/>
      </c>
      <c r="AA132" s="42">
        <f>MIN(AA$6,Y132+Z132)</f>
        <v/>
      </c>
      <c r="AB132" s="42">
        <f>MAX(0,MIN(Y132+Z132-AA132,X132))</f>
        <v/>
      </c>
      <c r="AC132" s="42">
        <f>ROUND(Y132+Z132-AA132-AB132,2)</f>
        <v/>
      </c>
      <c r="AD132">
        <f>X132-AB132</f>
        <v/>
      </c>
      <c r="AE132" s="42">
        <f>AI131</f>
        <v/>
      </c>
      <c r="AF132" s="42">
        <f>ROUND(AE132*AF$6/12,2)</f>
        <v/>
      </c>
      <c r="AG132" s="42">
        <f>MIN(AG$6,AE132+AF132)</f>
        <v/>
      </c>
      <c r="AH132" s="42">
        <f>MAX(0,MIN(AE132+AF132-AG132,AD132))</f>
        <v/>
      </c>
      <c r="AI132" s="42">
        <f>ROUND(AE132+AF132-AG132-AH132,2)</f>
        <v/>
      </c>
      <c r="AJ132">
        <f>AD132-AH132</f>
        <v/>
      </c>
      <c r="AK132" s="42">
        <f>AO131</f>
        <v/>
      </c>
      <c r="AL132" s="42">
        <f>ROUND(AK132*AL$6/12,2)</f>
        <v/>
      </c>
      <c r="AM132" s="42">
        <f>MIN(AM$6,AK132+AL132)</f>
        <v/>
      </c>
      <c r="AN132" s="42">
        <f>MAX(0,MIN(AK132+AL132-AM132,AJ132))</f>
        <v/>
      </c>
      <c r="AO132" s="42">
        <f>ROUND(AK132+AL132-AM132-AN132,2)</f>
        <v/>
      </c>
      <c r="AP132">
        <f>AJ132-AN132</f>
        <v/>
      </c>
      <c r="AQ132" s="42">
        <f>AU131</f>
        <v/>
      </c>
      <c r="AR132" s="42">
        <f>ROUND(AQ132*AR$6/12,2)</f>
        <v/>
      </c>
      <c r="AS132" s="42">
        <f>MIN(AS$6,AQ132+AR132)</f>
        <v/>
      </c>
      <c r="AT132" s="42">
        <f>MAX(0,MIN(AQ132+AR132-AS132,AP132))</f>
        <v/>
      </c>
      <c r="AU132" s="42">
        <f>ROUND(AQ132+AR132-AS132-AT132,2)</f>
        <v/>
      </c>
      <c r="AV132">
        <f>AP132-AT132</f>
        <v/>
      </c>
      <c r="AW132" s="42">
        <f>BA131</f>
        <v/>
      </c>
      <c r="AX132" s="42">
        <f>ROUND(AW132*AX$6/12,2)</f>
        <v/>
      </c>
      <c r="AY132" s="42">
        <f>MIN(AY$6,AW132+AX132)</f>
        <v/>
      </c>
      <c r="AZ132" s="42">
        <f>MAX(0,MIN(AW132+AX132-AY132,AV132))</f>
        <v/>
      </c>
      <c r="BA132" s="42">
        <f>ROUND(AW132+AX132-AY132-AZ132,2)</f>
        <v/>
      </c>
      <c r="BB132">
        <f>AV132-AZ132</f>
        <v/>
      </c>
      <c r="BC132" s="42">
        <f>BG131</f>
        <v/>
      </c>
      <c r="BD132" s="42">
        <f>ROUND(BC132*BD$6/12,2)</f>
        <v/>
      </c>
      <c r="BE132" s="42">
        <f>MIN(BE$6,BC132+BD132)</f>
        <v/>
      </c>
      <c r="BF132" s="42">
        <f>MAX(0,MIN(BC132+BD132-BE132,BB132))</f>
        <v/>
      </c>
      <c r="BG132" s="42">
        <f>ROUND(BC132+BD132-BE132-BF132,2)</f>
        <v/>
      </c>
      <c r="BH132">
        <f>BB132-BF132</f>
        <v/>
      </c>
      <c r="BI132" s="42">
        <f>BM131</f>
        <v/>
      </c>
      <c r="BJ132" s="42">
        <f>ROUND(BI132*BJ$6/12,2)</f>
        <v/>
      </c>
      <c r="BK132" s="42">
        <f>MIN(BK$6,BI132+BJ132)</f>
        <v/>
      </c>
      <c r="BL132" s="42">
        <f>MAX(0,MIN(BI132+BJ132-BK132,BH132))</f>
        <v/>
      </c>
      <c r="BM132" s="42">
        <f>ROUND(BI132+BJ132-BK132-BL132,2)</f>
        <v/>
      </c>
      <c r="BN132">
        <f>BH132-BL132</f>
        <v/>
      </c>
    </row>
    <row r="133">
      <c r="A133" s="43" t="n">
        <v>126</v>
      </c>
      <c r="B133" s="44">
        <f>EDATE('My Debts'!$C$6,A133-1)</f>
        <v/>
      </c>
      <c r="C133" s="45">
        <f>K133+Q133+W133+AC133+AI133+AO133+AU133+BA133+BG133+BM133</f>
        <v/>
      </c>
      <c r="D133" s="46">
        <f>I133+O133+U133+AA133+AG133+AM133+AS133+AY133+BE133+BK133+J133+P133+V133+AB133+AH133+AN133+AT133+AZ133+BF133+BL133</f>
        <v/>
      </c>
      <c r="E133" s="46">
        <f>H133+N133+T133+Z133+AF133+AL133+AR133+AX133+BD133+BJ133</f>
        <v/>
      </c>
      <c r="F133" t="n">
        <v>0</v>
      </c>
      <c r="G133" s="42">
        <f>K132</f>
        <v/>
      </c>
      <c r="H133" s="42">
        <f>ROUND(G133*H$6/12,2)</f>
        <v/>
      </c>
      <c r="I133" s="42">
        <f>MIN(I$6,G133+H133)</f>
        <v/>
      </c>
      <c r="J133" s="42">
        <f>MAX(0,MIN(G133+H133-I133,$F133))</f>
        <v/>
      </c>
      <c r="K133" s="42">
        <f>ROUND(G133+H133-I133-J133,2)</f>
        <v/>
      </c>
      <c r="L133">
        <f>$F133-J133</f>
        <v/>
      </c>
      <c r="M133" s="42">
        <f>Q132</f>
        <v/>
      </c>
      <c r="N133" s="42">
        <f>ROUND(M133*N$6/12,2)</f>
        <v/>
      </c>
      <c r="O133" s="42">
        <f>MIN(O$6,M133+N133)</f>
        <v/>
      </c>
      <c r="P133" s="42">
        <f>MAX(0,MIN(M133+N133-O133,L133))</f>
        <v/>
      </c>
      <c r="Q133" s="42">
        <f>ROUND(M133+N133-O133-P133,2)</f>
        <v/>
      </c>
      <c r="R133">
        <f>L133-P133</f>
        <v/>
      </c>
      <c r="S133" s="42">
        <f>W132</f>
        <v/>
      </c>
      <c r="T133" s="42">
        <f>ROUND(S133*T$6/12,2)</f>
        <v/>
      </c>
      <c r="U133" s="42">
        <f>MIN(U$6,S133+T133)</f>
        <v/>
      </c>
      <c r="V133" s="42">
        <f>MAX(0,MIN(S133+T133-U133,R133))</f>
        <v/>
      </c>
      <c r="W133" s="42">
        <f>ROUND(S133+T133-U133-V133,2)</f>
        <v/>
      </c>
      <c r="X133">
        <f>R133-V133</f>
        <v/>
      </c>
      <c r="Y133" s="42">
        <f>AC132</f>
        <v/>
      </c>
      <c r="Z133" s="42">
        <f>ROUND(Y133*Z$6/12,2)</f>
        <v/>
      </c>
      <c r="AA133" s="42">
        <f>MIN(AA$6,Y133+Z133)</f>
        <v/>
      </c>
      <c r="AB133" s="42">
        <f>MAX(0,MIN(Y133+Z133-AA133,X133))</f>
        <v/>
      </c>
      <c r="AC133" s="42">
        <f>ROUND(Y133+Z133-AA133-AB133,2)</f>
        <v/>
      </c>
      <c r="AD133">
        <f>X133-AB133</f>
        <v/>
      </c>
      <c r="AE133" s="42">
        <f>AI132</f>
        <v/>
      </c>
      <c r="AF133" s="42">
        <f>ROUND(AE133*AF$6/12,2)</f>
        <v/>
      </c>
      <c r="AG133" s="42">
        <f>MIN(AG$6,AE133+AF133)</f>
        <v/>
      </c>
      <c r="AH133" s="42">
        <f>MAX(0,MIN(AE133+AF133-AG133,AD133))</f>
        <v/>
      </c>
      <c r="AI133" s="42">
        <f>ROUND(AE133+AF133-AG133-AH133,2)</f>
        <v/>
      </c>
      <c r="AJ133">
        <f>AD133-AH133</f>
        <v/>
      </c>
      <c r="AK133" s="42">
        <f>AO132</f>
        <v/>
      </c>
      <c r="AL133" s="42">
        <f>ROUND(AK133*AL$6/12,2)</f>
        <v/>
      </c>
      <c r="AM133" s="42">
        <f>MIN(AM$6,AK133+AL133)</f>
        <v/>
      </c>
      <c r="AN133" s="42">
        <f>MAX(0,MIN(AK133+AL133-AM133,AJ133))</f>
        <v/>
      </c>
      <c r="AO133" s="42">
        <f>ROUND(AK133+AL133-AM133-AN133,2)</f>
        <v/>
      </c>
      <c r="AP133">
        <f>AJ133-AN133</f>
        <v/>
      </c>
      <c r="AQ133" s="42">
        <f>AU132</f>
        <v/>
      </c>
      <c r="AR133" s="42">
        <f>ROUND(AQ133*AR$6/12,2)</f>
        <v/>
      </c>
      <c r="AS133" s="42">
        <f>MIN(AS$6,AQ133+AR133)</f>
        <v/>
      </c>
      <c r="AT133" s="42">
        <f>MAX(0,MIN(AQ133+AR133-AS133,AP133))</f>
        <v/>
      </c>
      <c r="AU133" s="42">
        <f>ROUND(AQ133+AR133-AS133-AT133,2)</f>
        <v/>
      </c>
      <c r="AV133">
        <f>AP133-AT133</f>
        <v/>
      </c>
      <c r="AW133" s="42">
        <f>BA132</f>
        <v/>
      </c>
      <c r="AX133" s="42">
        <f>ROUND(AW133*AX$6/12,2)</f>
        <v/>
      </c>
      <c r="AY133" s="42">
        <f>MIN(AY$6,AW133+AX133)</f>
        <v/>
      </c>
      <c r="AZ133" s="42">
        <f>MAX(0,MIN(AW133+AX133-AY133,AV133))</f>
        <v/>
      </c>
      <c r="BA133" s="42">
        <f>ROUND(AW133+AX133-AY133-AZ133,2)</f>
        <v/>
      </c>
      <c r="BB133">
        <f>AV133-AZ133</f>
        <v/>
      </c>
      <c r="BC133" s="42">
        <f>BG132</f>
        <v/>
      </c>
      <c r="BD133" s="42">
        <f>ROUND(BC133*BD$6/12,2)</f>
        <v/>
      </c>
      <c r="BE133" s="42">
        <f>MIN(BE$6,BC133+BD133)</f>
        <v/>
      </c>
      <c r="BF133" s="42">
        <f>MAX(0,MIN(BC133+BD133-BE133,BB133))</f>
        <v/>
      </c>
      <c r="BG133" s="42">
        <f>ROUND(BC133+BD133-BE133-BF133,2)</f>
        <v/>
      </c>
      <c r="BH133">
        <f>BB133-BF133</f>
        <v/>
      </c>
      <c r="BI133" s="42">
        <f>BM132</f>
        <v/>
      </c>
      <c r="BJ133" s="42">
        <f>ROUND(BI133*BJ$6/12,2)</f>
        <v/>
      </c>
      <c r="BK133" s="42">
        <f>MIN(BK$6,BI133+BJ133)</f>
        <v/>
      </c>
      <c r="BL133" s="42">
        <f>MAX(0,MIN(BI133+BJ133-BK133,BH133))</f>
        <v/>
      </c>
      <c r="BM133" s="42">
        <f>ROUND(BI133+BJ133-BK133-BL133,2)</f>
        <v/>
      </c>
      <c r="BN133">
        <f>BH133-BL133</f>
        <v/>
      </c>
    </row>
    <row r="134">
      <c r="A134" s="39" t="n">
        <v>127</v>
      </c>
      <c r="B134" s="40">
        <f>EDATE('My Debts'!$C$6,A134-1)</f>
        <v/>
      </c>
      <c r="C134" s="41">
        <f>K134+Q134+W134+AC134+AI134+AO134+AU134+BA134+BG134+BM134</f>
        <v/>
      </c>
      <c r="D134" s="42">
        <f>I134+O134+U134+AA134+AG134+AM134+AS134+AY134+BE134+BK134+J134+P134+V134+AB134+AH134+AN134+AT134+AZ134+BF134+BL134</f>
        <v/>
      </c>
      <c r="E134" s="42">
        <f>H134+N134+T134+Z134+AF134+AL134+AR134+AX134+BD134+BJ134</f>
        <v/>
      </c>
      <c r="F134" t="n">
        <v>0</v>
      </c>
      <c r="G134" s="42">
        <f>K133</f>
        <v/>
      </c>
      <c r="H134" s="42">
        <f>ROUND(G134*H$6/12,2)</f>
        <v/>
      </c>
      <c r="I134" s="42">
        <f>MIN(I$6,G134+H134)</f>
        <v/>
      </c>
      <c r="J134" s="42">
        <f>MAX(0,MIN(G134+H134-I134,$F134))</f>
        <v/>
      </c>
      <c r="K134" s="42">
        <f>ROUND(G134+H134-I134-J134,2)</f>
        <v/>
      </c>
      <c r="L134">
        <f>$F134-J134</f>
        <v/>
      </c>
      <c r="M134" s="42">
        <f>Q133</f>
        <v/>
      </c>
      <c r="N134" s="42">
        <f>ROUND(M134*N$6/12,2)</f>
        <v/>
      </c>
      <c r="O134" s="42">
        <f>MIN(O$6,M134+N134)</f>
        <v/>
      </c>
      <c r="P134" s="42">
        <f>MAX(0,MIN(M134+N134-O134,L134))</f>
        <v/>
      </c>
      <c r="Q134" s="42">
        <f>ROUND(M134+N134-O134-P134,2)</f>
        <v/>
      </c>
      <c r="R134">
        <f>L134-P134</f>
        <v/>
      </c>
      <c r="S134" s="42">
        <f>W133</f>
        <v/>
      </c>
      <c r="T134" s="42">
        <f>ROUND(S134*T$6/12,2)</f>
        <v/>
      </c>
      <c r="U134" s="42">
        <f>MIN(U$6,S134+T134)</f>
        <v/>
      </c>
      <c r="V134" s="42">
        <f>MAX(0,MIN(S134+T134-U134,R134))</f>
        <v/>
      </c>
      <c r="W134" s="42">
        <f>ROUND(S134+T134-U134-V134,2)</f>
        <v/>
      </c>
      <c r="X134">
        <f>R134-V134</f>
        <v/>
      </c>
      <c r="Y134" s="42">
        <f>AC133</f>
        <v/>
      </c>
      <c r="Z134" s="42">
        <f>ROUND(Y134*Z$6/12,2)</f>
        <v/>
      </c>
      <c r="AA134" s="42">
        <f>MIN(AA$6,Y134+Z134)</f>
        <v/>
      </c>
      <c r="AB134" s="42">
        <f>MAX(0,MIN(Y134+Z134-AA134,X134))</f>
        <v/>
      </c>
      <c r="AC134" s="42">
        <f>ROUND(Y134+Z134-AA134-AB134,2)</f>
        <v/>
      </c>
      <c r="AD134">
        <f>X134-AB134</f>
        <v/>
      </c>
      <c r="AE134" s="42">
        <f>AI133</f>
        <v/>
      </c>
      <c r="AF134" s="42">
        <f>ROUND(AE134*AF$6/12,2)</f>
        <v/>
      </c>
      <c r="AG134" s="42">
        <f>MIN(AG$6,AE134+AF134)</f>
        <v/>
      </c>
      <c r="AH134" s="42">
        <f>MAX(0,MIN(AE134+AF134-AG134,AD134))</f>
        <v/>
      </c>
      <c r="AI134" s="42">
        <f>ROUND(AE134+AF134-AG134-AH134,2)</f>
        <v/>
      </c>
      <c r="AJ134">
        <f>AD134-AH134</f>
        <v/>
      </c>
      <c r="AK134" s="42">
        <f>AO133</f>
        <v/>
      </c>
      <c r="AL134" s="42">
        <f>ROUND(AK134*AL$6/12,2)</f>
        <v/>
      </c>
      <c r="AM134" s="42">
        <f>MIN(AM$6,AK134+AL134)</f>
        <v/>
      </c>
      <c r="AN134" s="42">
        <f>MAX(0,MIN(AK134+AL134-AM134,AJ134))</f>
        <v/>
      </c>
      <c r="AO134" s="42">
        <f>ROUND(AK134+AL134-AM134-AN134,2)</f>
        <v/>
      </c>
      <c r="AP134">
        <f>AJ134-AN134</f>
        <v/>
      </c>
      <c r="AQ134" s="42">
        <f>AU133</f>
        <v/>
      </c>
      <c r="AR134" s="42">
        <f>ROUND(AQ134*AR$6/12,2)</f>
        <v/>
      </c>
      <c r="AS134" s="42">
        <f>MIN(AS$6,AQ134+AR134)</f>
        <v/>
      </c>
      <c r="AT134" s="42">
        <f>MAX(0,MIN(AQ134+AR134-AS134,AP134))</f>
        <v/>
      </c>
      <c r="AU134" s="42">
        <f>ROUND(AQ134+AR134-AS134-AT134,2)</f>
        <v/>
      </c>
      <c r="AV134">
        <f>AP134-AT134</f>
        <v/>
      </c>
      <c r="AW134" s="42">
        <f>BA133</f>
        <v/>
      </c>
      <c r="AX134" s="42">
        <f>ROUND(AW134*AX$6/12,2)</f>
        <v/>
      </c>
      <c r="AY134" s="42">
        <f>MIN(AY$6,AW134+AX134)</f>
        <v/>
      </c>
      <c r="AZ134" s="42">
        <f>MAX(0,MIN(AW134+AX134-AY134,AV134))</f>
        <v/>
      </c>
      <c r="BA134" s="42">
        <f>ROUND(AW134+AX134-AY134-AZ134,2)</f>
        <v/>
      </c>
      <c r="BB134">
        <f>AV134-AZ134</f>
        <v/>
      </c>
      <c r="BC134" s="42">
        <f>BG133</f>
        <v/>
      </c>
      <c r="BD134" s="42">
        <f>ROUND(BC134*BD$6/12,2)</f>
        <v/>
      </c>
      <c r="BE134" s="42">
        <f>MIN(BE$6,BC134+BD134)</f>
        <v/>
      </c>
      <c r="BF134" s="42">
        <f>MAX(0,MIN(BC134+BD134-BE134,BB134))</f>
        <v/>
      </c>
      <c r="BG134" s="42">
        <f>ROUND(BC134+BD134-BE134-BF134,2)</f>
        <v/>
      </c>
      <c r="BH134">
        <f>BB134-BF134</f>
        <v/>
      </c>
      <c r="BI134" s="42">
        <f>BM133</f>
        <v/>
      </c>
      <c r="BJ134" s="42">
        <f>ROUND(BI134*BJ$6/12,2)</f>
        <v/>
      </c>
      <c r="BK134" s="42">
        <f>MIN(BK$6,BI134+BJ134)</f>
        <v/>
      </c>
      <c r="BL134" s="42">
        <f>MAX(0,MIN(BI134+BJ134-BK134,BH134))</f>
        <v/>
      </c>
      <c r="BM134" s="42">
        <f>ROUND(BI134+BJ134-BK134-BL134,2)</f>
        <v/>
      </c>
      <c r="BN134">
        <f>BH134-BL134</f>
        <v/>
      </c>
    </row>
    <row r="135">
      <c r="A135" s="43" t="n">
        <v>128</v>
      </c>
      <c r="B135" s="44">
        <f>EDATE('My Debts'!$C$6,A135-1)</f>
        <v/>
      </c>
      <c r="C135" s="45">
        <f>K135+Q135+W135+AC135+AI135+AO135+AU135+BA135+BG135+BM135</f>
        <v/>
      </c>
      <c r="D135" s="46">
        <f>I135+O135+U135+AA135+AG135+AM135+AS135+AY135+BE135+BK135+J135+P135+V135+AB135+AH135+AN135+AT135+AZ135+BF135+BL135</f>
        <v/>
      </c>
      <c r="E135" s="46">
        <f>H135+N135+T135+Z135+AF135+AL135+AR135+AX135+BD135+BJ135</f>
        <v/>
      </c>
      <c r="F135" t="n">
        <v>0</v>
      </c>
      <c r="G135" s="42">
        <f>K134</f>
        <v/>
      </c>
      <c r="H135" s="42">
        <f>ROUND(G135*H$6/12,2)</f>
        <v/>
      </c>
      <c r="I135" s="42">
        <f>MIN(I$6,G135+H135)</f>
        <v/>
      </c>
      <c r="J135" s="42">
        <f>MAX(0,MIN(G135+H135-I135,$F135))</f>
        <v/>
      </c>
      <c r="K135" s="42">
        <f>ROUND(G135+H135-I135-J135,2)</f>
        <v/>
      </c>
      <c r="L135">
        <f>$F135-J135</f>
        <v/>
      </c>
      <c r="M135" s="42">
        <f>Q134</f>
        <v/>
      </c>
      <c r="N135" s="42">
        <f>ROUND(M135*N$6/12,2)</f>
        <v/>
      </c>
      <c r="O135" s="42">
        <f>MIN(O$6,M135+N135)</f>
        <v/>
      </c>
      <c r="P135" s="42">
        <f>MAX(0,MIN(M135+N135-O135,L135))</f>
        <v/>
      </c>
      <c r="Q135" s="42">
        <f>ROUND(M135+N135-O135-P135,2)</f>
        <v/>
      </c>
      <c r="R135">
        <f>L135-P135</f>
        <v/>
      </c>
      <c r="S135" s="42">
        <f>W134</f>
        <v/>
      </c>
      <c r="T135" s="42">
        <f>ROUND(S135*T$6/12,2)</f>
        <v/>
      </c>
      <c r="U135" s="42">
        <f>MIN(U$6,S135+T135)</f>
        <v/>
      </c>
      <c r="V135" s="42">
        <f>MAX(0,MIN(S135+T135-U135,R135))</f>
        <v/>
      </c>
      <c r="W135" s="42">
        <f>ROUND(S135+T135-U135-V135,2)</f>
        <v/>
      </c>
      <c r="X135">
        <f>R135-V135</f>
        <v/>
      </c>
      <c r="Y135" s="42">
        <f>AC134</f>
        <v/>
      </c>
      <c r="Z135" s="42">
        <f>ROUND(Y135*Z$6/12,2)</f>
        <v/>
      </c>
      <c r="AA135" s="42">
        <f>MIN(AA$6,Y135+Z135)</f>
        <v/>
      </c>
      <c r="AB135" s="42">
        <f>MAX(0,MIN(Y135+Z135-AA135,X135))</f>
        <v/>
      </c>
      <c r="AC135" s="42">
        <f>ROUND(Y135+Z135-AA135-AB135,2)</f>
        <v/>
      </c>
      <c r="AD135">
        <f>X135-AB135</f>
        <v/>
      </c>
      <c r="AE135" s="42">
        <f>AI134</f>
        <v/>
      </c>
      <c r="AF135" s="42">
        <f>ROUND(AE135*AF$6/12,2)</f>
        <v/>
      </c>
      <c r="AG135" s="42">
        <f>MIN(AG$6,AE135+AF135)</f>
        <v/>
      </c>
      <c r="AH135" s="42">
        <f>MAX(0,MIN(AE135+AF135-AG135,AD135))</f>
        <v/>
      </c>
      <c r="AI135" s="42">
        <f>ROUND(AE135+AF135-AG135-AH135,2)</f>
        <v/>
      </c>
      <c r="AJ135">
        <f>AD135-AH135</f>
        <v/>
      </c>
      <c r="AK135" s="42">
        <f>AO134</f>
        <v/>
      </c>
      <c r="AL135" s="42">
        <f>ROUND(AK135*AL$6/12,2)</f>
        <v/>
      </c>
      <c r="AM135" s="42">
        <f>MIN(AM$6,AK135+AL135)</f>
        <v/>
      </c>
      <c r="AN135" s="42">
        <f>MAX(0,MIN(AK135+AL135-AM135,AJ135))</f>
        <v/>
      </c>
      <c r="AO135" s="42">
        <f>ROUND(AK135+AL135-AM135-AN135,2)</f>
        <v/>
      </c>
      <c r="AP135">
        <f>AJ135-AN135</f>
        <v/>
      </c>
      <c r="AQ135" s="42">
        <f>AU134</f>
        <v/>
      </c>
      <c r="AR135" s="42">
        <f>ROUND(AQ135*AR$6/12,2)</f>
        <v/>
      </c>
      <c r="AS135" s="42">
        <f>MIN(AS$6,AQ135+AR135)</f>
        <v/>
      </c>
      <c r="AT135" s="42">
        <f>MAX(0,MIN(AQ135+AR135-AS135,AP135))</f>
        <v/>
      </c>
      <c r="AU135" s="42">
        <f>ROUND(AQ135+AR135-AS135-AT135,2)</f>
        <v/>
      </c>
      <c r="AV135">
        <f>AP135-AT135</f>
        <v/>
      </c>
      <c r="AW135" s="42">
        <f>BA134</f>
        <v/>
      </c>
      <c r="AX135" s="42">
        <f>ROUND(AW135*AX$6/12,2)</f>
        <v/>
      </c>
      <c r="AY135" s="42">
        <f>MIN(AY$6,AW135+AX135)</f>
        <v/>
      </c>
      <c r="AZ135" s="42">
        <f>MAX(0,MIN(AW135+AX135-AY135,AV135))</f>
        <v/>
      </c>
      <c r="BA135" s="42">
        <f>ROUND(AW135+AX135-AY135-AZ135,2)</f>
        <v/>
      </c>
      <c r="BB135">
        <f>AV135-AZ135</f>
        <v/>
      </c>
      <c r="BC135" s="42">
        <f>BG134</f>
        <v/>
      </c>
      <c r="BD135" s="42">
        <f>ROUND(BC135*BD$6/12,2)</f>
        <v/>
      </c>
      <c r="BE135" s="42">
        <f>MIN(BE$6,BC135+BD135)</f>
        <v/>
      </c>
      <c r="BF135" s="42">
        <f>MAX(0,MIN(BC135+BD135-BE135,BB135))</f>
        <v/>
      </c>
      <c r="BG135" s="42">
        <f>ROUND(BC135+BD135-BE135-BF135,2)</f>
        <v/>
      </c>
      <c r="BH135">
        <f>BB135-BF135</f>
        <v/>
      </c>
      <c r="BI135" s="42">
        <f>BM134</f>
        <v/>
      </c>
      <c r="BJ135" s="42">
        <f>ROUND(BI135*BJ$6/12,2)</f>
        <v/>
      </c>
      <c r="BK135" s="42">
        <f>MIN(BK$6,BI135+BJ135)</f>
        <v/>
      </c>
      <c r="BL135" s="42">
        <f>MAX(0,MIN(BI135+BJ135-BK135,BH135))</f>
        <v/>
      </c>
      <c r="BM135" s="42">
        <f>ROUND(BI135+BJ135-BK135-BL135,2)</f>
        <v/>
      </c>
      <c r="BN135">
        <f>BH135-BL135</f>
        <v/>
      </c>
    </row>
    <row r="136">
      <c r="A136" s="39" t="n">
        <v>129</v>
      </c>
      <c r="B136" s="40">
        <f>EDATE('My Debts'!$C$6,A136-1)</f>
        <v/>
      </c>
      <c r="C136" s="41">
        <f>K136+Q136+W136+AC136+AI136+AO136+AU136+BA136+BG136+BM136</f>
        <v/>
      </c>
      <c r="D136" s="42">
        <f>I136+O136+U136+AA136+AG136+AM136+AS136+AY136+BE136+BK136+J136+P136+V136+AB136+AH136+AN136+AT136+AZ136+BF136+BL136</f>
        <v/>
      </c>
      <c r="E136" s="42">
        <f>H136+N136+T136+Z136+AF136+AL136+AR136+AX136+BD136+BJ136</f>
        <v/>
      </c>
      <c r="F136" t="n">
        <v>0</v>
      </c>
      <c r="G136" s="42">
        <f>K135</f>
        <v/>
      </c>
      <c r="H136" s="42">
        <f>ROUND(G136*H$6/12,2)</f>
        <v/>
      </c>
      <c r="I136" s="42">
        <f>MIN(I$6,G136+H136)</f>
        <v/>
      </c>
      <c r="J136" s="42">
        <f>MAX(0,MIN(G136+H136-I136,$F136))</f>
        <v/>
      </c>
      <c r="K136" s="42">
        <f>ROUND(G136+H136-I136-J136,2)</f>
        <v/>
      </c>
      <c r="L136">
        <f>$F136-J136</f>
        <v/>
      </c>
      <c r="M136" s="42">
        <f>Q135</f>
        <v/>
      </c>
      <c r="N136" s="42">
        <f>ROUND(M136*N$6/12,2)</f>
        <v/>
      </c>
      <c r="O136" s="42">
        <f>MIN(O$6,M136+N136)</f>
        <v/>
      </c>
      <c r="P136" s="42">
        <f>MAX(0,MIN(M136+N136-O136,L136))</f>
        <v/>
      </c>
      <c r="Q136" s="42">
        <f>ROUND(M136+N136-O136-P136,2)</f>
        <v/>
      </c>
      <c r="R136">
        <f>L136-P136</f>
        <v/>
      </c>
      <c r="S136" s="42">
        <f>W135</f>
        <v/>
      </c>
      <c r="T136" s="42">
        <f>ROUND(S136*T$6/12,2)</f>
        <v/>
      </c>
      <c r="U136" s="42">
        <f>MIN(U$6,S136+T136)</f>
        <v/>
      </c>
      <c r="V136" s="42">
        <f>MAX(0,MIN(S136+T136-U136,R136))</f>
        <v/>
      </c>
      <c r="W136" s="42">
        <f>ROUND(S136+T136-U136-V136,2)</f>
        <v/>
      </c>
      <c r="X136">
        <f>R136-V136</f>
        <v/>
      </c>
      <c r="Y136" s="42">
        <f>AC135</f>
        <v/>
      </c>
      <c r="Z136" s="42">
        <f>ROUND(Y136*Z$6/12,2)</f>
        <v/>
      </c>
      <c r="AA136" s="42">
        <f>MIN(AA$6,Y136+Z136)</f>
        <v/>
      </c>
      <c r="AB136" s="42">
        <f>MAX(0,MIN(Y136+Z136-AA136,X136))</f>
        <v/>
      </c>
      <c r="AC136" s="42">
        <f>ROUND(Y136+Z136-AA136-AB136,2)</f>
        <v/>
      </c>
      <c r="AD136">
        <f>X136-AB136</f>
        <v/>
      </c>
      <c r="AE136" s="42">
        <f>AI135</f>
        <v/>
      </c>
      <c r="AF136" s="42">
        <f>ROUND(AE136*AF$6/12,2)</f>
        <v/>
      </c>
      <c r="AG136" s="42">
        <f>MIN(AG$6,AE136+AF136)</f>
        <v/>
      </c>
      <c r="AH136" s="42">
        <f>MAX(0,MIN(AE136+AF136-AG136,AD136))</f>
        <v/>
      </c>
      <c r="AI136" s="42">
        <f>ROUND(AE136+AF136-AG136-AH136,2)</f>
        <v/>
      </c>
      <c r="AJ136">
        <f>AD136-AH136</f>
        <v/>
      </c>
      <c r="AK136" s="42">
        <f>AO135</f>
        <v/>
      </c>
      <c r="AL136" s="42">
        <f>ROUND(AK136*AL$6/12,2)</f>
        <v/>
      </c>
      <c r="AM136" s="42">
        <f>MIN(AM$6,AK136+AL136)</f>
        <v/>
      </c>
      <c r="AN136" s="42">
        <f>MAX(0,MIN(AK136+AL136-AM136,AJ136))</f>
        <v/>
      </c>
      <c r="AO136" s="42">
        <f>ROUND(AK136+AL136-AM136-AN136,2)</f>
        <v/>
      </c>
      <c r="AP136">
        <f>AJ136-AN136</f>
        <v/>
      </c>
      <c r="AQ136" s="42">
        <f>AU135</f>
        <v/>
      </c>
      <c r="AR136" s="42">
        <f>ROUND(AQ136*AR$6/12,2)</f>
        <v/>
      </c>
      <c r="AS136" s="42">
        <f>MIN(AS$6,AQ136+AR136)</f>
        <v/>
      </c>
      <c r="AT136" s="42">
        <f>MAX(0,MIN(AQ136+AR136-AS136,AP136))</f>
        <v/>
      </c>
      <c r="AU136" s="42">
        <f>ROUND(AQ136+AR136-AS136-AT136,2)</f>
        <v/>
      </c>
      <c r="AV136">
        <f>AP136-AT136</f>
        <v/>
      </c>
      <c r="AW136" s="42">
        <f>BA135</f>
        <v/>
      </c>
      <c r="AX136" s="42">
        <f>ROUND(AW136*AX$6/12,2)</f>
        <v/>
      </c>
      <c r="AY136" s="42">
        <f>MIN(AY$6,AW136+AX136)</f>
        <v/>
      </c>
      <c r="AZ136" s="42">
        <f>MAX(0,MIN(AW136+AX136-AY136,AV136))</f>
        <v/>
      </c>
      <c r="BA136" s="42">
        <f>ROUND(AW136+AX136-AY136-AZ136,2)</f>
        <v/>
      </c>
      <c r="BB136">
        <f>AV136-AZ136</f>
        <v/>
      </c>
      <c r="BC136" s="42">
        <f>BG135</f>
        <v/>
      </c>
      <c r="BD136" s="42">
        <f>ROUND(BC136*BD$6/12,2)</f>
        <v/>
      </c>
      <c r="BE136" s="42">
        <f>MIN(BE$6,BC136+BD136)</f>
        <v/>
      </c>
      <c r="BF136" s="42">
        <f>MAX(0,MIN(BC136+BD136-BE136,BB136))</f>
        <v/>
      </c>
      <c r="BG136" s="42">
        <f>ROUND(BC136+BD136-BE136-BF136,2)</f>
        <v/>
      </c>
      <c r="BH136">
        <f>BB136-BF136</f>
        <v/>
      </c>
      <c r="BI136" s="42">
        <f>BM135</f>
        <v/>
      </c>
      <c r="BJ136" s="42">
        <f>ROUND(BI136*BJ$6/12,2)</f>
        <v/>
      </c>
      <c r="BK136" s="42">
        <f>MIN(BK$6,BI136+BJ136)</f>
        <v/>
      </c>
      <c r="BL136" s="42">
        <f>MAX(0,MIN(BI136+BJ136-BK136,BH136))</f>
        <v/>
      </c>
      <c r="BM136" s="42">
        <f>ROUND(BI136+BJ136-BK136-BL136,2)</f>
        <v/>
      </c>
      <c r="BN136">
        <f>BH136-BL136</f>
        <v/>
      </c>
    </row>
    <row r="137">
      <c r="A137" s="43" t="n">
        <v>130</v>
      </c>
      <c r="B137" s="44">
        <f>EDATE('My Debts'!$C$6,A137-1)</f>
        <v/>
      </c>
      <c r="C137" s="45">
        <f>K137+Q137+W137+AC137+AI137+AO137+AU137+BA137+BG137+BM137</f>
        <v/>
      </c>
      <c r="D137" s="46">
        <f>I137+O137+U137+AA137+AG137+AM137+AS137+AY137+BE137+BK137+J137+P137+V137+AB137+AH137+AN137+AT137+AZ137+BF137+BL137</f>
        <v/>
      </c>
      <c r="E137" s="46">
        <f>H137+N137+T137+Z137+AF137+AL137+AR137+AX137+BD137+BJ137</f>
        <v/>
      </c>
      <c r="F137" t="n">
        <v>0</v>
      </c>
      <c r="G137" s="42">
        <f>K136</f>
        <v/>
      </c>
      <c r="H137" s="42">
        <f>ROUND(G137*H$6/12,2)</f>
        <v/>
      </c>
      <c r="I137" s="42">
        <f>MIN(I$6,G137+H137)</f>
        <v/>
      </c>
      <c r="J137" s="42">
        <f>MAX(0,MIN(G137+H137-I137,$F137))</f>
        <v/>
      </c>
      <c r="K137" s="42">
        <f>ROUND(G137+H137-I137-J137,2)</f>
        <v/>
      </c>
      <c r="L137">
        <f>$F137-J137</f>
        <v/>
      </c>
      <c r="M137" s="42">
        <f>Q136</f>
        <v/>
      </c>
      <c r="N137" s="42">
        <f>ROUND(M137*N$6/12,2)</f>
        <v/>
      </c>
      <c r="O137" s="42">
        <f>MIN(O$6,M137+N137)</f>
        <v/>
      </c>
      <c r="P137" s="42">
        <f>MAX(0,MIN(M137+N137-O137,L137))</f>
        <v/>
      </c>
      <c r="Q137" s="42">
        <f>ROUND(M137+N137-O137-P137,2)</f>
        <v/>
      </c>
      <c r="R137">
        <f>L137-P137</f>
        <v/>
      </c>
      <c r="S137" s="42">
        <f>W136</f>
        <v/>
      </c>
      <c r="T137" s="42">
        <f>ROUND(S137*T$6/12,2)</f>
        <v/>
      </c>
      <c r="U137" s="42">
        <f>MIN(U$6,S137+T137)</f>
        <v/>
      </c>
      <c r="V137" s="42">
        <f>MAX(0,MIN(S137+T137-U137,R137))</f>
        <v/>
      </c>
      <c r="W137" s="42">
        <f>ROUND(S137+T137-U137-V137,2)</f>
        <v/>
      </c>
      <c r="X137">
        <f>R137-V137</f>
        <v/>
      </c>
      <c r="Y137" s="42">
        <f>AC136</f>
        <v/>
      </c>
      <c r="Z137" s="42">
        <f>ROUND(Y137*Z$6/12,2)</f>
        <v/>
      </c>
      <c r="AA137" s="42">
        <f>MIN(AA$6,Y137+Z137)</f>
        <v/>
      </c>
      <c r="AB137" s="42">
        <f>MAX(0,MIN(Y137+Z137-AA137,X137))</f>
        <v/>
      </c>
      <c r="AC137" s="42">
        <f>ROUND(Y137+Z137-AA137-AB137,2)</f>
        <v/>
      </c>
      <c r="AD137">
        <f>X137-AB137</f>
        <v/>
      </c>
      <c r="AE137" s="42">
        <f>AI136</f>
        <v/>
      </c>
      <c r="AF137" s="42">
        <f>ROUND(AE137*AF$6/12,2)</f>
        <v/>
      </c>
      <c r="AG137" s="42">
        <f>MIN(AG$6,AE137+AF137)</f>
        <v/>
      </c>
      <c r="AH137" s="42">
        <f>MAX(0,MIN(AE137+AF137-AG137,AD137))</f>
        <v/>
      </c>
      <c r="AI137" s="42">
        <f>ROUND(AE137+AF137-AG137-AH137,2)</f>
        <v/>
      </c>
      <c r="AJ137">
        <f>AD137-AH137</f>
        <v/>
      </c>
      <c r="AK137" s="42">
        <f>AO136</f>
        <v/>
      </c>
      <c r="AL137" s="42">
        <f>ROUND(AK137*AL$6/12,2)</f>
        <v/>
      </c>
      <c r="AM137" s="42">
        <f>MIN(AM$6,AK137+AL137)</f>
        <v/>
      </c>
      <c r="AN137" s="42">
        <f>MAX(0,MIN(AK137+AL137-AM137,AJ137))</f>
        <v/>
      </c>
      <c r="AO137" s="42">
        <f>ROUND(AK137+AL137-AM137-AN137,2)</f>
        <v/>
      </c>
      <c r="AP137">
        <f>AJ137-AN137</f>
        <v/>
      </c>
      <c r="AQ137" s="42">
        <f>AU136</f>
        <v/>
      </c>
      <c r="AR137" s="42">
        <f>ROUND(AQ137*AR$6/12,2)</f>
        <v/>
      </c>
      <c r="AS137" s="42">
        <f>MIN(AS$6,AQ137+AR137)</f>
        <v/>
      </c>
      <c r="AT137" s="42">
        <f>MAX(0,MIN(AQ137+AR137-AS137,AP137))</f>
        <v/>
      </c>
      <c r="AU137" s="42">
        <f>ROUND(AQ137+AR137-AS137-AT137,2)</f>
        <v/>
      </c>
      <c r="AV137">
        <f>AP137-AT137</f>
        <v/>
      </c>
      <c r="AW137" s="42">
        <f>BA136</f>
        <v/>
      </c>
      <c r="AX137" s="42">
        <f>ROUND(AW137*AX$6/12,2)</f>
        <v/>
      </c>
      <c r="AY137" s="42">
        <f>MIN(AY$6,AW137+AX137)</f>
        <v/>
      </c>
      <c r="AZ137" s="42">
        <f>MAX(0,MIN(AW137+AX137-AY137,AV137))</f>
        <v/>
      </c>
      <c r="BA137" s="42">
        <f>ROUND(AW137+AX137-AY137-AZ137,2)</f>
        <v/>
      </c>
      <c r="BB137">
        <f>AV137-AZ137</f>
        <v/>
      </c>
      <c r="BC137" s="42">
        <f>BG136</f>
        <v/>
      </c>
      <c r="BD137" s="42">
        <f>ROUND(BC137*BD$6/12,2)</f>
        <v/>
      </c>
      <c r="BE137" s="42">
        <f>MIN(BE$6,BC137+BD137)</f>
        <v/>
      </c>
      <c r="BF137" s="42">
        <f>MAX(0,MIN(BC137+BD137-BE137,BB137))</f>
        <v/>
      </c>
      <c r="BG137" s="42">
        <f>ROUND(BC137+BD137-BE137-BF137,2)</f>
        <v/>
      </c>
      <c r="BH137">
        <f>BB137-BF137</f>
        <v/>
      </c>
      <c r="BI137" s="42">
        <f>BM136</f>
        <v/>
      </c>
      <c r="BJ137" s="42">
        <f>ROUND(BI137*BJ$6/12,2)</f>
        <v/>
      </c>
      <c r="BK137" s="42">
        <f>MIN(BK$6,BI137+BJ137)</f>
        <v/>
      </c>
      <c r="BL137" s="42">
        <f>MAX(0,MIN(BI137+BJ137-BK137,BH137))</f>
        <v/>
      </c>
      <c r="BM137" s="42">
        <f>ROUND(BI137+BJ137-BK137-BL137,2)</f>
        <v/>
      </c>
      <c r="BN137">
        <f>BH137-BL137</f>
        <v/>
      </c>
    </row>
    <row r="138">
      <c r="A138" s="39" t="n">
        <v>131</v>
      </c>
      <c r="B138" s="40">
        <f>EDATE('My Debts'!$C$6,A138-1)</f>
        <v/>
      </c>
      <c r="C138" s="41">
        <f>K138+Q138+W138+AC138+AI138+AO138+AU138+BA138+BG138+BM138</f>
        <v/>
      </c>
      <c r="D138" s="42">
        <f>I138+O138+U138+AA138+AG138+AM138+AS138+AY138+BE138+BK138+J138+P138+V138+AB138+AH138+AN138+AT138+AZ138+BF138+BL138</f>
        <v/>
      </c>
      <c r="E138" s="42">
        <f>H138+N138+T138+Z138+AF138+AL138+AR138+AX138+BD138+BJ138</f>
        <v/>
      </c>
      <c r="F138" t="n">
        <v>0</v>
      </c>
      <c r="G138" s="42">
        <f>K137</f>
        <v/>
      </c>
      <c r="H138" s="42">
        <f>ROUND(G138*H$6/12,2)</f>
        <v/>
      </c>
      <c r="I138" s="42">
        <f>MIN(I$6,G138+H138)</f>
        <v/>
      </c>
      <c r="J138" s="42">
        <f>MAX(0,MIN(G138+H138-I138,$F138))</f>
        <v/>
      </c>
      <c r="K138" s="42">
        <f>ROUND(G138+H138-I138-J138,2)</f>
        <v/>
      </c>
      <c r="L138">
        <f>$F138-J138</f>
        <v/>
      </c>
      <c r="M138" s="42">
        <f>Q137</f>
        <v/>
      </c>
      <c r="N138" s="42">
        <f>ROUND(M138*N$6/12,2)</f>
        <v/>
      </c>
      <c r="O138" s="42">
        <f>MIN(O$6,M138+N138)</f>
        <v/>
      </c>
      <c r="P138" s="42">
        <f>MAX(0,MIN(M138+N138-O138,L138))</f>
        <v/>
      </c>
      <c r="Q138" s="42">
        <f>ROUND(M138+N138-O138-P138,2)</f>
        <v/>
      </c>
      <c r="R138">
        <f>L138-P138</f>
        <v/>
      </c>
      <c r="S138" s="42">
        <f>W137</f>
        <v/>
      </c>
      <c r="T138" s="42">
        <f>ROUND(S138*T$6/12,2)</f>
        <v/>
      </c>
      <c r="U138" s="42">
        <f>MIN(U$6,S138+T138)</f>
        <v/>
      </c>
      <c r="V138" s="42">
        <f>MAX(0,MIN(S138+T138-U138,R138))</f>
        <v/>
      </c>
      <c r="W138" s="42">
        <f>ROUND(S138+T138-U138-V138,2)</f>
        <v/>
      </c>
      <c r="X138">
        <f>R138-V138</f>
        <v/>
      </c>
      <c r="Y138" s="42">
        <f>AC137</f>
        <v/>
      </c>
      <c r="Z138" s="42">
        <f>ROUND(Y138*Z$6/12,2)</f>
        <v/>
      </c>
      <c r="AA138" s="42">
        <f>MIN(AA$6,Y138+Z138)</f>
        <v/>
      </c>
      <c r="AB138" s="42">
        <f>MAX(0,MIN(Y138+Z138-AA138,X138))</f>
        <v/>
      </c>
      <c r="AC138" s="42">
        <f>ROUND(Y138+Z138-AA138-AB138,2)</f>
        <v/>
      </c>
      <c r="AD138">
        <f>X138-AB138</f>
        <v/>
      </c>
      <c r="AE138" s="42">
        <f>AI137</f>
        <v/>
      </c>
      <c r="AF138" s="42">
        <f>ROUND(AE138*AF$6/12,2)</f>
        <v/>
      </c>
      <c r="AG138" s="42">
        <f>MIN(AG$6,AE138+AF138)</f>
        <v/>
      </c>
      <c r="AH138" s="42">
        <f>MAX(0,MIN(AE138+AF138-AG138,AD138))</f>
        <v/>
      </c>
      <c r="AI138" s="42">
        <f>ROUND(AE138+AF138-AG138-AH138,2)</f>
        <v/>
      </c>
      <c r="AJ138">
        <f>AD138-AH138</f>
        <v/>
      </c>
      <c r="AK138" s="42">
        <f>AO137</f>
        <v/>
      </c>
      <c r="AL138" s="42">
        <f>ROUND(AK138*AL$6/12,2)</f>
        <v/>
      </c>
      <c r="AM138" s="42">
        <f>MIN(AM$6,AK138+AL138)</f>
        <v/>
      </c>
      <c r="AN138" s="42">
        <f>MAX(0,MIN(AK138+AL138-AM138,AJ138))</f>
        <v/>
      </c>
      <c r="AO138" s="42">
        <f>ROUND(AK138+AL138-AM138-AN138,2)</f>
        <v/>
      </c>
      <c r="AP138">
        <f>AJ138-AN138</f>
        <v/>
      </c>
      <c r="AQ138" s="42">
        <f>AU137</f>
        <v/>
      </c>
      <c r="AR138" s="42">
        <f>ROUND(AQ138*AR$6/12,2)</f>
        <v/>
      </c>
      <c r="AS138" s="42">
        <f>MIN(AS$6,AQ138+AR138)</f>
        <v/>
      </c>
      <c r="AT138" s="42">
        <f>MAX(0,MIN(AQ138+AR138-AS138,AP138))</f>
        <v/>
      </c>
      <c r="AU138" s="42">
        <f>ROUND(AQ138+AR138-AS138-AT138,2)</f>
        <v/>
      </c>
      <c r="AV138">
        <f>AP138-AT138</f>
        <v/>
      </c>
      <c r="AW138" s="42">
        <f>BA137</f>
        <v/>
      </c>
      <c r="AX138" s="42">
        <f>ROUND(AW138*AX$6/12,2)</f>
        <v/>
      </c>
      <c r="AY138" s="42">
        <f>MIN(AY$6,AW138+AX138)</f>
        <v/>
      </c>
      <c r="AZ138" s="42">
        <f>MAX(0,MIN(AW138+AX138-AY138,AV138))</f>
        <v/>
      </c>
      <c r="BA138" s="42">
        <f>ROUND(AW138+AX138-AY138-AZ138,2)</f>
        <v/>
      </c>
      <c r="BB138">
        <f>AV138-AZ138</f>
        <v/>
      </c>
      <c r="BC138" s="42">
        <f>BG137</f>
        <v/>
      </c>
      <c r="BD138" s="42">
        <f>ROUND(BC138*BD$6/12,2)</f>
        <v/>
      </c>
      <c r="BE138" s="42">
        <f>MIN(BE$6,BC138+BD138)</f>
        <v/>
      </c>
      <c r="BF138" s="42">
        <f>MAX(0,MIN(BC138+BD138-BE138,BB138))</f>
        <v/>
      </c>
      <c r="BG138" s="42">
        <f>ROUND(BC138+BD138-BE138-BF138,2)</f>
        <v/>
      </c>
      <c r="BH138">
        <f>BB138-BF138</f>
        <v/>
      </c>
      <c r="BI138" s="42">
        <f>BM137</f>
        <v/>
      </c>
      <c r="BJ138" s="42">
        <f>ROUND(BI138*BJ$6/12,2)</f>
        <v/>
      </c>
      <c r="BK138" s="42">
        <f>MIN(BK$6,BI138+BJ138)</f>
        <v/>
      </c>
      <c r="BL138" s="42">
        <f>MAX(0,MIN(BI138+BJ138-BK138,BH138))</f>
        <v/>
      </c>
      <c r="BM138" s="42">
        <f>ROUND(BI138+BJ138-BK138-BL138,2)</f>
        <v/>
      </c>
      <c r="BN138">
        <f>BH138-BL138</f>
        <v/>
      </c>
    </row>
    <row r="139">
      <c r="A139" s="43" t="n">
        <v>132</v>
      </c>
      <c r="B139" s="44">
        <f>EDATE('My Debts'!$C$6,A139-1)</f>
        <v/>
      </c>
      <c r="C139" s="45">
        <f>K139+Q139+W139+AC139+AI139+AO139+AU139+BA139+BG139+BM139</f>
        <v/>
      </c>
      <c r="D139" s="46">
        <f>I139+O139+U139+AA139+AG139+AM139+AS139+AY139+BE139+BK139+J139+P139+V139+AB139+AH139+AN139+AT139+AZ139+BF139+BL139</f>
        <v/>
      </c>
      <c r="E139" s="46">
        <f>H139+N139+T139+Z139+AF139+AL139+AR139+AX139+BD139+BJ139</f>
        <v/>
      </c>
      <c r="F139" t="n">
        <v>0</v>
      </c>
      <c r="G139" s="42">
        <f>K138</f>
        <v/>
      </c>
      <c r="H139" s="42">
        <f>ROUND(G139*H$6/12,2)</f>
        <v/>
      </c>
      <c r="I139" s="42">
        <f>MIN(I$6,G139+H139)</f>
        <v/>
      </c>
      <c r="J139" s="42">
        <f>MAX(0,MIN(G139+H139-I139,$F139))</f>
        <v/>
      </c>
      <c r="K139" s="42">
        <f>ROUND(G139+H139-I139-J139,2)</f>
        <v/>
      </c>
      <c r="L139">
        <f>$F139-J139</f>
        <v/>
      </c>
      <c r="M139" s="42">
        <f>Q138</f>
        <v/>
      </c>
      <c r="N139" s="42">
        <f>ROUND(M139*N$6/12,2)</f>
        <v/>
      </c>
      <c r="O139" s="42">
        <f>MIN(O$6,M139+N139)</f>
        <v/>
      </c>
      <c r="P139" s="42">
        <f>MAX(0,MIN(M139+N139-O139,L139))</f>
        <v/>
      </c>
      <c r="Q139" s="42">
        <f>ROUND(M139+N139-O139-P139,2)</f>
        <v/>
      </c>
      <c r="R139">
        <f>L139-P139</f>
        <v/>
      </c>
      <c r="S139" s="42">
        <f>W138</f>
        <v/>
      </c>
      <c r="T139" s="42">
        <f>ROUND(S139*T$6/12,2)</f>
        <v/>
      </c>
      <c r="U139" s="42">
        <f>MIN(U$6,S139+T139)</f>
        <v/>
      </c>
      <c r="V139" s="42">
        <f>MAX(0,MIN(S139+T139-U139,R139))</f>
        <v/>
      </c>
      <c r="W139" s="42">
        <f>ROUND(S139+T139-U139-V139,2)</f>
        <v/>
      </c>
      <c r="X139">
        <f>R139-V139</f>
        <v/>
      </c>
      <c r="Y139" s="42">
        <f>AC138</f>
        <v/>
      </c>
      <c r="Z139" s="42">
        <f>ROUND(Y139*Z$6/12,2)</f>
        <v/>
      </c>
      <c r="AA139" s="42">
        <f>MIN(AA$6,Y139+Z139)</f>
        <v/>
      </c>
      <c r="AB139" s="42">
        <f>MAX(0,MIN(Y139+Z139-AA139,X139))</f>
        <v/>
      </c>
      <c r="AC139" s="42">
        <f>ROUND(Y139+Z139-AA139-AB139,2)</f>
        <v/>
      </c>
      <c r="AD139">
        <f>X139-AB139</f>
        <v/>
      </c>
      <c r="AE139" s="42">
        <f>AI138</f>
        <v/>
      </c>
      <c r="AF139" s="42">
        <f>ROUND(AE139*AF$6/12,2)</f>
        <v/>
      </c>
      <c r="AG139" s="42">
        <f>MIN(AG$6,AE139+AF139)</f>
        <v/>
      </c>
      <c r="AH139" s="42">
        <f>MAX(0,MIN(AE139+AF139-AG139,AD139))</f>
        <v/>
      </c>
      <c r="AI139" s="42">
        <f>ROUND(AE139+AF139-AG139-AH139,2)</f>
        <v/>
      </c>
      <c r="AJ139">
        <f>AD139-AH139</f>
        <v/>
      </c>
      <c r="AK139" s="42">
        <f>AO138</f>
        <v/>
      </c>
      <c r="AL139" s="42">
        <f>ROUND(AK139*AL$6/12,2)</f>
        <v/>
      </c>
      <c r="AM139" s="42">
        <f>MIN(AM$6,AK139+AL139)</f>
        <v/>
      </c>
      <c r="AN139" s="42">
        <f>MAX(0,MIN(AK139+AL139-AM139,AJ139))</f>
        <v/>
      </c>
      <c r="AO139" s="42">
        <f>ROUND(AK139+AL139-AM139-AN139,2)</f>
        <v/>
      </c>
      <c r="AP139">
        <f>AJ139-AN139</f>
        <v/>
      </c>
      <c r="AQ139" s="42">
        <f>AU138</f>
        <v/>
      </c>
      <c r="AR139" s="42">
        <f>ROUND(AQ139*AR$6/12,2)</f>
        <v/>
      </c>
      <c r="AS139" s="42">
        <f>MIN(AS$6,AQ139+AR139)</f>
        <v/>
      </c>
      <c r="AT139" s="42">
        <f>MAX(0,MIN(AQ139+AR139-AS139,AP139))</f>
        <v/>
      </c>
      <c r="AU139" s="42">
        <f>ROUND(AQ139+AR139-AS139-AT139,2)</f>
        <v/>
      </c>
      <c r="AV139">
        <f>AP139-AT139</f>
        <v/>
      </c>
      <c r="AW139" s="42">
        <f>BA138</f>
        <v/>
      </c>
      <c r="AX139" s="42">
        <f>ROUND(AW139*AX$6/12,2)</f>
        <v/>
      </c>
      <c r="AY139" s="42">
        <f>MIN(AY$6,AW139+AX139)</f>
        <v/>
      </c>
      <c r="AZ139" s="42">
        <f>MAX(0,MIN(AW139+AX139-AY139,AV139))</f>
        <v/>
      </c>
      <c r="BA139" s="42">
        <f>ROUND(AW139+AX139-AY139-AZ139,2)</f>
        <v/>
      </c>
      <c r="BB139">
        <f>AV139-AZ139</f>
        <v/>
      </c>
      <c r="BC139" s="42">
        <f>BG138</f>
        <v/>
      </c>
      <c r="BD139" s="42">
        <f>ROUND(BC139*BD$6/12,2)</f>
        <v/>
      </c>
      <c r="BE139" s="42">
        <f>MIN(BE$6,BC139+BD139)</f>
        <v/>
      </c>
      <c r="BF139" s="42">
        <f>MAX(0,MIN(BC139+BD139-BE139,BB139))</f>
        <v/>
      </c>
      <c r="BG139" s="42">
        <f>ROUND(BC139+BD139-BE139-BF139,2)</f>
        <v/>
      </c>
      <c r="BH139">
        <f>BB139-BF139</f>
        <v/>
      </c>
      <c r="BI139" s="42">
        <f>BM138</f>
        <v/>
      </c>
      <c r="BJ139" s="42">
        <f>ROUND(BI139*BJ$6/12,2)</f>
        <v/>
      </c>
      <c r="BK139" s="42">
        <f>MIN(BK$6,BI139+BJ139)</f>
        <v/>
      </c>
      <c r="BL139" s="42">
        <f>MAX(0,MIN(BI139+BJ139-BK139,BH139))</f>
        <v/>
      </c>
      <c r="BM139" s="42">
        <f>ROUND(BI139+BJ139-BK139-BL139,2)</f>
        <v/>
      </c>
      <c r="BN139">
        <f>BH139-BL139</f>
        <v/>
      </c>
    </row>
    <row r="140">
      <c r="A140" s="39" t="n">
        <v>133</v>
      </c>
      <c r="B140" s="40">
        <f>EDATE('My Debts'!$C$6,A140-1)</f>
        <v/>
      </c>
      <c r="C140" s="41">
        <f>K140+Q140+W140+AC140+AI140+AO140+AU140+BA140+BG140+BM140</f>
        <v/>
      </c>
      <c r="D140" s="42">
        <f>I140+O140+U140+AA140+AG140+AM140+AS140+AY140+BE140+BK140+J140+P140+V140+AB140+AH140+AN140+AT140+AZ140+BF140+BL140</f>
        <v/>
      </c>
      <c r="E140" s="42">
        <f>H140+N140+T140+Z140+AF140+AL140+AR140+AX140+BD140+BJ140</f>
        <v/>
      </c>
      <c r="F140" t="n">
        <v>0</v>
      </c>
      <c r="G140" s="42">
        <f>K139</f>
        <v/>
      </c>
      <c r="H140" s="42">
        <f>ROUND(G140*H$6/12,2)</f>
        <v/>
      </c>
      <c r="I140" s="42">
        <f>MIN(I$6,G140+H140)</f>
        <v/>
      </c>
      <c r="J140" s="42">
        <f>MAX(0,MIN(G140+H140-I140,$F140))</f>
        <v/>
      </c>
      <c r="K140" s="42">
        <f>ROUND(G140+H140-I140-J140,2)</f>
        <v/>
      </c>
      <c r="L140">
        <f>$F140-J140</f>
        <v/>
      </c>
      <c r="M140" s="42">
        <f>Q139</f>
        <v/>
      </c>
      <c r="N140" s="42">
        <f>ROUND(M140*N$6/12,2)</f>
        <v/>
      </c>
      <c r="O140" s="42">
        <f>MIN(O$6,M140+N140)</f>
        <v/>
      </c>
      <c r="P140" s="42">
        <f>MAX(0,MIN(M140+N140-O140,L140))</f>
        <v/>
      </c>
      <c r="Q140" s="42">
        <f>ROUND(M140+N140-O140-P140,2)</f>
        <v/>
      </c>
      <c r="R140">
        <f>L140-P140</f>
        <v/>
      </c>
      <c r="S140" s="42">
        <f>W139</f>
        <v/>
      </c>
      <c r="T140" s="42">
        <f>ROUND(S140*T$6/12,2)</f>
        <v/>
      </c>
      <c r="U140" s="42">
        <f>MIN(U$6,S140+T140)</f>
        <v/>
      </c>
      <c r="V140" s="42">
        <f>MAX(0,MIN(S140+T140-U140,R140))</f>
        <v/>
      </c>
      <c r="W140" s="42">
        <f>ROUND(S140+T140-U140-V140,2)</f>
        <v/>
      </c>
      <c r="X140">
        <f>R140-V140</f>
        <v/>
      </c>
      <c r="Y140" s="42">
        <f>AC139</f>
        <v/>
      </c>
      <c r="Z140" s="42">
        <f>ROUND(Y140*Z$6/12,2)</f>
        <v/>
      </c>
      <c r="AA140" s="42">
        <f>MIN(AA$6,Y140+Z140)</f>
        <v/>
      </c>
      <c r="AB140" s="42">
        <f>MAX(0,MIN(Y140+Z140-AA140,X140))</f>
        <v/>
      </c>
      <c r="AC140" s="42">
        <f>ROUND(Y140+Z140-AA140-AB140,2)</f>
        <v/>
      </c>
      <c r="AD140">
        <f>X140-AB140</f>
        <v/>
      </c>
      <c r="AE140" s="42">
        <f>AI139</f>
        <v/>
      </c>
      <c r="AF140" s="42">
        <f>ROUND(AE140*AF$6/12,2)</f>
        <v/>
      </c>
      <c r="AG140" s="42">
        <f>MIN(AG$6,AE140+AF140)</f>
        <v/>
      </c>
      <c r="AH140" s="42">
        <f>MAX(0,MIN(AE140+AF140-AG140,AD140))</f>
        <v/>
      </c>
      <c r="AI140" s="42">
        <f>ROUND(AE140+AF140-AG140-AH140,2)</f>
        <v/>
      </c>
      <c r="AJ140">
        <f>AD140-AH140</f>
        <v/>
      </c>
      <c r="AK140" s="42">
        <f>AO139</f>
        <v/>
      </c>
      <c r="AL140" s="42">
        <f>ROUND(AK140*AL$6/12,2)</f>
        <v/>
      </c>
      <c r="AM140" s="42">
        <f>MIN(AM$6,AK140+AL140)</f>
        <v/>
      </c>
      <c r="AN140" s="42">
        <f>MAX(0,MIN(AK140+AL140-AM140,AJ140))</f>
        <v/>
      </c>
      <c r="AO140" s="42">
        <f>ROUND(AK140+AL140-AM140-AN140,2)</f>
        <v/>
      </c>
      <c r="AP140">
        <f>AJ140-AN140</f>
        <v/>
      </c>
      <c r="AQ140" s="42">
        <f>AU139</f>
        <v/>
      </c>
      <c r="AR140" s="42">
        <f>ROUND(AQ140*AR$6/12,2)</f>
        <v/>
      </c>
      <c r="AS140" s="42">
        <f>MIN(AS$6,AQ140+AR140)</f>
        <v/>
      </c>
      <c r="AT140" s="42">
        <f>MAX(0,MIN(AQ140+AR140-AS140,AP140))</f>
        <v/>
      </c>
      <c r="AU140" s="42">
        <f>ROUND(AQ140+AR140-AS140-AT140,2)</f>
        <v/>
      </c>
      <c r="AV140">
        <f>AP140-AT140</f>
        <v/>
      </c>
      <c r="AW140" s="42">
        <f>BA139</f>
        <v/>
      </c>
      <c r="AX140" s="42">
        <f>ROUND(AW140*AX$6/12,2)</f>
        <v/>
      </c>
      <c r="AY140" s="42">
        <f>MIN(AY$6,AW140+AX140)</f>
        <v/>
      </c>
      <c r="AZ140" s="42">
        <f>MAX(0,MIN(AW140+AX140-AY140,AV140))</f>
        <v/>
      </c>
      <c r="BA140" s="42">
        <f>ROUND(AW140+AX140-AY140-AZ140,2)</f>
        <v/>
      </c>
      <c r="BB140">
        <f>AV140-AZ140</f>
        <v/>
      </c>
      <c r="BC140" s="42">
        <f>BG139</f>
        <v/>
      </c>
      <c r="BD140" s="42">
        <f>ROUND(BC140*BD$6/12,2)</f>
        <v/>
      </c>
      <c r="BE140" s="42">
        <f>MIN(BE$6,BC140+BD140)</f>
        <v/>
      </c>
      <c r="BF140" s="42">
        <f>MAX(0,MIN(BC140+BD140-BE140,BB140))</f>
        <v/>
      </c>
      <c r="BG140" s="42">
        <f>ROUND(BC140+BD140-BE140-BF140,2)</f>
        <v/>
      </c>
      <c r="BH140">
        <f>BB140-BF140</f>
        <v/>
      </c>
      <c r="BI140" s="42">
        <f>BM139</f>
        <v/>
      </c>
      <c r="BJ140" s="42">
        <f>ROUND(BI140*BJ$6/12,2)</f>
        <v/>
      </c>
      <c r="BK140" s="42">
        <f>MIN(BK$6,BI140+BJ140)</f>
        <v/>
      </c>
      <c r="BL140" s="42">
        <f>MAX(0,MIN(BI140+BJ140-BK140,BH140))</f>
        <v/>
      </c>
      <c r="BM140" s="42">
        <f>ROUND(BI140+BJ140-BK140-BL140,2)</f>
        <v/>
      </c>
      <c r="BN140">
        <f>BH140-BL140</f>
        <v/>
      </c>
    </row>
    <row r="141">
      <c r="A141" s="43" t="n">
        <v>134</v>
      </c>
      <c r="B141" s="44">
        <f>EDATE('My Debts'!$C$6,A141-1)</f>
        <v/>
      </c>
      <c r="C141" s="45">
        <f>K141+Q141+W141+AC141+AI141+AO141+AU141+BA141+BG141+BM141</f>
        <v/>
      </c>
      <c r="D141" s="46">
        <f>I141+O141+U141+AA141+AG141+AM141+AS141+AY141+BE141+BK141+J141+P141+V141+AB141+AH141+AN141+AT141+AZ141+BF141+BL141</f>
        <v/>
      </c>
      <c r="E141" s="46">
        <f>H141+N141+T141+Z141+AF141+AL141+AR141+AX141+BD141+BJ141</f>
        <v/>
      </c>
      <c r="F141" t="n">
        <v>0</v>
      </c>
      <c r="G141" s="42">
        <f>K140</f>
        <v/>
      </c>
      <c r="H141" s="42">
        <f>ROUND(G141*H$6/12,2)</f>
        <v/>
      </c>
      <c r="I141" s="42">
        <f>MIN(I$6,G141+H141)</f>
        <v/>
      </c>
      <c r="J141" s="42">
        <f>MAX(0,MIN(G141+H141-I141,$F141))</f>
        <v/>
      </c>
      <c r="K141" s="42">
        <f>ROUND(G141+H141-I141-J141,2)</f>
        <v/>
      </c>
      <c r="L141">
        <f>$F141-J141</f>
        <v/>
      </c>
      <c r="M141" s="42">
        <f>Q140</f>
        <v/>
      </c>
      <c r="N141" s="42">
        <f>ROUND(M141*N$6/12,2)</f>
        <v/>
      </c>
      <c r="O141" s="42">
        <f>MIN(O$6,M141+N141)</f>
        <v/>
      </c>
      <c r="P141" s="42">
        <f>MAX(0,MIN(M141+N141-O141,L141))</f>
        <v/>
      </c>
      <c r="Q141" s="42">
        <f>ROUND(M141+N141-O141-P141,2)</f>
        <v/>
      </c>
      <c r="R141">
        <f>L141-P141</f>
        <v/>
      </c>
      <c r="S141" s="42">
        <f>W140</f>
        <v/>
      </c>
      <c r="T141" s="42">
        <f>ROUND(S141*T$6/12,2)</f>
        <v/>
      </c>
      <c r="U141" s="42">
        <f>MIN(U$6,S141+T141)</f>
        <v/>
      </c>
      <c r="V141" s="42">
        <f>MAX(0,MIN(S141+T141-U141,R141))</f>
        <v/>
      </c>
      <c r="W141" s="42">
        <f>ROUND(S141+T141-U141-V141,2)</f>
        <v/>
      </c>
      <c r="X141">
        <f>R141-V141</f>
        <v/>
      </c>
      <c r="Y141" s="42">
        <f>AC140</f>
        <v/>
      </c>
      <c r="Z141" s="42">
        <f>ROUND(Y141*Z$6/12,2)</f>
        <v/>
      </c>
      <c r="AA141" s="42">
        <f>MIN(AA$6,Y141+Z141)</f>
        <v/>
      </c>
      <c r="AB141" s="42">
        <f>MAX(0,MIN(Y141+Z141-AA141,X141))</f>
        <v/>
      </c>
      <c r="AC141" s="42">
        <f>ROUND(Y141+Z141-AA141-AB141,2)</f>
        <v/>
      </c>
      <c r="AD141">
        <f>X141-AB141</f>
        <v/>
      </c>
      <c r="AE141" s="42">
        <f>AI140</f>
        <v/>
      </c>
      <c r="AF141" s="42">
        <f>ROUND(AE141*AF$6/12,2)</f>
        <v/>
      </c>
      <c r="AG141" s="42">
        <f>MIN(AG$6,AE141+AF141)</f>
        <v/>
      </c>
      <c r="AH141" s="42">
        <f>MAX(0,MIN(AE141+AF141-AG141,AD141))</f>
        <v/>
      </c>
      <c r="AI141" s="42">
        <f>ROUND(AE141+AF141-AG141-AH141,2)</f>
        <v/>
      </c>
      <c r="AJ141">
        <f>AD141-AH141</f>
        <v/>
      </c>
      <c r="AK141" s="42">
        <f>AO140</f>
        <v/>
      </c>
      <c r="AL141" s="42">
        <f>ROUND(AK141*AL$6/12,2)</f>
        <v/>
      </c>
      <c r="AM141" s="42">
        <f>MIN(AM$6,AK141+AL141)</f>
        <v/>
      </c>
      <c r="AN141" s="42">
        <f>MAX(0,MIN(AK141+AL141-AM141,AJ141))</f>
        <v/>
      </c>
      <c r="AO141" s="42">
        <f>ROUND(AK141+AL141-AM141-AN141,2)</f>
        <v/>
      </c>
      <c r="AP141">
        <f>AJ141-AN141</f>
        <v/>
      </c>
      <c r="AQ141" s="42">
        <f>AU140</f>
        <v/>
      </c>
      <c r="AR141" s="42">
        <f>ROUND(AQ141*AR$6/12,2)</f>
        <v/>
      </c>
      <c r="AS141" s="42">
        <f>MIN(AS$6,AQ141+AR141)</f>
        <v/>
      </c>
      <c r="AT141" s="42">
        <f>MAX(0,MIN(AQ141+AR141-AS141,AP141))</f>
        <v/>
      </c>
      <c r="AU141" s="42">
        <f>ROUND(AQ141+AR141-AS141-AT141,2)</f>
        <v/>
      </c>
      <c r="AV141">
        <f>AP141-AT141</f>
        <v/>
      </c>
      <c r="AW141" s="42">
        <f>BA140</f>
        <v/>
      </c>
      <c r="AX141" s="42">
        <f>ROUND(AW141*AX$6/12,2)</f>
        <v/>
      </c>
      <c r="AY141" s="42">
        <f>MIN(AY$6,AW141+AX141)</f>
        <v/>
      </c>
      <c r="AZ141" s="42">
        <f>MAX(0,MIN(AW141+AX141-AY141,AV141))</f>
        <v/>
      </c>
      <c r="BA141" s="42">
        <f>ROUND(AW141+AX141-AY141-AZ141,2)</f>
        <v/>
      </c>
      <c r="BB141">
        <f>AV141-AZ141</f>
        <v/>
      </c>
      <c r="BC141" s="42">
        <f>BG140</f>
        <v/>
      </c>
      <c r="BD141" s="42">
        <f>ROUND(BC141*BD$6/12,2)</f>
        <v/>
      </c>
      <c r="BE141" s="42">
        <f>MIN(BE$6,BC141+BD141)</f>
        <v/>
      </c>
      <c r="BF141" s="42">
        <f>MAX(0,MIN(BC141+BD141-BE141,BB141))</f>
        <v/>
      </c>
      <c r="BG141" s="42">
        <f>ROUND(BC141+BD141-BE141-BF141,2)</f>
        <v/>
      </c>
      <c r="BH141">
        <f>BB141-BF141</f>
        <v/>
      </c>
      <c r="BI141" s="42">
        <f>BM140</f>
        <v/>
      </c>
      <c r="BJ141" s="42">
        <f>ROUND(BI141*BJ$6/12,2)</f>
        <v/>
      </c>
      <c r="BK141" s="42">
        <f>MIN(BK$6,BI141+BJ141)</f>
        <v/>
      </c>
      <c r="BL141" s="42">
        <f>MAX(0,MIN(BI141+BJ141-BK141,BH141))</f>
        <v/>
      </c>
      <c r="BM141" s="42">
        <f>ROUND(BI141+BJ141-BK141-BL141,2)</f>
        <v/>
      </c>
      <c r="BN141">
        <f>BH141-BL141</f>
        <v/>
      </c>
    </row>
    <row r="142">
      <c r="A142" s="39" t="n">
        <v>135</v>
      </c>
      <c r="B142" s="40">
        <f>EDATE('My Debts'!$C$6,A142-1)</f>
        <v/>
      </c>
      <c r="C142" s="41">
        <f>K142+Q142+W142+AC142+AI142+AO142+AU142+BA142+BG142+BM142</f>
        <v/>
      </c>
      <c r="D142" s="42">
        <f>I142+O142+U142+AA142+AG142+AM142+AS142+AY142+BE142+BK142+J142+P142+V142+AB142+AH142+AN142+AT142+AZ142+BF142+BL142</f>
        <v/>
      </c>
      <c r="E142" s="42">
        <f>H142+N142+T142+Z142+AF142+AL142+AR142+AX142+BD142+BJ142</f>
        <v/>
      </c>
      <c r="F142" t="n">
        <v>0</v>
      </c>
      <c r="G142" s="42">
        <f>K141</f>
        <v/>
      </c>
      <c r="H142" s="42">
        <f>ROUND(G142*H$6/12,2)</f>
        <v/>
      </c>
      <c r="I142" s="42">
        <f>MIN(I$6,G142+H142)</f>
        <v/>
      </c>
      <c r="J142" s="42">
        <f>MAX(0,MIN(G142+H142-I142,$F142))</f>
        <v/>
      </c>
      <c r="K142" s="42">
        <f>ROUND(G142+H142-I142-J142,2)</f>
        <v/>
      </c>
      <c r="L142">
        <f>$F142-J142</f>
        <v/>
      </c>
      <c r="M142" s="42">
        <f>Q141</f>
        <v/>
      </c>
      <c r="N142" s="42">
        <f>ROUND(M142*N$6/12,2)</f>
        <v/>
      </c>
      <c r="O142" s="42">
        <f>MIN(O$6,M142+N142)</f>
        <v/>
      </c>
      <c r="P142" s="42">
        <f>MAX(0,MIN(M142+N142-O142,L142))</f>
        <v/>
      </c>
      <c r="Q142" s="42">
        <f>ROUND(M142+N142-O142-P142,2)</f>
        <v/>
      </c>
      <c r="R142">
        <f>L142-P142</f>
        <v/>
      </c>
      <c r="S142" s="42">
        <f>W141</f>
        <v/>
      </c>
      <c r="T142" s="42">
        <f>ROUND(S142*T$6/12,2)</f>
        <v/>
      </c>
      <c r="U142" s="42">
        <f>MIN(U$6,S142+T142)</f>
        <v/>
      </c>
      <c r="V142" s="42">
        <f>MAX(0,MIN(S142+T142-U142,R142))</f>
        <v/>
      </c>
      <c r="W142" s="42">
        <f>ROUND(S142+T142-U142-V142,2)</f>
        <v/>
      </c>
      <c r="X142">
        <f>R142-V142</f>
        <v/>
      </c>
      <c r="Y142" s="42">
        <f>AC141</f>
        <v/>
      </c>
      <c r="Z142" s="42">
        <f>ROUND(Y142*Z$6/12,2)</f>
        <v/>
      </c>
      <c r="AA142" s="42">
        <f>MIN(AA$6,Y142+Z142)</f>
        <v/>
      </c>
      <c r="AB142" s="42">
        <f>MAX(0,MIN(Y142+Z142-AA142,X142))</f>
        <v/>
      </c>
      <c r="AC142" s="42">
        <f>ROUND(Y142+Z142-AA142-AB142,2)</f>
        <v/>
      </c>
      <c r="AD142">
        <f>X142-AB142</f>
        <v/>
      </c>
      <c r="AE142" s="42">
        <f>AI141</f>
        <v/>
      </c>
      <c r="AF142" s="42">
        <f>ROUND(AE142*AF$6/12,2)</f>
        <v/>
      </c>
      <c r="AG142" s="42">
        <f>MIN(AG$6,AE142+AF142)</f>
        <v/>
      </c>
      <c r="AH142" s="42">
        <f>MAX(0,MIN(AE142+AF142-AG142,AD142))</f>
        <v/>
      </c>
      <c r="AI142" s="42">
        <f>ROUND(AE142+AF142-AG142-AH142,2)</f>
        <v/>
      </c>
      <c r="AJ142">
        <f>AD142-AH142</f>
        <v/>
      </c>
      <c r="AK142" s="42">
        <f>AO141</f>
        <v/>
      </c>
      <c r="AL142" s="42">
        <f>ROUND(AK142*AL$6/12,2)</f>
        <v/>
      </c>
      <c r="AM142" s="42">
        <f>MIN(AM$6,AK142+AL142)</f>
        <v/>
      </c>
      <c r="AN142" s="42">
        <f>MAX(0,MIN(AK142+AL142-AM142,AJ142))</f>
        <v/>
      </c>
      <c r="AO142" s="42">
        <f>ROUND(AK142+AL142-AM142-AN142,2)</f>
        <v/>
      </c>
      <c r="AP142">
        <f>AJ142-AN142</f>
        <v/>
      </c>
      <c r="AQ142" s="42">
        <f>AU141</f>
        <v/>
      </c>
      <c r="AR142" s="42">
        <f>ROUND(AQ142*AR$6/12,2)</f>
        <v/>
      </c>
      <c r="AS142" s="42">
        <f>MIN(AS$6,AQ142+AR142)</f>
        <v/>
      </c>
      <c r="AT142" s="42">
        <f>MAX(0,MIN(AQ142+AR142-AS142,AP142))</f>
        <v/>
      </c>
      <c r="AU142" s="42">
        <f>ROUND(AQ142+AR142-AS142-AT142,2)</f>
        <v/>
      </c>
      <c r="AV142">
        <f>AP142-AT142</f>
        <v/>
      </c>
      <c r="AW142" s="42">
        <f>BA141</f>
        <v/>
      </c>
      <c r="AX142" s="42">
        <f>ROUND(AW142*AX$6/12,2)</f>
        <v/>
      </c>
      <c r="AY142" s="42">
        <f>MIN(AY$6,AW142+AX142)</f>
        <v/>
      </c>
      <c r="AZ142" s="42">
        <f>MAX(0,MIN(AW142+AX142-AY142,AV142))</f>
        <v/>
      </c>
      <c r="BA142" s="42">
        <f>ROUND(AW142+AX142-AY142-AZ142,2)</f>
        <v/>
      </c>
      <c r="BB142">
        <f>AV142-AZ142</f>
        <v/>
      </c>
      <c r="BC142" s="42">
        <f>BG141</f>
        <v/>
      </c>
      <c r="BD142" s="42">
        <f>ROUND(BC142*BD$6/12,2)</f>
        <v/>
      </c>
      <c r="BE142" s="42">
        <f>MIN(BE$6,BC142+BD142)</f>
        <v/>
      </c>
      <c r="BF142" s="42">
        <f>MAX(0,MIN(BC142+BD142-BE142,BB142))</f>
        <v/>
      </c>
      <c r="BG142" s="42">
        <f>ROUND(BC142+BD142-BE142-BF142,2)</f>
        <v/>
      </c>
      <c r="BH142">
        <f>BB142-BF142</f>
        <v/>
      </c>
      <c r="BI142" s="42">
        <f>BM141</f>
        <v/>
      </c>
      <c r="BJ142" s="42">
        <f>ROUND(BI142*BJ$6/12,2)</f>
        <v/>
      </c>
      <c r="BK142" s="42">
        <f>MIN(BK$6,BI142+BJ142)</f>
        <v/>
      </c>
      <c r="BL142" s="42">
        <f>MAX(0,MIN(BI142+BJ142-BK142,BH142))</f>
        <v/>
      </c>
      <c r="BM142" s="42">
        <f>ROUND(BI142+BJ142-BK142-BL142,2)</f>
        <v/>
      </c>
      <c r="BN142">
        <f>BH142-BL142</f>
        <v/>
      </c>
    </row>
    <row r="143">
      <c r="A143" s="43" t="n">
        <v>136</v>
      </c>
      <c r="B143" s="44">
        <f>EDATE('My Debts'!$C$6,A143-1)</f>
        <v/>
      </c>
      <c r="C143" s="45">
        <f>K143+Q143+W143+AC143+AI143+AO143+AU143+BA143+BG143+BM143</f>
        <v/>
      </c>
      <c r="D143" s="46">
        <f>I143+O143+U143+AA143+AG143+AM143+AS143+AY143+BE143+BK143+J143+P143+V143+AB143+AH143+AN143+AT143+AZ143+BF143+BL143</f>
        <v/>
      </c>
      <c r="E143" s="46">
        <f>H143+N143+T143+Z143+AF143+AL143+AR143+AX143+BD143+BJ143</f>
        <v/>
      </c>
      <c r="F143" t="n">
        <v>0</v>
      </c>
      <c r="G143" s="42">
        <f>K142</f>
        <v/>
      </c>
      <c r="H143" s="42">
        <f>ROUND(G143*H$6/12,2)</f>
        <v/>
      </c>
      <c r="I143" s="42">
        <f>MIN(I$6,G143+H143)</f>
        <v/>
      </c>
      <c r="J143" s="42">
        <f>MAX(0,MIN(G143+H143-I143,$F143))</f>
        <v/>
      </c>
      <c r="K143" s="42">
        <f>ROUND(G143+H143-I143-J143,2)</f>
        <v/>
      </c>
      <c r="L143">
        <f>$F143-J143</f>
        <v/>
      </c>
      <c r="M143" s="42">
        <f>Q142</f>
        <v/>
      </c>
      <c r="N143" s="42">
        <f>ROUND(M143*N$6/12,2)</f>
        <v/>
      </c>
      <c r="O143" s="42">
        <f>MIN(O$6,M143+N143)</f>
        <v/>
      </c>
      <c r="P143" s="42">
        <f>MAX(0,MIN(M143+N143-O143,L143))</f>
        <v/>
      </c>
      <c r="Q143" s="42">
        <f>ROUND(M143+N143-O143-P143,2)</f>
        <v/>
      </c>
      <c r="R143">
        <f>L143-P143</f>
        <v/>
      </c>
      <c r="S143" s="42">
        <f>W142</f>
        <v/>
      </c>
      <c r="T143" s="42">
        <f>ROUND(S143*T$6/12,2)</f>
        <v/>
      </c>
      <c r="U143" s="42">
        <f>MIN(U$6,S143+T143)</f>
        <v/>
      </c>
      <c r="V143" s="42">
        <f>MAX(0,MIN(S143+T143-U143,R143))</f>
        <v/>
      </c>
      <c r="W143" s="42">
        <f>ROUND(S143+T143-U143-V143,2)</f>
        <v/>
      </c>
      <c r="X143">
        <f>R143-V143</f>
        <v/>
      </c>
      <c r="Y143" s="42">
        <f>AC142</f>
        <v/>
      </c>
      <c r="Z143" s="42">
        <f>ROUND(Y143*Z$6/12,2)</f>
        <v/>
      </c>
      <c r="AA143" s="42">
        <f>MIN(AA$6,Y143+Z143)</f>
        <v/>
      </c>
      <c r="AB143" s="42">
        <f>MAX(0,MIN(Y143+Z143-AA143,X143))</f>
        <v/>
      </c>
      <c r="AC143" s="42">
        <f>ROUND(Y143+Z143-AA143-AB143,2)</f>
        <v/>
      </c>
      <c r="AD143">
        <f>X143-AB143</f>
        <v/>
      </c>
      <c r="AE143" s="42">
        <f>AI142</f>
        <v/>
      </c>
      <c r="AF143" s="42">
        <f>ROUND(AE143*AF$6/12,2)</f>
        <v/>
      </c>
      <c r="AG143" s="42">
        <f>MIN(AG$6,AE143+AF143)</f>
        <v/>
      </c>
      <c r="AH143" s="42">
        <f>MAX(0,MIN(AE143+AF143-AG143,AD143))</f>
        <v/>
      </c>
      <c r="AI143" s="42">
        <f>ROUND(AE143+AF143-AG143-AH143,2)</f>
        <v/>
      </c>
      <c r="AJ143">
        <f>AD143-AH143</f>
        <v/>
      </c>
      <c r="AK143" s="42">
        <f>AO142</f>
        <v/>
      </c>
      <c r="AL143" s="42">
        <f>ROUND(AK143*AL$6/12,2)</f>
        <v/>
      </c>
      <c r="AM143" s="42">
        <f>MIN(AM$6,AK143+AL143)</f>
        <v/>
      </c>
      <c r="AN143" s="42">
        <f>MAX(0,MIN(AK143+AL143-AM143,AJ143))</f>
        <v/>
      </c>
      <c r="AO143" s="42">
        <f>ROUND(AK143+AL143-AM143-AN143,2)</f>
        <v/>
      </c>
      <c r="AP143">
        <f>AJ143-AN143</f>
        <v/>
      </c>
      <c r="AQ143" s="42">
        <f>AU142</f>
        <v/>
      </c>
      <c r="AR143" s="42">
        <f>ROUND(AQ143*AR$6/12,2)</f>
        <v/>
      </c>
      <c r="AS143" s="42">
        <f>MIN(AS$6,AQ143+AR143)</f>
        <v/>
      </c>
      <c r="AT143" s="42">
        <f>MAX(0,MIN(AQ143+AR143-AS143,AP143))</f>
        <v/>
      </c>
      <c r="AU143" s="42">
        <f>ROUND(AQ143+AR143-AS143-AT143,2)</f>
        <v/>
      </c>
      <c r="AV143">
        <f>AP143-AT143</f>
        <v/>
      </c>
      <c r="AW143" s="42">
        <f>BA142</f>
        <v/>
      </c>
      <c r="AX143" s="42">
        <f>ROUND(AW143*AX$6/12,2)</f>
        <v/>
      </c>
      <c r="AY143" s="42">
        <f>MIN(AY$6,AW143+AX143)</f>
        <v/>
      </c>
      <c r="AZ143" s="42">
        <f>MAX(0,MIN(AW143+AX143-AY143,AV143))</f>
        <v/>
      </c>
      <c r="BA143" s="42">
        <f>ROUND(AW143+AX143-AY143-AZ143,2)</f>
        <v/>
      </c>
      <c r="BB143">
        <f>AV143-AZ143</f>
        <v/>
      </c>
      <c r="BC143" s="42">
        <f>BG142</f>
        <v/>
      </c>
      <c r="BD143" s="42">
        <f>ROUND(BC143*BD$6/12,2)</f>
        <v/>
      </c>
      <c r="BE143" s="42">
        <f>MIN(BE$6,BC143+BD143)</f>
        <v/>
      </c>
      <c r="BF143" s="42">
        <f>MAX(0,MIN(BC143+BD143-BE143,BB143))</f>
        <v/>
      </c>
      <c r="BG143" s="42">
        <f>ROUND(BC143+BD143-BE143-BF143,2)</f>
        <v/>
      </c>
      <c r="BH143">
        <f>BB143-BF143</f>
        <v/>
      </c>
      <c r="BI143" s="42">
        <f>BM142</f>
        <v/>
      </c>
      <c r="BJ143" s="42">
        <f>ROUND(BI143*BJ$6/12,2)</f>
        <v/>
      </c>
      <c r="BK143" s="42">
        <f>MIN(BK$6,BI143+BJ143)</f>
        <v/>
      </c>
      <c r="BL143" s="42">
        <f>MAX(0,MIN(BI143+BJ143-BK143,BH143))</f>
        <v/>
      </c>
      <c r="BM143" s="42">
        <f>ROUND(BI143+BJ143-BK143-BL143,2)</f>
        <v/>
      </c>
      <c r="BN143">
        <f>BH143-BL143</f>
        <v/>
      </c>
    </row>
    <row r="144">
      <c r="A144" s="39" t="n">
        <v>137</v>
      </c>
      <c r="B144" s="40">
        <f>EDATE('My Debts'!$C$6,A144-1)</f>
        <v/>
      </c>
      <c r="C144" s="41">
        <f>K144+Q144+W144+AC144+AI144+AO144+AU144+BA144+BG144+BM144</f>
        <v/>
      </c>
      <c r="D144" s="42">
        <f>I144+O144+U144+AA144+AG144+AM144+AS144+AY144+BE144+BK144+J144+P144+V144+AB144+AH144+AN144+AT144+AZ144+BF144+BL144</f>
        <v/>
      </c>
      <c r="E144" s="42">
        <f>H144+N144+T144+Z144+AF144+AL144+AR144+AX144+BD144+BJ144</f>
        <v/>
      </c>
      <c r="F144" t="n">
        <v>0</v>
      </c>
      <c r="G144" s="42">
        <f>K143</f>
        <v/>
      </c>
      <c r="H144" s="42">
        <f>ROUND(G144*H$6/12,2)</f>
        <v/>
      </c>
      <c r="I144" s="42">
        <f>MIN(I$6,G144+H144)</f>
        <v/>
      </c>
      <c r="J144" s="42">
        <f>MAX(0,MIN(G144+H144-I144,$F144))</f>
        <v/>
      </c>
      <c r="K144" s="42">
        <f>ROUND(G144+H144-I144-J144,2)</f>
        <v/>
      </c>
      <c r="L144">
        <f>$F144-J144</f>
        <v/>
      </c>
      <c r="M144" s="42">
        <f>Q143</f>
        <v/>
      </c>
      <c r="N144" s="42">
        <f>ROUND(M144*N$6/12,2)</f>
        <v/>
      </c>
      <c r="O144" s="42">
        <f>MIN(O$6,M144+N144)</f>
        <v/>
      </c>
      <c r="P144" s="42">
        <f>MAX(0,MIN(M144+N144-O144,L144))</f>
        <v/>
      </c>
      <c r="Q144" s="42">
        <f>ROUND(M144+N144-O144-P144,2)</f>
        <v/>
      </c>
      <c r="R144">
        <f>L144-P144</f>
        <v/>
      </c>
      <c r="S144" s="42">
        <f>W143</f>
        <v/>
      </c>
      <c r="T144" s="42">
        <f>ROUND(S144*T$6/12,2)</f>
        <v/>
      </c>
      <c r="U144" s="42">
        <f>MIN(U$6,S144+T144)</f>
        <v/>
      </c>
      <c r="V144" s="42">
        <f>MAX(0,MIN(S144+T144-U144,R144))</f>
        <v/>
      </c>
      <c r="W144" s="42">
        <f>ROUND(S144+T144-U144-V144,2)</f>
        <v/>
      </c>
      <c r="X144">
        <f>R144-V144</f>
        <v/>
      </c>
      <c r="Y144" s="42">
        <f>AC143</f>
        <v/>
      </c>
      <c r="Z144" s="42">
        <f>ROUND(Y144*Z$6/12,2)</f>
        <v/>
      </c>
      <c r="AA144" s="42">
        <f>MIN(AA$6,Y144+Z144)</f>
        <v/>
      </c>
      <c r="AB144" s="42">
        <f>MAX(0,MIN(Y144+Z144-AA144,X144))</f>
        <v/>
      </c>
      <c r="AC144" s="42">
        <f>ROUND(Y144+Z144-AA144-AB144,2)</f>
        <v/>
      </c>
      <c r="AD144">
        <f>X144-AB144</f>
        <v/>
      </c>
      <c r="AE144" s="42">
        <f>AI143</f>
        <v/>
      </c>
      <c r="AF144" s="42">
        <f>ROUND(AE144*AF$6/12,2)</f>
        <v/>
      </c>
      <c r="AG144" s="42">
        <f>MIN(AG$6,AE144+AF144)</f>
        <v/>
      </c>
      <c r="AH144" s="42">
        <f>MAX(0,MIN(AE144+AF144-AG144,AD144))</f>
        <v/>
      </c>
      <c r="AI144" s="42">
        <f>ROUND(AE144+AF144-AG144-AH144,2)</f>
        <v/>
      </c>
      <c r="AJ144">
        <f>AD144-AH144</f>
        <v/>
      </c>
      <c r="AK144" s="42">
        <f>AO143</f>
        <v/>
      </c>
      <c r="AL144" s="42">
        <f>ROUND(AK144*AL$6/12,2)</f>
        <v/>
      </c>
      <c r="AM144" s="42">
        <f>MIN(AM$6,AK144+AL144)</f>
        <v/>
      </c>
      <c r="AN144" s="42">
        <f>MAX(0,MIN(AK144+AL144-AM144,AJ144))</f>
        <v/>
      </c>
      <c r="AO144" s="42">
        <f>ROUND(AK144+AL144-AM144-AN144,2)</f>
        <v/>
      </c>
      <c r="AP144">
        <f>AJ144-AN144</f>
        <v/>
      </c>
      <c r="AQ144" s="42">
        <f>AU143</f>
        <v/>
      </c>
      <c r="AR144" s="42">
        <f>ROUND(AQ144*AR$6/12,2)</f>
        <v/>
      </c>
      <c r="AS144" s="42">
        <f>MIN(AS$6,AQ144+AR144)</f>
        <v/>
      </c>
      <c r="AT144" s="42">
        <f>MAX(0,MIN(AQ144+AR144-AS144,AP144))</f>
        <v/>
      </c>
      <c r="AU144" s="42">
        <f>ROUND(AQ144+AR144-AS144-AT144,2)</f>
        <v/>
      </c>
      <c r="AV144">
        <f>AP144-AT144</f>
        <v/>
      </c>
      <c r="AW144" s="42">
        <f>BA143</f>
        <v/>
      </c>
      <c r="AX144" s="42">
        <f>ROUND(AW144*AX$6/12,2)</f>
        <v/>
      </c>
      <c r="AY144" s="42">
        <f>MIN(AY$6,AW144+AX144)</f>
        <v/>
      </c>
      <c r="AZ144" s="42">
        <f>MAX(0,MIN(AW144+AX144-AY144,AV144))</f>
        <v/>
      </c>
      <c r="BA144" s="42">
        <f>ROUND(AW144+AX144-AY144-AZ144,2)</f>
        <v/>
      </c>
      <c r="BB144">
        <f>AV144-AZ144</f>
        <v/>
      </c>
      <c r="BC144" s="42">
        <f>BG143</f>
        <v/>
      </c>
      <c r="BD144" s="42">
        <f>ROUND(BC144*BD$6/12,2)</f>
        <v/>
      </c>
      <c r="BE144" s="42">
        <f>MIN(BE$6,BC144+BD144)</f>
        <v/>
      </c>
      <c r="BF144" s="42">
        <f>MAX(0,MIN(BC144+BD144-BE144,BB144))</f>
        <v/>
      </c>
      <c r="BG144" s="42">
        <f>ROUND(BC144+BD144-BE144-BF144,2)</f>
        <v/>
      </c>
      <c r="BH144">
        <f>BB144-BF144</f>
        <v/>
      </c>
      <c r="BI144" s="42">
        <f>BM143</f>
        <v/>
      </c>
      <c r="BJ144" s="42">
        <f>ROUND(BI144*BJ$6/12,2)</f>
        <v/>
      </c>
      <c r="BK144" s="42">
        <f>MIN(BK$6,BI144+BJ144)</f>
        <v/>
      </c>
      <c r="BL144" s="42">
        <f>MAX(0,MIN(BI144+BJ144-BK144,BH144))</f>
        <v/>
      </c>
      <c r="BM144" s="42">
        <f>ROUND(BI144+BJ144-BK144-BL144,2)</f>
        <v/>
      </c>
      <c r="BN144">
        <f>BH144-BL144</f>
        <v/>
      </c>
    </row>
    <row r="145">
      <c r="A145" s="43" t="n">
        <v>138</v>
      </c>
      <c r="B145" s="44">
        <f>EDATE('My Debts'!$C$6,A145-1)</f>
        <v/>
      </c>
      <c r="C145" s="45">
        <f>K145+Q145+W145+AC145+AI145+AO145+AU145+BA145+BG145+BM145</f>
        <v/>
      </c>
      <c r="D145" s="46">
        <f>I145+O145+U145+AA145+AG145+AM145+AS145+AY145+BE145+BK145+J145+P145+V145+AB145+AH145+AN145+AT145+AZ145+BF145+BL145</f>
        <v/>
      </c>
      <c r="E145" s="46">
        <f>H145+N145+T145+Z145+AF145+AL145+AR145+AX145+BD145+BJ145</f>
        <v/>
      </c>
      <c r="F145" t="n">
        <v>0</v>
      </c>
      <c r="G145" s="42">
        <f>K144</f>
        <v/>
      </c>
      <c r="H145" s="42">
        <f>ROUND(G145*H$6/12,2)</f>
        <v/>
      </c>
      <c r="I145" s="42">
        <f>MIN(I$6,G145+H145)</f>
        <v/>
      </c>
      <c r="J145" s="42">
        <f>MAX(0,MIN(G145+H145-I145,$F145))</f>
        <v/>
      </c>
      <c r="K145" s="42">
        <f>ROUND(G145+H145-I145-J145,2)</f>
        <v/>
      </c>
      <c r="L145">
        <f>$F145-J145</f>
        <v/>
      </c>
      <c r="M145" s="42">
        <f>Q144</f>
        <v/>
      </c>
      <c r="N145" s="42">
        <f>ROUND(M145*N$6/12,2)</f>
        <v/>
      </c>
      <c r="O145" s="42">
        <f>MIN(O$6,M145+N145)</f>
        <v/>
      </c>
      <c r="P145" s="42">
        <f>MAX(0,MIN(M145+N145-O145,L145))</f>
        <v/>
      </c>
      <c r="Q145" s="42">
        <f>ROUND(M145+N145-O145-P145,2)</f>
        <v/>
      </c>
      <c r="R145">
        <f>L145-P145</f>
        <v/>
      </c>
      <c r="S145" s="42">
        <f>W144</f>
        <v/>
      </c>
      <c r="T145" s="42">
        <f>ROUND(S145*T$6/12,2)</f>
        <v/>
      </c>
      <c r="U145" s="42">
        <f>MIN(U$6,S145+T145)</f>
        <v/>
      </c>
      <c r="V145" s="42">
        <f>MAX(0,MIN(S145+T145-U145,R145))</f>
        <v/>
      </c>
      <c r="W145" s="42">
        <f>ROUND(S145+T145-U145-V145,2)</f>
        <v/>
      </c>
      <c r="X145">
        <f>R145-V145</f>
        <v/>
      </c>
      <c r="Y145" s="42">
        <f>AC144</f>
        <v/>
      </c>
      <c r="Z145" s="42">
        <f>ROUND(Y145*Z$6/12,2)</f>
        <v/>
      </c>
      <c r="AA145" s="42">
        <f>MIN(AA$6,Y145+Z145)</f>
        <v/>
      </c>
      <c r="AB145" s="42">
        <f>MAX(0,MIN(Y145+Z145-AA145,X145))</f>
        <v/>
      </c>
      <c r="AC145" s="42">
        <f>ROUND(Y145+Z145-AA145-AB145,2)</f>
        <v/>
      </c>
      <c r="AD145">
        <f>X145-AB145</f>
        <v/>
      </c>
      <c r="AE145" s="42">
        <f>AI144</f>
        <v/>
      </c>
      <c r="AF145" s="42">
        <f>ROUND(AE145*AF$6/12,2)</f>
        <v/>
      </c>
      <c r="AG145" s="42">
        <f>MIN(AG$6,AE145+AF145)</f>
        <v/>
      </c>
      <c r="AH145" s="42">
        <f>MAX(0,MIN(AE145+AF145-AG145,AD145))</f>
        <v/>
      </c>
      <c r="AI145" s="42">
        <f>ROUND(AE145+AF145-AG145-AH145,2)</f>
        <v/>
      </c>
      <c r="AJ145">
        <f>AD145-AH145</f>
        <v/>
      </c>
      <c r="AK145" s="42">
        <f>AO144</f>
        <v/>
      </c>
      <c r="AL145" s="42">
        <f>ROUND(AK145*AL$6/12,2)</f>
        <v/>
      </c>
      <c r="AM145" s="42">
        <f>MIN(AM$6,AK145+AL145)</f>
        <v/>
      </c>
      <c r="AN145" s="42">
        <f>MAX(0,MIN(AK145+AL145-AM145,AJ145))</f>
        <v/>
      </c>
      <c r="AO145" s="42">
        <f>ROUND(AK145+AL145-AM145-AN145,2)</f>
        <v/>
      </c>
      <c r="AP145">
        <f>AJ145-AN145</f>
        <v/>
      </c>
      <c r="AQ145" s="42">
        <f>AU144</f>
        <v/>
      </c>
      <c r="AR145" s="42">
        <f>ROUND(AQ145*AR$6/12,2)</f>
        <v/>
      </c>
      <c r="AS145" s="42">
        <f>MIN(AS$6,AQ145+AR145)</f>
        <v/>
      </c>
      <c r="AT145" s="42">
        <f>MAX(0,MIN(AQ145+AR145-AS145,AP145))</f>
        <v/>
      </c>
      <c r="AU145" s="42">
        <f>ROUND(AQ145+AR145-AS145-AT145,2)</f>
        <v/>
      </c>
      <c r="AV145">
        <f>AP145-AT145</f>
        <v/>
      </c>
      <c r="AW145" s="42">
        <f>BA144</f>
        <v/>
      </c>
      <c r="AX145" s="42">
        <f>ROUND(AW145*AX$6/12,2)</f>
        <v/>
      </c>
      <c r="AY145" s="42">
        <f>MIN(AY$6,AW145+AX145)</f>
        <v/>
      </c>
      <c r="AZ145" s="42">
        <f>MAX(0,MIN(AW145+AX145-AY145,AV145))</f>
        <v/>
      </c>
      <c r="BA145" s="42">
        <f>ROUND(AW145+AX145-AY145-AZ145,2)</f>
        <v/>
      </c>
      <c r="BB145">
        <f>AV145-AZ145</f>
        <v/>
      </c>
      <c r="BC145" s="42">
        <f>BG144</f>
        <v/>
      </c>
      <c r="BD145" s="42">
        <f>ROUND(BC145*BD$6/12,2)</f>
        <v/>
      </c>
      <c r="BE145" s="42">
        <f>MIN(BE$6,BC145+BD145)</f>
        <v/>
      </c>
      <c r="BF145" s="42">
        <f>MAX(0,MIN(BC145+BD145-BE145,BB145))</f>
        <v/>
      </c>
      <c r="BG145" s="42">
        <f>ROUND(BC145+BD145-BE145-BF145,2)</f>
        <v/>
      </c>
      <c r="BH145">
        <f>BB145-BF145</f>
        <v/>
      </c>
      <c r="BI145" s="42">
        <f>BM144</f>
        <v/>
      </c>
      <c r="BJ145" s="42">
        <f>ROUND(BI145*BJ$6/12,2)</f>
        <v/>
      </c>
      <c r="BK145" s="42">
        <f>MIN(BK$6,BI145+BJ145)</f>
        <v/>
      </c>
      <c r="BL145" s="42">
        <f>MAX(0,MIN(BI145+BJ145-BK145,BH145))</f>
        <v/>
      </c>
      <c r="BM145" s="42">
        <f>ROUND(BI145+BJ145-BK145-BL145,2)</f>
        <v/>
      </c>
      <c r="BN145">
        <f>BH145-BL145</f>
        <v/>
      </c>
    </row>
    <row r="146">
      <c r="A146" s="39" t="n">
        <v>139</v>
      </c>
      <c r="B146" s="40">
        <f>EDATE('My Debts'!$C$6,A146-1)</f>
        <v/>
      </c>
      <c r="C146" s="41">
        <f>K146+Q146+W146+AC146+AI146+AO146+AU146+BA146+BG146+BM146</f>
        <v/>
      </c>
      <c r="D146" s="42">
        <f>I146+O146+U146+AA146+AG146+AM146+AS146+AY146+BE146+BK146+J146+P146+V146+AB146+AH146+AN146+AT146+AZ146+BF146+BL146</f>
        <v/>
      </c>
      <c r="E146" s="42">
        <f>H146+N146+T146+Z146+AF146+AL146+AR146+AX146+BD146+BJ146</f>
        <v/>
      </c>
      <c r="F146" t="n">
        <v>0</v>
      </c>
      <c r="G146" s="42">
        <f>K145</f>
        <v/>
      </c>
      <c r="H146" s="42">
        <f>ROUND(G146*H$6/12,2)</f>
        <v/>
      </c>
      <c r="I146" s="42">
        <f>MIN(I$6,G146+H146)</f>
        <v/>
      </c>
      <c r="J146" s="42">
        <f>MAX(0,MIN(G146+H146-I146,$F146))</f>
        <v/>
      </c>
      <c r="K146" s="42">
        <f>ROUND(G146+H146-I146-J146,2)</f>
        <v/>
      </c>
      <c r="L146">
        <f>$F146-J146</f>
        <v/>
      </c>
      <c r="M146" s="42">
        <f>Q145</f>
        <v/>
      </c>
      <c r="N146" s="42">
        <f>ROUND(M146*N$6/12,2)</f>
        <v/>
      </c>
      <c r="O146" s="42">
        <f>MIN(O$6,M146+N146)</f>
        <v/>
      </c>
      <c r="P146" s="42">
        <f>MAX(0,MIN(M146+N146-O146,L146))</f>
        <v/>
      </c>
      <c r="Q146" s="42">
        <f>ROUND(M146+N146-O146-P146,2)</f>
        <v/>
      </c>
      <c r="R146">
        <f>L146-P146</f>
        <v/>
      </c>
      <c r="S146" s="42">
        <f>W145</f>
        <v/>
      </c>
      <c r="T146" s="42">
        <f>ROUND(S146*T$6/12,2)</f>
        <v/>
      </c>
      <c r="U146" s="42">
        <f>MIN(U$6,S146+T146)</f>
        <v/>
      </c>
      <c r="V146" s="42">
        <f>MAX(0,MIN(S146+T146-U146,R146))</f>
        <v/>
      </c>
      <c r="W146" s="42">
        <f>ROUND(S146+T146-U146-V146,2)</f>
        <v/>
      </c>
      <c r="X146">
        <f>R146-V146</f>
        <v/>
      </c>
      <c r="Y146" s="42">
        <f>AC145</f>
        <v/>
      </c>
      <c r="Z146" s="42">
        <f>ROUND(Y146*Z$6/12,2)</f>
        <v/>
      </c>
      <c r="AA146" s="42">
        <f>MIN(AA$6,Y146+Z146)</f>
        <v/>
      </c>
      <c r="AB146" s="42">
        <f>MAX(0,MIN(Y146+Z146-AA146,X146))</f>
        <v/>
      </c>
      <c r="AC146" s="42">
        <f>ROUND(Y146+Z146-AA146-AB146,2)</f>
        <v/>
      </c>
      <c r="AD146">
        <f>X146-AB146</f>
        <v/>
      </c>
      <c r="AE146" s="42">
        <f>AI145</f>
        <v/>
      </c>
      <c r="AF146" s="42">
        <f>ROUND(AE146*AF$6/12,2)</f>
        <v/>
      </c>
      <c r="AG146" s="42">
        <f>MIN(AG$6,AE146+AF146)</f>
        <v/>
      </c>
      <c r="AH146" s="42">
        <f>MAX(0,MIN(AE146+AF146-AG146,AD146))</f>
        <v/>
      </c>
      <c r="AI146" s="42">
        <f>ROUND(AE146+AF146-AG146-AH146,2)</f>
        <v/>
      </c>
      <c r="AJ146">
        <f>AD146-AH146</f>
        <v/>
      </c>
      <c r="AK146" s="42">
        <f>AO145</f>
        <v/>
      </c>
      <c r="AL146" s="42">
        <f>ROUND(AK146*AL$6/12,2)</f>
        <v/>
      </c>
      <c r="AM146" s="42">
        <f>MIN(AM$6,AK146+AL146)</f>
        <v/>
      </c>
      <c r="AN146" s="42">
        <f>MAX(0,MIN(AK146+AL146-AM146,AJ146))</f>
        <v/>
      </c>
      <c r="AO146" s="42">
        <f>ROUND(AK146+AL146-AM146-AN146,2)</f>
        <v/>
      </c>
      <c r="AP146">
        <f>AJ146-AN146</f>
        <v/>
      </c>
      <c r="AQ146" s="42">
        <f>AU145</f>
        <v/>
      </c>
      <c r="AR146" s="42">
        <f>ROUND(AQ146*AR$6/12,2)</f>
        <v/>
      </c>
      <c r="AS146" s="42">
        <f>MIN(AS$6,AQ146+AR146)</f>
        <v/>
      </c>
      <c r="AT146" s="42">
        <f>MAX(0,MIN(AQ146+AR146-AS146,AP146))</f>
        <v/>
      </c>
      <c r="AU146" s="42">
        <f>ROUND(AQ146+AR146-AS146-AT146,2)</f>
        <v/>
      </c>
      <c r="AV146">
        <f>AP146-AT146</f>
        <v/>
      </c>
      <c r="AW146" s="42">
        <f>BA145</f>
        <v/>
      </c>
      <c r="AX146" s="42">
        <f>ROUND(AW146*AX$6/12,2)</f>
        <v/>
      </c>
      <c r="AY146" s="42">
        <f>MIN(AY$6,AW146+AX146)</f>
        <v/>
      </c>
      <c r="AZ146" s="42">
        <f>MAX(0,MIN(AW146+AX146-AY146,AV146))</f>
        <v/>
      </c>
      <c r="BA146" s="42">
        <f>ROUND(AW146+AX146-AY146-AZ146,2)</f>
        <v/>
      </c>
      <c r="BB146">
        <f>AV146-AZ146</f>
        <v/>
      </c>
      <c r="BC146" s="42">
        <f>BG145</f>
        <v/>
      </c>
      <c r="BD146" s="42">
        <f>ROUND(BC146*BD$6/12,2)</f>
        <v/>
      </c>
      <c r="BE146" s="42">
        <f>MIN(BE$6,BC146+BD146)</f>
        <v/>
      </c>
      <c r="BF146" s="42">
        <f>MAX(0,MIN(BC146+BD146-BE146,BB146))</f>
        <v/>
      </c>
      <c r="BG146" s="42">
        <f>ROUND(BC146+BD146-BE146-BF146,2)</f>
        <v/>
      </c>
      <c r="BH146">
        <f>BB146-BF146</f>
        <v/>
      </c>
      <c r="BI146" s="42">
        <f>BM145</f>
        <v/>
      </c>
      <c r="BJ146" s="42">
        <f>ROUND(BI146*BJ$6/12,2)</f>
        <v/>
      </c>
      <c r="BK146" s="42">
        <f>MIN(BK$6,BI146+BJ146)</f>
        <v/>
      </c>
      <c r="BL146" s="42">
        <f>MAX(0,MIN(BI146+BJ146-BK146,BH146))</f>
        <v/>
      </c>
      <c r="BM146" s="42">
        <f>ROUND(BI146+BJ146-BK146-BL146,2)</f>
        <v/>
      </c>
      <c r="BN146">
        <f>BH146-BL146</f>
        <v/>
      </c>
    </row>
    <row r="147">
      <c r="A147" s="43" t="n">
        <v>140</v>
      </c>
      <c r="B147" s="44">
        <f>EDATE('My Debts'!$C$6,A147-1)</f>
        <v/>
      </c>
      <c r="C147" s="45">
        <f>K147+Q147+W147+AC147+AI147+AO147+AU147+BA147+BG147+BM147</f>
        <v/>
      </c>
      <c r="D147" s="46">
        <f>I147+O147+U147+AA147+AG147+AM147+AS147+AY147+BE147+BK147+J147+P147+V147+AB147+AH147+AN147+AT147+AZ147+BF147+BL147</f>
        <v/>
      </c>
      <c r="E147" s="46">
        <f>H147+N147+T147+Z147+AF147+AL147+AR147+AX147+BD147+BJ147</f>
        <v/>
      </c>
      <c r="F147" t="n">
        <v>0</v>
      </c>
      <c r="G147" s="42">
        <f>K146</f>
        <v/>
      </c>
      <c r="H147" s="42">
        <f>ROUND(G147*H$6/12,2)</f>
        <v/>
      </c>
      <c r="I147" s="42">
        <f>MIN(I$6,G147+H147)</f>
        <v/>
      </c>
      <c r="J147" s="42">
        <f>MAX(0,MIN(G147+H147-I147,$F147))</f>
        <v/>
      </c>
      <c r="K147" s="42">
        <f>ROUND(G147+H147-I147-J147,2)</f>
        <v/>
      </c>
      <c r="L147">
        <f>$F147-J147</f>
        <v/>
      </c>
      <c r="M147" s="42">
        <f>Q146</f>
        <v/>
      </c>
      <c r="N147" s="42">
        <f>ROUND(M147*N$6/12,2)</f>
        <v/>
      </c>
      <c r="O147" s="42">
        <f>MIN(O$6,M147+N147)</f>
        <v/>
      </c>
      <c r="P147" s="42">
        <f>MAX(0,MIN(M147+N147-O147,L147))</f>
        <v/>
      </c>
      <c r="Q147" s="42">
        <f>ROUND(M147+N147-O147-P147,2)</f>
        <v/>
      </c>
      <c r="R147">
        <f>L147-P147</f>
        <v/>
      </c>
      <c r="S147" s="42">
        <f>W146</f>
        <v/>
      </c>
      <c r="T147" s="42">
        <f>ROUND(S147*T$6/12,2)</f>
        <v/>
      </c>
      <c r="U147" s="42">
        <f>MIN(U$6,S147+T147)</f>
        <v/>
      </c>
      <c r="V147" s="42">
        <f>MAX(0,MIN(S147+T147-U147,R147))</f>
        <v/>
      </c>
      <c r="W147" s="42">
        <f>ROUND(S147+T147-U147-V147,2)</f>
        <v/>
      </c>
      <c r="X147">
        <f>R147-V147</f>
        <v/>
      </c>
      <c r="Y147" s="42">
        <f>AC146</f>
        <v/>
      </c>
      <c r="Z147" s="42">
        <f>ROUND(Y147*Z$6/12,2)</f>
        <v/>
      </c>
      <c r="AA147" s="42">
        <f>MIN(AA$6,Y147+Z147)</f>
        <v/>
      </c>
      <c r="AB147" s="42">
        <f>MAX(0,MIN(Y147+Z147-AA147,X147))</f>
        <v/>
      </c>
      <c r="AC147" s="42">
        <f>ROUND(Y147+Z147-AA147-AB147,2)</f>
        <v/>
      </c>
      <c r="AD147">
        <f>X147-AB147</f>
        <v/>
      </c>
      <c r="AE147" s="42">
        <f>AI146</f>
        <v/>
      </c>
      <c r="AF147" s="42">
        <f>ROUND(AE147*AF$6/12,2)</f>
        <v/>
      </c>
      <c r="AG147" s="42">
        <f>MIN(AG$6,AE147+AF147)</f>
        <v/>
      </c>
      <c r="AH147" s="42">
        <f>MAX(0,MIN(AE147+AF147-AG147,AD147))</f>
        <v/>
      </c>
      <c r="AI147" s="42">
        <f>ROUND(AE147+AF147-AG147-AH147,2)</f>
        <v/>
      </c>
      <c r="AJ147">
        <f>AD147-AH147</f>
        <v/>
      </c>
      <c r="AK147" s="42">
        <f>AO146</f>
        <v/>
      </c>
      <c r="AL147" s="42">
        <f>ROUND(AK147*AL$6/12,2)</f>
        <v/>
      </c>
      <c r="AM147" s="42">
        <f>MIN(AM$6,AK147+AL147)</f>
        <v/>
      </c>
      <c r="AN147" s="42">
        <f>MAX(0,MIN(AK147+AL147-AM147,AJ147))</f>
        <v/>
      </c>
      <c r="AO147" s="42">
        <f>ROUND(AK147+AL147-AM147-AN147,2)</f>
        <v/>
      </c>
      <c r="AP147">
        <f>AJ147-AN147</f>
        <v/>
      </c>
      <c r="AQ147" s="42">
        <f>AU146</f>
        <v/>
      </c>
      <c r="AR147" s="42">
        <f>ROUND(AQ147*AR$6/12,2)</f>
        <v/>
      </c>
      <c r="AS147" s="42">
        <f>MIN(AS$6,AQ147+AR147)</f>
        <v/>
      </c>
      <c r="AT147" s="42">
        <f>MAX(0,MIN(AQ147+AR147-AS147,AP147))</f>
        <v/>
      </c>
      <c r="AU147" s="42">
        <f>ROUND(AQ147+AR147-AS147-AT147,2)</f>
        <v/>
      </c>
      <c r="AV147">
        <f>AP147-AT147</f>
        <v/>
      </c>
      <c r="AW147" s="42">
        <f>BA146</f>
        <v/>
      </c>
      <c r="AX147" s="42">
        <f>ROUND(AW147*AX$6/12,2)</f>
        <v/>
      </c>
      <c r="AY147" s="42">
        <f>MIN(AY$6,AW147+AX147)</f>
        <v/>
      </c>
      <c r="AZ147" s="42">
        <f>MAX(0,MIN(AW147+AX147-AY147,AV147))</f>
        <v/>
      </c>
      <c r="BA147" s="42">
        <f>ROUND(AW147+AX147-AY147-AZ147,2)</f>
        <v/>
      </c>
      <c r="BB147">
        <f>AV147-AZ147</f>
        <v/>
      </c>
      <c r="BC147" s="42">
        <f>BG146</f>
        <v/>
      </c>
      <c r="BD147" s="42">
        <f>ROUND(BC147*BD$6/12,2)</f>
        <v/>
      </c>
      <c r="BE147" s="42">
        <f>MIN(BE$6,BC147+BD147)</f>
        <v/>
      </c>
      <c r="BF147" s="42">
        <f>MAX(0,MIN(BC147+BD147-BE147,BB147))</f>
        <v/>
      </c>
      <c r="BG147" s="42">
        <f>ROUND(BC147+BD147-BE147-BF147,2)</f>
        <v/>
      </c>
      <c r="BH147">
        <f>BB147-BF147</f>
        <v/>
      </c>
      <c r="BI147" s="42">
        <f>BM146</f>
        <v/>
      </c>
      <c r="BJ147" s="42">
        <f>ROUND(BI147*BJ$6/12,2)</f>
        <v/>
      </c>
      <c r="BK147" s="42">
        <f>MIN(BK$6,BI147+BJ147)</f>
        <v/>
      </c>
      <c r="BL147" s="42">
        <f>MAX(0,MIN(BI147+BJ147-BK147,BH147))</f>
        <v/>
      </c>
      <c r="BM147" s="42">
        <f>ROUND(BI147+BJ147-BK147-BL147,2)</f>
        <v/>
      </c>
      <c r="BN147">
        <f>BH147-BL147</f>
        <v/>
      </c>
    </row>
    <row r="148">
      <c r="A148" s="39" t="n">
        <v>141</v>
      </c>
      <c r="B148" s="40">
        <f>EDATE('My Debts'!$C$6,A148-1)</f>
        <v/>
      </c>
      <c r="C148" s="41">
        <f>K148+Q148+W148+AC148+AI148+AO148+AU148+BA148+BG148+BM148</f>
        <v/>
      </c>
      <c r="D148" s="42">
        <f>I148+O148+U148+AA148+AG148+AM148+AS148+AY148+BE148+BK148+J148+P148+V148+AB148+AH148+AN148+AT148+AZ148+BF148+BL148</f>
        <v/>
      </c>
      <c r="E148" s="42">
        <f>H148+N148+T148+Z148+AF148+AL148+AR148+AX148+BD148+BJ148</f>
        <v/>
      </c>
      <c r="F148" t="n">
        <v>0</v>
      </c>
      <c r="G148" s="42">
        <f>K147</f>
        <v/>
      </c>
      <c r="H148" s="42">
        <f>ROUND(G148*H$6/12,2)</f>
        <v/>
      </c>
      <c r="I148" s="42">
        <f>MIN(I$6,G148+H148)</f>
        <v/>
      </c>
      <c r="J148" s="42">
        <f>MAX(0,MIN(G148+H148-I148,$F148))</f>
        <v/>
      </c>
      <c r="K148" s="42">
        <f>ROUND(G148+H148-I148-J148,2)</f>
        <v/>
      </c>
      <c r="L148">
        <f>$F148-J148</f>
        <v/>
      </c>
      <c r="M148" s="42">
        <f>Q147</f>
        <v/>
      </c>
      <c r="N148" s="42">
        <f>ROUND(M148*N$6/12,2)</f>
        <v/>
      </c>
      <c r="O148" s="42">
        <f>MIN(O$6,M148+N148)</f>
        <v/>
      </c>
      <c r="P148" s="42">
        <f>MAX(0,MIN(M148+N148-O148,L148))</f>
        <v/>
      </c>
      <c r="Q148" s="42">
        <f>ROUND(M148+N148-O148-P148,2)</f>
        <v/>
      </c>
      <c r="R148">
        <f>L148-P148</f>
        <v/>
      </c>
      <c r="S148" s="42">
        <f>W147</f>
        <v/>
      </c>
      <c r="T148" s="42">
        <f>ROUND(S148*T$6/12,2)</f>
        <v/>
      </c>
      <c r="U148" s="42">
        <f>MIN(U$6,S148+T148)</f>
        <v/>
      </c>
      <c r="V148" s="42">
        <f>MAX(0,MIN(S148+T148-U148,R148))</f>
        <v/>
      </c>
      <c r="W148" s="42">
        <f>ROUND(S148+T148-U148-V148,2)</f>
        <v/>
      </c>
      <c r="X148">
        <f>R148-V148</f>
        <v/>
      </c>
      <c r="Y148" s="42">
        <f>AC147</f>
        <v/>
      </c>
      <c r="Z148" s="42">
        <f>ROUND(Y148*Z$6/12,2)</f>
        <v/>
      </c>
      <c r="AA148" s="42">
        <f>MIN(AA$6,Y148+Z148)</f>
        <v/>
      </c>
      <c r="AB148" s="42">
        <f>MAX(0,MIN(Y148+Z148-AA148,X148))</f>
        <v/>
      </c>
      <c r="AC148" s="42">
        <f>ROUND(Y148+Z148-AA148-AB148,2)</f>
        <v/>
      </c>
      <c r="AD148">
        <f>X148-AB148</f>
        <v/>
      </c>
      <c r="AE148" s="42">
        <f>AI147</f>
        <v/>
      </c>
      <c r="AF148" s="42">
        <f>ROUND(AE148*AF$6/12,2)</f>
        <v/>
      </c>
      <c r="AG148" s="42">
        <f>MIN(AG$6,AE148+AF148)</f>
        <v/>
      </c>
      <c r="AH148" s="42">
        <f>MAX(0,MIN(AE148+AF148-AG148,AD148))</f>
        <v/>
      </c>
      <c r="AI148" s="42">
        <f>ROUND(AE148+AF148-AG148-AH148,2)</f>
        <v/>
      </c>
      <c r="AJ148">
        <f>AD148-AH148</f>
        <v/>
      </c>
      <c r="AK148" s="42">
        <f>AO147</f>
        <v/>
      </c>
      <c r="AL148" s="42">
        <f>ROUND(AK148*AL$6/12,2)</f>
        <v/>
      </c>
      <c r="AM148" s="42">
        <f>MIN(AM$6,AK148+AL148)</f>
        <v/>
      </c>
      <c r="AN148" s="42">
        <f>MAX(0,MIN(AK148+AL148-AM148,AJ148))</f>
        <v/>
      </c>
      <c r="AO148" s="42">
        <f>ROUND(AK148+AL148-AM148-AN148,2)</f>
        <v/>
      </c>
      <c r="AP148">
        <f>AJ148-AN148</f>
        <v/>
      </c>
      <c r="AQ148" s="42">
        <f>AU147</f>
        <v/>
      </c>
      <c r="AR148" s="42">
        <f>ROUND(AQ148*AR$6/12,2)</f>
        <v/>
      </c>
      <c r="AS148" s="42">
        <f>MIN(AS$6,AQ148+AR148)</f>
        <v/>
      </c>
      <c r="AT148" s="42">
        <f>MAX(0,MIN(AQ148+AR148-AS148,AP148))</f>
        <v/>
      </c>
      <c r="AU148" s="42">
        <f>ROUND(AQ148+AR148-AS148-AT148,2)</f>
        <v/>
      </c>
      <c r="AV148">
        <f>AP148-AT148</f>
        <v/>
      </c>
      <c r="AW148" s="42">
        <f>BA147</f>
        <v/>
      </c>
      <c r="AX148" s="42">
        <f>ROUND(AW148*AX$6/12,2)</f>
        <v/>
      </c>
      <c r="AY148" s="42">
        <f>MIN(AY$6,AW148+AX148)</f>
        <v/>
      </c>
      <c r="AZ148" s="42">
        <f>MAX(0,MIN(AW148+AX148-AY148,AV148))</f>
        <v/>
      </c>
      <c r="BA148" s="42">
        <f>ROUND(AW148+AX148-AY148-AZ148,2)</f>
        <v/>
      </c>
      <c r="BB148">
        <f>AV148-AZ148</f>
        <v/>
      </c>
      <c r="BC148" s="42">
        <f>BG147</f>
        <v/>
      </c>
      <c r="BD148" s="42">
        <f>ROUND(BC148*BD$6/12,2)</f>
        <v/>
      </c>
      <c r="BE148" s="42">
        <f>MIN(BE$6,BC148+BD148)</f>
        <v/>
      </c>
      <c r="BF148" s="42">
        <f>MAX(0,MIN(BC148+BD148-BE148,BB148))</f>
        <v/>
      </c>
      <c r="BG148" s="42">
        <f>ROUND(BC148+BD148-BE148-BF148,2)</f>
        <v/>
      </c>
      <c r="BH148">
        <f>BB148-BF148</f>
        <v/>
      </c>
      <c r="BI148" s="42">
        <f>BM147</f>
        <v/>
      </c>
      <c r="BJ148" s="42">
        <f>ROUND(BI148*BJ$6/12,2)</f>
        <v/>
      </c>
      <c r="BK148" s="42">
        <f>MIN(BK$6,BI148+BJ148)</f>
        <v/>
      </c>
      <c r="BL148" s="42">
        <f>MAX(0,MIN(BI148+BJ148-BK148,BH148))</f>
        <v/>
      </c>
      <c r="BM148" s="42">
        <f>ROUND(BI148+BJ148-BK148-BL148,2)</f>
        <v/>
      </c>
      <c r="BN148">
        <f>BH148-BL148</f>
        <v/>
      </c>
    </row>
    <row r="149">
      <c r="A149" s="43" t="n">
        <v>142</v>
      </c>
      <c r="B149" s="44">
        <f>EDATE('My Debts'!$C$6,A149-1)</f>
        <v/>
      </c>
      <c r="C149" s="45">
        <f>K149+Q149+W149+AC149+AI149+AO149+AU149+BA149+BG149+BM149</f>
        <v/>
      </c>
      <c r="D149" s="46">
        <f>I149+O149+U149+AA149+AG149+AM149+AS149+AY149+BE149+BK149+J149+P149+V149+AB149+AH149+AN149+AT149+AZ149+BF149+BL149</f>
        <v/>
      </c>
      <c r="E149" s="46">
        <f>H149+N149+T149+Z149+AF149+AL149+AR149+AX149+BD149+BJ149</f>
        <v/>
      </c>
      <c r="F149" t="n">
        <v>0</v>
      </c>
      <c r="G149" s="42">
        <f>K148</f>
        <v/>
      </c>
      <c r="H149" s="42">
        <f>ROUND(G149*H$6/12,2)</f>
        <v/>
      </c>
      <c r="I149" s="42">
        <f>MIN(I$6,G149+H149)</f>
        <v/>
      </c>
      <c r="J149" s="42">
        <f>MAX(0,MIN(G149+H149-I149,$F149))</f>
        <v/>
      </c>
      <c r="K149" s="42">
        <f>ROUND(G149+H149-I149-J149,2)</f>
        <v/>
      </c>
      <c r="L149">
        <f>$F149-J149</f>
        <v/>
      </c>
      <c r="M149" s="42">
        <f>Q148</f>
        <v/>
      </c>
      <c r="N149" s="42">
        <f>ROUND(M149*N$6/12,2)</f>
        <v/>
      </c>
      <c r="O149" s="42">
        <f>MIN(O$6,M149+N149)</f>
        <v/>
      </c>
      <c r="P149" s="42">
        <f>MAX(0,MIN(M149+N149-O149,L149))</f>
        <v/>
      </c>
      <c r="Q149" s="42">
        <f>ROUND(M149+N149-O149-P149,2)</f>
        <v/>
      </c>
      <c r="R149">
        <f>L149-P149</f>
        <v/>
      </c>
      <c r="S149" s="42">
        <f>W148</f>
        <v/>
      </c>
      <c r="T149" s="42">
        <f>ROUND(S149*T$6/12,2)</f>
        <v/>
      </c>
      <c r="U149" s="42">
        <f>MIN(U$6,S149+T149)</f>
        <v/>
      </c>
      <c r="V149" s="42">
        <f>MAX(0,MIN(S149+T149-U149,R149))</f>
        <v/>
      </c>
      <c r="W149" s="42">
        <f>ROUND(S149+T149-U149-V149,2)</f>
        <v/>
      </c>
      <c r="X149">
        <f>R149-V149</f>
        <v/>
      </c>
      <c r="Y149" s="42">
        <f>AC148</f>
        <v/>
      </c>
      <c r="Z149" s="42">
        <f>ROUND(Y149*Z$6/12,2)</f>
        <v/>
      </c>
      <c r="AA149" s="42">
        <f>MIN(AA$6,Y149+Z149)</f>
        <v/>
      </c>
      <c r="AB149" s="42">
        <f>MAX(0,MIN(Y149+Z149-AA149,X149))</f>
        <v/>
      </c>
      <c r="AC149" s="42">
        <f>ROUND(Y149+Z149-AA149-AB149,2)</f>
        <v/>
      </c>
      <c r="AD149">
        <f>X149-AB149</f>
        <v/>
      </c>
      <c r="AE149" s="42">
        <f>AI148</f>
        <v/>
      </c>
      <c r="AF149" s="42">
        <f>ROUND(AE149*AF$6/12,2)</f>
        <v/>
      </c>
      <c r="AG149" s="42">
        <f>MIN(AG$6,AE149+AF149)</f>
        <v/>
      </c>
      <c r="AH149" s="42">
        <f>MAX(0,MIN(AE149+AF149-AG149,AD149))</f>
        <v/>
      </c>
      <c r="AI149" s="42">
        <f>ROUND(AE149+AF149-AG149-AH149,2)</f>
        <v/>
      </c>
      <c r="AJ149">
        <f>AD149-AH149</f>
        <v/>
      </c>
      <c r="AK149" s="42">
        <f>AO148</f>
        <v/>
      </c>
      <c r="AL149" s="42">
        <f>ROUND(AK149*AL$6/12,2)</f>
        <v/>
      </c>
      <c r="AM149" s="42">
        <f>MIN(AM$6,AK149+AL149)</f>
        <v/>
      </c>
      <c r="AN149" s="42">
        <f>MAX(0,MIN(AK149+AL149-AM149,AJ149))</f>
        <v/>
      </c>
      <c r="AO149" s="42">
        <f>ROUND(AK149+AL149-AM149-AN149,2)</f>
        <v/>
      </c>
      <c r="AP149">
        <f>AJ149-AN149</f>
        <v/>
      </c>
      <c r="AQ149" s="42">
        <f>AU148</f>
        <v/>
      </c>
      <c r="AR149" s="42">
        <f>ROUND(AQ149*AR$6/12,2)</f>
        <v/>
      </c>
      <c r="AS149" s="42">
        <f>MIN(AS$6,AQ149+AR149)</f>
        <v/>
      </c>
      <c r="AT149" s="42">
        <f>MAX(0,MIN(AQ149+AR149-AS149,AP149))</f>
        <v/>
      </c>
      <c r="AU149" s="42">
        <f>ROUND(AQ149+AR149-AS149-AT149,2)</f>
        <v/>
      </c>
      <c r="AV149">
        <f>AP149-AT149</f>
        <v/>
      </c>
      <c r="AW149" s="42">
        <f>BA148</f>
        <v/>
      </c>
      <c r="AX149" s="42">
        <f>ROUND(AW149*AX$6/12,2)</f>
        <v/>
      </c>
      <c r="AY149" s="42">
        <f>MIN(AY$6,AW149+AX149)</f>
        <v/>
      </c>
      <c r="AZ149" s="42">
        <f>MAX(0,MIN(AW149+AX149-AY149,AV149))</f>
        <v/>
      </c>
      <c r="BA149" s="42">
        <f>ROUND(AW149+AX149-AY149-AZ149,2)</f>
        <v/>
      </c>
      <c r="BB149">
        <f>AV149-AZ149</f>
        <v/>
      </c>
      <c r="BC149" s="42">
        <f>BG148</f>
        <v/>
      </c>
      <c r="BD149" s="42">
        <f>ROUND(BC149*BD$6/12,2)</f>
        <v/>
      </c>
      <c r="BE149" s="42">
        <f>MIN(BE$6,BC149+BD149)</f>
        <v/>
      </c>
      <c r="BF149" s="42">
        <f>MAX(0,MIN(BC149+BD149-BE149,BB149))</f>
        <v/>
      </c>
      <c r="BG149" s="42">
        <f>ROUND(BC149+BD149-BE149-BF149,2)</f>
        <v/>
      </c>
      <c r="BH149">
        <f>BB149-BF149</f>
        <v/>
      </c>
      <c r="BI149" s="42">
        <f>BM148</f>
        <v/>
      </c>
      <c r="BJ149" s="42">
        <f>ROUND(BI149*BJ$6/12,2)</f>
        <v/>
      </c>
      <c r="BK149" s="42">
        <f>MIN(BK$6,BI149+BJ149)</f>
        <v/>
      </c>
      <c r="BL149" s="42">
        <f>MAX(0,MIN(BI149+BJ149-BK149,BH149))</f>
        <v/>
      </c>
      <c r="BM149" s="42">
        <f>ROUND(BI149+BJ149-BK149-BL149,2)</f>
        <v/>
      </c>
      <c r="BN149">
        <f>BH149-BL149</f>
        <v/>
      </c>
    </row>
    <row r="150">
      <c r="A150" s="39" t="n">
        <v>143</v>
      </c>
      <c r="B150" s="40">
        <f>EDATE('My Debts'!$C$6,A150-1)</f>
        <v/>
      </c>
      <c r="C150" s="41">
        <f>K150+Q150+W150+AC150+AI150+AO150+AU150+BA150+BG150+BM150</f>
        <v/>
      </c>
      <c r="D150" s="42">
        <f>I150+O150+U150+AA150+AG150+AM150+AS150+AY150+BE150+BK150+J150+P150+V150+AB150+AH150+AN150+AT150+AZ150+BF150+BL150</f>
        <v/>
      </c>
      <c r="E150" s="42">
        <f>H150+N150+T150+Z150+AF150+AL150+AR150+AX150+BD150+BJ150</f>
        <v/>
      </c>
      <c r="F150" t="n">
        <v>0</v>
      </c>
      <c r="G150" s="42">
        <f>K149</f>
        <v/>
      </c>
      <c r="H150" s="42">
        <f>ROUND(G150*H$6/12,2)</f>
        <v/>
      </c>
      <c r="I150" s="42">
        <f>MIN(I$6,G150+H150)</f>
        <v/>
      </c>
      <c r="J150" s="42">
        <f>MAX(0,MIN(G150+H150-I150,$F150))</f>
        <v/>
      </c>
      <c r="K150" s="42">
        <f>ROUND(G150+H150-I150-J150,2)</f>
        <v/>
      </c>
      <c r="L150">
        <f>$F150-J150</f>
        <v/>
      </c>
      <c r="M150" s="42">
        <f>Q149</f>
        <v/>
      </c>
      <c r="N150" s="42">
        <f>ROUND(M150*N$6/12,2)</f>
        <v/>
      </c>
      <c r="O150" s="42">
        <f>MIN(O$6,M150+N150)</f>
        <v/>
      </c>
      <c r="P150" s="42">
        <f>MAX(0,MIN(M150+N150-O150,L150))</f>
        <v/>
      </c>
      <c r="Q150" s="42">
        <f>ROUND(M150+N150-O150-P150,2)</f>
        <v/>
      </c>
      <c r="R150">
        <f>L150-P150</f>
        <v/>
      </c>
      <c r="S150" s="42">
        <f>W149</f>
        <v/>
      </c>
      <c r="T150" s="42">
        <f>ROUND(S150*T$6/12,2)</f>
        <v/>
      </c>
      <c r="U150" s="42">
        <f>MIN(U$6,S150+T150)</f>
        <v/>
      </c>
      <c r="V150" s="42">
        <f>MAX(0,MIN(S150+T150-U150,R150))</f>
        <v/>
      </c>
      <c r="W150" s="42">
        <f>ROUND(S150+T150-U150-V150,2)</f>
        <v/>
      </c>
      <c r="X150">
        <f>R150-V150</f>
        <v/>
      </c>
      <c r="Y150" s="42">
        <f>AC149</f>
        <v/>
      </c>
      <c r="Z150" s="42">
        <f>ROUND(Y150*Z$6/12,2)</f>
        <v/>
      </c>
      <c r="AA150" s="42">
        <f>MIN(AA$6,Y150+Z150)</f>
        <v/>
      </c>
      <c r="AB150" s="42">
        <f>MAX(0,MIN(Y150+Z150-AA150,X150))</f>
        <v/>
      </c>
      <c r="AC150" s="42">
        <f>ROUND(Y150+Z150-AA150-AB150,2)</f>
        <v/>
      </c>
      <c r="AD150">
        <f>X150-AB150</f>
        <v/>
      </c>
      <c r="AE150" s="42">
        <f>AI149</f>
        <v/>
      </c>
      <c r="AF150" s="42">
        <f>ROUND(AE150*AF$6/12,2)</f>
        <v/>
      </c>
      <c r="AG150" s="42">
        <f>MIN(AG$6,AE150+AF150)</f>
        <v/>
      </c>
      <c r="AH150" s="42">
        <f>MAX(0,MIN(AE150+AF150-AG150,AD150))</f>
        <v/>
      </c>
      <c r="AI150" s="42">
        <f>ROUND(AE150+AF150-AG150-AH150,2)</f>
        <v/>
      </c>
      <c r="AJ150">
        <f>AD150-AH150</f>
        <v/>
      </c>
      <c r="AK150" s="42">
        <f>AO149</f>
        <v/>
      </c>
      <c r="AL150" s="42">
        <f>ROUND(AK150*AL$6/12,2)</f>
        <v/>
      </c>
      <c r="AM150" s="42">
        <f>MIN(AM$6,AK150+AL150)</f>
        <v/>
      </c>
      <c r="AN150" s="42">
        <f>MAX(0,MIN(AK150+AL150-AM150,AJ150))</f>
        <v/>
      </c>
      <c r="AO150" s="42">
        <f>ROUND(AK150+AL150-AM150-AN150,2)</f>
        <v/>
      </c>
      <c r="AP150">
        <f>AJ150-AN150</f>
        <v/>
      </c>
      <c r="AQ150" s="42">
        <f>AU149</f>
        <v/>
      </c>
      <c r="AR150" s="42">
        <f>ROUND(AQ150*AR$6/12,2)</f>
        <v/>
      </c>
      <c r="AS150" s="42">
        <f>MIN(AS$6,AQ150+AR150)</f>
        <v/>
      </c>
      <c r="AT150" s="42">
        <f>MAX(0,MIN(AQ150+AR150-AS150,AP150))</f>
        <v/>
      </c>
      <c r="AU150" s="42">
        <f>ROUND(AQ150+AR150-AS150-AT150,2)</f>
        <v/>
      </c>
      <c r="AV150">
        <f>AP150-AT150</f>
        <v/>
      </c>
      <c r="AW150" s="42">
        <f>BA149</f>
        <v/>
      </c>
      <c r="AX150" s="42">
        <f>ROUND(AW150*AX$6/12,2)</f>
        <v/>
      </c>
      <c r="AY150" s="42">
        <f>MIN(AY$6,AW150+AX150)</f>
        <v/>
      </c>
      <c r="AZ150" s="42">
        <f>MAX(0,MIN(AW150+AX150-AY150,AV150))</f>
        <v/>
      </c>
      <c r="BA150" s="42">
        <f>ROUND(AW150+AX150-AY150-AZ150,2)</f>
        <v/>
      </c>
      <c r="BB150">
        <f>AV150-AZ150</f>
        <v/>
      </c>
      <c r="BC150" s="42">
        <f>BG149</f>
        <v/>
      </c>
      <c r="BD150" s="42">
        <f>ROUND(BC150*BD$6/12,2)</f>
        <v/>
      </c>
      <c r="BE150" s="42">
        <f>MIN(BE$6,BC150+BD150)</f>
        <v/>
      </c>
      <c r="BF150" s="42">
        <f>MAX(0,MIN(BC150+BD150-BE150,BB150))</f>
        <v/>
      </c>
      <c r="BG150" s="42">
        <f>ROUND(BC150+BD150-BE150-BF150,2)</f>
        <v/>
      </c>
      <c r="BH150">
        <f>BB150-BF150</f>
        <v/>
      </c>
      <c r="BI150" s="42">
        <f>BM149</f>
        <v/>
      </c>
      <c r="BJ150" s="42">
        <f>ROUND(BI150*BJ$6/12,2)</f>
        <v/>
      </c>
      <c r="BK150" s="42">
        <f>MIN(BK$6,BI150+BJ150)</f>
        <v/>
      </c>
      <c r="BL150" s="42">
        <f>MAX(0,MIN(BI150+BJ150-BK150,BH150))</f>
        <v/>
      </c>
      <c r="BM150" s="42">
        <f>ROUND(BI150+BJ150-BK150-BL150,2)</f>
        <v/>
      </c>
      <c r="BN150">
        <f>BH150-BL150</f>
        <v/>
      </c>
    </row>
    <row r="151">
      <c r="A151" s="43" t="n">
        <v>144</v>
      </c>
      <c r="B151" s="44">
        <f>EDATE('My Debts'!$C$6,A151-1)</f>
        <v/>
      </c>
      <c r="C151" s="45">
        <f>K151+Q151+W151+AC151+AI151+AO151+AU151+BA151+BG151+BM151</f>
        <v/>
      </c>
      <c r="D151" s="46">
        <f>I151+O151+U151+AA151+AG151+AM151+AS151+AY151+BE151+BK151+J151+P151+V151+AB151+AH151+AN151+AT151+AZ151+BF151+BL151</f>
        <v/>
      </c>
      <c r="E151" s="46">
        <f>H151+N151+T151+Z151+AF151+AL151+AR151+AX151+BD151+BJ151</f>
        <v/>
      </c>
      <c r="F151" t="n">
        <v>0</v>
      </c>
      <c r="G151" s="42">
        <f>K150</f>
        <v/>
      </c>
      <c r="H151" s="42">
        <f>ROUND(G151*H$6/12,2)</f>
        <v/>
      </c>
      <c r="I151" s="42">
        <f>MIN(I$6,G151+H151)</f>
        <v/>
      </c>
      <c r="J151" s="42">
        <f>MAX(0,MIN(G151+H151-I151,$F151))</f>
        <v/>
      </c>
      <c r="K151" s="42">
        <f>ROUND(G151+H151-I151-J151,2)</f>
        <v/>
      </c>
      <c r="L151">
        <f>$F151-J151</f>
        <v/>
      </c>
      <c r="M151" s="42">
        <f>Q150</f>
        <v/>
      </c>
      <c r="N151" s="42">
        <f>ROUND(M151*N$6/12,2)</f>
        <v/>
      </c>
      <c r="O151" s="42">
        <f>MIN(O$6,M151+N151)</f>
        <v/>
      </c>
      <c r="P151" s="42">
        <f>MAX(0,MIN(M151+N151-O151,L151))</f>
        <v/>
      </c>
      <c r="Q151" s="42">
        <f>ROUND(M151+N151-O151-P151,2)</f>
        <v/>
      </c>
      <c r="R151">
        <f>L151-P151</f>
        <v/>
      </c>
      <c r="S151" s="42">
        <f>W150</f>
        <v/>
      </c>
      <c r="T151" s="42">
        <f>ROUND(S151*T$6/12,2)</f>
        <v/>
      </c>
      <c r="U151" s="42">
        <f>MIN(U$6,S151+T151)</f>
        <v/>
      </c>
      <c r="V151" s="42">
        <f>MAX(0,MIN(S151+T151-U151,R151))</f>
        <v/>
      </c>
      <c r="W151" s="42">
        <f>ROUND(S151+T151-U151-V151,2)</f>
        <v/>
      </c>
      <c r="X151">
        <f>R151-V151</f>
        <v/>
      </c>
      <c r="Y151" s="42">
        <f>AC150</f>
        <v/>
      </c>
      <c r="Z151" s="42">
        <f>ROUND(Y151*Z$6/12,2)</f>
        <v/>
      </c>
      <c r="AA151" s="42">
        <f>MIN(AA$6,Y151+Z151)</f>
        <v/>
      </c>
      <c r="AB151" s="42">
        <f>MAX(0,MIN(Y151+Z151-AA151,X151))</f>
        <v/>
      </c>
      <c r="AC151" s="42">
        <f>ROUND(Y151+Z151-AA151-AB151,2)</f>
        <v/>
      </c>
      <c r="AD151">
        <f>X151-AB151</f>
        <v/>
      </c>
      <c r="AE151" s="42">
        <f>AI150</f>
        <v/>
      </c>
      <c r="AF151" s="42">
        <f>ROUND(AE151*AF$6/12,2)</f>
        <v/>
      </c>
      <c r="AG151" s="42">
        <f>MIN(AG$6,AE151+AF151)</f>
        <v/>
      </c>
      <c r="AH151" s="42">
        <f>MAX(0,MIN(AE151+AF151-AG151,AD151))</f>
        <v/>
      </c>
      <c r="AI151" s="42">
        <f>ROUND(AE151+AF151-AG151-AH151,2)</f>
        <v/>
      </c>
      <c r="AJ151">
        <f>AD151-AH151</f>
        <v/>
      </c>
      <c r="AK151" s="42">
        <f>AO150</f>
        <v/>
      </c>
      <c r="AL151" s="42">
        <f>ROUND(AK151*AL$6/12,2)</f>
        <v/>
      </c>
      <c r="AM151" s="42">
        <f>MIN(AM$6,AK151+AL151)</f>
        <v/>
      </c>
      <c r="AN151" s="42">
        <f>MAX(0,MIN(AK151+AL151-AM151,AJ151))</f>
        <v/>
      </c>
      <c r="AO151" s="42">
        <f>ROUND(AK151+AL151-AM151-AN151,2)</f>
        <v/>
      </c>
      <c r="AP151">
        <f>AJ151-AN151</f>
        <v/>
      </c>
      <c r="AQ151" s="42">
        <f>AU150</f>
        <v/>
      </c>
      <c r="AR151" s="42">
        <f>ROUND(AQ151*AR$6/12,2)</f>
        <v/>
      </c>
      <c r="AS151" s="42">
        <f>MIN(AS$6,AQ151+AR151)</f>
        <v/>
      </c>
      <c r="AT151" s="42">
        <f>MAX(0,MIN(AQ151+AR151-AS151,AP151))</f>
        <v/>
      </c>
      <c r="AU151" s="42">
        <f>ROUND(AQ151+AR151-AS151-AT151,2)</f>
        <v/>
      </c>
      <c r="AV151">
        <f>AP151-AT151</f>
        <v/>
      </c>
      <c r="AW151" s="42">
        <f>BA150</f>
        <v/>
      </c>
      <c r="AX151" s="42">
        <f>ROUND(AW151*AX$6/12,2)</f>
        <v/>
      </c>
      <c r="AY151" s="42">
        <f>MIN(AY$6,AW151+AX151)</f>
        <v/>
      </c>
      <c r="AZ151" s="42">
        <f>MAX(0,MIN(AW151+AX151-AY151,AV151))</f>
        <v/>
      </c>
      <c r="BA151" s="42">
        <f>ROUND(AW151+AX151-AY151-AZ151,2)</f>
        <v/>
      </c>
      <c r="BB151">
        <f>AV151-AZ151</f>
        <v/>
      </c>
      <c r="BC151" s="42">
        <f>BG150</f>
        <v/>
      </c>
      <c r="BD151" s="42">
        <f>ROUND(BC151*BD$6/12,2)</f>
        <v/>
      </c>
      <c r="BE151" s="42">
        <f>MIN(BE$6,BC151+BD151)</f>
        <v/>
      </c>
      <c r="BF151" s="42">
        <f>MAX(0,MIN(BC151+BD151-BE151,BB151))</f>
        <v/>
      </c>
      <c r="BG151" s="42">
        <f>ROUND(BC151+BD151-BE151-BF151,2)</f>
        <v/>
      </c>
      <c r="BH151">
        <f>BB151-BF151</f>
        <v/>
      </c>
      <c r="BI151" s="42">
        <f>BM150</f>
        <v/>
      </c>
      <c r="BJ151" s="42">
        <f>ROUND(BI151*BJ$6/12,2)</f>
        <v/>
      </c>
      <c r="BK151" s="42">
        <f>MIN(BK$6,BI151+BJ151)</f>
        <v/>
      </c>
      <c r="BL151" s="42">
        <f>MAX(0,MIN(BI151+BJ151-BK151,BH151))</f>
        <v/>
      </c>
      <c r="BM151" s="42">
        <f>ROUND(BI151+BJ151-BK151-BL151,2)</f>
        <v/>
      </c>
      <c r="BN151">
        <f>BH151-BL151</f>
        <v/>
      </c>
    </row>
    <row r="152">
      <c r="A152" s="39" t="n">
        <v>145</v>
      </c>
      <c r="B152" s="40">
        <f>EDATE('My Debts'!$C$6,A152-1)</f>
        <v/>
      </c>
      <c r="C152" s="41">
        <f>K152+Q152+W152+AC152+AI152+AO152+AU152+BA152+BG152+BM152</f>
        <v/>
      </c>
      <c r="D152" s="42">
        <f>I152+O152+U152+AA152+AG152+AM152+AS152+AY152+BE152+BK152+J152+P152+V152+AB152+AH152+AN152+AT152+AZ152+BF152+BL152</f>
        <v/>
      </c>
      <c r="E152" s="42">
        <f>H152+N152+T152+Z152+AF152+AL152+AR152+AX152+BD152+BJ152</f>
        <v/>
      </c>
      <c r="F152" t="n">
        <v>0</v>
      </c>
      <c r="G152" s="42">
        <f>K151</f>
        <v/>
      </c>
      <c r="H152" s="42">
        <f>ROUND(G152*H$6/12,2)</f>
        <v/>
      </c>
      <c r="I152" s="42">
        <f>MIN(I$6,G152+H152)</f>
        <v/>
      </c>
      <c r="J152" s="42">
        <f>MAX(0,MIN(G152+H152-I152,$F152))</f>
        <v/>
      </c>
      <c r="K152" s="42">
        <f>ROUND(G152+H152-I152-J152,2)</f>
        <v/>
      </c>
      <c r="L152">
        <f>$F152-J152</f>
        <v/>
      </c>
      <c r="M152" s="42">
        <f>Q151</f>
        <v/>
      </c>
      <c r="N152" s="42">
        <f>ROUND(M152*N$6/12,2)</f>
        <v/>
      </c>
      <c r="O152" s="42">
        <f>MIN(O$6,M152+N152)</f>
        <v/>
      </c>
      <c r="P152" s="42">
        <f>MAX(0,MIN(M152+N152-O152,L152))</f>
        <v/>
      </c>
      <c r="Q152" s="42">
        <f>ROUND(M152+N152-O152-P152,2)</f>
        <v/>
      </c>
      <c r="R152">
        <f>L152-P152</f>
        <v/>
      </c>
      <c r="S152" s="42">
        <f>W151</f>
        <v/>
      </c>
      <c r="T152" s="42">
        <f>ROUND(S152*T$6/12,2)</f>
        <v/>
      </c>
      <c r="U152" s="42">
        <f>MIN(U$6,S152+T152)</f>
        <v/>
      </c>
      <c r="V152" s="42">
        <f>MAX(0,MIN(S152+T152-U152,R152))</f>
        <v/>
      </c>
      <c r="W152" s="42">
        <f>ROUND(S152+T152-U152-V152,2)</f>
        <v/>
      </c>
      <c r="X152">
        <f>R152-V152</f>
        <v/>
      </c>
      <c r="Y152" s="42">
        <f>AC151</f>
        <v/>
      </c>
      <c r="Z152" s="42">
        <f>ROUND(Y152*Z$6/12,2)</f>
        <v/>
      </c>
      <c r="AA152" s="42">
        <f>MIN(AA$6,Y152+Z152)</f>
        <v/>
      </c>
      <c r="AB152" s="42">
        <f>MAX(0,MIN(Y152+Z152-AA152,X152))</f>
        <v/>
      </c>
      <c r="AC152" s="42">
        <f>ROUND(Y152+Z152-AA152-AB152,2)</f>
        <v/>
      </c>
      <c r="AD152">
        <f>X152-AB152</f>
        <v/>
      </c>
      <c r="AE152" s="42">
        <f>AI151</f>
        <v/>
      </c>
      <c r="AF152" s="42">
        <f>ROUND(AE152*AF$6/12,2)</f>
        <v/>
      </c>
      <c r="AG152" s="42">
        <f>MIN(AG$6,AE152+AF152)</f>
        <v/>
      </c>
      <c r="AH152" s="42">
        <f>MAX(0,MIN(AE152+AF152-AG152,AD152))</f>
        <v/>
      </c>
      <c r="AI152" s="42">
        <f>ROUND(AE152+AF152-AG152-AH152,2)</f>
        <v/>
      </c>
      <c r="AJ152">
        <f>AD152-AH152</f>
        <v/>
      </c>
      <c r="AK152" s="42">
        <f>AO151</f>
        <v/>
      </c>
      <c r="AL152" s="42">
        <f>ROUND(AK152*AL$6/12,2)</f>
        <v/>
      </c>
      <c r="AM152" s="42">
        <f>MIN(AM$6,AK152+AL152)</f>
        <v/>
      </c>
      <c r="AN152" s="42">
        <f>MAX(0,MIN(AK152+AL152-AM152,AJ152))</f>
        <v/>
      </c>
      <c r="AO152" s="42">
        <f>ROUND(AK152+AL152-AM152-AN152,2)</f>
        <v/>
      </c>
      <c r="AP152">
        <f>AJ152-AN152</f>
        <v/>
      </c>
      <c r="AQ152" s="42">
        <f>AU151</f>
        <v/>
      </c>
      <c r="AR152" s="42">
        <f>ROUND(AQ152*AR$6/12,2)</f>
        <v/>
      </c>
      <c r="AS152" s="42">
        <f>MIN(AS$6,AQ152+AR152)</f>
        <v/>
      </c>
      <c r="AT152" s="42">
        <f>MAX(0,MIN(AQ152+AR152-AS152,AP152))</f>
        <v/>
      </c>
      <c r="AU152" s="42">
        <f>ROUND(AQ152+AR152-AS152-AT152,2)</f>
        <v/>
      </c>
      <c r="AV152">
        <f>AP152-AT152</f>
        <v/>
      </c>
      <c r="AW152" s="42">
        <f>BA151</f>
        <v/>
      </c>
      <c r="AX152" s="42">
        <f>ROUND(AW152*AX$6/12,2)</f>
        <v/>
      </c>
      <c r="AY152" s="42">
        <f>MIN(AY$6,AW152+AX152)</f>
        <v/>
      </c>
      <c r="AZ152" s="42">
        <f>MAX(0,MIN(AW152+AX152-AY152,AV152))</f>
        <v/>
      </c>
      <c r="BA152" s="42">
        <f>ROUND(AW152+AX152-AY152-AZ152,2)</f>
        <v/>
      </c>
      <c r="BB152">
        <f>AV152-AZ152</f>
        <v/>
      </c>
      <c r="BC152" s="42">
        <f>BG151</f>
        <v/>
      </c>
      <c r="BD152" s="42">
        <f>ROUND(BC152*BD$6/12,2)</f>
        <v/>
      </c>
      <c r="BE152" s="42">
        <f>MIN(BE$6,BC152+BD152)</f>
        <v/>
      </c>
      <c r="BF152" s="42">
        <f>MAX(0,MIN(BC152+BD152-BE152,BB152))</f>
        <v/>
      </c>
      <c r="BG152" s="42">
        <f>ROUND(BC152+BD152-BE152-BF152,2)</f>
        <v/>
      </c>
      <c r="BH152">
        <f>BB152-BF152</f>
        <v/>
      </c>
      <c r="BI152" s="42">
        <f>BM151</f>
        <v/>
      </c>
      <c r="BJ152" s="42">
        <f>ROUND(BI152*BJ$6/12,2)</f>
        <v/>
      </c>
      <c r="BK152" s="42">
        <f>MIN(BK$6,BI152+BJ152)</f>
        <v/>
      </c>
      <c r="BL152" s="42">
        <f>MAX(0,MIN(BI152+BJ152-BK152,BH152))</f>
        <v/>
      </c>
      <c r="BM152" s="42">
        <f>ROUND(BI152+BJ152-BK152-BL152,2)</f>
        <v/>
      </c>
      <c r="BN152">
        <f>BH152-BL152</f>
        <v/>
      </c>
    </row>
    <row r="153">
      <c r="A153" s="43" t="n">
        <v>146</v>
      </c>
      <c r="B153" s="44">
        <f>EDATE('My Debts'!$C$6,A153-1)</f>
        <v/>
      </c>
      <c r="C153" s="45">
        <f>K153+Q153+W153+AC153+AI153+AO153+AU153+BA153+BG153+BM153</f>
        <v/>
      </c>
      <c r="D153" s="46">
        <f>I153+O153+U153+AA153+AG153+AM153+AS153+AY153+BE153+BK153+J153+P153+V153+AB153+AH153+AN153+AT153+AZ153+BF153+BL153</f>
        <v/>
      </c>
      <c r="E153" s="46">
        <f>H153+N153+T153+Z153+AF153+AL153+AR153+AX153+BD153+BJ153</f>
        <v/>
      </c>
      <c r="F153" t="n">
        <v>0</v>
      </c>
      <c r="G153" s="42">
        <f>K152</f>
        <v/>
      </c>
      <c r="H153" s="42">
        <f>ROUND(G153*H$6/12,2)</f>
        <v/>
      </c>
      <c r="I153" s="42">
        <f>MIN(I$6,G153+H153)</f>
        <v/>
      </c>
      <c r="J153" s="42">
        <f>MAX(0,MIN(G153+H153-I153,$F153))</f>
        <v/>
      </c>
      <c r="K153" s="42">
        <f>ROUND(G153+H153-I153-J153,2)</f>
        <v/>
      </c>
      <c r="L153">
        <f>$F153-J153</f>
        <v/>
      </c>
      <c r="M153" s="42">
        <f>Q152</f>
        <v/>
      </c>
      <c r="N153" s="42">
        <f>ROUND(M153*N$6/12,2)</f>
        <v/>
      </c>
      <c r="O153" s="42">
        <f>MIN(O$6,M153+N153)</f>
        <v/>
      </c>
      <c r="P153" s="42">
        <f>MAX(0,MIN(M153+N153-O153,L153))</f>
        <v/>
      </c>
      <c r="Q153" s="42">
        <f>ROUND(M153+N153-O153-P153,2)</f>
        <v/>
      </c>
      <c r="R153">
        <f>L153-P153</f>
        <v/>
      </c>
      <c r="S153" s="42">
        <f>W152</f>
        <v/>
      </c>
      <c r="T153" s="42">
        <f>ROUND(S153*T$6/12,2)</f>
        <v/>
      </c>
      <c r="U153" s="42">
        <f>MIN(U$6,S153+T153)</f>
        <v/>
      </c>
      <c r="V153" s="42">
        <f>MAX(0,MIN(S153+T153-U153,R153))</f>
        <v/>
      </c>
      <c r="W153" s="42">
        <f>ROUND(S153+T153-U153-V153,2)</f>
        <v/>
      </c>
      <c r="X153">
        <f>R153-V153</f>
        <v/>
      </c>
      <c r="Y153" s="42">
        <f>AC152</f>
        <v/>
      </c>
      <c r="Z153" s="42">
        <f>ROUND(Y153*Z$6/12,2)</f>
        <v/>
      </c>
      <c r="AA153" s="42">
        <f>MIN(AA$6,Y153+Z153)</f>
        <v/>
      </c>
      <c r="AB153" s="42">
        <f>MAX(0,MIN(Y153+Z153-AA153,X153))</f>
        <v/>
      </c>
      <c r="AC153" s="42">
        <f>ROUND(Y153+Z153-AA153-AB153,2)</f>
        <v/>
      </c>
      <c r="AD153">
        <f>X153-AB153</f>
        <v/>
      </c>
      <c r="AE153" s="42">
        <f>AI152</f>
        <v/>
      </c>
      <c r="AF153" s="42">
        <f>ROUND(AE153*AF$6/12,2)</f>
        <v/>
      </c>
      <c r="AG153" s="42">
        <f>MIN(AG$6,AE153+AF153)</f>
        <v/>
      </c>
      <c r="AH153" s="42">
        <f>MAX(0,MIN(AE153+AF153-AG153,AD153))</f>
        <v/>
      </c>
      <c r="AI153" s="42">
        <f>ROUND(AE153+AF153-AG153-AH153,2)</f>
        <v/>
      </c>
      <c r="AJ153">
        <f>AD153-AH153</f>
        <v/>
      </c>
      <c r="AK153" s="42">
        <f>AO152</f>
        <v/>
      </c>
      <c r="AL153" s="42">
        <f>ROUND(AK153*AL$6/12,2)</f>
        <v/>
      </c>
      <c r="AM153" s="42">
        <f>MIN(AM$6,AK153+AL153)</f>
        <v/>
      </c>
      <c r="AN153" s="42">
        <f>MAX(0,MIN(AK153+AL153-AM153,AJ153))</f>
        <v/>
      </c>
      <c r="AO153" s="42">
        <f>ROUND(AK153+AL153-AM153-AN153,2)</f>
        <v/>
      </c>
      <c r="AP153">
        <f>AJ153-AN153</f>
        <v/>
      </c>
      <c r="AQ153" s="42">
        <f>AU152</f>
        <v/>
      </c>
      <c r="AR153" s="42">
        <f>ROUND(AQ153*AR$6/12,2)</f>
        <v/>
      </c>
      <c r="AS153" s="42">
        <f>MIN(AS$6,AQ153+AR153)</f>
        <v/>
      </c>
      <c r="AT153" s="42">
        <f>MAX(0,MIN(AQ153+AR153-AS153,AP153))</f>
        <v/>
      </c>
      <c r="AU153" s="42">
        <f>ROUND(AQ153+AR153-AS153-AT153,2)</f>
        <v/>
      </c>
      <c r="AV153">
        <f>AP153-AT153</f>
        <v/>
      </c>
      <c r="AW153" s="42">
        <f>BA152</f>
        <v/>
      </c>
      <c r="AX153" s="42">
        <f>ROUND(AW153*AX$6/12,2)</f>
        <v/>
      </c>
      <c r="AY153" s="42">
        <f>MIN(AY$6,AW153+AX153)</f>
        <v/>
      </c>
      <c r="AZ153" s="42">
        <f>MAX(0,MIN(AW153+AX153-AY153,AV153))</f>
        <v/>
      </c>
      <c r="BA153" s="42">
        <f>ROUND(AW153+AX153-AY153-AZ153,2)</f>
        <v/>
      </c>
      <c r="BB153">
        <f>AV153-AZ153</f>
        <v/>
      </c>
      <c r="BC153" s="42">
        <f>BG152</f>
        <v/>
      </c>
      <c r="BD153" s="42">
        <f>ROUND(BC153*BD$6/12,2)</f>
        <v/>
      </c>
      <c r="BE153" s="42">
        <f>MIN(BE$6,BC153+BD153)</f>
        <v/>
      </c>
      <c r="BF153" s="42">
        <f>MAX(0,MIN(BC153+BD153-BE153,BB153))</f>
        <v/>
      </c>
      <c r="BG153" s="42">
        <f>ROUND(BC153+BD153-BE153-BF153,2)</f>
        <v/>
      </c>
      <c r="BH153">
        <f>BB153-BF153</f>
        <v/>
      </c>
      <c r="BI153" s="42">
        <f>BM152</f>
        <v/>
      </c>
      <c r="BJ153" s="42">
        <f>ROUND(BI153*BJ$6/12,2)</f>
        <v/>
      </c>
      <c r="BK153" s="42">
        <f>MIN(BK$6,BI153+BJ153)</f>
        <v/>
      </c>
      <c r="BL153" s="42">
        <f>MAX(0,MIN(BI153+BJ153-BK153,BH153))</f>
        <v/>
      </c>
      <c r="BM153" s="42">
        <f>ROUND(BI153+BJ153-BK153-BL153,2)</f>
        <v/>
      </c>
      <c r="BN153">
        <f>BH153-BL153</f>
        <v/>
      </c>
    </row>
    <row r="154">
      <c r="A154" s="39" t="n">
        <v>147</v>
      </c>
      <c r="B154" s="40">
        <f>EDATE('My Debts'!$C$6,A154-1)</f>
        <v/>
      </c>
      <c r="C154" s="41">
        <f>K154+Q154+W154+AC154+AI154+AO154+AU154+BA154+BG154+BM154</f>
        <v/>
      </c>
      <c r="D154" s="42">
        <f>I154+O154+U154+AA154+AG154+AM154+AS154+AY154+BE154+BK154+J154+P154+V154+AB154+AH154+AN154+AT154+AZ154+BF154+BL154</f>
        <v/>
      </c>
      <c r="E154" s="42">
        <f>H154+N154+T154+Z154+AF154+AL154+AR154+AX154+BD154+BJ154</f>
        <v/>
      </c>
      <c r="F154" t="n">
        <v>0</v>
      </c>
      <c r="G154" s="42">
        <f>K153</f>
        <v/>
      </c>
      <c r="H154" s="42">
        <f>ROUND(G154*H$6/12,2)</f>
        <v/>
      </c>
      <c r="I154" s="42">
        <f>MIN(I$6,G154+H154)</f>
        <v/>
      </c>
      <c r="J154" s="42">
        <f>MAX(0,MIN(G154+H154-I154,$F154))</f>
        <v/>
      </c>
      <c r="K154" s="42">
        <f>ROUND(G154+H154-I154-J154,2)</f>
        <v/>
      </c>
      <c r="L154">
        <f>$F154-J154</f>
        <v/>
      </c>
      <c r="M154" s="42">
        <f>Q153</f>
        <v/>
      </c>
      <c r="N154" s="42">
        <f>ROUND(M154*N$6/12,2)</f>
        <v/>
      </c>
      <c r="O154" s="42">
        <f>MIN(O$6,M154+N154)</f>
        <v/>
      </c>
      <c r="P154" s="42">
        <f>MAX(0,MIN(M154+N154-O154,L154))</f>
        <v/>
      </c>
      <c r="Q154" s="42">
        <f>ROUND(M154+N154-O154-P154,2)</f>
        <v/>
      </c>
      <c r="R154">
        <f>L154-P154</f>
        <v/>
      </c>
      <c r="S154" s="42">
        <f>W153</f>
        <v/>
      </c>
      <c r="T154" s="42">
        <f>ROUND(S154*T$6/12,2)</f>
        <v/>
      </c>
      <c r="U154" s="42">
        <f>MIN(U$6,S154+T154)</f>
        <v/>
      </c>
      <c r="V154" s="42">
        <f>MAX(0,MIN(S154+T154-U154,R154))</f>
        <v/>
      </c>
      <c r="W154" s="42">
        <f>ROUND(S154+T154-U154-V154,2)</f>
        <v/>
      </c>
      <c r="X154">
        <f>R154-V154</f>
        <v/>
      </c>
      <c r="Y154" s="42">
        <f>AC153</f>
        <v/>
      </c>
      <c r="Z154" s="42">
        <f>ROUND(Y154*Z$6/12,2)</f>
        <v/>
      </c>
      <c r="AA154" s="42">
        <f>MIN(AA$6,Y154+Z154)</f>
        <v/>
      </c>
      <c r="AB154" s="42">
        <f>MAX(0,MIN(Y154+Z154-AA154,X154))</f>
        <v/>
      </c>
      <c r="AC154" s="42">
        <f>ROUND(Y154+Z154-AA154-AB154,2)</f>
        <v/>
      </c>
      <c r="AD154">
        <f>X154-AB154</f>
        <v/>
      </c>
      <c r="AE154" s="42">
        <f>AI153</f>
        <v/>
      </c>
      <c r="AF154" s="42">
        <f>ROUND(AE154*AF$6/12,2)</f>
        <v/>
      </c>
      <c r="AG154" s="42">
        <f>MIN(AG$6,AE154+AF154)</f>
        <v/>
      </c>
      <c r="AH154" s="42">
        <f>MAX(0,MIN(AE154+AF154-AG154,AD154))</f>
        <v/>
      </c>
      <c r="AI154" s="42">
        <f>ROUND(AE154+AF154-AG154-AH154,2)</f>
        <v/>
      </c>
      <c r="AJ154">
        <f>AD154-AH154</f>
        <v/>
      </c>
      <c r="AK154" s="42">
        <f>AO153</f>
        <v/>
      </c>
      <c r="AL154" s="42">
        <f>ROUND(AK154*AL$6/12,2)</f>
        <v/>
      </c>
      <c r="AM154" s="42">
        <f>MIN(AM$6,AK154+AL154)</f>
        <v/>
      </c>
      <c r="AN154" s="42">
        <f>MAX(0,MIN(AK154+AL154-AM154,AJ154))</f>
        <v/>
      </c>
      <c r="AO154" s="42">
        <f>ROUND(AK154+AL154-AM154-AN154,2)</f>
        <v/>
      </c>
      <c r="AP154">
        <f>AJ154-AN154</f>
        <v/>
      </c>
      <c r="AQ154" s="42">
        <f>AU153</f>
        <v/>
      </c>
      <c r="AR154" s="42">
        <f>ROUND(AQ154*AR$6/12,2)</f>
        <v/>
      </c>
      <c r="AS154" s="42">
        <f>MIN(AS$6,AQ154+AR154)</f>
        <v/>
      </c>
      <c r="AT154" s="42">
        <f>MAX(0,MIN(AQ154+AR154-AS154,AP154))</f>
        <v/>
      </c>
      <c r="AU154" s="42">
        <f>ROUND(AQ154+AR154-AS154-AT154,2)</f>
        <v/>
      </c>
      <c r="AV154">
        <f>AP154-AT154</f>
        <v/>
      </c>
      <c r="AW154" s="42">
        <f>BA153</f>
        <v/>
      </c>
      <c r="AX154" s="42">
        <f>ROUND(AW154*AX$6/12,2)</f>
        <v/>
      </c>
      <c r="AY154" s="42">
        <f>MIN(AY$6,AW154+AX154)</f>
        <v/>
      </c>
      <c r="AZ154" s="42">
        <f>MAX(0,MIN(AW154+AX154-AY154,AV154))</f>
        <v/>
      </c>
      <c r="BA154" s="42">
        <f>ROUND(AW154+AX154-AY154-AZ154,2)</f>
        <v/>
      </c>
      <c r="BB154">
        <f>AV154-AZ154</f>
        <v/>
      </c>
      <c r="BC154" s="42">
        <f>BG153</f>
        <v/>
      </c>
      <c r="BD154" s="42">
        <f>ROUND(BC154*BD$6/12,2)</f>
        <v/>
      </c>
      <c r="BE154" s="42">
        <f>MIN(BE$6,BC154+BD154)</f>
        <v/>
      </c>
      <c r="BF154" s="42">
        <f>MAX(0,MIN(BC154+BD154-BE154,BB154))</f>
        <v/>
      </c>
      <c r="BG154" s="42">
        <f>ROUND(BC154+BD154-BE154-BF154,2)</f>
        <v/>
      </c>
      <c r="BH154">
        <f>BB154-BF154</f>
        <v/>
      </c>
      <c r="BI154" s="42">
        <f>BM153</f>
        <v/>
      </c>
      <c r="BJ154" s="42">
        <f>ROUND(BI154*BJ$6/12,2)</f>
        <v/>
      </c>
      <c r="BK154" s="42">
        <f>MIN(BK$6,BI154+BJ154)</f>
        <v/>
      </c>
      <c r="BL154" s="42">
        <f>MAX(0,MIN(BI154+BJ154-BK154,BH154))</f>
        <v/>
      </c>
      <c r="BM154" s="42">
        <f>ROUND(BI154+BJ154-BK154-BL154,2)</f>
        <v/>
      </c>
      <c r="BN154">
        <f>BH154-BL154</f>
        <v/>
      </c>
    </row>
    <row r="155">
      <c r="A155" s="43" t="n">
        <v>148</v>
      </c>
      <c r="B155" s="44">
        <f>EDATE('My Debts'!$C$6,A155-1)</f>
        <v/>
      </c>
      <c r="C155" s="45">
        <f>K155+Q155+W155+AC155+AI155+AO155+AU155+BA155+BG155+BM155</f>
        <v/>
      </c>
      <c r="D155" s="46">
        <f>I155+O155+U155+AA155+AG155+AM155+AS155+AY155+BE155+BK155+J155+P155+V155+AB155+AH155+AN155+AT155+AZ155+BF155+BL155</f>
        <v/>
      </c>
      <c r="E155" s="46">
        <f>H155+N155+T155+Z155+AF155+AL155+AR155+AX155+BD155+BJ155</f>
        <v/>
      </c>
      <c r="F155" t="n">
        <v>0</v>
      </c>
      <c r="G155" s="42">
        <f>K154</f>
        <v/>
      </c>
      <c r="H155" s="42">
        <f>ROUND(G155*H$6/12,2)</f>
        <v/>
      </c>
      <c r="I155" s="42">
        <f>MIN(I$6,G155+H155)</f>
        <v/>
      </c>
      <c r="J155" s="42">
        <f>MAX(0,MIN(G155+H155-I155,$F155))</f>
        <v/>
      </c>
      <c r="K155" s="42">
        <f>ROUND(G155+H155-I155-J155,2)</f>
        <v/>
      </c>
      <c r="L155">
        <f>$F155-J155</f>
        <v/>
      </c>
      <c r="M155" s="42">
        <f>Q154</f>
        <v/>
      </c>
      <c r="N155" s="42">
        <f>ROUND(M155*N$6/12,2)</f>
        <v/>
      </c>
      <c r="O155" s="42">
        <f>MIN(O$6,M155+N155)</f>
        <v/>
      </c>
      <c r="P155" s="42">
        <f>MAX(0,MIN(M155+N155-O155,L155))</f>
        <v/>
      </c>
      <c r="Q155" s="42">
        <f>ROUND(M155+N155-O155-P155,2)</f>
        <v/>
      </c>
      <c r="R155">
        <f>L155-P155</f>
        <v/>
      </c>
      <c r="S155" s="42">
        <f>W154</f>
        <v/>
      </c>
      <c r="T155" s="42">
        <f>ROUND(S155*T$6/12,2)</f>
        <v/>
      </c>
      <c r="U155" s="42">
        <f>MIN(U$6,S155+T155)</f>
        <v/>
      </c>
      <c r="V155" s="42">
        <f>MAX(0,MIN(S155+T155-U155,R155))</f>
        <v/>
      </c>
      <c r="W155" s="42">
        <f>ROUND(S155+T155-U155-V155,2)</f>
        <v/>
      </c>
      <c r="X155">
        <f>R155-V155</f>
        <v/>
      </c>
      <c r="Y155" s="42">
        <f>AC154</f>
        <v/>
      </c>
      <c r="Z155" s="42">
        <f>ROUND(Y155*Z$6/12,2)</f>
        <v/>
      </c>
      <c r="AA155" s="42">
        <f>MIN(AA$6,Y155+Z155)</f>
        <v/>
      </c>
      <c r="AB155" s="42">
        <f>MAX(0,MIN(Y155+Z155-AA155,X155))</f>
        <v/>
      </c>
      <c r="AC155" s="42">
        <f>ROUND(Y155+Z155-AA155-AB155,2)</f>
        <v/>
      </c>
      <c r="AD155">
        <f>X155-AB155</f>
        <v/>
      </c>
      <c r="AE155" s="42">
        <f>AI154</f>
        <v/>
      </c>
      <c r="AF155" s="42">
        <f>ROUND(AE155*AF$6/12,2)</f>
        <v/>
      </c>
      <c r="AG155" s="42">
        <f>MIN(AG$6,AE155+AF155)</f>
        <v/>
      </c>
      <c r="AH155" s="42">
        <f>MAX(0,MIN(AE155+AF155-AG155,AD155))</f>
        <v/>
      </c>
      <c r="AI155" s="42">
        <f>ROUND(AE155+AF155-AG155-AH155,2)</f>
        <v/>
      </c>
      <c r="AJ155">
        <f>AD155-AH155</f>
        <v/>
      </c>
      <c r="AK155" s="42">
        <f>AO154</f>
        <v/>
      </c>
      <c r="AL155" s="42">
        <f>ROUND(AK155*AL$6/12,2)</f>
        <v/>
      </c>
      <c r="AM155" s="42">
        <f>MIN(AM$6,AK155+AL155)</f>
        <v/>
      </c>
      <c r="AN155" s="42">
        <f>MAX(0,MIN(AK155+AL155-AM155,AJ155))</f>
        <v/>
      </c>
      <c r="AO155" s="42">
        <f>ROUND(AK155+AL155-AM155-AN155,2)</f>
        <v/>
      </c>
      <c r="AP155">
        <f>AJ155-AN155</f>
        <v/>
      </c>
      <c r="AQ155" s="42">
        <f>AU154</f>
        <v/>
      </c>
      <c r="AR155" s="42">
        <f>ROUND(AQ155*AR$6/12,2)</f>
        <v/>
      </c>
      <c r="AS155" s="42">
        <f>MIN(AS$6,AQ155+AR155)</f>
        <v/>
      </c>
      <c r="AT155" s="42">
        <f>MAX(0,MIN(AQ155+AR155-AS155,AP155))</f>
        <v/>
      </c>
      <c r="AU155" s="42">
        <f>ROUND(AQ155+AR155-AS155-AT155,2)</f>
        <v/>
      </c>
      <c r="AV155">
        <f>AP155-AT155</f>
        <v/>
      </c>
      <c r="AW155" s="42">
        <f>BA154</f>
        <v/>
      </c>
      <c r="AX155" s="42">
        <f>ROUND(AW155*AX$6/12,2)</f>
        <v/>
      </c>
      <c r="AY155" s="42">
        <f>MIN(AY$6,AW155+AX155)</f>
        <v/>
      </c>
      <c r="AZ155" s="42">
        <f>MAX(0,MIN(AW155+AX155-AY155,AV155))</f>
        <v/>
      </c>
      <c r="BA155" s="42">
        <f>ROUND(AW155+AX155-AY155-AZ155,2)</f>
        <v/>
      </c>
      <c r="BB155">
        <f>AV155-AZ155</f>
        <v/>
      </c>
      <c r="BC155" s="42">
        <f>BG154</f>
        <v/>
      </c>
      <c r="BD155" s="42">
        <f>ROUND(BC155*BD$6/12,2)</f>
        <v/>
      </c>
      <c r="BE155" s="42">
        <f>MIN(BE$6,BC155+BD155)</f>
        <v/>
      </c>
      <c r="BF155" s="42">
        <f>MAX(0,MIN(BC155+BD155-BE155,BB155))</f>
        <v/>
      </c>
      <c r="BG155" s="42">
        <f>ROUND(BC155+BD155-BE155-BF155,2)</f>
        <v/>
      </c>
      <c r="BH155">
        <f>BB155-BF155</f>
        <v/>
      </c>
      <c r="BI155" s="42">
        <f>BM154</f>
        <v/>
      </c>
      <c r="BJ155" s="42">
        <f>ROUND(BI155*BJ$6/12,2)</f>
        <v/>
      </c>
      <c r="BK155" s="42">
        <f>MIN(BK$6,BI155+BJ155)</f>
        <v/>
      </c>
      <c r="BL155" s="42">
        <f>MAX(0,MIN(BI155+BJ155-BK155,BH155))</f>
        <v/>
      </c>
      <c r="BM155" s="42">
        <f>ROUND(BI155+BJ155-BK155-BL155,2)</f>
        <v/>
      </c>
      <c r="BN155">
        <f>BH155-BL155</f>
        <v/>
      </c>
    </row>
    <row r="156">
      <c r="A156" s="39" t="n">
        <v>149</v>
      </c>
      <c r="B156" s="40">
        <f>EDATE('My Debts'!$C$6,A156-1)</f>
        <v/>
      </c>
      <c r="C156" s="41">
        <f>K156+Q156+W156+AC156+AI156+AO156+AU156+BA156+BG156+BM156</f>
        <v/>
      </c>
      <c r="D156" s="42">
        <f>I156+O156+U156+AA156+AG156+AM156+AS156+AY156+BE156+BK156+J156+P156+V156+AB156+AH156+AN156+AT156+AZ156+BF156+BL156</f>
        <v/>
      </c>
      <c r="E156" s="42">
        <f>H156+N156+T156+Z156+AF156+AL156+AR156+AX156+BD156+BJ156</f>
        <v/>
      </c>
      <c r="F156" t="n">
        <v>0</v>
      </c>
      <c r="G156" s="42">
        <f>K155</f>
        <v/>
      </c>
      <c r="H156" s="42">
        <f>ROUND(G156*H$6/12,2)</f>
        <v/>
      </c>
      <c r="I156" s="42">
        <f>MIN(I$6,G156+H156)</f>
        <v/>
      </c>
      <c r="J156" s="42">
        <f>MAX(0,MIN(G156+H156-I156,$F156))</f>
        <v/>
      </c>
      <c r="K156" s="42">
        <f>ROUND(G156+H156-I156-J156,2)</f>
        <v/>
      </c>
      <c r="L156">
        <f>$F156-J156</f>
        <v/>
      </c>
      <c r="M156" s="42">
        <f>Q155</f>
        <v/>
      </c>
      <c r="N156" s="42">
        <f>ROUND(M156*N$6/12,2)</f>
        <v/>
      </c>
      <c r="O156" s="42">
        <f>MIN(O$6,M156+N156)</f>
        <v/>
      </c>
      <c r="P156" s="42">
        <f>MAX(0,MIN(M156+N156-O156,L156))</f>
        <v/>
      </c>
      <c r="Q156" s="42">
        <f>ROUND(M156+N156-O156-P156,2)</f>
        <v/>
      </c>
      <c r="R156">
        <f>L156-P156</f>
        <v/>
      </c>
      <c r="S156" s="42">
        <f>W155</f>
        <v/>
      </c>
      <c r="T156" s="42">
        <f>ROUND(S156*T$6/12,2)</f>
        <v/>
      </c>
      <c r="U156" s="42">
        <f>MIN(U$6,S156+T156)</f>
        <v/>
      </c>
      <c r="V156" s="42">
        <f>MAX(0,MIN(S156+T156-U156,R156))</f>
        <v/>
      </c>
      <c r="W156" s="42">
        <f>ROUND(S156+T156-U156-V156,2)</f>
        <v/>
      </c>
      <c r="X156">
        <f>R156-V156</f>
        <v/>
      </c>
      <c r="Y156" s="42">
        <f>AC155</f>
        <v/>
      </c>
      <c r="Z156" s="42">
        <f>ROUND(Y156*Z$6/12,2)</f>
        <v/>
      </c>
      <c r="AA156" s="42">
        <f>MIN(AA$6,Y156+Z156)</f>
        <v/>
      </c>
      <c r="AB156" s="42">
        <f>MAX(0,MIN(Y156+Z156-AA156,X156))</f>
        <v/>
      </c>
      <c r="AC156" s="42">
        <f>ROUND(Y156+Z156-AA156-AB156,2)</f>
        <v/>
      </c>
      <c r="AD156">
        <f>X156-AB156</f>
        <v/>
      </c>
      <c r="AE156" s="42">
        <f>AI155</f>
        <v/>
      </c>
      <c r="AF156" s="42">
        <f>ROUND(AE156*AF$6/12,2)</f>
        <v/>
      </c>
      <c r="AG156" s="42">
        <f>MIN(AG$6,AE156+AF156)</f>
        <v/>
      </c>
      <c r="AH156" s="42">
        <f>MAX(0,MIN(AE156+AF156-AG156,AD156))</f>
        <v/>
      </c>
      <c r="AI156" s="42">
        <f>ROUND(AE156+AF156-AG156-AH156,2)</f>
        <v/>
      </c>
      <c r="AJ156">
        <f>AD156-AH156</f>
        <v/>
      </c>
      <c r="AK156" s="42">
        <f>AO155</f>
        <v/>
      </c>
      <c r="AL156" s="42">
        <f>ROUND(AK156*AL$6/12,2)</f>
        <v/>
      </c>
      <c r="AM156" s="42">
        <f>MIN(AM$6,AK156+AL156)</f>
        <v/>
      </c>
      <c r="AN156" s="42">
        <f>MAX(0,MIN(AK156+AL156-AM156,AJ156))</f>
        <v/>
      </c>
      <c r="AO156" s="42">
        <f>ROUND(AK156+AL156-AM156-AN156,2)</f>
        <v/>
      </c>
      <c r="AP156">
        <f>AJ156-AN156</f>
        <v/>
      </c>
      <c r="AQ156" s="42">
        <f>AU155</f>
        <v/>
      </c>
      <c r="AR156" s="42">
        <f>ROUND(AQ156*AR$6/12,2)</f>
        <v/>
      </c>
      <c r="AS156" s="42">
        <f>MIN(AS$6,AQ156+AR156)</f>
        <v/>
      </c>
      <c r="AT156" s="42">
        <f>MAX(0,MIN(AQ156+AR156-AS156,AP156))</f>
        <v/>
      </c>
      <c r="AU156" s="42">
        <f>ROUND(AQ156+AR156-AS156-AT156,2)</f>
        <v/>
      </c>
      <c r="AV156">
        <f>AP156-AT156</f>
        <v/>
      </c>
      <c r="AW156" s="42">
        <f>BA155</f>
        <v/>
      </c>
      <c r="AX156" s="42">
        <f>ROUND(AW156*AX$6/12,2)</f>
        <v/>
      </c>
      <c r="AY156" s="42">
        <f>MIN(AY$6,AW156+AX156)</f>
        <v/>
      </c>
      <c r="AZ156" s="42">
        <f>MAX(0,MIN(AW156+AX156-AY156,AV156))</f>
        <v/>
      </c>
      <c r="BA156" s="42">
        <f>ROUND(AW156+AX156-AY156-AZ156,2)</f>
        <v/>
      </c>
      <c r="BB156">
        <f>AV156-AZ156</f>
        <v/>
      </c>
      <c r="BC156" s="42">
        <f>BG155</f>
        <v/>
      </c>
      <c r="BD156" s="42">
        <f>ROUND(BC156*BD$6/12,2)</f>
        <v/>
      </c>
      <c r="BE156" s="42">
        <f>MIN(BE$6,BC156+BD156)</f>
        <v/>
      </c>
      <c r="BF156" s="42">
        <f>MAX(0,MIN(BC156+BD156-BE156,BB156))</f>
        <v/>
      </c>
      <c r="BG156" s="42">
        <f>ROUND(BC156+BD156-BE156-BF156,2)</f>
        <v/>
      </c>
      <c r="BH156">
        <f>BB156-BF156</f>
        <v/>
      </c>
      <c r="BI156" s="42">
        <f>BM155</f>
        <v/>
      </c>
      <c r="BJ156" s="42">
        <f>ROUND(BI156*BJ$6/12,2)</f>
        <v/>
      </c>
      <c r="BK156" s="42">
        <f>MIN(BK$6,BI156+BJ156)</f>
        <v/>
      </c>
      <c r="BL156" s="42">
        <f>MAX(0,MIN(BI156+BJ156-BK156,BH156))</f>
        <v/>
      </c>
      <c r="BM156" s="42">
        <f>ROUND(BI156+BJ156-BK156-BL156,2)</f>
        <v/>
      </c>
      <c r="BN156">
        <f>BH156-BL156</f>
        <v/>
      </c>
    </row>
    <row r="157">
      <c r="A157" s="43" t="n">
        <v>150</v>
      </c>
      <c r="B157" s="44">
        <f>EDATE('My Debts'!$C$6,A157-1)</f>
        <v/>
      </c>
      <c r="C157" s="45">
        <f>K157+Q157+W157+AC157+AI157+AO157+AU157+BA157+BG157+BM157</f>
        <v/>
      </c>
      <c r="D157" s="46">
        <f>I157+O157+U157+AA157+AG157+AM157+AS157+AY157+BE157+BK157+J157+P157+V157+AB157+AH157+AN157+AT157+AZ157+BF157+BL157</f>
        <v/>
      </c>
      <c r="E157" s="46">
        <f>H157+N157+T157+Z157+AF157+AL157+AR157+AX157+BD157+BJ157</f>
        <v/>
      </c>
      <c r="F157" t="n">
        <v>0</v>
      </c>
      <c r="G157" s="42">
        <f>K156</f>
        <v/>
      </c>
      <c r="H157" s="42">
        <f>ROUND(G157*H$6/12,2)</f>
        <v/>
      </c>
      <c r="I157" s="42">
        <f>MIN(I$6,G157+H157)</f>
        <v/>
      </c>
      <c r="J157" s="42">
        <f>MAX(0,MIN(G157+H157-I157,$F157))</f>
        <v/>
      </c>
      <c r="K157" s="42">
        <f>ROUND(G157+H157-I157-J157,2)</f>
        <v/>
      </c>
      <c r="L157">
        <f>$F157-J157</f>
        <v/>
      </c>
      <c r="M157" s="42">
        <f>Q156</f>
        <v/>
      </c>
      <c r="N157" s="42">
        <f>ROUND(M157*N$6/12,2)</f>
        <v/>
      </c>
      <c r="O157" s="42">
        <f>MIN(O$6,M157+N157)</f>
        <v/>
      </c>
      <c r="P157" s="42">
        <f>MAX(0,MIN(M157+N157-O157,L157))</f>
        <v/>
      </c>
      <c r="Q157" s="42">
        <f>ROUND(M157+N157-O157-P157,2)</f>
        <v/>
      </c>
      <c r="R157">
        <f>L157-P157</f>
        <v/>
      </c>
      <c r="S157" s="42">
        <f>W156</f>
        <v/>
      </c>
      <c r="T157" s="42">
        <f>ROUND(S157*T$6/12,2)</f>
        <v/>
      </c>
      <c r="U157" s="42">
        <f>MIN(U$6,S157+T157)</f>
        <v/>
      </c>
      <c r="V157" s="42">
        <f>MAX(0,MIN(S157+T157-U157,R157))</f>
        <v/>
      </c>
      <c r="W157" s="42">
        <f>ROUND(S157+T157-U157-V157,2)</f>
        <v/>
      </c>
      <c r="X157">
        <f>R157-V157</f>
        <v/>
      </c>
      <c r="Y157" s="42">
        <f>AC156</f>
        <v/>
      </c>
      <c r="Z157" s="42">
        <f>ROUND(Y157*Z$6/12,2)</f>
        <v/>
      </c>
      <c r="AA157" s="42">
        <f>MIN(AA$6,Y157+Z157)</f>
        <v/>
      </c>
      <c r="AB157" s="42">
        <f>MAX(0,MIN(Y157+Z157-AA157,X157))</f>
        <v/>
      </c>
      <c r="AC157" s="42">
        <f>ROUND(Y157+Z157-AA157-AB157,2)</f>
        <v/>
      </c>
      <c r="AD157">
        <f>X157-AB157</f>
        <v/>
      </c>
      <c r="AE157" s="42">
        <f>AI156</f>
        <v/>
      </c>
      <c r="AF157" s="42">
        <f>ROUND(AE157*AF$6/12,2)</f>
        <v/>
      </c>
      <c r="AG157" s="42">
        <f>MIN(AG$6,AE157+AF157)</f>
        <v/>
      </c>
      <c r="AH157" s="42">
        <f>MAX(0,MIN(AE157+AF157-AG157,AD157))</f>
        <v/>
      </c>
      <c r="AI157" s="42">
        <f>ROUND(AE157+AF157-AG157-AH157,2)</f>
        <v/>
      </c>
      <c r="AJ157">
        <f>AD157-AH157</f>
        <v/>
      </c>
      <c r="AK157" s="42">
        <f>AO156</f>
        <v/>
      </c>
      <c r="AL157" s="42">
        <f>ROUND(AK157*AL$6/12,2)</f>
        <v/>
      </c>
      <c r="AM157" s="42">
        <f>MIN(AM$6,AK157+AL157)</f>
        <v/>
      </c>
      <c r="AN157" s="42">
        <f>MAX(0,MIN(AK157+AL157-AM157,AJ157))</f>
        <v/>
      </c>
      <c r="AO157" s="42">
        <f>ROUND(AK157+AL157-AM157-AN157,2)</f>
        <v/>
      </c>
      <c r="AP157">
        <f>AJ157-AN157</f>
        <v/>
      </c>
      <c r="AQ157" s="42">
        <f>AU156</f>
        <v/>
      </c>
      <c r="AR157" s="42">
        <f>ROUND(AQ157*AR$6/12,2)</f>
        <v/>
      </c>
      <c r="AS157" s="42">
        <f>MIN(AS$6,AQ157+AR157)</f>
        <v/>
      </c>
      <c r="AT157" s="42">
        <f>MAX(0,MIN(AQ157+AR157-AS157,AP157))</f>
        <v/>
      </c>
      <c r="AU157" s="42">
        <f>ROUND(AQ157+AR157-AS157-AT157,2)</f>
        <v/>
      </c>
      <c r="AV157">
        <f>AP157-AT157</f>
        <v/>
      </c>
      <c r="AW157" s="42">
        <f>BA156</f>
        <v/>
      </c>
      <c r="AX157" s="42">
        <f>ROUND(AW157*AX$6/12,2)</f>
        <v/>
      </c>
      <c r="AY157" s="42">
        <f>MIN(AY$6,AW157+AX157)</f>
        <v/>
      </c>
      <c r="AZ157" s="42">
        <f>MAX(0,MIN(AW157+AX157-AY157,AV157))</f>
        <v/>
      </c>
      <c r="BA157" s="42">
        <f>ROUND(AW157+AX157-AY157-AZ157,2)</f>
        <v/>
      </c>
      <c r="BB157">
        <f>AV157-AZ157</f>
        <v/>
      </c>
      <c r="BC157" s="42">
        <f>BG156</f>
        <v/>
      </c>
      <c r="BD157" s="42">
        <f>ROUND(BC157*BD$6/12,2)</f>
        <v/>
      </c>
      <c r="BE157" s="42">
        <f>MIN(BE$6,BC157+BD157)</f>
        <v/>
      </c>
      <c r="BF157" s="42">
        <f>MAX(0,MIN(BC157+BD157-BE157,BB157))</f>
        <v/>
      </c>
      <c r="BG157" s="42">
        <f>ROUND(BC157+BD157-BE157-BF157,2)</f>
        <v/>
      </c>
      <c r="BH157">
        <f>BB157-BF157</f>
        <v/>
      </c>
      <c r="BI157" s="42">
        <f>BM156</f>
        <v/>
      </c>
      <c r="BJ157" s="42">
        <f>ROUND(BI157*BJ$6/12,2)</f>
        <v/>
      </c>
      <c r="BK157" s="42">
        <f>MIN(BK$6,BI157+BJ157)</f>
        <v/>
      </c>
      <c r="BL157" s="42">
        <f>MAX(0,MIN(BI157+BJ157-BK157,BH157))</f>
        <v/>
      </c>
      <c r="BM157" s="42">
        <f>ROUND(BI157+BJ157-BK157-BL157,2)</f>
        <v/>
      </c>
      <c r="BN157">
        <f>BH157-BL157</f>
        <v/>
      </c>
    </row>
    <row r="158">
      <c r="A158" s="39" t="n">
        <v>151</v>
      </c>
      <c r="B158" s="40">
        <f>EDATE('My Debts'!$C$6,A158-1)</f>
        <v/>
      </c>
      <c r="C158" s="41">
        <f>K158+Q158+W158+AC158+AI158+AO158+AU158+BA158+BG158+BM158</f>
        <v/>
      </c>
      <c r="D158" s="42">
        <f>I158+O158+U158+AA158+AG158+AM158+AS158+AY158+BE158+BK158+J158+P158+V158+AB158+AH158+AN158+AT158+AZ158+BF158+BL158</f>
        <v/>
      </c>
      <c r="E158" s="42">
        <f>H158+N158+T158+Z158+AF158+AL158+AR158+AX158+BD158+BJ158</f>
        <v/>
      </c>
      <c r="F158" t="n">
        <v>0</v>
      </c>
      <c r="G158" s="42">
        <f>K157</f>
        <v/>
      </c>
      <c r="H158" s="42">
        <f>ROUND(G158*H$6/12,2)</f>
        <v/>
      </c>
      <c r="I158" s="42">
        <f>MIN(I$6,G158+H158)</f>
        <v/>
      </c>
      <c r="J158" s="42">
        <f>MAX(0,MIN(G158+H158-I158,$F158))</f>
        <v/>
      </c>
      <c r="K158" s="42">
        <f>ROUND(G158+H158-I158-J158,2)</f>
        <v/>
      </c>
      <c r="L158">
        <f>$F158-J158</f>
        <v/>
      </c>
      <c r="M158" s="42">
        <f>Q157</f>
        <v/>
      </c>
      <c r="N158" s="42">
        <f>ROUND(M158*N$6/12,2)</f>
        <v/>
      </c>
      <c r="O158" s="42">
        <f>MIN(O$6,M158+N158)</f>
        <v/>
      </c>
      <c r="P158" s="42">
        <f>MAX(0,MIN(M158+N158-O158,L158))</f>
        <v/>
      </c>
      <c r="Q158" s="42">
        <f>ROUND(M158+N158-O158-P158,2)</f>
        <v/>
      </c>
      <c r="R158">
        <f>L158-P158</f>
        <v/>
      </c>
      <c r="S158" s="42">
        <f>W157</f>
        <v/>
      </c>
      <c r="T158" s="42">
        <f>ROUND(S158*T$6/12,2)</f>
        <v/>
      </c>
      <c r="U158" s="42">
        <f>MIN(U$6,S158+T158)</f>
        <v/>
      </c>
      <c r="V158" s="42">
        <f>MAX(0,MIN(S158+T158-U158,R158))</f>
        <v/>
      </c>
      <c r="W158" s="42">
        <f>ROUND(S158+T158-U158-V158,2)</f>
        <v/>
      </c>
      <c r="X158">
        <f>R158-V158</f>
        <v/>
      </c>
      <c r="Y158" s="42">
        <f>AC157</f>
        <v/>
      </c>
      <c r="Z158" s="42">
        <f>ROUND(Y158*Z$6/12,2)</f>
        <v/>
      </c>
      <c r="AA158" s="42">
        <f>MIN(AA$6,Y158+Z158)</f>
        <v/>
      </c>
      <c r="AB158" s="42">
        <f>MAX(0,MIN(Y158+Z158-AA158,X158))</f>
        <v/>
      </c>
      <c r="AC158" s="42">
        <f>ROUND(Y158+Z158-AA158-AB158,2)</f>
        <v/>
      </c>
      <c r="AD158">
        <f>X158-AB158</f>
        <v/>
      </c>
      <c r="AE158" s="42">
        <f>AI157</f>
        <v/>
      </c>
      <c r="AF158" s="42">
        <f>ROUND(AE158*AF$6/12,2)</f>
        <v/>
      </c>
      <c r="AG158" s="42">
        <f>MIN(AG$6,AE158+AF158)</f>
        <v/>
      </c>
      <c r="AH158" s="42">
        <f>MAX(0,MIN(AE158+AF158-AG158,AD158))</f>
        <v/>
      </c>
      <c r="AI158" s="42">
        <f>ROUND(AE158+AF158-AG158-AH158,2)</f>
        <v/>
      </c>
      <c r="AJ158">
        <f>AD158-AH158</f>
        <v/>
      </c>
      <c r="AK158" s="42">
        <f>AO157</f>
        <v/>
      </c>
      <c r="AL158" s="42">
        <f>ROUND(AK158*AL$6/12,2)</f>
        <v/>
      </c>
      <c r="AM158" s="42">
        <f>MIN(AM$6,AK158+AL158)</f>
        <v/>
      </c>
      <c r="AN158" s="42">
        <f>MAX(0,MIN(AK158+AL158-AM158,AJ158))</f>
        <v/>
      </c>
      <c r="AO158" s="42">
        <f>ROUND(AK158+AL158-AM158-AN158,2)</f>
        <v/>
      </c>
      <c r="AP158">
        <f>AJ158-AN158</f>
        <v/>
      </c>
      <c r="AQ158" s="42">
        <f>AU157</f>
        <v/>
      </c>
      <c r="AR158" s="42">
        <f>ROUND(AQ158*AR$6/12,2)</f>
        <v/>
      </c>
      <c r="AS158" s="42">
        <f>MIN(AS$6,AQ158+AR158)</f>
        <v/>
      </c>
      <c r="AT158" s="42">
        <f>MAX(0,MIN(AQ158+AR158-AS158,AP158))</f>
        <v/>
      </c>
      <c r="AU158" s="42">
        <f>ROUND(AQ158+AR158-AS158-AT158,2)</f>
        <v/>
      </c>
      <c r="AV158">
        <f>AP158-AT158</f>
        <v/>
      </c>
      <c r="AW158" s="42">
        <f>BA157</f>
        <v/>
      </c>
      <c r="AX158" s="42">
        <f>ROUND(AW158*AX$6/12,2)</f>
        <v/>
      </c>
      <c r="AY158" s="42">
        <f>MIN(AY$6,AW158+AX158)</f>
        <v/>
      </c>
      <c r="AZ158" s="42">
        <f>MAX(0,MIN(AW158+AX158-AY158,AV158))</f>
        <v/>
      </c>
      <c r="BA158" s="42">
        <f>ROUND(AW158+AX158-AY158-AZ158,2)</f>
        <v/>
      </c>
      <c r="BB158">
        <f>AV158-AZ158</f>
        <v/>
      </c>
      <c r="BC158" s="42">
        <f>BG157</f>
        <v/>
      </c>
      <c r="BD158" s="42">
        <f>ROUND(BC158*BD$6/12,2)</f>
        <v/>
      </c>
      <c r="BE158" s="42">
        <f>MIN(BE$6,BC158+BD158)</f>
        <v/>
      </c>
      <c r="BF158" s="42">
        <f>MAX(0,MIN(BC158+BD158-BE158,BB158))</f>
        <v/>
      </c>
      <c r="BG158" s="42">
        <f>ROUND(BC158+BD158-BE158-BF158,2)</f>
        <v/>
      </c>
      <c r="BH158">
        <f>BB158-BF158</f>
        <v/>
      </c>
      <c r="BI158" s="42">
        <f>BM157</f>
        <v/>
      </c>
      <c r="BJ158" s="42">
        <f>ROUND(BI158*BJ$6/12,2)</f>
        <v/>
      </c>
      <c r="BK158" s="42">
        <f>MIN(BK$6,BI158+BJ158)</f>
        <v/>
      </c>
      <c r="BL158" s="42">
        <f>MAX(0,MIN(BI158+BJ158-BK158,BH158))</f>
        <v/>
      </c>
      <c r="BM158" s="42">
        <f>ROUND(BI158+BJ158-BK158-BL158,2)</f>
        <v/>
      </c>
      <c r="BN158">
        <f>BH158-BL158</f>
        <v/>
      </c>
    </row>
    <row r="159">
      <c r="A159" s="43" t="n">
        <v>152</v>
      </c>
      <c r="B159" s="44">
        <f>EDATE('My Debts'!$C$6,A159-1)</f>
        <v/>
      </c>
      <c r="C159" s="45">
        <f>K159+Q159+W159+AC159+AI159+AO159+AU159+BA159+BG159+BM159</f>
        <v/>
      </c>
      <c r="D159" s="46">
        <f>I159+O159+U159+AA159+AG159+AM159+AS159+AY159+BE159+BK159+J159+P159+V159+AB159+AH159+AN159+AT159+AZ159+BF159+BL159</f>
        <v/>
      </c>
      <c r="E159" s="46">
        <f>H159+N159+T159+Z159+AF159+AL159+AR159+AX159+BD159+BJ159</f>
        <v/>
      </c>
      <c r="F159" t="n">
        <v>0</v>
      </c>
      <c r="G159" s="42">
        <f>K158</f>
        <v/>
      </c>
      <c r="H159" s="42">
        <f>ROUND(G159*H$6/12,2)</f>
        <v/>
      </c>
      <c r="I159" s="42">
        <f>MIN(I$6,G159+H159)</f>
        <v/>
      </c>
      <c r="J159" s="42">
        <f>MAX(0,MIN(G159+H159-I159,$F159))</f>
        <v/>
      </c>
      <c r="K159" s="42">
        <f>ROUND(G159+H159-I159-J159,2)</f>
        <v/>
      </c>
      <c r="L159">
        <f>$F159-J159</f>
        <v/>
      </c>
      <c r="M159" s="42">
        <f>Q158</f>
        <v/>
      </c>
      <c r="N159" s="42">
        <f>ROUND(M159*N$6/12,2)</f>
        <v/>
      </c>
      <c r="O159" s="42">
        <f>MIN(O$6,M159+N159)</f>
        <v/>
      </c>
      <c r="P159" s="42">
        <f>MAX(0,MIN(M159+N159-O159,L159))</f>
        <v/>
      </c>
      <c r="Q159" s="42">
        <f>ROUND(M159+N159-O159-P159,2)</f>
        <v/>
      </c>
      <c r="R159">
        <f>L159-P159</f>
        <v/>
      </c>
      <c r="S159" s="42">
        <f>W158</f>
        <v/>
      </c>
      <c r="T159" s="42">
        <f>ROUND(S159*T$6/12,2)</f>
        <v/>
      </c>
      <c r="U159" s="42">
        <f>MIN(U$6,S159+T159)</f>
        <v/>
      </c>
      <c r="V159" s="42">
        <f>MAX(0,MIN(S159+T159-U159,R159))</f>
        <v/>
      </c>
      <c r="W159" s="42">
        <f>ROUND(S159+T159-U159-V159,2)</f>
        <v/>
      </c>
      <c r="X159">
        <f>R159-V159</f>
        <v/>
      </c>
      <c r="Y159" s="42">
        <f>AC158</f>
        <v/>
      </c>
      <c r="Z159" s="42">
        <f>ROUND(Y159*Z$6/12,2)</f>
        <v/>
      </c>
      <c r="AA159" s="42">
        <f>MIN(AA$6,Y159+Z159)</f>
        <v/>
      </c>
      <c r="AB159" s="42">
        <f>MAX(0,MIN(Y159+Z159-AA159,X159))</f>
        <v/>
      </c>
      <c r="AC159" s="42">
        <f>ROUND(Y159+Z159-AA159-AB159,2)</f>
        <v/>
      </c>
      <c r="AD159">
        <f>X159-AB159</f>
        <v/>
      </c>
      <c r="AE159" s="42">
        <f>AI158</f>
        <v/>
      </c>
      <c r="AF159" s="42">
        <f>ROUND(AE159*AF$6/12,2)</f>
        <v/>
      </c>
      <c r="AG159" s="42">
        <f>MIN(AG$6,AE159+AF159)</f>
        <v/>
      </c>
      <c r="AH159" s="42">
        <f>MAX(0,MIN(AE159+AF159-AG159,AD159))</f>
        <v/>
      </c>
      <c r="AI159" s="42">
        <f>ROUND(AE159+AF159-AG159-AH159,2)</f>
        <v/>
      </c>
      <c r="AJ159">
        <f>AD159-AH159</f>
        <v/>
      </c>
      <c r="AK159" s="42">
        <f>AO158</f>
        <v/>
      </c>
      <c r="AL159" s="42">
        <f>ROUND(AK159*AL$6/12,2)</f>
        <v/>
      </c>
      <c r="AM159" s="42">
        <f>MIN(AM$6,AK159+AL159)</f>
        <v/>
      </c>
      <c r="AN159" s="42">
        <f>MAX(0,MIN(AK159+AL159-AM159,AJ159))</f>
        <v/>
      </c>
      <c r="AO159" s="42">
        <f>ROUND(AK159+AL159-AM159-AN159,2)</f>
        <v/>
      </c>
      <c r="AP159">
        <f>AJ159-AN159</f>
        <v/>
      </c>
      <c r="AQ159" s="42">
        <f>AU158</f>
        <v/>
      </c>
      <c r="AR159" s="42">
        <f>ROUND(AQ159*AR$6/12,2)</f>
        <v/>
      </c>
      <c r="AS159" s="42">
        <f>MIN(AS$6,AQ159+AR159)</f>
        <v/>
      </c>
      <c r="AT159" s="42">
        <f>MAX(0,MIN(AQ159+AR159-AS159,AP159))</f>
        <v/>
      </c>
      <c r="AU159" s="42">
        <f>ROUND(AQ159+AR159-AS159-AT159,2)</f>
        <v/>
      </c>
      <c r="AV159">
        <f>AP159-AT159</f>
        <v/>
      </c>
      <c r="AW159" s="42">
        <f>BA158</f>
        <v/>
      </c>
      <c r="AX159" s="42">
        <f>ROUND(AW159*AX$6/12,2)</f>
        <v/>
      </c>
      <c r="AY159" s="42">
        <f>MIN(AY$6,AW159+AX159)</f>
        <v/>
      </c>
      <c r="AZ159" s="42">
        <f>MAX(0,MIN(AW159+AX159-AY159,AV159))</f>
        <v/>
      </c>
      <c r="BA159" s="42">
        <f>ROUND(AW159+AX159-AY159-AZ159,2)</f>
        <v/>
      </c>
      <c r="BB159">
        <f>AV159-AZ159</f>
        <v/>
      </c>
      <c r="BC159" s="42">
        <f>BG158</f>
        <v/>
      </c>
      <c r="BD159" s="42">
        <f>ROUND(BC159*BD$6/12,2)</f>
        <v/>
      </c>
      <c r="BE159" s="42">
        <f>MIN(BE$6,BC159+BD159)</f>
        <v/>
      </c>
      <c r="BF159" s="42">
        <f>MAX(0,MIN(BC159+BD159-BE159,BB159))</f>
        <v/>
      </c>
      <c r="BG159" s="42">
        <f>ROUND(BC159+BD159-BE159-BF159,2)</f>
        <v/>
      </c>
      <c r="BH159">
        <f>BB159-BF159</f>
        <v/>
      </c>
      <c r="BI159" s="42">
        <f>BM158</f>
        <v/>
      </c>
      <c r="BJ159" s="42">
        <f>ROUND(BI159*BJ$6/12,2)</f>
        <v/>
      </c>
      <c r="BK159" s="42">
        <f>MIN(BK$6,BI159+BJ159)</f>
        <v/>
      </c>
      <c r="BL159" s="42">
        <f>MAX(0,MIN(BI159+BJ159-BK159,BH159))</f>
        <v/>
      </c>
      <c r="BM159" s="42">
        <f>ROUND(BI159+BJ159-BK159-BL159,2)</f>
        <v/>
      </c>
      <c r="BN159">
        <f>BH159-BL159</f>
        <v/>
      </c>
    </row>
    <row r="160">
      <c r="A160" s="39" t="n">
        <v>153</v>
      </c>
      <c r="B160" s="40">
        <f>EDATE('My Debts'!$C$6,A160-1)</f>
        <v/>
      </c>
      <c r="C160" s="41">
        <f>K160+Q160+W160+AC160+AI160+AO160+AU160+BA160+BG160+BM160</f>
        <v/>
      </c>
      <c r="D160" s="42">
        <f>I160+O160+U160+AA160+AG160+AM160+AS160+AY160+BE160+BK160+J160+P160+V160+AB160+AH160+AN160+AT160+AZ160+BF160+BL160</f>
        <v/>
      </c>
      <c r="E160" s="42">
        <f>H160+N160+T160+Z160+AF160+AL160+AR160+AX160+BD160+BJ160</f>
        <v/>
      </c>
      <c r="F160" t="n">
        <v>0</v>
      </c>
      <c r="G160" s="42">
        <f>K159</f>
        <v/>
      </c>
      <c r="H160" s="42">
        <f>ROUND(G160*H$6/12,2)</f>
        <v/>
      </c>
      <c r="I160" s="42">
        <f>MIN(I$6,G160+H160)</f>
        <v/>
      </c>
      <c r="J160" s="42">
        <f>MAX(0,MIN(G160+H160-I160,$F160))</f>
        <v/>
      </c>
      <c r="K160" s="42">
        <f>ROUND(G160+H160-I160-J160,2)</f>
        <v/>
      </c>
      <c r="L160">
        <f>$F160-J160</f>
        <v/>
      </c>
      <c r="M160" s="42">
        <f>Q159</f>
        <v/>
      </c>
      <c r="N160" s="42">
        <f>ROUND(M160*N$6/12,2)</f>
        <v/>
      </c>
      <c r="O160" s="42">
        <f>MIN(O$6,M160+N160)</f>
        <v/>
      </c>
      <c r="P160" s="42">
        <f>MAX(0,MIN(M160+N160-O160,L160))</f>
        <v/>
      </c>
      <c r="Q160" s="42">
        <f>ROUND(M160+N160-O160-P160,2)</f>
        <v/>
      </c>
      <c r="R160">
        <f>L160-P160</f>
        <v/>
      </c>
      <c r="S160" s="42">
        <f>W159</f>
        <v/>
      </c>
      <c r="T160" s="42">
        <f>ROUND(S160*T$6/12,2)</f>
        <v/>
      </c>
      <c r="U160" s="42">
        <f>MIN(U$6,S160+T160)</f>
        <v/>
      </c>
      <c r="V160" s="42">
        <f>MAX(0,MIN(S160+T160-U160,R160))</f>
        <v/>
      </c>
      <c r="W160" s="42">
        <f>ROUND(S160+T160-U160-V160,2)</f>
        <v/>
      </c>
      <c r="X160">
        <f>R160-V160</f>
        <v/>
      </c>
      <c r="Y160" s="42">
        <f>AC159</f>
        <v/>
      </c>
      <c r="Z160" s="42">
        <f>ROUND(Y160*Z$6/12,2)</f>
        <v/>
      </c>
      <c r="AA160" s="42">
        <f>MIN(AA$6,Y160+Z160)</f>
        <v/>
      </c>
      <c r="AB160" s="42">
        <f>MAX(0,MIN(Y160+Z160-AA160,X160))</f>
        <v/>
      </c>
      <c r="AC160" s="42">
        <f>ROUND(Y160+Z160-AA160-AB160,2)</f>
        <v/>
      </c>
      <c r="AD160">
        <f>X160-AB160</f>
        <v/>
      </c>
      <c r="AE160" s="42">
        <f>AI159</f>
        <v/>
      </c>
      <c r="AF160" s="42">
        <f>ROUND(AE160*AF$6/12,2)</f>
        <v/>
      </c>
      <c r="AG160" s="42">
        <f>MIN(AG$6,AE160+AF160)</f>
        <v/>
      </c>
      <c r="AH160" s="42">
        <f>MAX(0,MIN(AE160+AF160-AG160,AD160))</f>
        <v/>
      </c>
      <c r="AI160" s="42">
        <f>ROUND(AE160+AF160-AG160-AH160,2)</f>
        <v/>
      </c>
      <c r="AJ160">
        <f>AD160-AH160</f>
        <v/>
      </c>
      <c r="AK160" s="42">
        <f>AO159</f>
        <v/>
      </c>
      <c r="AL160" s="42">
        <f>ROUND(AK160*AL$6/12,2)</f>
        <v/>
      </c>
      <c r="AM160" s="42">
        <f>MIN(AM$6,AK160+AL160)</f>
        <v/>
      </c>
      <c r="AN160" s="42">
        <f>MAX(0,MIN(AK160+AL160-AM160,AJ160))</f>
        <v/>
      </c>
      <c r="AO160" s="42">
        <f>ROUND(AK160+AL160-AM160-AN160,2)</f>
        <v/>
      </c>
      <c r="AP160">
        <f>AJ160-AN160</f>
        <v/>
      </c>
      <c r="AQ160" s="42">
        <f>AU159</f>
        <v/>
      </c>
      <c r="AR160" s="42">
        <f>ROUND(AQ160*AR$6/12,2)</f>
        <v/>
      </c>
      <c r="AS160" s="42">
        <f>MIN(AS$6,AQ160+AR160)</f>
        <v/>
      </c>
      <c r="AT160" s="42">
        <f>MAX(0,MIN(AQ160+AR160-AS160,AP160))</f>
        <v/>
      </c>
      <c r="AU160" s="42">
        <f>ROUND(AQ160+AR160-AS160-AT160,2)</f>
        <v/>
      </c>
      <c r="AV160">
        <f>AP160-AT160</f>
        <v/>
      </c>
      <c r="AW160" s="42">
        <f>BA159</f>
        <v/>
      </c>
      <c r="AX160" s="42">
        <f>ROUND(AW160*AX$6/12,2)</f>
        <v/>
      </c>
      <c r="AY160" s="42">
        <f>MIN(AY$6,AW160+AX160)</f>
        <v/>
      </c>
      <c r="AZ160" s="42">
        <f>MAX(0,MIN(AW160+AX160-AY160,AV160))</f>
        <v/>
      </c>
      <c r="BA160" s="42">
        <f>ROUND(AW160+AX160-AY160-AZ160,2)</f>
        <v/>
      </c>
      <c r="BB160">
        <f>AV160-AZ160</f>
        <v/>
      </c>
      <c r="BC160" s="42">
        <f>BG159</f>
        <v/>
      </c>
      <c r="BD160" s="42">
        <f>ROUND(BC160*BD$6/12,2)</f>
        <v/>
      </c>
      <c r="BE160" s="42">
        <f>MIN(BE$6,BC160+BD160)</f>
        <v/>
      </c>
      <c r="BF160" s="42">
        <f>MAX(0,MIN(BC160+BD160-BE160,BB160))</f>
        <v/>
      </c>
      <c r="BG160" s="42">
        <f>ROUND(BC160+BD160-BE160-BF160,2)</f>
        <v/>
      </c>
      <c r="BH160">
        <f>BB160-BF160</f>
        <v/>
      </c>
      <c r="BI160" s="42">
        <f>BM159</f>
        <v/>
      </c>
      <c r="BJ160" s="42">
        <f>ROUND(BI160*BJ$6/12,2)</f>
        <v/>
      </c>
      <c r="BK160" s="42">
        <f>MIN(BK$6,BI160+BJ160)</f>
        <v/>
      </c>
      <c r="BL160" s="42">
        <f>MAX(0,MIN(BI160+BJ160-BK160,BH160))</f>
        <v/>
      </c>
      <c r="BM160" s="42">
        <f>ROUND(BI160+BJ160-BK160-BL160,2)</f>
        <v/>
      </c>
      <c r="BN160">
        <f>BH160-BL160</f>
        <v/>
      </c>
    </row>
    <row r="161">
      <c r="A161" s="43" t="n">
        <v>154</v>
      </c>
      <c r="B161" s="44">
        <f>EDATE('My Debts'!$C$6,A161-1)</f>
        <v/>
      </c>
      <c r="C161" s="45">
        <f>K161+Q161+W161+AC161+AI161+AO161+AU161+BA161+BG161+BM161</f>
        <v/>
      </c>
      <c r="D161" s="46">
        <f>I161+O161+U161+AA161+AG161+AM161+AS161+AY161+BE161+BK161+J161+P161+V161+AB161+AH161+AN161+AT161+AZ161+BF161+BL161</f>
        <v/>
      </c>
      <c r="E161" s="46">
        <f>H161+N161+T161+Z161+AF161+AL161+AR161+AX161+BD161+BJ161</f>
        <v/>
      </c>
      <c r="F161" t="n">
        <v>0</v>
      </c>
      <c r="G161" s="42">
        <f>K160</f>
        <v/>
      </c>
      <c r="H161" s="42">
        <f>ROUND(G161*H$6/12,2)</f>
        <v/>
      </c>
      <c r="I161" s="42">
        <f>MIN(I$6,G161+H161)</f>
        <v/>
      </c>
      <c r="J161" s="42">
        <f>MAX(0,MIN(G161+H161-I161,$F161))</f>
        <v/>
      </c>
      <c r="K161" s="42">
        <f>ROUND(G161+H161-I161-J161,2)</f>
        <v/>
      </c>
      <c r="L161">
        <f>$F161-J161</f>
        <v/>
      </c>
      <c r="M161" s="42">
        <f>Q160</f>
        <v/>
      </c>
      <c r="N161" s="42">
        <f>ROUND(M161*N$6/12,2)</f>
        <v/>
      </c>
      <c r="O161" s="42">
        <f>MIN(O$6,M161+N161)</f>
        <v/>
      </c>
      <c r="P161" s="42">
        <f>MAX(0,MIN(M161+N161-O161,L161))</f>
        <v/>
      </c>
      <c r="Q161" s="42">
        <f>ROUND(M161+N161-O161-P161,2)</f>
        <v/>
      </c>
      <c r="R161">
        <f>L161-P161</f>
        <v/>
      </c>
      <c r="S161" s="42">
        <f>W160</f>
        <v/>
      </c>
      <c r="T161" s="42">
        <f>ROUND(S161*T$6/12,2)</f>
        <v/>
      </c>
      <c r="U161" s="42">
        <f>MIN(U$6,S161+T161)</f>
        <v/>
      </c>
      <c r="V161" s="42">
        <f>MAX(0,MIN(S161+T161-U161,R161))</f>
        <v/>
      </c>
      <c r="W161" s="42">
        <f>ROUND(S161+T161-U161-V161,2)</f>
        <v/>
      </c>
      <c r="X161">
        <f>R161-V161</f>
        <v/>
      </c>
      <c r="Y161" s="42">
        <f>AC160</f>
        <v/>
      </c>
      <c r="Z161" s="42">
        <f>ROUND(Y161*Z$6/12,2)</f>
        <v/>
      </c>
      <c r="AA161" s="42">
        <f>MIN(AA$6,Y161+Z161)</f>
        <v/>
      </c>
      <c r="AB161" s="42">
        <f>MAX(0,MIN(Y161+Z161-AA161,X161))</f>
        <v/>
      </c>
      <c r="AC161" s="42">
        <f>ROUND(Y161+Z161-AA161-AB161,2)</f>
        <v/>
      </c>
      <c r="AD161">
        <f>X161-AB161</f>
        <v/>
      </c>
      <c r="AE161" s="42">
        <f>AI160</f>
        <v/>
      </c>
      <c r="AF161" s="42">
        <f>ROUND(AE161*AF$6/12,2)</f>
        <v/>
      </c>
      <c r="AG161" s="42">
        <f>MIN(AG$6,AE161+AF161)</f>
        <v/>
      </c>
      <c r="AH161" s="42">
        <f>MAX(0,MIN(AE161+AF161-AG161,AD161))</f>
        <v/>
      </c>
      <c r="AI161" s="42">
        <f>ROUND(AE161+AF161-AG161-AH161,2)</f>
        <v/>
      </c>
      <c r="AJ161">
        <f>AD161-AH161</f>
        <v/>
      </c>
      <c r="AK161" s="42">
        <f>AO160</f>
        <v/>
      </c>
      <c r="AL161" s="42">
        <f>ROUND(AK161*AL$6/12,2)</f>
        <v/>
      </c>
      <c r="AM161" s="42">
        <f>MIN(AM$6,AK161+AL161)</f>
        <v/>
      </c>
      <c r="AN161" s="42">
        <f>MAX(0,MIN(AK161+AL161-AM161,AJ161))</f>
        <v/>
      </c>
      <c r="AO161" s="42">
        <f>ROUND(AK161+AL161-AM161-AN161,2)</f>
        <v/>
      </c>
      <c r="AP161">
        <f>AJ161-AN161</f>
        <v/>
      </c>
      <c r="AQ161" s="42">
        <f>AU160</f>
        <v/>
      </c>
      <c r="AR161" s="42">
        <f>ROUND(AQ161*AR$6/12,2)</f>
        <v/>
      </c>
      <c r="AS161" s="42">
        <f>MIN(AS$6,AQ161+AR161)</f>
        <v/>
      </c>
      <c r="AT161" s="42">
        <f>MAX(0,MIN(AQ161+AR161-AS161,AP161))</f>
        <v/>
      </c>
      <c r="AU161" s="42">
        <f>ROUND(AQ161+AR161-AS161-AT161,2)</f>
        <v/>
      </c>
      <c r="AV161">
        <f>AP161-AT161</f>
        <v/>
      </c>
      <c r="AW161" s="42">
        <f>BA160</f>
        <v/>
      </c>
      <c r="AX161" s="42">
        <f>ROUND(AW161*AX$6/12,2)</f>
        <v/>
      </c>
      <c r="AY161" s="42">
        <f>MIN(AY$6,AW161+AX161)</f>
        <v/>
      </c>
      <c r="AZ161" s="42">
        <f>MAX(0,MIN(AW161+AX161-AY161,AV161))</f>
        <v/>
      </c>
      <c r="BA161" s="42">
        <f>ROUND(AW161+AX161-AY161-AZ161,2)</f>
        <v/>
      </c>
      <c r="BB161">
        <f>AV161-AZ161</f>
        <v/>
      </c>
      <c r="BC161" s="42">
        <f>BG160</f>
        <v/>
      </c>
      <c r="BD161" s="42">
        <f>ROUND(BC161*BD$6/12,2)</f>
        <v/>
      </c>
      <c r="BE161" s="42">
        <f>MIN(BE$6,BC161+BD161)</f>
        <v/>
      </c>
      <c r="BF161" s="42">
        <f>MAX(0,MIN(BC161+BD161-BE161,BB161))</f>
        <v/>
      </c>
      <c r="BG161" s="42">
        <f>ROUND(BC161+BD161-BE161-BF161,2)</f>
        <v/>
      </c>
      <c r="BH161">
        <f>BB161-BF161</f>
        <v/>
      </c>
      <c r="BI161" s="42">
        <f>BM160</f>
        <v/>
      </c>
      <c r="BJ161" s="42">
        <f>ROUND(BI161*BJ$6/12,2)</f>
        <v/>
      </c>
      <c r="BK161" s="42">
        <f>MIN(BK$6,BI161+BJ161)</f>
        <v/>
      </c>
      <c r="BL161" s="42">
        <f>MAX(0,MIN(BI161+BJ161-BK161,BH161))</f>
        <v/>
      </c>
      <c r="BM161" s="42">
        <f>ROUND(BI161+BJ161-BK161-BL161,2)</f>
        <v/>
      </c>
      <c r="BN161">
        <f>BH161-BL161</f>
        <v/>
      </c>
    </row>
    <row r="162">
      <c r="A162" s="39" t="n">
        <v>155</v>
      </c>
      <c r="B162" s="40">
        <f>EDATE('My Debts'!$C$6,A162-1)</f>
        <v/>
      </c>
      <c r="C162" s="41">
        <f>K162+Q162+W162+AC162+AI162+AO162+AU162+BA162+BG162+BM162</f>
        <v/>
      </c>
      <c r="D162" s="42">
        <f>I162+O162+U162+AA162+AG162+AM162+AS162+AY162+BE162+BK162+J162+P162+V162+AB162+AH162+AN162+AT162+AZ162+BF162+BL162</f>
        <v/>
      </c>
      <c r="E162" s="42">
        <f>H162+N162+T162+Z162+AF162+AL162+AR162+AX162+BD162+BJ162</f>
        <v/>
      </c>
      <c r="F162" t="n">
        <v>0</v>
      </c>
      <c r="G162" s="42">
        <f>K161</f>
        <v/>
      </c>
      <c r="H162" s="42">
        <f>ROUND(G162*H$6/12,2)</f>
        <v/>
      </c>
      <c r="I162" s="42">
        <f>MIN(I$6,G162+H162)</f>
        <v/>
      </c>
      <c r="J162" s="42">
        <f>MAX(0,MIN(G162+H162-I162,$F162))</f>
        <v/>
      </c>
      <c r="K162" s="42">
        <f>ROUND(G162+H162-I162-J162,2)</f>
        <v/>
      </c>
      <c r="L162">
        <f>$F162-J162</f>
        <v/>
      </c>
      <c r="M162" s="42">
        <f>Q161</f>
        <v/>
      </c>
      <c r="N162" s="42">
        <f>ROUND(M162*N$6/12,2)</f>
        <v/>
      </c>
      <c r="O162" s="42">
        <f>MIN(O$6,M162+N162)</f>
        <v/>
      </c>
      <c r="P162" s="42">
        <f>MAX(0,MIN(M162+N162-O162,L162))</f>
        <v/>
      </c>
      <c r="Q162" s="42">
        <f>ROUND(M162+N162-O162-P162,2)</f>
        <v/>
      </c>
      <c r="R162">
        <f>L162-P162</f>
        <v/>
      </c>
      <c r="S162" s="42">
        <f>W161</f>
        <v/>
      </c>
      <c r="T162" s="42">
        <f>ROUND(S162*T$6/12,2)</f>
        <v/>
      </c>
      <c r="U162" s="42">
        <f>MIN(U$6,S162+T162)</f>
        <v/>
      </c>
      <c r="V162" s="42">
        <f>MAX(0,MIN(S162+T162-U162,R162))</f>
        <v/>
      </c>
      <c r="W162" s="42">
        <f>ROUND(S162+T162-U162-V162,2)</f>
        <v/>
      </c>
      <c r="X162">
        <f>R162-V162</f>
        <v/>
      </c>
      <c r="Y162" s="42">
        <f>AC161</f>
        <v/>
      </c>
      <c r="Z162" s="42">
        <f>ROUND(Y162*Z$6/12,2)</f>
        <v/>
      </c>
      <c r="AA162" s="42">
        <f>MIN(AA$6,Y162+Z162)</f>
        <v/>
      </c>
      <c r="AB162" s="42">
        <f>MAX(0,MIN(Y162+Z162-AA162,X162))</f>
        <v/>
      </c>
      <c r="AC162" s="42">
        <f>ROUND(Y162+Z162-AA162-AB162,2)</f>
        <v/>
      </c>
      <c r="AD162">
        <f>X162-AB162</f>
        <v/>
      </c>
      <c r="AE162" s="42">
        <f>AI161</f>
        <v/>
      </c>
      <c r="AF162" s="42">
        <f>ROUND(AE162*AF$6/12,2)</f>
        <v/>
      </c>
      <c r="AG162" s="42">
        <f>MIN(AG$6,AE162+AF162)</f>
        <v/>
      </c>
      <c r="AH162" s="42">
        <f>MAX(0,MIN(AE162+AF162-AG162,AD162))</f>
        <v/>
      </c>
      <c r="AI162" s="42">
        <f>ROUND(AE162+AF162-AG162-AH162,2)</f>
        <v/>
      </c>
      <c r="AJ162">
        <f>AD162-AH162</f>
        <v/>
      </c>
      <c r="AK162" s="42">
        <f>AO161</f>
        <v/>
      </c>
      <c r="AL162" s="42">
        <f>ROUND(AK162*AL$6/12,2)</f>
        <v/>
      </c>
      <c r="AM162" s="42">
        <f>MIN(AM$6,AK162+AL162)</f>
        <v/>
      </c>
      <c r="AN162" s="42">
        <f>MAX(0,MIN(AK162+AL162-AM162,AJ162))</f>
        <v/>
      </c>
      <c r="AO162" s="42">
        <f>ROUND(AK162+AL162-AM162-AN162,2)</f>
        <v/>
      </c>
      <c r="AP162">
        <f>AJ162-AN162</f>
        <v/>
      </c>
      <c r="AQ162" s="42">
        <f>AU161</f>
        <v/>
      </c>
      <c r="AR162" s="42">
        <f>ROUND(AQ162*AR$6/12,2)</f>
        <v/>
      </c>
      <c r="AS162" s="42">
        <f>MIN(AS$6,AQ162+AR162)</f>
        <v/>
      </c>
      <c r="AT162" s="42">
        <f>MAX(0,MIN(AQ162+AR162-AS162,AP162))</f>
        <v/>
      </c>
      <c r="AU162" s="42">
        <f>ROUND(AQ162+AR162-AS162-AT162,2)</f>
        <v/>
      </c>
      <c r="AV162">
        <f>AP162-AT162</f>
        <v/>
      </c>
      <c r="AW162" s="42">
        <f>BA161</f>
        <v/>
      </c>
      <c r="AX162" s="42">
        <f>ROUND(AW162*AX$6/12,2)</f>
        <v/>
      </c>
      <c r="AY162" s="42">
        <f>MIN(AY$6,AW162+AX162)</f>
        <v/>
      </c>
      <c r="AZ162" s="42">
        <f>MAX(0,MIN(AW162+AX162-AY162,AV162))</f>
        <v/>
      </c>
      <c r="BA162" s="42">
        <f>ROUND(AW162+AX162-AY162-AZ162,2)</f>
        <v/>
      </c>
      <c r="BB162">
        <f>AV162-AZ162</f>
        <v/>
      </c>
      <c r="BC162" s="42">
        <f>BG161</f>
        <v/>
      </c>
      <c r="BD162" s="42">
        <f>ROUND(BC162*BD$6/12,2)</f>
        <v/>
      </c>
      <c r="BE162" s="42">
        <f>MIN(BE$6,BC162+BD162)</f>
        <v/>
      </c>
      <c r="BF162" s="42">
        <f>MAX(0,MIN(BC162+BD162-BE162,BB162))</f>
        <v/>
      </c>
      <c r="BG162" s="42">
        <f>ROUND(BC162+BD162-BE162-BF162,2)</f>
        <v/>
      </c>
      <c r="BH162">
        <f>BB162-BF162</f>
        <v/>
      </c>
      <c r="BI162" s="42">
        <f>BM161</f>
        <v/>
      </c>
      <c r="BJ162" s="42">
        <f>ROUND(BI162*BJ$6/12,2)</f>
        <v/>
      </c>
      <c r="BK162" s="42">
        <f>MIN(BK$6,BI162+BJ162)</f>
        <v/>
      </c>
      <c r="BL162" s="42">
        <f>MAX(0,MIN(BI162+BJ162-BK162,BH162))</f>
        <v/>
      </c>
      <c r="BM162" s="42">
        <f>ROUND(BI162+BJ162-BK162-BL162,2)</f>
        <v/>
      </c>
      <c r="BN162">
        <f>BH162-BL162</f>
        <v/>
      </c>
    </row>
    <row r="163">
      <c r="A163" s="43" t="n">
        <v>156</v>
      </c>
      <c r="B163" s="44">
        <f>EDATE('My Debts'!$C$6,A163-1)</f>
        <v/>
      </c>
      <c r="C163" s="45">
        <f>K163+Q163+W163+AC163+AI163+AO163+AU163+BA163+BG163+BM163</f>
        <v/>
      </c>
      <c r="D163" s="46">
        <f>I163+O163+U163+AA163+AG163+AM163+AS163+AY163+BE163+BK163+J163+P163+V163+AB163+AH163+AN163+AT163+AZ163+BF163+BL163</f>
        <v/>
      </c>
      <c r="E163" s="46">
        <f>H163+N163+T163+Z163+AF163+AL163+AR163+AX163+BD163+BJ163</f>
        <v/>
      </c>
      <c r="F163" t="n">
        <v>0</v>
      </c>
      <c r="G163" s="42">
        <f>K162</f>
        <v/>
      </c>
      <c r="H163" s="42">
        <f>ROUND(G163*H$6/12,2)</f>
        <v/>
      </c>
      <c r="I163" s="42">
        <f>MIN(I$6,G163+H163)</f>
        <v/>
      </c>
      <c r="J163" s="42">
        <f>MAX(0,MIN(G163+H163-I163,$F163))</f>
        <v/>
      </c>
      <c r="K163" s="42">
        <f>ROUND(G163+H163-I163-J163,2)</f>
        <v/>
      </c>
      <c r="L163">
        <f>$F163-J163</f>
        <v/>
      </c>
      <c r="M163" s="42">
        <f>Q162</f>
        <v/>
      </c>
      <c r="N163" s="42">
        <f>ROUND(M163*N$6/12,2)</f>
        <v/>
      </c>
      <c r="O163" s="42">
        <f>MIN(O$6,M163+N163)</f>
        <v/>
      </c>
      <c r="P163" s="42">
        <f>MAX(0,MIN(M163+N163-O163,L163))</f>
        <v/>
      </c>
      <c r="Q163" s="42">
        <f>ROUND(M163+N163-O163-P163,2)</f>
        <v/>
      </c>
      <c r="R163">
        <f>L163-P163</f>
        <v/>
      </c>
      <c r="S163" s="42">
        <f>W162</f>
        <v/>
      </c>
      <c r="T163" s="42">
        <f>ROUND(S163*T$6/12,2)</f>
        <v/>
      </c>
      <c r="U163" s="42">
        <f>MIN(U$6,S163+T163)</f>
        <v/>
      </c>
      <c r="V163" s="42">
        <f>MAX(0,MIN(S163+T163-U163,R163))</f>
        <v/>
      </c>
      <c r="W163" s="42">
        <f>ROUND(S163+T163-U163-V163,2)</f>
        <v/>
      </c>
      <c r="X163">
        <f>R163-V163</f>
        <v/>
      </c>
      <c r="Y163" s="42">
        <f>AC162</f>
        <v/>
      </c>
      <c r="Z163" s="42">
        <f>ROUND(Y163*Z$6/12,2)</f>
        <v/>
      </c>
      <c r="AA163" s="42">
        <f>MIN(AA$6,Y163+Z163)</f>
        <v/>
      </c>
      <c r="AB163" s="42">
        <f>MAX(0,MIN(Y163+Z163-AA163,X163))</f>
        <v/>
      </c>
      <c r="AC163" s="42">
        <f>ROUND(Y163+Z163-AA163-AB163,2)</f>
        <v/>
      </c>
      <c r="AD163">
        <f>X163-AB163</f>
        <v/>
      </c>
      <c r="AE163" s="42">
        <f>AI162</f>
        <v/>
      </c>
      <c r="AF163" s="42">
        <f>ROUND(AE163*AF$6/12,2)</f>
        <v/>
      </c>
      <c r="AG163" s="42">
        <f>MIN(AG$6,AE163+AF163)</f>
        <v/>
      </c>
      <c r="AH163" s="42">
        <f>MAX(0,MIN(AE163+AF163-AG163,AD163))</f>
        <v/>
      </c>
      <c r="AI163" s="42">
        <f>ROUND(AE163+AF163-AG163-AH163,2)</f>
        <v/>
      </c>
      <c r="AJ163">
        <f>AD163-AH163</f>
        <v/>
      </c>
      <c r="AK163" s="42">
        <f>AO162</f>
        <v/>
      </c>
      <c r="AL163" s="42">
        <f>ROUND(AK163*AL$6/12,2)</f>
        <v/>
      </c>
      <c r="AM163" s="42">
        <f>MIN(AM$6,AK163+AL163)</f>
        <v/>
      </c>
      <c r="AN163" s="42">
        <f>MAX(0,MIN(AK163+AL163-AM163,AJ163))</f>
        <v/>
      </c>
      <c r="AO163" s="42">
        <f>ROUND(AK163+AL163-AM163-AN163,2)</f>
        <v/>
      </c>
      <c r="AP163">
        <f>AJ163-AN163</f>
        <v/>
      </c>
      <c r="AQ163" s="42">
        <f>AU162</f>
        <v/>
      </c>
      <c r="AR163" s="42">
        <f>ROUND(AQ163*AR$6/12,2)</f>
        <v/>
      </c>
      <c r="AS163" s="42">
        <f>MIN(AS$6,AQ163+AR163)</f>
        <v/>
      </c>
      <c r="AT163" s="42">
        <f>MAX(0,MIN(AQ163+AR163-AS163,AP163))</f>
        <v/>
      </c>
      <c r="AU163" s="42">
        <f>ROUND(AQ163+AR163-AS163-AT163,2)</f>
        <v/>
      </c>
      <c r="AV163">
        <f>AP163-AT163</f>
        <v/>
      </c>
      <c r="AW163" s="42">
        <f>BA162</f>
        <v/>
      </c>
      <c r="AX163" s="42">
        <f>ROUND(AW163*AX$6/12,2)</f>
        <v/>
      </c>
      <c r="AY163" s="42">
        <f>MIN(AY$6,AW163+AX163)</f>
        <v/>
      </c>
      <c r="AZ163" s="42">
        <f>MAX(0,MIN(AW163+AX163-AY163,AV163))</f>
        <v/>
      </c>
      <c r="BA163" s="42">
        <f>ROUND(AW163+AX163-AY163-AZ163,2)</f>
        <v/>
      </c>
      <c r="BB163">
        <f>AV163-AZ163</f>
        <v/>
      </c>
      <c r="BC163" s="42">
        <f>BG162</f>
        <v/>
      </c>
      <c r="BD163" s="42">
        <f>ROUND(BC163*BD$6/12,2)</f>
        <v/>
      </c>
      <c r="BE163" s="42">
        <f>MIN(BE$6,BC163+BD163)</f>
        <v/>
      </c>
      <c r="BF163" s="42">
        <f>MAX(0,MIN(BC163+BD163-BE163,BB163))</f>
        <v/>
      </c>
      <c r="BG163" s="42">
        <f>ROUND(BC163+BD163-BE163-BF163,2)</f>
        <v/>
      </c>
      <c r="BH163">
        <f>BB163-BF163</f>
        <v/>
      </c>
      <c r="BI163" s="42">
        <f>BM162</f>
        <v/>
      </c>
      <c r="BJ163" s="42">
        <f>ROUND(BI163*BJ$6/12,2)</f>
        <v/>
      </c>
      <c r="BK163" s="42">
        <f>MIN(BK$6,BI163+BJ163)</f>
        <v/>
      </c>
      <c r="BL163" s="42">
        <f>MAX(0,MIN(BI163+BJ163-BK163,BH163))</f>
        <v/>
      </c>
      <c r="BM163" s="42">
        <f>ROUND(BI163+BJ163-BK163-BL163,2)</f>
        <v/>
      </c>
      <c r="BN163">
        <f>BH163-BL163</f>
        <v/>
      </c>
    </row>
    <row r="164">
      <c r="A164" s="39" t="n">
        <v>157</v>
      </c>
      <c r="B164" s="40">
        <f>EDATE('My Debts'!$C$6,A164-1)</f>
        <v/>
      </c>
      <c r="C164" s="41">
        <f>K164+Q164+W164+AC164+AI164+AO164+AU164+BA164+BG164+BM164</f>
        <v/>
      </c>
      <c r="D164" s="42">
        <f>I164+O164+U164+AA164+AG164+AM164+AS164+AY164+BE164+BK164+J164+P164+V164+AB164+AH164+AN164+AT164+AZ164+BF164+BL164</f>
        <v/>
      </c>
      <c r="E164" s="42">
        <f>H164+N164+T164+Z164+AF164+AL164+AR164+AX164+BD164+BJ164</f>
        <v/>
      </c>
      <c r="F164" t="n">
        <v>0</v>
      </c>
      <c r="G164" s="42">
        <f>K163</f>
        <v/>
      </c>
      <c r="H164" s="42">
        <f>ROUND(G164*H$6/12,2)</f>
        <v/>
      </c>
      <c r="I164" s="42">
        <f>MIN(I$6,G164+H164)</f>
        <v/>
      </c>
      <c r="J164" s="42">
        <f>MAX(0,MIN(G164+H164-I164,$F164))</f>
        <v/>
      </c>
      <c r="K164" s="42">
        <f>ROUND(G164+H164-I164-J164,2)</f>
        <v/>
      </c>
      <c r="L164">
        <f>$F164-J164</f>
        <v/>
      </c>
      <c r="M164" s="42">
        <f>Q163</f>
        <v/>
      </c>
      <c r="N164" s="42">
        <f>ROUND(M164*N$6/12,2)</f>
        <v/>
      </c>
      <c r="O164" s="42">
        <f>MIN(O$6,M164+N164)</f>
        <v/>
      </c>
      <c r="P164" s="42">
        <f>MAX(0,MIN(M164+N164-O164,L164))</f>
        <v/>
      </c>
      <c r="Q164" s="42">
        <f>ROUND(M164+N164-O164-P164,2)</f>
        <v/>
      </c>
      <c r="R164">
        <f>L164-P164</f>
        <v/>
      </c>
      <c r="S164" s="42">
        <f>W163</f>
        <v/>
      </c>
      <c r="T164" s="42">
        <f>ROUND(S164*T$6/12,2)</f>
        <v/>
      </c>
      <c r="U164" s="42">
        <f>MIN(U$6,S164+T164)</f>
        <v/>
      </c>
      <c r="V164" s="42">
        <f>MAX(0,MIN(S164+T164-U164,R164))</f>
        <v/>
      </c>
      <c r="W164" s="42">
        <f>ROUND(S164+T164-U164-V164,2)</f>
        <v/>
      </c>
      <c r="X164">
        <f>R164-V164</f>
        <v/>
      </c>
      <c r="Y164" s="42">
        <f>AC163</f>
        <v/>
      </c>
      <c r="Z164" s="42">
        <f>ROUND(Y164*Z$6/12,2)</f>
        <v/>
      </c>
      <c r="AA164" s="42">
        <f>MIN(AA$6,Y164+Z164)</f>
        <v/>
      </c>
      <c r="AB164" s="42">
        <f>MAX(0,MIN(Y164+Z164-AA164,X164))</f>
        <v/>
      </c>
      <c r="AC164" s="42">
        <f>ROUND(Y164+Z164-AA164-AB164,2)</f>
        <v/>
      </c>
      <c r="AD164">
        <f>X164-AB164</f>
        <v/>
      </c>
      <c r="AE164" s="42">
        <f>AI163</f>
        <v/>
      </c>
      <c r="AF164" s="42">
        <f>ROUND(AE164*AF$6/12,2)</f>
        <v/>
      </c>
      <c r="AG164" s="42">
        <f>MIN(AG$6,AE164+AF164)</f>
        <v/>
      </c>
      <c r="AH164" s="42">
        <f>MAX(0,MIN(AE164+AF164-AG164,AD164))</f>
        <v/>
      </c>
      <c r="AI164" s="42">
        <f>ROUND(AE164+AF164-AG164-AH164,2)</f>
        <v/>
      </c>
      <c r="AJ164">
        <f>AD164-AH164</f>
        <v/>
      </c>
      <c r="AK164" s="42">
        <f>AO163</f>
        <v/>
      </c>
      <c r="AL164" s="42">
        <f>ROUND(AK164*AL$6/12,2)</f>
        <v/>
      </c>
      <c r="AM164" s="42">
        <f>MIN(AM$6,AK164+AL164)</f>
        <v/>
      </c>
      <c r="AN164" s="42">
        <f>MAX(0,MIN(AK164+AL164-AM164,AJ164))</f>
        <v/>
      </c>
      <c r="AO164" s="42">
        <f>ROUND(AK164+AL164-AM164-AN164,2)</f>
        <v/>
      </c>
      <c r="AP164">
        <f>AJ164-AN164</f>
        <v/>
      </c>
      <c r="AQ164" s="42">
        <f>AU163</f>
        <v/>
      </c>
      <c r="AR164" s="42">
        <f>ROUND(AQ164*AR$6/12,2)</f>
        <v/>
      </c>
      <c r="AS164" s="42">
        <f>MIN(AS$6,AQ164+AR164)</f>
        <v/>
      </c>
      <c r="AT164" s="42">
        <f>MAX(0,MIN(AQ164+AR164-AS164,AP164))</f>
        <v/>
      </c>
      <c r="AU164" s="42">
        <f>ROUND(AQ164+AR164-AS164-AT164,2)</f>
        <v/>
      </c>
      <c r="AV164">
        <f>AP164-AT164</f>
        <v/>
      </c>
      <c r="AW164" s="42">
        <f>BA163</f>
        <v/>
      </c>
      <c r="AX164" s="42">
        <f>ROUND(AW164*AX$6/12,2)</f>
        <v/>
      </c>
      <c r="AY164" s="42">
        <f>MIN(AY$6,AW164+AX164)</f>
        <v/>
      </c>
      <c r="AZ164" s="42">
        <f>MAX(0,MIN(AW164+AX164-AY164,AV164))</f>
        <v/>
      </c>
      <c r="BA164" s="42">
        <f>ROUND(AW164+AX164-AY164-AZ164,2)</f>
        <v/>
      </c>
      <c r="BB164">
        <f>AV164-AZ164</f>
        <v/>
      </c>
      <c r="BC164" s="42">
        <f>BG163</f>
        <v/>
      </c>
      <c r="BD164" s="42">
        <f>ROUND(BC164*BD$6/12,2)</f>
        <v/>
      </c>
      <c r="BE164" s="42">
        <f>MIN(BE$6,BC164+BD164)</f>
        <v/>
      </c>
      <c r="BF164" s="42">
        <f>MAX(0,MIN(BC164+BD164-BE164,BB164))</f>
        <v/>
      </c>
      <c r="BG164" s="42">
        <f>ROUND(BC164+BD164-BE164-BF164,2)</f>
        <v/>
      </c>
      <c r="BH164">
        <f>BB164-BF164</f>
        <v/>
      </c>
      <c r="BI164" s="42">
        <f>BM163</f>
        <v/>
      </c>
      <c r="BJ164" s="42">
        <f>ROUND(BI164*BJ$6/12,2)</f>
        <v/>
      </c>
      <c r="BK164" s="42">
        <f>MIN(BK$6,BI164+BJ164)</f>
        <v/>
      </c>
      <c r="BL164" s="42">
        <f>MAX(0,MIN(BI164+BJ164-BK164,BH164))</f>
        <v/>
      </c>
      <c r="BM164" s="42">
        <f>ROUND(BI164+BJ164-BK164-BL164,2)</f>
        <v/>
      </c>
      <c r="BN164">
        <f>BH164-BL164</f>
        <v/>
      </c>
    </row>
    <row r="165">
      <c r="A165" s="43" t="n">
        <v>158</v>
      </c>
      <c r="B165" s="44">
        <f>EDATE('My Debts'!$C$6,A165-1)</f>
        <v/>
      </c>
      <c r="C165" s="45">
        <f>K165+Q165+W165+AC165+AI165+AO165+AU165+BA165+BG165+BM165</f>
        <v/>
      </c>
      <c r="D165" s="46">
        <f>I165+O165+U165+AA165+AG165+AM165+AS165+AY165+BE165+BK165+J165+P165+V165+AB165+AH165+AN165+AT165+AZ165+BF165+BL165</f>
        <v/>
      </c>
      <c r="E165" s="46">
        <f>H165+N165+T165+Z165+AF165+AL165+AR165+AX165+BD165+BJ165</f>
        <v/>
      </c>
      <c r="F165" t="n">
        <v>0</v>
      </c>
      <c r="G165" s="42">
        <f>K164</f>
        <v/>
      </c>
      <c r="H165" s="42">
        <f>ROUND(G165*H$6/12,2)</f>
        <v/>
      </c>
      <c r="I165" s="42">
        <f>MIN(I$6,G165+H165)</f>
        <v/>
      </c>
      <c r="J165" s="42">
        <f>MAX(0,MIN(G165+H165-I165,$F165))</f>
        <v/>
      </c>
      <c r="K165" s="42">
        <f>ROUND(G165+H165-I165-J165,2)</f>
        <v/>
      </c>
      <c r="L165">
        <f>$F165-J165</f>
        <v/>
      </c>
      <c r="M165" s="42">
        <f>Q164</f>
        <v/>
      </c>
      <c r="N165" s="42">
        <f>ROUND(M165*N$6/12,2)</f>
        <v/>
      </c>
      <c r="O165" s="42">
        <f>MIN(O$6,M165+N165)</f>
        <v/>
      </c>
      <c r="P165" s="42">
        <f>MAX(0,MIN(M165+N165-O165,L165))</f>
        <v/>
      </c>
      <c r="Q165" s="42">
        <f>ROUND(M165+N165-O165-P165,2)</f>
        <v/>
      </c>
      <c r="R165">
        <f>L165-P165</f>
        <v/>
      </c>
      <c r="S165" s="42">
        <f>W164</f>
        <v/>
      </c>
      <c r="T165" s="42">
        <f>ROUND(S165*T$6/12,2)</f>
        <v/>
      </c>
      <c r="U165" s="42">
        <f>MIN(U$6,S165+T165)</f>
        <v/>
      </c>
      <c r="V165" s="42">
        <f>MAX(0,MIN(S165+T165-U165,R165))</f>
        <v/>
      </c>
      <c r="W165" s="42">
        <f>ROUND(S165+T165-U165-V165,2)</f>
        <v/>
      </c>
      <c r="X165">
        <f>R165-V165</f>
        <v/>
      </c>
      <c r="Y165" s="42">
        <f>AC164</f>
        <v/>
      </c>
      <c r="Z165" s="42">
        <f>ROUND(Y165*Z$6/12,2)</f>
        <v/>
      </c>
      <c r="AA165" s="42">
        <f>MIN(AA$6,Y165+Z165)</f>
        <v/>
      </c>
      <c r="AB165" s="42">
        <f>MAX(0,MIN(Y165+Z165-AA165,X165))</f>
        <v/>
      </c>
      <c r="AC165" s="42">
        <f>ROUND(Y165+Z165-AA165-AB165,2)</f>
        <v/>
      </c>
      <c r="AD165">
        <f>X165-AB165</f>
        <v/>
      </c>
      <c r="AE165" s="42">
        <f>AI164</f>
        <v/>
      </c>
      <c r="AF165" s="42">
        <f>ROUND(AE165*AF$6/12,2)</f>
        <v/>
      </c>
      <c r="AG165" s="42">
        <f>MIN(AG$6,AE165+AF165)</f>
        <v/>
      </c>
      <c r="AH165" s="42">
        <f>MAX(0,MIN(AE165+AF165-AG165,AD165))</f>
        <v/>
      </c>
      <c r="AI165" s="42">
        <f>ROUND(AE165+AF165-AG165-AH165,2)</f>
        <v/>
      </c>
      <c r="AJ165">
        <f>AD165-AH165</f>
        <v/>
      </c>
      <c r="AK165" s="42">
        <f>AO164</f>
        <v/>
      </c>
      <c r="AL165" s="42">
        <f>ROUND(AK165*AL$6/12,2)</f>
        <v/>
      </c>
      <c r="AM165" s="42">
        <f>MIN(AM$6,AK165+AL165)</f>
        <v/>
      </c>
      <c r="AN165" s="42">
        <f>MAX(0,MIN(AK165+AL165-AM165,AJ165))</f>
        <v/>
      </c>
      <c r="AO165" s="42">
        <f>ROUND(AK165+AL165-AM165-AN165,2)</f>
        <v/>
      </c>
      <c r="AP165">
        <f>AJ165-AN165</f>
        <v/>
      </c>
      <c r="AQ165" s="42">
        <f>AU164</f>
        <v/>
      </c>
      <c r="AR165" s="42">
        <f>ROUND(AQ165*AR$6/12,2)</f>
        <v/>
      </c>
      <c r="AS165" s="42">
        <f>MIN(AS$6,AQ165+AR165)</f>
        <v/>
      </c>
      <c r="AT165" s="42">
        <f>MAX(0,MIN(AQ165+AR165-AS165,AP165))</f>
        <v/>
      </c>
      <c r="AU165" s="42">
        <f>ROUND(AQ165+AR165-AS165-AT165,2)</f>
        <v/>
      </c>
      <c r="AV165">
        <f>AP165-AT165</f>
        <v/>
      </c>
      <c r="AW165" s="42">
        <f>BA164</f>
        <v/>
      </c>
      <c r="AX165" s="42">
        <f>ROUND(AW165*AX$6/12,2)</f>
        <v/>
      </c>
      <c r="AY165" s="42">
        <f>MIN(AY$6,AW165+AX165)</f>
        <v/>
      </c>
      <c r="AZ165" s="42">
        <f>MAX(0,MIN(AW165+AX165-AY165,AV165))</f>
        <v/>
      </c>
      <c r="BA165" s="42">
        <f>ROUND(AW165+AX165-AY165-AZ165,2)</f>
        <v/>
      </c>
      <c r="BB165">
        <f>AV165-AZ165</f>
        <v/>
      </c>
      <c r="BC165" s="42">
        <f>BG164</f>
        <v/>
      </c>
      <c r="BD165" s="42">
        <f>ROUND(BC165*BD$6/12,2)</f>
        <v/>
      </c>
      <c r="BE165" s="42">
        <f>MIN(BE$6,BC165+BD165)</f>
        <v/>
      </c>
      <c r="BF165" s="42">
        <f>MAX(0,MIN(BC165+BD165-BE165,BB165))</f>
        <v/>
      </c>
      <c r="BG165" s="42">
        <f>ROUND(BC165+BD165-BE165-BF165,2)</f>
        <v/>
      </c>
      <c r="BH165">
        <f>BB165-BF165</f>
        <v/>
      </c>
      <c r="BI165" s="42">
        <f>BM164</f>
        <v/>
      </c>
      <c r="BJ165" s="42">
        <f>ROUND(BI165*BJ$6/12,2)</f>
        <v/>
      </c>
      <c r="BK165" s="42">
        <f>MIN(BK$6,BI165+BJ165)</f>
        <v/>
      </c>
      <c r="BL165" s="42">
        <f>MAX(0,MIN(BI165+BJ165-BK165,BH165))</f>
        <v/>
      </c>
      <c r="BM165" s="42">
        <f>ROUND(BI165+BJ165-BK165-BL165,2)</f>
        <v/>
      </c>
      <c r="BN165">
        <f>BH165-BL165</f>
        <v/>
      </c>
    </row>
    <row r="166">
      <c r="A166" s="39" t="n">
        <v>159</v>
      </c>
      <c r="B166" s="40">
        <f>EDATE('My Debts'!$C$6,A166-1)</f>
        <v/>
      </c>
      <c r="C166" s="41">
        <f>K166+Q166+W166+AC166+AI166+AO166+AU166+BA166+BG166+BM166</f>
        <v/>
      </c>
      <c r="D166" s="42">
        <f>I166+O166+U166+AA166+AG166+AM166+AS166+AY166+BE166+BK166+J166+P166+V166+AB166+AH166+AN166+AT166+AZ166+BF166+BL166</f>
        <v/>
      </c>
      <c r="E166" s="42">
        <f>H166+N166+T166+Z166+AF166+AL166+AR166+AX166+BD166+BJ166</f>
        <v/>
      </c>
      <c r="F166" t="n">
        <v>0</v>
      </c>
      <c r="G166" s="42">
        <f>K165</f>
        <v/>
      </c>
      <c r="H166" s="42">
        <f>ROUND(G166*H$6/12,2)</f>
        <v/>
      </c>
      <c r="I166" s="42">
        <f>MIN(I$6,G166+H166)</f>
        <v/>
      </c>
      <c r="J166" s="42">
        <f>MAX(0,MIN(G166+H166-I166,$F166))</f>
        <v/>
      </c>
      <c r="K166" s="42">
        <f>ROUND(G166+H166-I166-J166,2)</f>
        <v/>
      </c>
      <c r="L166">
        <f>$F166-J166</f>
        <v/>
      </c>
      <c r="M166" s="42">
        <f>Q165</f>
        <v/>
      </c>
      <c r="N166" s="42">
        <f>ROUND(M166*N$6/12,2)</f>
        <v/>
      </c>
      <c r="O166" s="42">
        <f>MIN(O$6,M166+N166)</f>
        <v/>
      </c>
      <c r="P166" s="42">
        <f>MAX(0,MIN(M166+N166-O166,L166))</f>
        <v/>
      </c>
      <c r="Q166" s="42">
        <f>ROUND(M166+N166-O166-P166,2)</f>
        <v/>
      </c>
      <c r="R166">
        <f>L166-P166</f>
        <v/>
      </c>
      <c r="S166" s="42">
        <f>W165</f>
        <v/>
      </c>
      <c r="T166" s="42">
        <f>ROUND(S166*T$6/12,2)</f>
        <v/>
      </c>
      <c r="U166" s="42">
        <f>MIN(U$6,S166+T166)</f>
        <v/>
      </c>
      <c r="V166" s="42">
        <f>MAX(0,MIN(S166+T166-U166,R166))</f>
        <v/>
      </c>
      <c r="W166" s="42">
        <f>ROUND(S166+T166-U166-V166,2)</f>
        <v/>
      </c>
      <c r="X166">
        <f>R166-V166</f>
        <v/>
      </c>
      <c r="Y166" s="42">
        <f>AC165</f>
        <v/>
      </c>
      <c r="Z166" s="42">
        <f>ROUND(Y166*Z$6/12,2)</f>
        <v/>
      </c>
      <c r="AA166" s="42">
        <f>MIN(AA$6,Y166+Z166)</f>
        <v/>
      </c>
      <c r="AB166" s="42">
        <f>MAX(0,MIN(Y166+Z166-AA166,X166))</f>
        <v/>
      </c>
      <c r="AC166" s="42">
        <f>ROUND(Y166+Z166-AA166-AB166,2)</f>
        <v/>
      </c>
      <c r="AD166">
        <f>X166-AB166</f>
        <v/>
      </c>
      <c r="AE166" s="42">
        <f>AI165</f>
        <v/>
      </c>
      <c r="AF166" s="42">
        <f>ROUND(AE166*AF$6/12,2)</f>
        <v/>
      </c>
      <c r="AG166" s="42">
        <f>MIN(AG$6,AE166+AF166)</f>
        <v/>
      </c>
      <c r="AH166" s="42">
        <f>MAX(0,MIN(AE166+AF166-AG166,AD166))</f>
        <v/>
      </c>
      <c r="AI166" s="42">
        <f>ROUND(AE166+AF166-AG166-AH166,2)</f>
        <v/>
      </c>
      <c r="AJ166">
        <f>AD166-AH166</f>
        <v/>
      </c>
      <c r="AK166" s="42">
        <f>AO165</f>
        <v/>
      </c>
      <c r="AL166" s="42">
        <f>ROUND(AK166*AL$6/12,2)</f>
        <v/>
      </c>
      <c r="AM166" s="42">
        <f>MIN(AM$6,AK166+AL166)</f>
        <v/>
      </c>
      <c r="AN166" s="42">
        <f>MAX(0,MIN(AK166+AL166-AM166,AJ166))</f>
        <v/>
      </c>
      <c r="AO166" s="42">
        <f>ROUND(AK166+AL166-AM166-AN166,2)</f>
        <v/>
      </c>
      <c r="AP166">
        <f>AJ166-AN166</f>
        <v/>
      </c>
      <c r="AQ166" s="42">
        <f>AU165</f>
        <v/>
      </c>
      <c r="AR166" s="42">
        <f>ROUND(AQ166*AR$6/12,2)</f>
        <v/>
      </c>
      <c r="AS166" s="42">
        <f>MIN(AS$6,AQ166+AR166)</f>
        <v/>
      </c>
      <c r="AT166" s="42">
        <f>MAX(0,MIN(AQ166+AR166-AS166,AP166))</f>
        <v/>
      </c>
      <c r="AU166" s="42">
        <f>ROUND(AQ166+AR166-AS166-AT166,2)</f>
        <v/>
      </c>
      <c r="AV166">
        <f>AP166-AT166</f>
        <v/>
      </c>
      <c r="AW166" s="42">
        <f>BA165</f>
        <v/>
      </c>
      <c r="AX166" s="42">
        <f>ROUND(AW166*AX$6/12,2)</f>
        <v/>
      </c>
      <c r="AY166" s="42">
        <f>MIN(AY$6,AW166+AX166)</f>
        <v/>
      </c>
      <c r="AZ166" s="42">
        <f>MAX(0,MIN(AW166+AX166-AY166,AV166))</f>
        <v/>
      </c>
      <c r="BA166" s="42">
        <f>ROUND(AW166+AX166-AY166-AZ166,2)</f>
        <v/>
      </c>
      <c r="BB166">
        <f>AV166-AZ166</f>
        <v/>
      </c>
      <c r="BC166" s="42">
        <f>BG165</f>
        <v/>
      </c>
      <c r="BD166" s="42">
        <f>ROUND(BC166*BD$6/12,2)</f>
        <v/>
      </c>
      <c r="BE166" s="42">
        <f>MIN(BE$6,BC166+BD166)</f>
        <v/>
      </c>
      <c r="BF166" s="42">
        <f>MAX(0,MIN(BC166+BD166-BE166,BB166))</f>
        <v/>
      </c>
      <c r="BG166" s="42">
        <f>ROUND(BC166+BD166-BE166-BF166,2)</f>
        <v/>
      </c>
      <c r="BH166">
        <f>BB166-BF166</f>
        <v/>
      </c>
      <c r="BI166" s="42">
        <f>BM165</f>
        <v/>
      </c>
      <c r="BJ166" s="42">
        <f>ROUND(BI166*BJ$6/12,2)</f>
        <v/>
      </c>
      <c r="BK166" s="42">
        <f>MIN(BK$6,BI166+BJ166)</f>
        <v/>
      </c>
      <c r="BL166" s="42">
        <f>MAX(0,MIN(BI166+BJ166-BK166,BH166))</f>
        <v/>
      </c>
      <c r="BM166" s="42">
        <f>ROUND(BI166+BJ166-BK166-BL166,2)</f>
        <v/>
      </c>
      <c r="BN166">
        <f>BH166-BL166</f>
        <v/>
      </c>
    </row>
    <row r="167">
      <c r="A167" s="43" t="n">
        <v>160</v>
      </c>
      <c r="B167" s="44">
        <f>EDATE('My Debts'!$C$6,A167-1)</f>
        <v/>
      </c>
      <c r="C167" s="45">
        <f>K167+Q167+W167+AC167+AI167+AO167+AU167+BA167+BG167+BM167</f>
        <v/>
      </c>
      <c r="D167" s="46">
        <f>I167+O167+U167+AA167+AG167+AM167+AS167+AY167+BE167+BK167+J167+P167+V167+AB167+AH167+AN167+AT167+AZ167+BF167+BL167</f>
        <v/>
      </c>
      <c r="E167" s="46">
        <f>H167+N167+T167+Z167+AF167+AL167+AR167+AX167+BD167+BJ167</f>
        <v/>
      </c>
      <c r="F167" t="n">
        <v>0</v>
      </c>
      <c r="G167" s="42">
        <f>K166</f>
        <v/>
      </c>
      <c r="H167" s="42">
        <f>ROUND(G167*H$6/12,2)</f>
        <v/>
      </c>
      <c r="I167" s="42">
        <f>MIN(I$6,G167+H167)</f>
        <v/>
      </c>
      <c r="J167" s="42">
        <f>MAX(0,MIN(G167+H167-I167,$F167))</f>
        <v/>
      </c>
      <c r="K167" s="42">
        <f>ROUND(G167+H167-I167-J167,2)</f>
        <v/>
      </c>
      <c r="L167">
        <f>$F167-J167</f>
        <v/>
      </c>
      <c r="M167" s="42">
        <f>Q166</f>
        <v/>
      </c>
      <c r="N167" s="42">
        <f>ROUND(M167*N$6/12,2)</f>
        <v/>
      </c>
      <c r="O167" s="42">
        <f>MIN(O$6,M167+N167)</f>
        <v/>
      </c>
      <c r="P167" s="42">
        <f>MAX(0,MIN(M167+N167-O167,L167))</f>
        <v/>
      </c>
      <c r="Q167" s="42">
        <f>ROUND(M167+N167-O167-P167,2)</f>
        <v/>
      </c>
      <c r="R167">
        <f>L167-P167</f>
        <v/>
      </c>
      <c r="S167" s="42">
        <f>W166</f>
        <v/>
      </c>
      <c r="T167" s="42">
        <f>ROUND(S167*T$6/12,2)</f>
        <v/>
      </c>
      <c r="U167" s="42">
        <f>MIN(U$6,S167+T167)</f>
        <v/>
      </c>
      <c r="V167" s="42">
        <f>MAX(0,MIN(S167+T167-U167,R167))</f>
        <v/>
      </c>
      <c r="W167" s="42">
        <f>ROUND(S167+T167-U167-V167,2)</f>
        <v/>
      </c>
      <c r="X167">
        <f>R167-V167</f>
        <v/>
      </c>
      <c r="Y167" s="42">
        <f>AC166</f>
        <v/>
      </c>
      <c r="Z167" s="42">
        <f>ROUND(Y167*Z$6/12,2)</f>
        <v/>
      </c>
      <c r="AA167" s="42">
        <f>MIN(AA$6,Y167+Z167)</f>
        <v/>
      </c>
      <c r="AB167" s="42">
        <f>MAX(0,MIN(Y167+Z167-AA167,X167))</f>
        <v/>
      </c>
      <c r="AC167" s="42">
        <f>ROUND(Y167+Z167-AA167-AB167,2)</f>
        <v/>
      </c>
      <c r="AD167">
        <f>X167-AB167</f>
        <v/>
      </c>
      <c r="AE167" s="42">
        <f>AI166</f>
        <v/>
      </c>
      <c r="AF167" s="42">
        <f>ROUND(AE167*AF$6/12,2)</f>
        <v/>
      </c>
      <c r="AG167" s="42">
        <f>MIN(AG$6,AE167+AF167)</f>
        <v/>
      </c>
      <c r="AH167" s="42">
        <f>MAX(0,MIN(AE167+AF167-AG167,AD167))</f>
        <v/>
      </c>
      <c r="AI167" s="42">
        <f>ROUND(AE167+AF167-AG167-AH167,2)</f>
        <v/>
      </c>
      <c r="AJ167">
        <f>AD167-AH167</f>
        <v/>
      </c>
      <c r="AK167" s="42">
        <f>AO166</f>
        <v/>
      </c>
      <c r="AL167" s="42">
        <f>ROUND(AK167*AL$6/12,2)</f>
        <v/>
      </c>
      <c r="AM167" s="42">
        <f>MIN(AM$6,AK167+AL167)</f>
        <v/>
      </c>
      <c r="AN167" s="42">
        <f>MAX(0,MIN(AK167+AL167-AM167,AJ167))</f>
        <v/>
      </c>
      <c r="AO167" s="42">
        <f>ROUND(AK167+AL167-AM167-AN167,2)</f>
        <v/>
      </c>
      <c r="AP167">
        <f>AJ167-AN167</f>
        <v/>
      </c>
      <c r="AQ167" s="42">
        <f>AU166</f>
        <v/>
      </c>
      <c r="AR167" s="42">
        <f>ROUND(AQ167*AR$6/12,2)</f>
        <v/>
      </c>
      <c r="AS167" s="42">
        <f>MIN(AS$6,AQ167+AR167)</f>
        <v/>
      </c>
      <c r="AT167" s="42">
        <f>MAX(0,MIN(AQ167+AR167-AS167,AP167))</f>
        <v/>
      </c>
      <c r="AU167" s="42">
        <f>ROUND(AQ167+AR167-AS167-AT167,2)</f>
        <v/>
      </c>
      <c r="AV167">
        <f>AP167-AT167</f>
        <v/>
      </c>
      <c r="AW167" s="42">
        <f>BA166</f>
        <v/>
      </c>
      <c r="AX167" s="42">
        <f>ROUND(AW167*AX$6/12,2)</f>
        <v/>
      </c>
      <c r="AY167" s="42">
        <f>MIN(AY$6,AW167+AX167)</f>
        <v/>
      </c>
      <c r="AZ167" s="42">
        <f>MAX(0,MIN(AW167+AX167-AY167,AV167))</f>
        <v/>
      </c>
      <c r="BA167" s="42">
        <f>ROUND(AW167+AX167-AY167-AZ167,2)</f>
        <v/>
      </c>
      <c r="BB167">
        <f>AV167-AZ167</f>
        <v/>
      </c>
      <c r="BC167" s="42">
        <f>BG166</f>
        <v/>
      </c>
      <c r="BD167" s="42">
        <f>ROUND(BC167*BD$6/12,2)</f>
        <v/>
      </c>
      <c r="BE167" s="42">
        <f>MIN(BE$6,BC167+BD167)</f>
        <v/>
      </c>
      <c r="BF167" s="42">
        <f>MAX(0,MIN(BC167+BD167-BE167,BB167))</f>
        <v/>
      </c>
      <c r="BG167" s="42">
        <f>ROUND(BC167+BD167-BE167-BF167,2)</f>
        <v/>
      </c>
      <c r="BH167">
        <f>BB167-BF167</f>
        <v/>
      </c>
      <c r="BI167" s="42">
        <f>BM166</f>
        <v/>
      </c>
      <c r="BJ167" s="42">
        <f>ROUND(BI167*BJ$6/12,2)</f>
        <v/>
      </c>
      <c r="BK167" s="42">
        <f>MIN(BK$6,BI167+BJ167)</f>
        <v/>
      </c>
      <c r="BL167" s="42">
        <f>MAX(0,MIN(BI167+BJ167-BK167,BH167))</f>
        <v/>
      </c>
      <c r="BM167" s="42">
        <f>ROUND(BI167+BJ167-BK167-BL167,2)</f>
        <v/>
      </c>
      <c r="BN167">
        <f>BH167-BL167</f>
        <v/>
      </c>
    </row>
    <row r="168">
      <c r="A168" s="39" t="n">
        <v>161</v>
      </c>
      <c r="B168" s="40">
        <f>EDATE('My Debts'!$C$6,A168-1)</f>
        <v/>
      </c>
      <c r="C168" s="41">
        <f>K168+Q168+W168+AC168+AI168+AO168+AU168+BA168+BG168+BM168</f>
        <v/>
      </c>
      <c r="D168" s="42">
        <f>I168+O168+U168+AA168+AG168+AM168+AS168+AY168+BE168+BK168+J168+P168+V168+AB168+AH168+AN168+AT168+AZ168+BF168+BL168</f>
        <v/>
      </c>
      <c r="E168" s="42">
        <f>H168+N168+T168+Z168+AF168+AL168+AR168+AX168+BD168+BJ168</f>
        <v/>
      </c>
      <c r="F168" t="n">
        <v>0</v>
      </c>
      <c r="G168" s="42">
        <f>K167</f>
        <v/>
      </c>
      <c r="H168" s="42">
        <f>ROUND(G168*H$6/12,2)</f>
        <v/>
      </c>
      <c r="I168" s="42">
        <f>MIN(I$6,G168+H168)</f>
        <v/>
      </c>
      <c r="J168" s="42">
        <f>MAX(0,MIN(G168+H168-I168,$F168))</f>
        <v/>
      </c>
      <c r="K168" s="42">
        <f>ROUND(G168+H168-I168-J168,2)</f>
        <v/>
      </c>
      <c r="L168">
        <f>$F168-J168</f>
        <v/>
      </c>
      <c r="M168" s="42">
        <f>Q167</f>
        <v/>
      </c>
      <c r="N168" s="42">
        <f>ROUND(M168*N$6/12,2)</f>
        <v/>
      </c>
      <c r="O168" s="42">
        <f>MIN(O$6,M168+N168)</f>
        <v/>
      </c>
      <c r="P168" s="42">
        <f>MAX(0,MIN(M168+N168-O168,L168))</f>
        <v/>
      </c>
      <c r="Q168" s="42">
        <f>ROUND(M168+N168-O168-P168,2)</f>
        <v/>
      </c>
      <c r="R168">
        <f>L168-P168</f>
        <v/>
      </c>
      <c r="S168" s="42">
        <f>W167</f>
        <v/>
      </c>
      <c r="T168" s="42">
        <f>ROUND(S168*T$6/12,2)</f>
        <v/>
      </c>
      <c r="U168" s="42">
        <f>MIN(U$6,S168+T168)</f>
        <v/>
      </c>
      <c r="V168" s="42">
        <f>MAX(0,MIN(S168+T168-U168,R168))</f>
        <v/>
      </c>
      <c r="W168" s="42">
        <f>ROUND(S168+T168-U168-V168,2)</f>
        <v/>
      </c>
      <c r="X168">
        <f>R168-V168</f>
        <v/>
      </c>
      <c r="Y168" s="42">
        <f>AC167</f>
        <v/>
      </c>
      <c r="Z168" s="42">
        <f>ROUND(Y168*Z$6/12,2)</f>
        <v/>
      </c>
      <c r="AA168" s="42">
        <f>MIN(AA$6,Y168+Z168)</f>
        <v/>
      </c>
      <c r="AB168" s="42">
        <f>MAX(0,MIN(Y168+Z168-AA168,X168))</f>
        <v/>
      </c>
      <c r="AC168" s="42">
        <f>ROUND(Y168+Z168-AA168-AB168,2)</f>
        <v/>
      </c>
      <c r="AD168">
        <f>X168-AB168</f>
        <v/>
      </c>
      <c r="AE168" s="42">
        <f>AI167</f>
        <v/>
      </c>
      <c r="AF168" s="42">
        <f>ROUND(AE168*AF$6/12,2)</f>
        <v/>
      </c>
      <c r="AG168" s="42">
        <f>MIN(AG$6,AE168+AF168)</f>
        <v/>
      </c>
      <c r="AH168" s="42">
        <f>MAX(0,MIN(AE168+AF168-AG168,AD168))</f>
        <v/>
      </c>
      <c r="AI168" s="42">
        <f>ROUND(AE168+AF168-AG168-AH168,2)</f>
        <v/>
      </c>
      <c r="AJ168">
        <f>AD168-AH168</f>
        <v/>
      </c>
      <c r="AK168" s="42">
        <f>AO167</f>
        <v/>
      </c>
      <c r="AL168" s="42">
        <f>ROUND(AK168*AL$6/12,2)</f>
        <v/>
      </c>
      <c r="AM168" s="42">
        <f>MIN(AM$6,AK168+AL168)</f>
        <v/>
      </c>
      <c r="AN168" s="42">
        <f>MAX(0,MIN(AK168+AL168-AM168,AJ168))</f>
        <v/>
      </c>
      <c r="AO168" s="42">
        <f>ROUND(AK168+AL168-AM168-AN168,2)</f>
        <v/>
      </c>
      <c r="AP168">
        <f>AJ168-AN168</f>
        <v/>
      </c>
      <c r="AQ168" s="42">
        <f>AU167</f>
        <v/>
      </c>
      <c r="AR168" s="42">
        <f>ROUND(AQ168*AR$6/12,2)</f>
        <v/>
      </c>
      <c r="AS168" s="42">
        <f>MIN(AS$6,AQ168+AR168)</f>
        <v/>
      </c>
      <c r="AT168" s="42">
        <f>MAX(0,MIN(AQ168+AR168-AS168,AP168))</f>
        <v/>
      </c>
      <c r="AU168" s="42">
        <f>ROUND(AQ168+AR168-AS168-AT168,2)</f>
        <v/>
      </c>
      <c r="AV168">
        <f>AP168-AT168</f>
        <v/>
      </c>
      <c r="AW168" s="42">
        <f>BA167</f>
        <v/>
      </c>
      <c r="AX168" s="42">
        <f>ROUND(AW168*AX$6/12,2)</f>
        <v/>
      </c>
      <c r="AY168" s="42">
        <f>MIN(AY$6,AW168+AX168)</f>
        <v/>
      </c>
      <c r="AZ168" s="42">
        <f>MAX(0,MIN(AW168+AX168-AY168,AV168))</f>
        <v/>
      </c>
      <c r="BA168" s="42">
        <f>ROUND(AW168+AX168-AY168-AZ168,2)</f>
        <v/>
      </c>
      <c r="BB168">
        <f>AV168-AZ168</f>
        <v/>
      </c>
      <c r="BC168" s="42">
        <f>BG167</f>
        <v/>
      </c>
      <c r="BD168" s="42">
        <f>ROUND(BC168*BD$6/12,2)</f>
        <v/>
      </c>
      <c r="BE168" s="42">
        <f>MIN(BE$6,BC168+BD168)</f>
        <v/>
      </c>
      <c r="BF168" s="42">
        <f>MAX(0,MIN(BC168+BD168-BE168,BB168))</f>
        <v/>
      </c>
      <c r="BG168" s="42">
        <f>ROUND(BC168+BD168-BE168-BF168,2)</f>
        <v/>
      </c>
      <c r="BH168">
        <f>BB168-BF168</f>
        <v/>
      </c>
      <c r="BI168" s="42">
        <f>BM167</f>
        <v/>
      </c>
      <c r="BJ168" s="42">
        <f>ROUND(BI168*BJ$6/12,2)</f>
        <v/>
      </c>
      <c r="BK168" s="42">
        <f>MIN(BK$6,BI168+BJ168)</f>
        <v/>
      </c>
      <c r="BL168" s="42">
        <f>MAX(0,MIN(BI168+BJ168-BK168,BH168))</f>
        <v/>
      </c>
      <c r="BM168" s="42">
        <f>ROUND(BI168+BJ168-BK168-BL168,2)</f>
        <v/>
      </c>
      <c r="BN168">
        <f>BH168-BL168</f>
        <v/>
      </c>
    </row>
    <row r="169">
      <c r="A169" s="43" t="n">
        <v>162</v>
      </c>
      <c r="B169" s="44">
        <f>EDATE('My Debts'!$C$6,A169-1)</f>
        <v/>
      </c>
      <c r="C169" s="45">
        <f>K169+Q169+W169+AC169+AI169+AO169+AU169+BA169+BG169+BM169</f>
        <v/>
      </c>
      <c r="D169" s="46">
        <f>I169+O169+U169+AA169+AG169+AM169+AS169+AY169+BE169+BK169+J169+P169+V169+AB169+AH169+AN169+AT169+AZ169+BF169+BL169</f>
        <v/>
      </c>
      <c r="E169" s="46">
        <f>H169+N169+T169+Z169+AF169+AL169+AR169+AX169+BD169+BJ169</f>
        <v/>
      </c>
      <c r="F169" t="n">
        <v>0</v>
      </c>
      <c r="G169" s="42">
        <f>K168</f>
        <v/>
      </c>
      <c r="H169" s="42">
        <f>ROUND(G169*H$6/12,2)</f>
        <v/>
      </c>
      <c r="I169" s="42">
        <f>MIN(I$6,G169+H169)</f>
        <v/>
      </c>
      <c r="J169" s="42">
        <f>MAX(0,MIN(G169+H169-I169,$F169))</f>
        <v/>
      </c>
      <c r="K169" s="42">
        <f>ROUND(G169+H169-I169-J169,2)</f>
        <v/>
      </c>
      <c r="L169">
        <f>$F169-J169</f>
        <v/>
      </c>
      <c r="M169" s="42">
        <f>Q168</f>
        <v/>
      </c>
      <c r="N169" s="42">
        <f>ROUND(M169*N$6/12,2)</f>
        <v/>
      </c>
      <c r="O169" s="42">
        <f>MIN(O$6,M169+N169)</f>
        <v/>
      </c>
      <c r="P169" s="42">
        <f>MAX(0,MIN(M169+N169-O169,L169))</f>
        <v/>
      </c>
      <c r="Q169" s="42">
        <f>ROUND(M169+N169-O169-P169,2)</f>
        <v/>
      </c>
      <c r="R169">
        <f>L169-P169</f>
        <v/>
      </c>
      <c r="S169" s="42">
        <f>W168</f>
        <v/>
      </c>
      <c r="T169" s="42">
        <f>ROUND(S169*T$6/12,2)</f>
        <v/>
      </c>
      <c r="U169" s="42">
        <f>MIN(U$6,S169+T169)</f>
        <v/>
      </c>
      <c r="V169" s="42">
        <f>MAX(0,MIN(S169+T169-U169,R169))</f>
        <v/>
      </c>
      <c r="W169" s="42">
        <f>ROUND(S169+T169-U169-V169,2)</f>
        <v/>
      </c>
      <c r="X169">
        <f>R169-V169</f>
        <v/>
      </c>
      <c r="Y169" s="42">
        <f>AC168</f>
        <v/>
      </c>
      <c r="Z169" s="42">
        <f>ROUND(Y169*Z$6/12,2)</f>
        <v/>
      </c>
      <c r="AA169" s="42">
        <f>MIN(AA$6,Y169+Z169)</f>
        <v/>
      </c>
      <c r="AB169" s="42">
        <f>MAX(0,MIN(Y169+Z169-AA169,X169))</f>
        <v/>
      </c>
      <c r="AC169" s="42">
        <f>ROUND(Y169+Z169-AA169-AB169,2)</f>
        <v/>
      </c>
      <c r="AD169">
        <f>X169-AB169</f>
        <v/>
      </c>
      <c r="AE169" s="42">
        <f>AI168</f>
        <v/>
      </c>
      <c r="AF169" s="42">
        <f>ROUND(AE169*AF$6/12,2)</f>
        <v/>
      </c>
      <c r="AG169" s="42">
        <f>MIN(AG$6,AE169+AF169)</f>
        <v/>
      </c>
      <c r="AH169" s="42">
        <f>MAX(0,MIN(AE169+AF169-AG169,AD169))</f>
        <v/>
      </c>
      <c r="AI169" s="42">
        <f>ROUND(AE169+AF169-AG169-AH169,2)</f>
        <v/>
      </c>
      <c r="AJ169">
        <f>AD169-AH169</f>
        <v/>
      </c>
      <c r="AK169" s="42">
        <f>AO168</f>
        <v/>
      </c>
      <c r="AL169" s="42">
        <f>ROUND(AK169*AL$6/12,2)</f>
        <v/>
      </c>
      <c r="AM169" s="42">
        <f>MIN(AM$6,AK169+AL169)</f>
        <v/>
      </c>
      <c r="AN169" s="42">
        <f>MAX(0,MIN(AK169+AL169-AM169,AJ169))</f>
        <v/>
      </c>
      <c r="AO169" s="42">
        <f>ROUND(AK169+AL169-AM169-AN169,2)</f>
        <v/>
      </c>
      <c r="AP169">
        <f>AJ169-AN169</f>
        <v/>
      </c>
      <c r="AQ169" s="42">
        <f>AU168</f>
        <v/>
      </c>
      <c r="AR169" s="42">
        <f>ROUND(AQ169*AR$6/12,2)</f>
        <v/>
      </c>
      <c r="AS169" s="42">
        <f>MIN(AS$6,AQ169+AR169)</f>
        <v/>
      </c>
      <c r="AT169" s="42">
        <f>MAX(0,MIN(AQ169+AR169-AS169,AP169))</f>
        <v/>
      </c>
      <c r="AU169" s="42">
        <f>ROUND(AQ169+AR169-AS169-AT169,2)</f>
        <v/>
      </c>
      <c r="AV169">
        <f>AP169-AT169</f>
        <v/>
      </c>
      <c r="AW169" s="42">
        <f>BA168</f>
        <v/>
      </c>
      <c r="AX169" s="42">
        <f>ROUND(AW169*AX$6/12,2)</f>
        <v/>
      </c>
      <c r="AY169" s="42">
        <f>MIN(AY$6,AW169+AX169)</f>
        <v/>
      </c>
      <c r="AZ169" s="42">
        <f>MAX(0,MIN(AW169+AX169-AY169,AV169))</f>
        <v/>
      </c>
      <c r="BA169" s="42">
        <f>ROUND(AW169+AX169-AY169-AZ169,2)</f>
        <v/>
      </c>
      <c r="BB169">
        <f>AV169-AZ169</f>
        <v/>
      </c>
      <c r="BC169" s="42">
        <f>BG168</f>
        <v/>
      </c>
      <c r="BD169" s="42">
        <f>ROUND(BC169*BD$6/12,2)</f>
        <v/>
      </c>
      <c r="BE169" s="42">
        <f>MIN(BE$6,BC169+BD169)</f>
        <v/>
      </c>
      <c r="BF169" s="42">
        <f>MAX(0,MIN(BC169+BD169-BE169,BB169))</f>
        <v/>
      </c>
      <c r="BG169" s="42">
        <f>ROUND(BC169+BD169-BE169-BF169,2)</f>
        <v/>
      </c>
      <c r="BH169">
        <f>BB169-BF169</f>
        <v/>
      </c>
      <c r="BI169" s="42">
        <f>BM168</f>
        <v/>
      </c>
      <c r="BJ169" s="42">
        <f>ROUND(BI169*BJ$6/12,2)</f>
        <v/>
      </c>
      <c r="BK169" s="42">
        <f>MIN(BK$6,BI169+BJ169)</f>
        <v/>
      </c>
      <c r="BL169" s="42">
        <f>MAX(0,MIN(BI169+BJ169-BK169,BH169))</f>
        <v/>
      </c>
      <c r="BM169" s="42">
        <f>ROUND(BI169+BJ169-BK169-BL169,2)</f>
        <v/>
      </c>
      <c r="BN169">
        <f>BH169-BL169</f>
        <v/>
      </c>
    </row>
    <row r="170">
      <c r="A170" s="39" t="n">
        <v>163</v>
      </c>
      <c r="B170" s="40">
        <f>EDATE('My Debts'!$C$6,A170-1)</f>
        <v/>
      </c>
      <c r="C170" s="41">
        <f>K170+Q170+W170+AC170+AI170+AO170+AU170+BA170+BG170+BM170</f>
        <v/>
      </c>
      <c r="D170" s="42">
        <f>I170+O170+U170+AA170+AG170+AM170+AS170+AY170+BE170+BK170+J170+P170+V170+AB170+AH170+AN170+AT170+AZ170+BF170+BL170</f>
        <v/>
      </c>
      <c r="E170" s="42">
        <f>H170+N170+T170+Z170+AF170+AL170+AR170+AX170+BD170+BJ170</f>
        <v/>
      </c>
      <c r="F170" t="n">
        <v>0</v>
      </c>
      <c r="G170" s="42">
        <f>K169</f>
        <v/>
      </c>
      <c r="H170" s="42">
        <f>ROUND(G170*H$6/12,2)</f>
        <v/>
      </c>
      <c r="I170" s="42">
        <f>MIN(I$6,G170+H170)</f>
        <v/>
      </c>
      <c r="J170" s="42">
        <f>MAX(0,MIN(G170+H170-I170,$F170))</f>
        <v/>
      </c>
      <c r="K170" s="42">
        <f>ROUND(G170+H170-I170-J170,2)</f>
        <v/>
      </c>
      <c r="L170">
        <f>$F170-J170</f>
        <v/>
      </c>
      <c r="M170" s="42">
        <f>Q169</f>
        <v/>
      </c>
      <c r="N170" s="42">
        <f>ROUND(M170*N$6/12,2)</f>
        <v/>
      </c>
      <c r="O170" s="42">
        <f>MIN(O$6,M170+N170)</f>
        <v/>
      </c>
      <c r="P170" s="42">
        <f>MAX(0,MIN(M170+N170-O170,L170))</f>
        <v/>
      </c>
      <c r="Q170" s="42">
        <f>ROUND(M170+N170-O170-P170,2)</f>
        <v/>
      </c>
      <c r="R170">
        <f>L170-P170</f>
        <v/>
      </c>
      <c r="S170" s="42">
        <f>W169</f>
        <v/>
      </c>
      <c r="T170" s="42">
        <f>ROUND(S170*T$6/12,2)</f>
        <v/>
      </c>
      <c r="U170" s="42">
        <f>MIN(U$6,S170+T170)</f>
        <v/>
      </c>
      <c r="V170" s="42">
        <f>MAX(0,MIN(S170+T170-U170,R170))</f>
        <v/>
      </c>
      <c r="W170" s="42">
        <f>ROUND(S170+T170-U170-V170,2)</f>
        <v/>
      </c>
      <c r="X170">
        <f>R170-V170</f>
        <v/>
      </c>
      <c r="Y170" s="42">
        <f>AC169</f>
        <v/>
      </c>
      <c r="Z170" s="42">
        <f>ROUND(Y170*Z$6/12,2)</f>
        <v/>
      </c>
      <c r="AA170" s="42">
        <f>MIN(AA$6,Y170+Z170)</f>
        <v/>
      </c>
      <c r="AB170" s="42">
        <f>MAX(0,MIN(Y170+Z170-AA170,X170))</f>
        <v/>
      </c>
      <c r="AC170" s="42">
        <f>ROUND(Y170+Z170-AA170-AB170,2)</f>
        <v/>
      </c>
      <c r="AD170">
        <f>X170-AB170</f>
        <v/>
      </c>
      <c r="AE170" s="42">
        <f>AI169</f>
        <v/>
      </c>
      <c r="AF170" s="42">
        <f>ROUND(AE170*AF$6/12,2)</f>
        <v/>
      </c>
      <c r="AG170" s="42">
        <f>MIN(AG$6,AE170+AF170)</f>
        <v/>
      </c>
      <c r="AH170" s="42">
        <f>MAX(0,MIN(AE170+AF170-AG170,AD170))</f>
        <v/>
      </c>
      <c r="AI170" s="42">
        <f>ROUND(AE170+AF170-AG170-AH170,2)</f>
        <v/>
      </c>
      <c r="AJ170">
        <f>AD170-AH170</f>
        <v/>
      </c>
      <c r="AK170" s="42">
        <f>AO169</f>
        <v/>
      </c>
      <c r="AL170" s="42">
        <f>ROUND(AK170*AL$6/12,2)</f>
        <v/>
      </c>
      <c r="AM170" s="42">
        <f>MIN(AM$6,AK170+AL170)</f>
        <v/>
      </c>
      <c r="AN170" s="42">
        <f>MAX(0,MIN(AK170+AL170-AM170,AJ170))</f>
        <v/>
      </c>
      <c r="AO170" s="42">
        <f>ROUND(AK170+AL170-AM170-AN170,2)</f>
        <v/>
      </c>
      <c r="AP170">
        <f>AJ170-AN170</f>
        <v/>
      </c>
      <c r="AQ170" s="42">
        <f>AU169</f>
        <v/>
      </c>
      <c r="AR170" s="42">
        <f>ROUND(AQ170*AR$6/12,2)</f>
        <v/>
      </c>
      <c r="AS170" s="42">
        <f>MIN(AS$6,AQ170+AR170)</f>
        <v/>
      </c>
      <c r="AT170" s="42">
        <f>MAX(0,MIN(AQ170+AR170-AS170,AP170))</f>
        <v/>
      </c>
      <c r="AU170" s="42">
        <f>ROUND(AQ170+AR170-AS170-AT170,2)</f>
        <v/>
      </c>
      <c r="AV170">
        <f>AP170-AT170</f>
        <v/>
      </c>
      <c r="AW170" s="42">
        <f>BA169</f>
        <v/>
      </c>
      <c r="AX170" s="42">
        <f>ROUND(AW170*AX$6/12,2)</f>
        <v/>
      </c>
      <c r="AY170" s="42">
        <f>MIN(AY$6,AW170+AX170)</f>
        <v/>
      </c>
      <c r="AZ170" s="42">
        <f>MAX(0,MIN(AW170+AX170-AY170,AV170))</f>
        <v/>
      </c>
      <c r="BA170" s="42">
        <f>ROUND(AW170+AX170-AY170-AZ170,2)</f>
        <v/>
      </c>
      <c r="BB170">
        <f>AV170-AZ170</f>
        <v/>
      </c>
      <c r="BC170" s="42">
        <f>BG169</f>
        <v/>
      </c>
      <c r="BD170" s="42">
        <f>ROUND(BC170*BD$6/12,2)</f>
        <v/>
      </c>
      <c r="BE170" s="42">
        <f>MIN(BE$6,BC170+BD170)</f>
        <v/>
      </c>
      <c r="BF170" s="42">
        <f>MAX(0,MIN(BC170+BD170-BE170,BB170))</f>
        <v/>
      </c>
      <c r="BG170" s="42">
        <f>ROUND(BC170+BD170-BE170-BF170,2)</f>
        <v/>
      </c>
      <c r="BH170">
        <f>BB170-BF170</f>
        <v/>
      </c>
      <c r="BI170" s="42">
        <f>BM169</f>
        <v/>
      </c>
      <c r="BJ170" s="42">
        <f>ROUND(BI170*BJ$6/12,2)</f>
        <v/>
      </c>
      <c r="BK170" s="42">
        <f>MIN(BK$6,BI170+BJ170)</f>
        <v/>
      </c>
      <c r="BL170" s="42">
        <f>MAX(0,MIN(BI170+BJ170-BK170,BH170))</f>
        <v/>
      </c>
      <c r="BM170" s="42">
        <f>ROUND(BI170+BJ170-BK170-BL170,2)</f>
        <v/>
      </c>
      <c r="BN170">
        <f>BH170-BL170</f>
        <v/>
      </c>
    </row>
    <row r="171">
      <c r="A171" s="43" t="n">
        <v>164</v>
      </c>
      <c r="B171" s="44">
        <f>EDATE('My Debts'!$C$6,A171-1)</f>
        <v/>
      </c>
      <c r="C171" s="45">
        <f>K171+Q171+W171+AC171+AI171+AO171+AU171+BA171+BG171+BM171</f>
        <v/>
      </c>
      <c r="D171" s="46">
        <f>I171+O171+U171+AA171+AG171+AM171+AS171+AY171+BE171+BK171+J171+P171+V171+AB171+AH171+AN171+AT171+AZ171+BF171+BL171</f>
        <v/>
      </c>
      <c r="E171" s="46">
        <f>H171+N171+T171+Z171+AF171+AL171+AR171+AX171+BD171+BJ171</f>
        <v/>
      </c>
      <c r="F171" t="n">
        <v>0</v>
      </c>
      <c r="G171" s="42">
        <f>K170</f>
        <v/>
      </c>
      <c r="H171" s="42">
        <f>ROUND(G171*H$6/12,2)</f>
        <v/>
      </c>
      <c r="I171" s="42">
        <f>MIN(I$6,G171+H171)</f>
        <v/>
      </c>
      <c r="J171" s="42">
        <f>MAX(0,MIN(G171+H171-I171,$F171))</f>
        <v/>
      </c>
      <c r="K171" s="42">
        <f>ROUND(G171+H171-I171-J171,2)</f>
        <v/>
      </c>
      <c r="L171">
        <f>$F171-J171</f>
        <v/>
      </c>
      <c r="M171" s="42">
        <f>Q170</f>
        <v/>
      </c>
      <c r="N171" s="42">
        <f>ROUND(M171*N$6/12,2)</f>
        <v/>
      </c>
      <c r="O171" s="42">
        <f>MIN(O$6,M171+N171)</f>
        <v/>
      </c>
      <c r="P171" s="42">
        <f>MAX(0,MIN(M171+N171-O171,L171))</f>
        <v/>
      </c>
      <c r="Q171" s="42">
        <f>ROUND(M171+N171-O171-P171,2)</f>
        <v/>
      </c>
      <c r="R171">
        <f>L171-P171</f>
        <v/>
      </c>
      <c r="S171" s="42">
        <f>W170</f>
        <v/>
      </c>
      <c r="T171" s="42">
        <f>ROUND(S171*T$6/12,2)</f>
        <v/>
      </c>
      <c r="U171" s="42">
        <f>MIN(U$6,S171+T171)</f>
        <v/>
      </c>
      <c r="V171" s="42">
        <f>MAX(0,MIN(S171+T171-U171,R171))</f>
        <v/>
      </c>
      <c r="W171" s="42">
        <f>ROUND(S171+T171-U171-V171,2)</f>
        <v/>
      </c>
      <c r="X171">
        <f>R171-V171</f>
        <v/>
      </c>
      <c r="Y171" s="42">
        <f>AC170</f>
        <v/>
      </c>
      <c r="Z171" s="42">
        <f>ROUND(Y171*Z$6/12,2)</f>
        <v/>
      </c>
      <c r="AA171" s="42">
        <f>MIN(AA$6,Y171+Z171)</f>
        <v/>
      </c>
      <c r="AB171" s="42">
        <f>MAX(0,MIN(Y171+Z171-AA171,X171))</f>
        <v/>
      </c>
      <c r="AC171" s="42">
        <f>ROUND(Y171+Z171-AA171-AB171,2)</f>
        <v/>
      </c>
      <c r="AD171">
        <f>X171-AB171</f>
        <v/>
      </c>
      <c r="AE171" s="42">
        <f>AI170</f>
        <v/>
      </c>
      <c r="AF171" s="42">
        <f>ROUND(AE171*AF$6/12,2)</f>
        <v/>
      </c>
      <c r="AG171" s="42">
        <f>MIN(AG$6,AE171+AF171)</f>
        <v/>
      </c>
      <c r="AH171" s="42">
        <f>MAX(0,MIN(AE171+AF171-AG171,AD171))</f>
        <v/>
      </c>
      <c r="AI171" s="42">
        <f>ROUND(AE171+AF171-AG171-AH171,2)</f>
        <v/>
      </c>
      <c r="AJ171">
        <f>AD171-AH171</f>
        <v/>
      </c>
      <c r="AK171" s="42">
        <f>AO170</f>
        <v/>
      </c>
      <c r="AL171" s="42">
        <f>ROUND(AK171*AL$6/12,2)</f>
        <v/>
      </c>
      <c r="AM171" s="42">
        <f>MIN(AM$6,AK171+AL171)</f>
        <v/>
      </c>
      <c r="AN171" s="42">
        <f>MAX(0,MIN(AK171+AL171-AM171,AJ171))</f>
        <v/>
      </c>
      <c r="AO171" s="42">
        <f>ROUND(AK171+AL171-AM171-AN171,2)</f>
        <v/>
      </c>
      <c r="AP171">
        <f>AJ171-AN171</f>
        <v/>
      </c>
      <c r="AQ171" s="42">
        <f>AU170</f>
        <v/>
      </c>
      <c r="AR171" s="42">
        <f>ROUND(AQ171*AR$6/12,2)</f>
        <v/>
      </c>
      <c r="AS171" s="42">
        <f>MIN(AS$6,AQ171+AR171)</f>
        <v/>
      </c>
      <c r="AT171" s="42">
        <f>MAX(0,MIN(AQ171+AR171-AS171,AP171))</f>
        <v/>
      </c>
      <c r="AU171" s="42">
        <f>ROUND(AQ171+AR171-AS171-AT171,2)</f>
        <v/>
      </c>
      <c r="AV171">
        <f>AP171-AT171</f>
        <v/>
      </c>
      <c r="AW171" s="42">
        <f>BA170</f>
        <v/>
      </c>
      <c r="AX171" s="42">
        <f>ROUND(AW171*AX$6/12,2)</f>
        <v/>
      </c>
      <c r="AY171" s="42">
        <f>MIN(AY$6,AW171+AX171)</f>
        <v/>
      </c>
      <c r="AZ171" s="42">
        <f>MAX(0,MIN(AW171+AX171-AY171,AV171))</f>
        <v/>
      </c>
      <c r="BA171" s="42">
        <f>ROUND(AW171+AX171-AY171-AZ171,2)</f>
        <v/>
      </c>
      <c r="BB171">
        <f>AV171-AZ171</f>
        <v/>
      </c>
      <c r="BC171" s="42">
        <f>BG170</f>
        <v/>
      </c>
      <c r="BD171" s="42">
        <f>ROUND(BC171*BD$6/12,2)</f>
        <v/>
      </c>
      <c r="BE171" s="42">
        <f>MIN(BE$6,BC171+BD171)</f>
        <v/>
      </c>
      <c r="BF171" s="42">
        <f>MAX(0,MIN(BC171+BD171-BE171,BB171))</f>
        <v/>
      </c>
      <c r="BG171" s="42">
        <f>ROUND(BC171+BD171-BE171-BF171,2)</f>
        <v/>
      </c>
      <c r="BH171">
        <f>BB171-BF171</f>
        <v/>
      </c>
      <c r="BI171" s="42">
        <f>BM170</f>
        <v/>
      </c>
      <c r="BJ171" s="42">
        <f>ROUND(BI171*BJ$6/12,2)</f>
        <v/>
      </c>
      <c r="BK171" s="42">
        <f>MIN(BK$6,BI171+BJ171)</f>
        <v/>
      </c>
      <c r="BL171" s="42">
        <f>MAX(0,MIN(BI171+BJ171-BK171,BH171))</f>
        <v/>
      </c>
      <c r="BM171" s="42">
        <f>ROUND(BI171+BJ171-BK171-BL171,2)</f>
        <v/>
      </c>
      <c r="BN171">
        <f>BH171-BL171</f>
        <v/>
      </c>
    </row>
    <row r="172">
      <c r="A172" s="39" t="n">
        <v>165</v>
      </c>
      <c r="B172" s="40">
        <f>EDATE('My Debts'!$C$6,A172-1)</f>
        <v/>
      </c>
      <c r="C172" s="41">
        <f>K172+Q172+W172+AC172+AI172+AO172+AU172+BA172+BG172+BM172</f>
        <v/>
      </c>
      <c r="D172" s="42">
        <f>I172+O172+U172+AA172+AG172+AM172+AS172+AY172+BE172+BK172+J172+P172+V172+AB172+AH172+AN172+AT172+AZ172+BF172+BL172</f>
        <v/>
      </c>
      <c r="E172" s="42">
        <f>H172+N172+T172+Z172+AF172+AL172+AR172+AX172+BD172+BJ172</f>
        <v/>
      </c>
      <c r="F172" t="n">
        <v>0</v>
      </c>
      <c r="G172" s="42">
        <f>K171</f>
        <v/>
      </c>
      <c r="H172" s="42">
        <f>ROUND(G172*H$6/12,2)</f>
        <v/>
      </c>
      <c r="I172" s="42">
        <f>MIN(I$6,G172+H172)</f>
        <v/>
      </c>
      <c r="J172" s="42">
        <f>MAX(0,MIN(G172+H172-I172,$F172))</f>
        <v/>
      </c>
      <c r="K172" s="42">
        <f>ROUND(G172+H172-I172-J172,2)</f>
        <v/>
      </c>
      <c r="L172">
        <f>$F172-J172</f>
        <v/>
      </c>
      <c r="M172" s="42">
        <f>Q171</f>
        <v/>
      </c>
      <c r="N172" s="42">
        <f>ROUND(M172*N$6/12,2)</f>
        <v/>
      </c>
      <c r="O172" s="42">
        <f>MIN(O$6,M172+N172)</f>
        <v/>
      </c>
      <c r="P172" s="42">
        <f>MAX(0,MIN(M172+N172-O172,L172))</f>
        <v/>
      </c>
      <c r="Q172" s="42">
        <f>ROUND(M172+N172-O172-P172,2)</f>
        <v/>
      </c>
      <c r="R172">
        <f>L172-P172</f>
        <v/>
      </c>
      <c r="S172" s="42">
        <f>W171</f>
        <v/>
      </c>
      <c r="T172" s="42">
        <f>ROUND(S172*T$6/12,2)</f>
        <v/>
      </c>
      <c r="U172" s="42">
        <f>MIN(U$6,S172+T172)</f>
        <v/>
      </c>
      <c r="V172" s="42">
        <f>MAX(0,MIN(S172+T172-U172,R172))</f>
        <v/>
      </c>
      <c r="W172" s="42">
        <f>ROUND(S172+T172-U172-V172,2)</f>
        <v/>
      </c>
      <c r="X172">
        <f>R172-V172</f>
        <v/>
      </c>
      <c r="Y172" s="42">
        <f>AC171</f>
        <v/>
      </c>
      <c r="Z172" s="42">
        <f>ROUND(Y172*Z$6/12,2)</f>
        <v/>
      </c>
      <c r="AA172" s="42">
        <f>MIN(AA$6,Y172+Z172)</f>
        <v/>
      </c>
      <c r="AB172" s="42">
        <f>MAX(0,MIN(Y172+Z172-AA172,X172))</f>
        <v/>
      </c>
      <c r="AC172" s="42">
        <f>ROUND(Y172+Z172-AA172-AB172,2)</f>
        <v/>
      </c>
      <c r="AD172">
        <f>X172-AB172</f>
        <v/>
      </c>
      <c r="AE172" s="42">
        <f>AI171</f>
        <v/>
      </c>
      <c r="AF172" s="42">
        <f>ROUND(AE172*AF$6/12,2)</f>
        <v/>
      </c>
      <c r="AG172" s="42">
        <f>MIN(AG$6,AE172+AF172)</f>
        <v/>
      </c>
      <c r="AH172" s="42">
        <f>MAX(0,MIN(AE172+AF172-AG172,AD172))</f>
        <v/>
      </c>
      <c r="AI172" s="42">
        <f>ROUND(AE172+AF172-AG172-AH172,2)</f>
        <v/>
      </c>
      <c r="AJ172">
        <f>AD172-AH172</f>
        <v/>
      </c>
      <c r="AK172" s="42">
        <f>AO171</f>
        <v/>
      </c>
      <c r="AL172" s="42">
        <f>ROUND(AK172*AL$6/12,2)</f>
        <v/>
      </c>
      <c r="AM172" s="42">
        <f>MIN(AM$6,AK172+AL172)</f>
        <v/>
      </c>
      <c r="AN172" s="42">
        <f>MAX(0,MIN(AK172+AL172-AM172,AJ172))</f>
        <v/>
      </c>
      <c r="AO172" s="42">
        <f>ROUND(AK172+AL172-AM172-AN172,2)</f>
        <v/>
      </c>
      <c r="AP172">
        <f>AJ172-AN172</f>
        <v/>
      </c>
      <c r="AQ172" s="42">
        <f>AU171</f>
        <v/>
      </c>
      <c r="AR172" s="42">
        <f>ROUND(AQ172*AR$6/12,2)</f>
        <v/>
      </c>
      <c r="AS172" s="42">
        <f>MIN(AS$6,AQ172+AR172)</f>
        <v/>
      </c>
      <c r="AT172" s="42">
        <f>MAX(0,MIN(AQ172+AR172-AS172,AP172))</f>
        <v/>
      </c>
      <c r="AU172" s="42">
        <f>ROUND(AQ172+AR172-AS172-AT172,2)</f>
        <v/>
      </c>
      <c r="AV172">
        <f>AP172-AT172</f>
        <v/>
      </c>
      <c r="AW172" s="42">
        <f>BA171</f>
        <v/>
      </c>
      <c r="AX172" s="42">
        <f>ROUND(AW172*AX$6/12,2)</f>
        <v/>
      </c>
      <c r="AY172" s="42">
        <f>MIN(AY$6,AW172+AX172)</f>
        <v/>
      </c>
      <c r="AZ172" s="42">
        <f>MAX(0,MIN(AW172+AX172-AY172,AV172))</f>
        <v/>
      </c>
      <c r="BA172" s="42">
        <f>ROUND(AW172+AX172-AY172-AZ172,2)</f>
        <v/>
      </c>
      <c r="BB172">
        <f>AV172-AZ172</f>
        <v/>
      </c>
      <c r="BC172" s="42">
        <f>BG171</f>
        <v/>
      </c>
      <c r="BD172" s="42">
        <f>ROUND(BC172*BD$6/12,2)</f>
        <v/>
      </c>
      <c r="BE172" s="42">
        <f>MIN(BE$6,BC172+BD172)</f>
        <v/>
      </c>
      <c r="BF172" s="42">
        <f>MAX(0,MIN(BC172+BD172-BE172,BB172))</f>
        <v/>
      </c>
      <c r="BG172" s="42">
        <f>ROUND(BC172+BD172-BE172-BF172,2)</f>
        <v/>
      </c>
      <c r="BH172">
        <f>BB172-BF172</f>
        <v/>
      </c>
      <c r="BI172" s="42">
        <f>BM171</f>
        <v/>
      </c>
      <c r="BJ172" s="42">
        <f>ROUND(BI172*BJ$6/12,2)</f>
        <v/>
      </c>
      <c r="BK172" s="42">
        <f>MIN(BK$6,BI172+BJ172)</f>
        <v/>
      </c>
      <c r="BL172" s="42">
        <f>MAX(0,MIN(BI172+BJ172-BK172,BH172))</f>
        <v/>
      </c>
      <c r="BM172" s="42">
        <f>ROUND(BI172+BJ172-BK172-BL172,2)</f>
        <v/>
      </c>
      <c r="BN172">
        <f>BH172-BL172</f>
        <v/>
      </c>
    </row>
    <row r="173">
      <c r="A173" s="43" t="n">
        <v>166</v>
      </c>
      <c r="B173" s="44">
        <f>EDATE('My Debts'!$C$6,A173-1)</f>
        <v/>
      </c>
      <c r="C173" s="45">
        <f>K173+Q173+W173+AC173+AI173+AO173+AU173+BA173+BG173+BM173</f>
        <v/>
      </c>
      <c r="D173" s="46">
        <f>I173+O173+U173+AA173+AG173+AM173+AS173+AY173+BE173+BK173+J173+P173+V173+AB173+AH173+AN173+AT173+AZ173+BF173+BL173</f>
        <v/>
      </c>
      <c r="E173" s="46">
        <f>H173+N173+T173+Z173+AF173+AL173+AR173+AX173+BD173+BJ173</f>
        <v/>
      </c>
      <c r="F173" t="n">
        <v>0</v>
      </c>
      <c r="G173" s="42">
        <f>K172</f>
        <v/>
      </c>
      <c r="H173" s="42">
        <f>ROUND(G173*H$6/12,2)</f>
        <v/>
      </c>
      <c r="I173" s="42">
        <f>MIN(I$6,G173+H173)</f>
        <v/>
      </c>
      <c r="J173" s="42">
        <f>MAX(0,MIN(G173+H173-I173,$F173))</f>
        <v/>
      </c>
      <c r="K173" s="42">
        <f>ROUND(G173+H173-I173-J173,2)</f>
        <v/>
      </c>
      <c r="L173">
        <f>$F173-J173</f>
        <v/>
      </c>
      <c r="M173" s="42">
        <f>Q172</f>
        <v/>
      </c>
      <c r="N173" s="42">
        <f>ROUND(M173*N$6/12,2)</f>
        <v/>
      </c>
      <c r="O173" s="42">
        <f>MIN(O$6,M173+N173)</f>
        <v/>
      </c>
      <c r="P173" s="42">
        <f>MAX(0,MIN(M173+N173-O173,L173))</f>
        <v/>
      </c>
      <c r="Q173" s="42">
        <f>ROUND(M173+N173-O173-P173,2)</f>
        <v/>
      </c>
      <c r="R173">
        <f>L173-P173</f>
        <v/>
      </c>
      <c r="S173" s="42">
        <f>W172</f>
        <v/>
      </c>
      <c r="T173" s="42">
        <f>ROUND(S173*T$6/12,2)</f>
        <v/>
      </c>
      <c r="U173" s="42">
        <f>MIN(U$6,S173+T173)</f>
        <v/>
      </c>
      <c r="V173" s="42">
        <f>MAX(0,MIN(S173+T173-U173,R173))</f>
        <v/>
      </c>
      <c r="W173" s="42">
        <f>ROUND(S173+T173-U173-V173,2)</f>
        <v/>
      </c>
      <c r="X173">
        <f>R173-V173</f>
        <v/>
      </c>
      <c r="Y173" s="42">
        <f>AC172</f>
        <v/>
      </c>
      <c r="Z173" s="42">
        <f>ROUND(Y173*Z$6/12,2)</f>
        <v/>
      </c>
      <c r="AA173" s="42">
        <f>MIN(AA$6,Y173+Z173)</f>
        <v/>
      </c>
      <c r="AB173" s="42">
        <f>MAX(0,MIN(Y173+Z173-AA173,X173))</f>
        <v/>
      </c>
      <c r="AC173" s="42">
        <f>ROUND(Y173+Z173-AA173-AB173,2)</f>
        <v/>
      </c>
      <c r="AD173">
        <f>X173-AB173</f>
        <v/>
      </c>
      <c r="AE173" s="42">
        <f>AI172</f>
        <v/>
      </c>
      <c r="AF173" s="42">
        <f>ROUND(AE173*AF$6/12,2)</f>
        <v/>
      </c>
      <c r="AG173" s="42">
        <f>MIN(AG$6,AE173+AF173)</f>
        <v/>
      </c>
      <c r="AH173" s="42">
        <f>MAX(0,MIN(AE173+AF173-AG173,AD173))</f>
        <v/>
      </c>
      <c r="AI173" s="42">
        <f>ROUND(AE173+AF173-AG173-AH173,2)</f>
        <v/>
      </c>
      <c r="AJ173">
        <f>AD173-AH173</f>
        <v/>
      </c>
      <c r="AK173" s="42">
        <f>AO172</f>
        <v/>
      </c>
      <c r="AL173" s="42">
        <f>ROUND(AK173*AL$6/12,2)</f>
        <v/>
      </c>
      <c r="AM173" s="42">
        <f>MIN(AM$6,AK173+AL173)</f>
        <v/>
      </c>
      <c r="AN173" s="42">
        <f>MAX(0,MIN(AK173+AL173-AM173,AJ173))</f>
        <v/>
      </c>
      <c r="AO173" s="42">
        <f>ROUND(AK173+AL173-AM173-AN173,2)</f>
        <v/>
      </c>
      <c r="AP173">
        <f>AJ173-AN173</f>
        <v/>
      </c>
      <c r="AQ173" s="42">
        <f>AU172</f>
        <v/>
      </c>
      <c r="AR173" s="42">
        <f>ROUND(AQ173*AR$6/12,2)</f>
        <v/>
      </c>
      <c r="AS173" s="42">
        <f>MIN(AS$6,AQ173+AR173)</f>
        <v/>
      </c>
      <c r="AT173" s="42">
        <f>MAX(0,MIN(AQ173+AR173-AS173,AP173))</f>
        <v/>
      </c>
      <c r="AU173" s="42">
        <f>ROUND(AQ173+AR173-AS173-AT173,2)</f>
        <v/>
      </c>
      <c r="AV173">
        <f>AP173-AT173</f>
        <v/>
      </c>
      <c r="AW173" s="42">
        <f>BA172</f>
        <v/>
      </c>
      <c r="AX173" s="42">
        <f>ROUND(AW173*AX$6/12,2)</f>
        <v/>
      </c>
      <c r="AY173" s="42">
        <f>MIN(AY$6,AW173+AX173)</f>
        <v/>
      </c>
      <c r="AZ173" s="42">
        <f>MAX(0,MIN(AW173+AX173-AY173,AV173))</f>
        <v/>
      </c>
      <c r="BA173" s="42">
        <f>ROUND(AW173+AX173-AY173-AZ173,2)</f>
        <v/>
      </c>
      <c r="BB173">
        <f>AV173-AZ173</f>
        <v/>
      </c>
      <c r="BC173" s="42">
        <f>BG172</f>
        <v/>
      </c>
      <c r="BD173" s="42">
        <f>ROUND(BC173*BD$6/12,2)</f>
        <v/>
      </c>
      <c r="BE173" s="42">
        <f>MIN(BE$6,BC173+BD173)</f>
        <v/>
      </c>
      <c r="BF173" s="42">
        <f>MAX(0,MIN(BC173+BD173-BE173,BB173))</f>
        <v/>
      </c>
      <c r="BG173" s="42">
        <f>ROUND(BC173+BD173-BE173-BF173,2)</f>
        <v/>
      </c>
      <c r="BH173">
        <f>BB173-BF173</f>
        <v/>
      </c>
      <c r="BI173" s="42">
        <f>BM172</f>
        <v/>
      </c>
      <c r="BJ173" s="42">
        <f>ROUND(BI173*BJ$6/12,2)</f>
        <v/>
      </c>
      <c r="BK173" s="42">
        <f>MIN(BK$6,BI173+BJ173)</f>
        <v/>
      </c>
      <c r="BL173" s="42">
        <f>MAX(0,MIN(BI173+BJ173-BK173,BH173))</f>
        <v/>
      </c>
      <c r="BM173" s="42">
        <f>ROUND(BI173+BJ173-BK173-BL173,2)</f>
        <v/>
      </c>
      <c r="BN173">
        <f>BH173-BL173</f>
        <v/>
      </c>
    </row>
    <row r="174">
      <c r="A174" s="39" t="n">
        <v>167</v>
      </c>
      <c r="B174" s="40">
        <f>EDATE('My Debts'!$C$6,A174-1)</f>
        <v/>
      </c>
      <c r="C174" s="41">
        <f>K174+Q174+W174+AC174+AI174+AO174+AU174+BA174+BG174+BM174</f>
        <v/>
      </c>
      <c r="D174" s="42">
        <f>I174+O174+U174+AA174+AG174+AM174+AS174+AY174+BE174+BK174+J174+P174+V174+AB174+AH174+AN174+AT174+AZ174+BF174+BL174</f>
        <v/>
      </c>
      <c r="E174" s="42">
        <f>H174+N174+T174+Z174+AF174+AL174+AR174+AX174+BD174+BJ174</f>
        <v/>
      </c>
      <c r="F174" t="n">
        <v>0</v>
      </c>
      <c r="G174" s="42">
        <f>K173</f>
        <v/>
      </c>
      <c r="H174" s="42">
        <f>ROUND(G174*H$6/12,2)</f>
        <v/>
      </c>
      <c r="I174" s="42">
        <f>MIN(I$6,G174+H174)</f>
        <v/>
      </c>
      <c r="J174" s="42">
        <f>MAX(0,MIN(G174+H174-I174,$F174))</f>
        <v/>
      </c>
      <c r="K174" s="42">
        <f>ROUND(G174+H174-I174-J174,2)</f>
        <v/>
      </c>
      <c r="L174">
        <f>$F174-J174</f>
        <v/>
      </c>
      <c r="M174" s="42">
        <f>Q173</f>
        <v/>
      </c>
      <c r="N174" s="42">
        <f>ROUND(M174*N$6/12,2)</f>
        <v/>
      </c>
      <c r="O174" s="42">
        <f>MIN(O$6,M174+N174)</f>
        <v/>
      </c>
      <c r="P174" s="42">
        <f>MAX(0,MIN(M174+N174-O174,L174))</f>
        <v/>
      </c>
      <c r="Q174" s="42">
        <f>ROUND(M174+N174-O174-P174,2)</f>
        <v/>
      </c>
      <c r="R174">
        <f>L174-P174</f>
        <v/>
      </c>
      <c r="S174" s="42">
        <f>W173</f>
        <v/>
      </c>
      <c r="T174" s="42">
        <f>ROUND(S174*T$6/12,2)</f>
        <v/>
      </c>
      <c r="U174" s="42">
        <f>MIN(U$6,S174+T174)</f>
        <v/>
      </c>
      <c r="V174" s="42">
        <f>MAX(0,MIN(S174+T174-U174,R174))</f>
        <v/>
      </c>
      <c r="W174" s="42">
        <f>ROUND(S174+T174-U174-V174,2)</f>
        <v/>
      </c>
      <c r="X174">
        <f>R174-V174</f>
        <v/>
      </c>
      <c r="Y174" s="42">
        <f>AC173</f>
        <v/>
      </c>
      <c r="Z174" s="42">
        <f>ROUND(Y174*Z$6/12,2)</f>
        <v/>
      </c>
      <c r="AA174" s="42">
        <f>MIN(AA$6,Y174+Z174)</f>
        <v/>
      </c>
      <c r="AB174" s="42">
        <f>MAX(0,MIN(Y174+Z174-AA174,X174))</f>
        <v/>
      </c>
      <c r="AC174" s="42">
        <f>ROUND(Y174+Z174-AA174-AB174,2)</f>
        <v/>
      </c>
      <c r="AD174">
        <f>X174-AB174</f>
        <v/>
      </c>
      <c r="AE174" s="42">
        <f>AI173</f>
        <v/>
      </c>
      <c r="AF174" s="42">
        <f>ROUND(AE174*AF$6/12,2)</f>
        <v/>
      </c>
      <c r="AG174" s="42">
        <f>MIN(AG$6,AE174+AF174)</f>
        <v/>
      </c>
      <c r="AH174" s="42">
        <f>MAX(0,MIN(AE174+AF174-AG174,AD174))</f>
        <v/>
      </c>
      <c r="AI174" s="42">
        <f>ROUND(AE174+AF174-AG174-AH174,2)</f>
        <v/>
      </c>
      <c r="AJ174">
        <f>AD174-AH174</f>
        <v/>
      </c>
      <c r="AK174" s="42">
        <f>AO173</f>
        <v/>
      </c>
      <c r="AL174" s="42">
        <f>ROUND(AK174*AL$6/12,2)</f>
        <v/>
      </c>
      <c r="AM174" s="42">
        <f>MIN(AM$6,AK174+AL174)</f>
        <v/>
      </c>
      <c r="AN174" s="42">
        <f>MAX(0,MIN(AK174+AL174-AM174,AJ174))</f>
        <v/>
      </c>
      <c r="AO174" s="42">
        <f>ROUND(AK174+AL174-AM174-AN174,2)</f>
        <v/>
      </c>
      <c r="AP174">
        <f>AJ174-AN174</f>
        <v/>
      </c>
      <c r="AQ174" s="42">
        <f>AU173</f>
        <v/>
      </c>
      <c r="AR174" s="42">
        <f>ROUND(AQ174*AR$6/12,2)</f>
        <v/>
      </c>
      <c r="AS174" s="42">
        <f>MIN(AS$6,AQ174+AR174)</f>
        <v/>
      </c>
      <c r="AT174" s="42">
        <f>MAX(0,MIN(AQ174+AR174-AS174,AP174))</f>
        <v/>
      </c>
      <c r="AU174" s="42">
        <f>ROUND(AQ174+AR174-AS174-AT174,2)</f>
        <v/>
      </c>
      <c r="AV174">
        <f>AP174-AT174</f>
        <v/>
      </c>
      <c r="AW174" s="42">
        <f>BA173</f>
        <v/>
      </c>
      <c r="AX174" s="42">
        <f>ROUND(AW174*AX$6/12,2)</f>
        <v/>
      </c>
      <c r="AY174" s="42">
        <f>MIN(AY$6,AW174+AX174)</f>
        <v/>
      </c>
      <c r="AZ174" s="42">
        <f>MAX(0,MIN(AW174+AX174-AY174,AV174))</f>
        <v/>
      </c>
      <c r="BA174" s="42">
        <f>ROUND(AW174+AX174-AY174-AZ174,2)</f>
        <v/>
      </c>
      <c r="BB174">
        <f>AV174-AZ174</f>
        <v/>
      </c>
      <c r="BC174" s="42">
        <f>BG173</f>
        <v/>
      </c>
      <c r="BD174" s="42">
        <f>ROUND(BC174*BD$6/12,2)</f>
        <v/>
      </c>
      <c r="BE174" s="42">
        <f>MIN(BE$6,BC174+BD174)</f>
        <v/>
      </c>
      <c r="BF174" s="42">
        <f>MAX(0,MIN(BC174+BD174-BE174,BB174))</f>
        <v/>
      </c>
      <c r="BG174" s="42">
        <f>ROUND(BC174+BD174-BE174-BF174,2)</f>
        <v/>
      </c>
      <c r="BH174">
        <f>BB174-BF174</f>
        <v/>
      </c>
      <c r="BI174" s="42">
        <f>BM173</f>
        <v/>
      </c>
      <c r="BJ174" s="42">
        <f>ROUND(BI174*BJ$6/12,2)</f>
        <v/>
      </c>
      <c r="BK174" s="42">
        <f>MIN(BK$6,BI174+BJ174)</f>
        <v/>
      </c>
      <c r="BL174" s="42">
        <f>MAX(0,MIN(BI174+BJ174-BK174,BH174))</f>
        <v/>
      </c>
      <c r="BM174" s="42">
        <f>ROUND(BI174+BJ174-BK174-BL174,2)</f>
        <v/>
      </c>
      <c r="BN174">
        <f>BH174-BL174</f>
        <v/>
      </c>
    </row>
    <row r="175">
      <c r="A175" s="43" t="n">
        <v>168</v>
      </c>
      <c r="B175" s="44">
        <f>EDATE('My Debts'!$C$6,A175-1)</f>
        <v/>
      </c>
      <c r="C175" s="45">
        <f>K175+Q175+W175+AC175+AI175+AO175+AU175+BA175+BG175+BM175</f>
        <v/>
      </c>
      <c r="D175" s="46">
        <f>I175+O175+U175+AA175+AG175+AM175+AS175+AY175+BE175+BK175+J175+P175+V175+AB175+AH175+AN175+AT175+AZ175+BF175+BL175</f>
        <v/>
      </c>
      <c r="E175" s="46">
        <f>H175+N175+T175+Z175+AF175+AL175+AR175+AX175+BD175+BJ175</f>
        <v/>
      </c>
      <c r="F175" t="n">
        <v>0</v>
      </c>
      <c r="G175" s="42">
        <f>K174</f>
        <v/>
      </c>
      <c r="H175" s="42">
        <f>ROUND(G175*H$6/12,2)</f>
        <v/>
      </c>
      <c r="I175" s="42">
        <f>MIN(I$6,G175+H175)</f>
        <v/>
      </c>
      <c r="J175" s="42">
        <f>MAX(0,MIN(G175+H175-I175,$F175))</f>
        <v/>
      </c>
      <c r="K175" s="42">
        <f>ROUND(G175+H175-I175-J175,2)</f>
        <v/>
      </c>
      <c r="L175">
        <f>$F175-J175</f>
        <v/>
      </c>
      <c r="M175" s="42">
        <f>Q174</f>
        <v/>
      </c>
      <c r="N175" s="42">
        <f>ROUND(M175*N$6/12,2)</f>
        <v/>
      </c>
      <c r="O175" s="42">
        <f>MIN(O$6,M175+N175)</f>
        <v/>
      </c>
      <c r="P175" s="42">
        <f>MAX(0,MIN(M175+N175-O175,L175))</f>
        <v/>
      </c>
      <c r="Q175" s="42">
        <f>ROUND(M175+N175-O175-P175,2)</f>
        <v/>
      </c>
      <c r="R175">
        <f>L175-P175</f>
        <v/>
      </c>
      <c r="S175" s="42">
        <f>W174</f>
        <v/>
      </c>
      <c r="T175" s="42">
        <f>ROUND(S175*T$6/12,2)</f>
        <v/>
      </c>
      <c r="U175" s="42">
        <f>MIN(U$6,S175+T175)</f>
        <v/>
      </c>
      <c r="V175" s="42">
        <f>MAX(0,MIN(S175+T175-U175,R175))</f>
        <v/>
      </c>
      <c r="W175" s="42">
        <f>ROUND(S175+T175-U175-V175,2)</f>
        <v/>
      </c>
      <c r="X175">
        <f>R175-V175</f>
        <v/>
      </c>
      <c r="Y175" s="42">
        <f>AC174</f>
        <v/>
      </c>
      <c r="Z175" s="42">
        <f>ROUND(Y175*Z$6/12,2)</f>
        <v/>
      </c>
      <c r="AA175" s="42">
        <f>MIN(AA$6,Y175+Z175)</f>
        <v/>
      </c>
      <c r="AB175" s="42">
        <f>MAX(0,MIN(Y175+Z175-AA175,X175))</f>
        <v/>
      </c>
      <c r="AC175" s="42">
        <f>ROUND(Y175+Z175-AA175-AB175,2)</f>
        <v/>
      </c>
      <c r="AD175">
        <f>X175-AB175</f>
        <v/>
      </c>
      <c r="AE175" s="42">
        <f>AI174</f>
        <v/>
      </c>
      <c r="AF175" s="42">
        <f>ROUND(AE175*AF$6/12,2)</f>
        <v/>
      </c>
      <c r="AG175" s="42">
        <f>MIN(AG$6,AE175+AF175)</f>
        <v/>
      </c>
      <c r="AH175" s="42">
        <f>MAX(0,MIN(AE175+AF175-AG175,AD175))</f>
        <v/>
      </c>
      <c r="AI175" s="42">
        <f>ROUND(AE175+AF175-AG175-AH175,2)</f>
        <v/>
      </c>
      <c r="AJ175">
        <f>AD175-AH175</f>
        <v/>
      </c>
      <c r="AK175" s="42">
        <f>AO174</f>
        <v/>
      </c>
      <c r="AL175" s="42">
        <f>ROUND(AK175*AL$6/12,2)</f>
        <v/>
      </c>
      <c r="AM175" s="42">
        <f>MIN(AM$6,AK175+AL175)</f>
        <v/>
      </c>
      <c r="AN175" s="42">
        <f>MAX(0,MIN(AK175+AL175-AM175,AJ175))</f>
        <v/>
      </c>
      <c r="AO175" s="42">
        <f>ROUND(AK175+AL175-AM175-AN175,2)</f>
        <v/>
      </c>
      <c r="AP175">
        <f>AJ175-AN175</f>
        <v/>
      </c>
      <c r="AQ175" s="42">
        <f>AU174</f>
        <v/>
      </c>
      <c r="AR175" s="42">
        <f>ROUND(AQ175*AR$6/12,2)</f>
        <v/>
      </c>
      <c r="AS175" s="42">
        <f>MIN(AS$6,AQ175+AR175)</f>
        <v/>
      </c>
      <c r="AT175" s="42">
        <f>MAX(0,MIN(AQ175+AR175-AS175,AP175))</f>
        <v/>
      </c>
      <c r="AU175" s="42">
        <f>ROUND(AQ175+AR175-AS175-AT175,2)</f>
        <v/>
      </c>
      <c r="AV175">
        <f>AP175-AT175</f>
        <v/>
      </c>
      <c r="AW175" s="42">
        <f>BA174</f>
        <v/>
      </c>
      <c r="AX175" s="42">
        <f>ROUND(AW175*AX$6/12,2)</f>
        <v/>
      </c>
      <c r="AY175" s="42">
        <f>MIN(AY$6,AW175+AX175)</f>
        <v/>
      </c>
      <c r="AZ175" s="42">
        <f>MAX(0,MIN(AW175+AX175-AY175,AV175))</f>
        <v/>
      </c>
      <c r="BA175" s="42">
        <f>ROUND(AW175+AX175-AY175-AZ175,2)</f>
        <v/>
      </c>
      <c r="BB175">
        <f>AV175-AZ175</f>
        <v/>
      </c>
      <c r="BC175" s="42">
        <f>BG174</f>
        <v/>
      </c>
      <c r="BD175" s="42">
        <f>ROUND(BC175*BD$6/12,2)</f>
        <v/>
      </c>
      <c r="BE175" s="42">
        <f>MIN(BE$6,BC175+BD175)</f>
        <v/>
      </c>
      <c r="BF175" s="42">
        <f>MAX(0,MIN(BC175+BD175-BE175,BB175))</f>
        <v/>
      </c>
      <c r="BG175" s="42">
        <f>ROUND(BC175+BD175-BE175-BF175,2)</f>
        <v/>
      </c>
      <c r="BH175">
        <f>BB175-BF175</f>
        <v/>
      </c>
      <c r="BI175" s="42">
        <f>BM174</f>
        <v/>
      </c>
      <c r="BJ175" s="42">
        <f>ROUND(BI175*BJ$6/12,2)</f>
        <v/>
      </c>
      <c r="BK175" s="42">
        <f>MIN(BK$6,BI175+BJ175)</f>
        <v/>
      </c>
      <c r="BL175" s="42">
        <f>MAX(0,MIN(BI175+BJ175-BK175,BH175))</f>
        <v/>
      </c>
      <c r="BM175" s="42">
        <f>ROUND(BI175+BJ175-BK175-BL175,2)</f>
        <v/>
      </c>
      <c r="BN175">
        <f>BH175-BL175</f>
        <v/>
      </c>
    </row>
    <row r="176">
      <c r="A176" s="39" t="n">
        <v>169</v>
      </c>
      <c r="B176" s="40">
        <f>EDATE('My Debts'!$C$6,A176-1)</f>
        <v/>
      </c>
      <c r="C176" s="41">
        <f>K176+Q176+W176+AC176+AI176+AO176+AU176+BA176+BG176+BM176</f>
        <v/>
      </c>
      <c r="D176" s="42">
        <f>I176+O176+U176+AA176+AG176+AM176+AS176+AY176+BE176+BK176+J176+P176+V176+AB176+AH176+AN176+AT176+AZ176+BF176+BL176</f>
        <v/>
      </c>
      <c r="E176" s="42">
        <f>H176+N176+T176+Z176+AF176+AL176+AR176+AX176+BD176+BJ176</f>
        <v/>
      </c>
      <c r="F176" t="n">
        <v>0</v>
      </c>
      <c r="G176" s="42">
        <f>K175</f>
        <v/>
      </c>
      <c r="H176" s="42">
        <f>ROUND(G176*H$6/12,2)</f>
        <v/>
      </c>
      <c r="I176" s="42">
        <f>MIN(I$6,G176+H176)</f>
        <v/>
      </c>
      <c r="J176" s="42">
        <f>MAX(0,MIN(G176+H176-I176,$F176))</f>
        <v/>
      </c>
      <c r="K176" s="42">
        <f>ROUND(G176+H176-I176-J176,2)</f>
        <v/>
      </c>
      <c r="L176">
        <f>$F176-J176</f>
        <v/>
      </c>
      <c r="M176" s="42">
        <f>Q175</f>
        <v/>
      </c>
      <c r="N176" s="42">
        <f>ROUND(M176*N$6/12,2)</f>
        <v/>
      </c>
      <c r="O176" s="42">
        <f>MIN(O$6,M176+N176)</f>
        <v/>
      </c>
      <c r="P176" s="42">
        <f>MAX(0,MIN(M176+N176-O176,L176))</f>
        <v/>
      </c>
      <c r="Q176" s="42">
        <f>ROUND(M176+N176-O176-P176,2)</f>
        <v/>
      </c>
      <c r="R176">
        <f>L176-P176</f>
        <v/>
      </c>
      <c r="S176" s="42">
        <f>W175</f>
        <v/>
      </c>
      <c r="T176" s="42">
        <f>ROUND(S176*T$6/12,2)</f>
        <v/>
      </c>
      <c r="U176" s="42">
        <f>MIN(U$6,S176+T176)</f>
        <v/>
      </c>
      <c r="V176" s="42">
        <f>MAX(0,MIN(S176+T176-U176,R176))</f>
        <v/>
      </c>
      <c r="W176" s="42">
        <f>ROUND(S176+T176-U176-V176,2)</f>
        <v/>
      </c>
      <c r="X176">
        <f>R176-V176</f>
        <v/>
      </c>
      <c r="Y176" s="42">
        <f>AC175</f>
        <v/>
      </c>
      <c r="Z176" s="42">
        <f>ROUND(Y176*Z$6/12,2)</f>
        <v/>
      </c>
      <c r="AA176" s="42">
        <f>MIN(AA$6,Y176+Z176)</f>
        <v/>
      </c>
      <c r="AB176" s="42">
        <f>MAX(0,MIN(Y176+Z176-AA176,X176))</f>
        <v/>
      </c>
      <c r="AC176" s="42">
        <f>ROUND(Y176+Z176-AA176-AB176,2)</f>
        <v/>
      </c>
      <c r="AD176">
        <f>X176-AB176</f>
        <v/>
      </c>
      <c r="AE176" s="42">
        <f>AI175</f>
        <v/>
      </c>
      <c r="AF176" s="42">
        <f>ROUND(AE176*AF$6/12,2)</f>
        <v/>
      </c>
      <c r="AG176" s="42">
        <f>MIN(AG$6,AE176+AF176)</f>
        <v/>
      </c>
      <c r="AH176" s="42">
        <f>MAX(0,MIN(AE176+AF176-AG176,AD176))</f>
        <v/>
      </c>
      <c r="AI176" s="42">
        <f>ROUND(AE176+AF176-AG176-AH176,2)</f>
        <v/>
      </c>
      <c r="AJ176">
        <f>AD176-AH176</f>
        <v/>
      </c>
      <c r="AK176" s="42">
        <f>AO175</f>
        <v/>
      </c>
      <c r="AL176" s="42">
        <f>ROUND(AK176*AL$6/12,2)</f>
        <v/>
      </c>
      <c r="AM176" s="42">
        <f>MIN(AM$6,AK176+AL176)</f>
        <v/>
      </c>
      <c r="AN176" s="42">
        <f>MAX(0,MIN(AK176+AL176-AM176,AJ176))</f>
        <v/>
      </c>
      <c r="AO176" s="42">
        <f>ROUND(AK176+AL176-AM176-AN176,2)</f>
        <v/>
      </c>
      <c r="AP176">
        <f>AJ176-AN176</f>
        <v/>
      </c>
      <c r="AQ176" s="42">
        <f>AU175</f>
        <v/>
      </c>
      <c r="AR176" s="42">
        <f>ROUND(AQ176*AR$6/12,2)</f>
        <v/>
      </c>
      <c r="AS176" s="42">
        <f>MIN(AS$6,AQ176+AR176)</f>
        <v/>
      </c>
      <c r="AT176" s="42">
        <f>MAX(0,MIN(AQ176+AR176-AS176,AP176))</f>
        <v/>
      </c>
      <c r="AU176" s="42">
        <f>ROUND(AQ176+AR176-AS176-AT176,2)</f>
        <v/>
      </c>
      <c r="AV176">
        <f>AP176-AT176</f>
        <v/>
      </c>
      <c r="AW176" s="42">
        <f>BA175</f>
        <v/>
      </c>
      <c r="AX176" s="42">
        <f>ROUND(AW176*AX$6/12,2)</f>
        <v/>
      </c>
      <c r="AY176" s="42">
        <f>MIN(AY$6,AW176+AX176)</f>
        <v/>
      </c>
      <c r="AZ176" s="42">
        <f>MAX(0,MIN(AW176+AX176-AY176,AV176))</f>
        <v/>
      </c>
      <c r="BA176" s="42">
        <f>ROUND(AW176+AX176-AY176-AZ176,2)</f>
        <v/>
      </c>
      <c r="BB176">
        <f>AV176-AZ176</f>
        <v/>
      </c>
      <c r="BC176" s="42">
        <f>BG175</f>
        <v/>
      </c>
      <c r="BD176" s="42">
        <f>ROUND(BC176*BD$6/12,2)</f>
        <v/>
      </c>
      <c r="BE176" s="42">
        <f>MIN(BE$6,BC176+BD176)</f>
        <v/>
      </c>
      <c r="BF176" s="42">
        <f>MAX(0,MIN(BC176+BD176-BE176,BB176))</f>
        <v/>
      </c>
      <c r="BG176" s="42">
        <f>ROUND(BC176+BD176-BE176-BF176,2)</f>
        <v/>
      </c>
      <c r="BH176">
        <f>BB176-BF176</f>
        <v/>
      </c>
      <c r="BI176" s="42">
        <f>BM175</f>
        <v/>
      </c>
      <c r="BJ176" s="42">
        <f>ROUND(BI176*BJ$6/12,2)</f>
        <v/>
      </c>
      <c r="BK176" s="42">
        <f>MIN(BK$6,BI176+BJ176)</f>
        <v/>
      </c>
      <c r="BL176" s="42">
        <f>MAX(0,MIN(BI176+BJ176-BK176,BH176))</f>
        <v/>
      </c>
      <c r="BM176" s="42">
        <f>ROUND(BI176+BJ176-BK176-BL176,2)</f>
        <v/>
      </c>
      <c r="BN176">
        <f>BH176-BL176</f>
        <v/>
      </c>
    </row>
    <row r="177">
      <c r="A177" s="43" t="n">
        <v>170</v>
      </c>
      <c r="B177" s="44">
        <f>EDATE('My Debts'!$C$6,A177-1)</f>
        <v/>
      </c>
      <c r="C177" s="45">
        <f>K177+Q177+W177+AC177+AI177+AO177+AU177+BA177+BG177+BM177</f>
        <v/>
      </c>
      <c r="D177" s="46">
        <f>I177+O177+U177+AA177+AG177+AM177+AS177+AY177+BE177+BK177+J177+P177+V177+AB177+AH177+AN177+AT177+AZ177+BF177+BL177</f>
        <v/>
      </c>
      <c r="E177" s="46">
        <f>H177+N177+T177+Z177+AF177+AL177+AR177+AX177+BD177+BJ177</f>
        <v/>
      </c>
      <c r="F177" t="n">
        <v>0</v>
      </c>
      <c r="G177" s="42">
        <f>K176</f>
        <v/>
      </c>
      <c r="H177" s="42">
        <f>ROUND(G177*H$6/12,2)</f>
        <v/>
      </c>
      <c r="I177" s="42">
        <f>MIN(I$6,G177+H177)</f>
        <v/>
      </c>
      <c r="J177" s="42">
        <f>MAX(0,MIN(G177+H177-I177,$F177))</f>
        <v/>
      </c>
      <c r="K177" s="42">
        <f>ROUND(G177+H177-I177-J177,2)</f>
        <v/>
      </c>
      <c r="L177">
        <f>$F177-J177</f>
        <v/>
      </c>
      <c r="M177" s="42">
        <f>Q176</f>
        <v/>
      </c>
      <c r="N177" s="42">
        <f>ROUND(M177*N$6/12,2)</f>
        <v/>
      </c>
      <c r="O177" s="42">
        <f>MIN(O$6,M177+N177)</f>
        <v/>
      </c>
      <c r="P177" s="42">
        <f>MAX(0,MIN(M177+N177-O177,L177))</f>
        <v/>
      </c>
      <c r="Q177" s="42">
        <f>ROUND(M177+N177-O177-P177,2)</f>
        <v/>
      </c>
      <c r="R177">
        <f>L177-P177</f>
        <v/>
      </c>
      <c r="S177" s="42">
        <f>W176</f>
        <v/>
      </c>
      <c r="T177" s="42">
        <f>ROUND(S177*T$6/12,2)</f>
        <v/>
      </c>
      <c r="U177" s="42">
        <f>MIN(U$6,S177+T177)</f>
        <v/>
      </c>
      <c r="V177" s="42">
        <f>MAX(0,MIN(S177+T177-U177,R177))</f>
        <v/>
      </c>
      <c r="W177" s="42">
        <f>ROUND(S177+T177-U177-V177,2)</f>
        <v/>
      </c>
      <c r="X177">
        <f>R177-V177</f>
        <v/>
      </c>
      <c r="Y177" s="42">
        <f>AC176</f>
        <v/>
      </c>
      <c r="Z177" s="42">
        <f>ROUND(Y177*Z$6/12,2)</f>
        <v/>
      </c>
      <c r="AA177" s="42">
        <f>MIN(AA$6,Y177+Z177)</f>
        <v/>
      </c>
      <c r="AB177" s="42">
        <f>MAX(0,MIN(Y177+Z177-AA177,X177))</f>
        <v/>
      </c>
      <c r="AC177" s="42">
        <f>ROUND(Y177+Z177-AA177-AB177,2)</f>
        <v/>
      </c>
      <c r="AD177">
        <f>X177-AB177</f>
        <v/>
      </c>
      <c r="AE177" s="42">
        <f>AI176</f>
        <v/>
      </c>
      <c r="AF177" s="42">
        <f>ROUND(AE177*AF$6/12,2)</f>
        <v/>
      </c>
      <c r="AG177" s="42">
        <f>MIN(AG$6,AE177+AF177)</f>
        <v/>
      </c>
      <c r="AH177" s="42">
        <f>MAX(0,MIN(AE177+AF177-AG177,AD177))</f>
        <v/>
      </c>
      <c r="AI177" s="42">
        <f>ROUND(AE177+AF177-AG177-AH177,2)</f>
        <v/>
      </c>
      <c r="AJ177">
        <f>AD177-AH177</f>
        <v/>
      </c>
      <c r="AK177" s="42">
        <f>AO176</f>
        <v/>
      </c>
      <c r="AL177" s="42">
        <f>ROUND(AK177*AL$6/12,2)</f>
        <v/>
      </c>
      <c r="AM177" s="42">
        <f>MIN(AM$6,AK177+AL177)</f>
        <v/>
      </c>
      <c r="AN177" s="42">
        <f>MAX(0,MIN(AK177+AL177-AM177,AJ177))</f>
        <v/>
      </c>
      <c r="AO177" s="42">
        <f>ROUND(AK177+AL177-AM177-AN177,2)</f>
        <v/>
      </c>
      <c r="AP177">
        <f>AJ177-AN177</f>
        <v/>
      </c>
      <c r="AQ177" s="42">
        <f>AU176</f>
        <v/>
      </c>
      <c r="AR177" s="42">
        <f>ROUND(AQ177*AR$6/12,2)</f>
        <v/>
      </c>
      <c r="AS177" s="42">
        <f>MIN(AS$6,AQ177+AR177)</f>
        <v/>
      </c>
      <c r="AT177" s="42">
        <f>MAX(0,MIN(AQ177+AR177-AS177,AP177))</f>
        <v/>
      </c>
      <c r="AU177" s="42">
        <f>ROUND(AQ177+AR177-AS177-AT177,2)</f>
        <v/>
      </c>
      <c r="AV177">
        <f>AP177-AT177</f>
        <v/>
      </c>
      <c r="AW177" s="42">
        <f>BA176</f>
        <v/>
      </c>
      <c r="AX177" s="42">
        <f>ROUND(AW177*AX$6/12,2)</f>
        <v/>
      </c>
      <c r="AY177" s="42">
        <f>MIN(AY$6,AW177+AX177)</f>
        <v/>
      </c>
      <c r="AZ177" s="42">
        <f>MAX(0,MIN(AW177+AX177-AY177,AV177))</f>
        <v/>
      </c>
      <c r="BA177" s="42">
        <f>ROUND(AW177+AX177-AY177-AZ177,2)</f>
        <v/>
      </c>
      <c r="BB177">
        <f>AV177-AZ177</f>
        <v/>
      </c>
      <c r="BC177" s="42">
        <f>BG176</f>
        <v/>
      </c>
      <c r="BD177" s="42">
        <f>ROUND(BC177*BD$6/12,2)</f>
        <v/>
      </c>
      <c r="BE177" s="42">
        <f>MIN(BE$6,BC177+BD177)</f>
        <v/>
      </c>
      <c r="BF177" s="42">
        <f>MAX(0,MIN(BC177+BD177-BE177,BB177))</f>
        <v/>
      </c>
      <c r="BG177" s="42">
        <f>ROUND(BC177+BD177-BE177-BF177,2)</f>
        <v/>
      </c>
      <c r="BH177">
        <f>BB177-BF177</f>
        <v/>
      </c>
      <c r="BI177" s="42">
        <f>BM176</f>
        <v/>
      </c>
      <c r="BJ177" s="42">
        <f>ROUND(BI177*BJ$6/12,2)</f>
        <v/>
      </c>
      <c r="BK177" s="42">
        <f>MIN(BK$6,BI177+BJ177)</f>
        <v/>
      </c>
      <c r="BL177" s="42">
        <f>MAX(0,MIN(BI177+BJ177-BK177,BH177))</f>
        <v/>
      </c>
      <c r="BM177" s="42">
        <f>ROUND(BI177+BJ177-BK177-BL177,2)</f>
        <v/>
      </c>
      <c r="BN177">
        <f>BH177-BL177</f>
        <v/>
      </c>
    </row>
    <row r="178">
      <c r="A178" s="39" t="n">
        <v>171</v>
      </c>
      <c r="B178" s="40">
        <f>EDATE('My Debts'!$C$6,A178-1)</f>
        <v/>
      </c>
      <c r="C178" s="41">
        <f>K178+Q178+W178+AC178+AI178+AO178+AU178+BA178+BG178+BM178</f>
        <v/>
      </c>
      <c r="D178" s="42">
        <f>I178+O178+U178+AA178+AG178+AM178+AS178+AY178+BE178+BK178+J178+P178+V178+AB178+AH178+AN178+AT178+AZ178+BF178+BL178</f>
        <v/>
      </c>
      <c r="E178" s="42">
        <f>H178+N178+T178+Z178+AF178+AL178+AR178+AX178+BD178+BJ178</f>
        <v/>
      </c>
      <c r="F178" t="n">
        <v>0</v>
      </c>
      <c r="G178" s="42">
        <f>K177</f>
        <v/>
      </c>
      <c r="H178" s="42">
        <f>ROUND(G178*H$6/12,2)</f>
        <v/>
      </c>
      <c r="I178" s="42">
        <f>MIN(I$6,G178+H178)</f>
        <v/>
      </c>
      <c r="J178" s="42">
        <f>MAX(0,MIN(G178+H178-I178,$F178))</f>
        <v/>
      </c>
      <c r="K178" s="42">
        <f>ROUND(G178+H178-I178-J178,2)</f>
        <v/>
      </c>
      <c r="L178">
        <f>$F178-J178</f>
        <v/>
      </c>
      <c r="M178" s="42">
        <f>Q177</f>
        <v/>
      </c>
      <c r="N178" s="42">
        <f>ROUND(M178*N$6/12,2)</f>
        <v/>
      </c>
      <c r="O178" s="42">
        <f>MIN(O$6,M178+N178)</f>
        <v/>
      </c>
      <c r="P178" s="42">
        <f>MAX(0,MIN(M178+N178-O178,L178))</f>
        <v/>
      </c>
      <c r="Q178" s="42">
        <f>ROUND(M178+N178-O178-P178,2)</f>
        <v/>
      </c>
      <c r="R178">
        <f>L178-P178</f>
        <v/>
      </c>
      <c r="S178" s="42">
        <f>W177</f>
        <v/>
      </c>
      <c r="T178" s="42">
        <f>ROUND(S178*T$6/12,2)</f>
        <v/>
      </c>
      <c r="U178" s="42">
        <f>MIN(U$6,S178+T178)</f>
        <v/>
      </c>
      <c r="V178" s="42">
        <f>MAX(0,MIN(S178+T178-U178,R178))</f>
        <v/>
      </c>
      <c r="W178" s="42">
        <f>ROUND(S178+T178-U178-V178,2)</f>
        <v/>
      </c>
      <c r="X178">
        <f>R178-V178</f>
        <v/>
      </c>
      <c r="Y178" s="42">
        <f>AC177</f>
        <v/>
      </c>
      <c r="Z178" s="42">
        <f>ROUND(Y178*Z$6/12,2)</f>
        <v/>
      </c>
      <c r="AA178" s="42">
        <f>MIN(AA$6,Y178+Z178)</f>
        <v/>
      </c>
      <c r="AB178" s="42">
        <f>MAX(0,MIN(Y178+Z178-AA178,X178))</f>
        <v/>
      </c>
      <c r="AC178" s="42">
        <f>ROUND(Y178+Z178-AA178-AB178,2)</f>
        <v/>
      </c>
      <c r="AD178">
        <f>X178-AB178</f>
        <v/>
      </c>
      <c r="AE178" s="42">
        <f>AI177</f>
        <v/>
      </c>
      <c r="AF178" s="42">
        <f>ROUND(AE178*AF$6/12,2)</f>
        <v/>
      </c>
      <c r="AG178" s="42">
        <f>MIN(AG$6,AE178+AF178)</f>
        <v/>
      </c>
      <c r="AH178" s="42">
        <f>MAX(0,MIN(AE178+AF178-AG178,AD178))</f>
        <v/>
      </c>
      <c r="AI178" s="42">
        <f>ROUND(AE178+AF178-AG178-AH178,2)</f>
        <v/>
      </c>
      <c r="AJ178">
        <f>AD178-AH178</f>
        <v/>
      </c>
      <c r="AK178" s="42">
        <f>AO177</f>
        <v/>
      </c>
      <c r="AL178" s="42">
        <f>ROUND(AK178*AL$6/12,2)</f>
        <v/>
      </c>
      <c r="AM178" s="42">
        <f>MIN(AM$6,AK178+AL178)</f>
        <v/>
      </c>
      <c r="AN178" s="42">
        <f>MAX(0,MIN(AK178+AL178-AM178,AJ178))</f>
        <v/>
      </c>
      <c r="AO178" s="42">
        <f>ROUND(AK178+AL178-AM178-AN178,2)</f>
        <v/>
      </c>
      <c r="AP178">
        <f>AJ178-AN178</f>
        <v/>
      </c>
      <c r="AQ178" s="42">
        <f>AU177</f>
        <v/>
      </c>
      <c r="AR178" s="42">
        <f>ROUND(AQ178*AR$6/12,2)</f>
        <v/>
      </c>
      <c r="AS178" s="42">
        <f>MIN(AS$6,AQ178+AR178)</f>
        <v/>
      </c>
      <c r="AT178" s="42">
        <f>MAX(0,MIN(AQ178+AR178-AS178,AP178))</f>
        <v/>
      </c>
      <c r="AU178" s="42">
        <f>ROUND(AQ178+AR178-AS178-AT178,2)</f>
        <v/>
      </c>
      <c r="AV178">
        <f>AP178-AT178</f>
        <v/>
      </c>
      <c r="AW178" s="42">
        <f>BA177</f>
        <v/>
      </c>
      <c r="AX178" s="42">
        <f>ROUND(AW178*AX$6/12,2)</f>
        <v/>
      </c>
      <c r="AY178" s="42">
        <f>MIN(AY$6,AW178+AX178)</f>
        <v/>
      </c>
      <c r="AZ178" s="42">
        <f>MAX(0,MIN(AW178+AX178-AY178,AV178))</f>
        <v/>
      </c>
      <c r="BA178" s="42">
        <f>ROUND(AW178+AX178-AY178-AZ178,2)</f>
        <v/>
      </c>
      <c r="BB178">
        <f>AV178-AZ178</f>
        <v/>
      </c>
      <c r="BC178" s="42">
        <f>BG177</f>
        <v/>
      </c>
      <c r="BD178" s="42">
        <f>ROUND(BC178*BD$6/12,2)</f>
        <v/>
      </c>
      <c r="BE178" s="42">
        <f>MIN(BE$6,BC178+BD178)</f>
        <v/>
      </c>
      <c r="BF178" s="42">
        <f>MAX(0,MIN(BC178+BD178-BE178,BB178))</f>
        <v/>
      </c>
      <c r="BG178" s="42">
        <f>ROUND(BC178+BD178-BE178-BF178,2)</f>
        <v/>
      </c>
      <c r="BH178">
        <f>BB178-BF178</f>
        <v/>
      </c>
      <c r="BI178" s="42">
        <f>BM177</f>
        <v/>
      </c>
      <c r="BJ178" s="42">
        <f>ROUND(BI178*BJ$6/12,2)</f>
        <v/>
      </c>
      <c r="BK178" s="42">
        <f>MIN(BK$6,BI178+BJ178)</f>
        <v/>
      </c>
      <c r="BL178" s="42">
        <f>MAX(0,MIN(BI178+BJ178-BK178,BH178))</f>
        <v/>
      </c>
      <c r="BM178" s="42">
        <f>ROUND(BI178+BJ178-BK178-BL178,2)</f>
        <v/>
      </c>
      <c r="BN178">
        <f>BH178-BL178</f>
        <v/>
      </c>
    </row>
    <row r="179">
      <c r="A179" s="43" t="n">
        <v>172</v>
      </c>
      <c r="B179" s="44">
        <f>EDATE('My Debts'!$C$6,A179-1)</f>
        <v/>
      </c>
      <c r="C179" s="45">
        <f>K179+Q179+W179+AC179+AI179+AO179+AU179+BA179+BG179+BM179</f>
        <v/>
      </c>
      <c r="D179" s="46">
        <f>I179+O179+U179+AA179+AG179+AM179+AS179+AY179+BE179+BK179+J179+P179+V179+AB179+AH179+AN179+AT179+AZ179+BF179+BL179</f>
        <v/>
      </c>
      <c r="E179" s="46">
        <f>H179+N179+T179+Z179+AF179+AL179+AR179+AX179+BD179+BJ179</f>
        <v/>
      </c>
      <c r="F179" t="n">
        <v>0</v>
      </c>
      <c r="G179" s="42">
        <f>K178</f>
        <v/>
      </c>
      <c r="H179" s="42">
        <f>ROUND(G179*H$6/12,2)</f>
        <v/>
      </c>
      <c r="I179" s="42">
        <f>MIN(I$6,G179+H179)</f>
        <v/>
      </c>
      <c r="J179" s="42">
        <f>MAX(0,MIN(G179+H179-I179,$F179))</f>
        <v/>
      </c>
      <c r="K179" s="42">
        <f>ROUND(G179+H179-I179-J179,2)</f>
        <v/>
      </c>
      <c r="L179">
        <f>$F179-J179</f>
        <v/>
      </c>
      <c r="M179" s="42">
        <f>Q178</f>
        <v/>
      </c>
      <c r="N179" s="42">
        <f>ROUND(M179*N$6/12,2)</f>
        <v/>
      </c>
      <c r="O179" s="42">
        <f>MIN(O$6,M179+N179)</f>
        <v/>
      </c>
      <c r="P179" s="42">
        <f>MAX(0,MIN(M179+N179-O179,L179))</f>
        <v/>
      </c>
      <c r="Q179" s="42">
        <f>ROUND(M179+N179-O179-P179,2)</f>
        <v/>
      </c>
      <c r="R179">
        <f>L179-P179</f>
        <v/>
      </c>
      <c r="S179" s="42">
        <f>W178</f>
        <v/>
      </c>
      <c r="T179" s="42">
        <f>ROUND(S179*T$6/12,2)</f>
        <v/>
      </c>
      <c r="U179" s="42">
        <f>MIN(U$6,S179+T179)</f>
        <v/>
      </c>
      <c r="V179" s="42">
        <f>MAX(0,MIN(S179+T179-U179,R179))</f>
        <v/>
      </c>
      <c r="W179" s="42">
        <f>ROUND(S179+T179-U179-V179,2)</f>
        <v/>
      </c>
      <c r="X179">
        <f>R179-V179</f>
        <v/>
      </c>
      <c r="Y179" s="42">
        <f>AC178</f>
        <v/>
      </c>
      <c r="Z179" s="42">
        <f>ROUND(Y179*Z$6/12,2)</f>
        <v/>
      </c>
      <c r="AA179" s="42">
        <f>MIN(AA$6,Y179+Z179)</f>
        <v/>
      </c>
      <c r="AB179" s="42">
        <f>MAX(0,MIN(Y179+Z179-AA179,X179))</f>
        <v/>
      </c>
      <c r="AC179" s="42">
        <f>ROUND(Y179+Z179-AA179-AB179,2)</f>
        <v/>
      </c>
      <c r="AD179">
        <f>X179-AB179</f>
        <v/>
      </c>
      <c r="AE179" s="42">
        <f>AI178</f>
        <v/>
      </c>
      <c r="AF179" s="42">
        <f>ROUND(AE179*AF$6/12,2)</f>
        <v/>
      </c>
      <c r="AG179" s="42">
        <f>MIN(AG$6,AE179+AF179)</f>
        <v/>
      </c>
      <c r="AH179" s="42">
        <f>MAX(0,MIN(AE179+AF179-AG179,AD179))</f>
        <v/>
      </c>
      <c r="AI179" s="42">
        <f>ROUND(AE179+AF179-AG179-AH179,2)</f>
        <v/>
      </c>
      <c r="AJ179">
        <f>AD179-AH179</f>
        <v/>
      </c>
      <c r="AK179" s="42">
        <f>AO178</f>
        <v/>
      </c>
      <c r="AL179" s="42">
        <f>ROUND(AK179*AL$6/12,2)</f>
        <v/>
      </c>
      <c r="AM179" s="42">
        <f>MIN(AM$6,AK179+AL179)</f>
        <v/>
      </c>
      <c r="AN179" s="42">
        <f>MAX(0,MIN(AK179+AL179-AM179,AJ179))</f>
        <v/>
      </c>
      <c r="AO179" s="42">
        <f>ROUND(AK179+AL179-AM179-AN179,2)</f>
        <v/>
      </c>
      <c r="AP179">
        <f>AJ179-AN179</f>
        <v/>
      </c>
      <c r="AQ179" s="42">
        <f>AU178</f>
        <v/>
      </c>
      <c r="AR179" s="42">
        <f>ROUND(AQ179*AR$6/12,2)</f>
        <v/>
      </c>
      <c r="AS179" s="42">
        <f>MIN(AS$6,AQ179+AR179)</f>
        <v/>
      </c>
      <c r="AT179" s="42">
        <f>MAX(0,MIN(AQ179+AR179-AS179,AP179))</f>
        <v/>
      </c>
      <c r="AU179" s="42">
        <f>ROUND(AQ179+AR179-AS179-AT179,2)</f>
        <v/>
      </c>
      <c r="AV179">
        <f>AP179-AT179</f>
        <v/>
      </c>
      <c r="AW179" s="42">
        <f>BA178</f>
        <v/>
      </c>
      <c r="AX179" s="42">
        <f>ROUND(AW179*AX$6/12,2)</f>
        <v/>
      </c>
      <c r="AY179" s="42">
        <f>MIN(AY$6,AW179+AX179)</f>
        <v/>
      </c>
      <c r="AZ179" s="42">
        <f>MAX(0,MIN(AW179+AX179-AY179,AV179))</f>
        <v/>
      </c>
      <c r="BA179" s="42">
        <f>ROUND(AW179+AX179-AY179-AZ179,2)</f>
        <v/>
      </c>
      <c r="BB179">
        <f>AV179-AZ179</f>
        <v/>
      </c>
      <c r="BC179" s="42">
        <f>BG178</f>
        <v/>
      </c>
      <c r="BD179" s="42">
        <f>ROUND(BC179*BD$6/12,2)</f>
        <v/>
      </c>
      <c r="BE179" s="42">
        <f>MIN(BE$6,BC179+BD179)</f>
        <v/>
      </c>
      <c r="BF179" s="42">
        <f>MAX(0,MIN(BC179+BD179-BE179,BB179))</f>
        <v/>
      </c>
      <c r="BG179" s="42">
        <f>ROUND(BC179+BD179-BE179-BF179,2)</f>
        <v/>
      </c>
      <c r="BH179">
        <f>BB179-BF179</f>
        <v/>
      </c>
      <c r="BI179" s="42">
        <f>BM178</f>
        <v/>
      </c>
      <c r="BJ179" s="42">
        <f>ROUND(BI179*BJ$6/12,2)</f>
        <v/>
      </c>
      <c r="BK179" s="42">
        <f>MIN(BK$6,BI179+BJ179)</f>
        <v/>
      </c>
      <c r="BL179" s="42">
        <f>MAX(0,MIN(BI179+BJ179-BK179,BH179))</f>
        <v/>
      </c>
      <c r="BM179" s="42">
        <f>ROUND(BI179+BJ179-BK179-BL179,2)</f>
        <v/>
      </c>
      <c r="BN179">
        <f>BH179-BL179</f>
        <v/>
      </c>
    </row>
    <row r="180">
      <c r="A180" s="39" t="n">
        <v>173</v>
      </c>
      <c r="B180" s="40">
        <f>EDATE('My Debts'!$C$6,A180-1)</f>
        <v/>
      </c>
      <c r="C180" s="41">
        <f>K180+Q180+W180+AC180+AI180+AO180+AU180+BA180+BG180+BM180</f>
        <v/>
      </c>
      <c r="D180" s="42">
        <f>I180+O180+U180+AA180+AG180+AM180+AS180+AY180+BE180+BK180+J180+P180+V180+AB180+AH180+AN180+AT180+AZ180+BF180+BL180</f>
        <v/>
      </c>
      <c r="E180" s="42">
        <f>H180+N180+T180+Z180+AF180+AL180+AR180+AX180+BD180+BJ180</f>
        <v/>
      </c>
      <c r="F180" t="n">
        <v>0</v>
      </c>
      <c r="G180" s="42">
        <f>K179</f>
        <v/>
      </c>
      <c r="H180" s="42">
        <f>ROUND(G180*H$6/12,2)</f>
        <v/>
      </c>
      <c r="I180" s="42">
        <f>MIN(I$6,G180+H180)</f>
        <v/>
      </c>
      <c r="J180" s="42">
        <f>MAX(0,MIN(G180+H180-I180,$F180))</f>
        <v/>
      </c>
      <c r="K180" s="42">
        <f>ROUND(G180+H180-I180-J180,2)</f>
        <v/>
      </c>
      <c r="L180">
        <f>$F180-J180</f>
        <v/>
      </c>
      <c r="M180" s="42">
        <f>Q179</f>
        <v/>
      </c>
      <c r="N180" s="42">
        <f>ROUND(M180*N$6/12,2)</f>
        <v/>
      </c>
      <c r="O180" s="42">
        <f>MIN(O$6,M180+N180)</f>
        <v/>
      </c>
      <c r="P180" s="42">
        <f>MAX(0,MIN(M180+N180-O180,L180))</f>
        <v/>
      </c>
      <c r="Q180" s="42">
        <f>ROUND(M180+N180-O180-P180,2)</f>
        <v/>
      </c>
      <c r="R180">
        <f>L180-P180</f>
        <v/>
      </c>
      <c r="S180" s="42">
        <f>W179</f>
        <v/>
      </c>
      <c r="T180" s="42">
        <f>ROUND(S180*T$6/12,2)</f>
        <v/>
      </c>
      <c r="U180" s="42">
        <f>MIN(U$6,S180+T180)</f>
        <v/>
      </c>
      <c r="V180" s="42">
        <f>MAX(0,MIN(S180+T180-U180,R180))</f>
        <v/>
      </c>
      <c r="W180" s="42">
        <f>ROUND(S180+T180-U180-V180,2)</f>
        <v/>
      </c>
      <c r="X180">
        <f>R180-V180</f>
        <v/>
      </c>
      <c r="Y180" s="42">
        <f>AC179</f>
        <v/>
      </c>
      <c r="Z180" s="42">
        <f>ROUND(Y180*Z$6/12,2)</f>
        <v/>
      </c>
      <c r="AA180" s="42">
        <f>MIN(AA$6,Y180+Z180)</f>
        <v/>
      </c>
      <c r="AB180" s="42">
        <f>MAX(0,MIN(Y180+Z180-AA180,X180))</f>
        <v/>
      </c>
      <c r="AC180" s="42">
        <f>ROUND(Y180+Z180-AA180-AB180,2)</f>
        <v/>
      </c>
      <c r="AD180">
        <f>X180-AB180</f>
        <v/>
      </c>
      <c r="AE180" s="42">
        <f>AI179</f>
        <v/>
      </c>
      <c r="AF180" s="42">
        <f>ROUND(AE180*AF$6/12,2)</f>
        <v/>
      </c>
      <c r="AG180" s="42">
        <f>MIN(AG$6,AE180+AF180)</f>
        <v/>
      </c>
      <c r="AH180" s="42">
        <f>MAX(0,MIN(AE180+AF180-AG180,AD180))</f>
        <v/>
      </c>
      <c r="AI180" s="42">
        <f>ROUND(AE180+AF180-AG180-AH180,2)</f>
        <v/>
      </c>
      <c r="AJ180">
        <f>AD180-AH180</f>
        <v/>
      </c>
      <c r="AK180" s="42">
        <f>AO179</f>
        <v/>
      </c>
      <c r="AL180" s="42">
        <f>ROUND(AK180*AL$6/12,2)</f>
        <v/>
      </c>
      <c r="AM180" s="42">
        <f>MIN(AM$6,AK180+AL180)</f>
        <v/>
      </c>
      <c r="AN180" s="42">
        <f>MAX(0,MIN(AK180+AL180-AM180,AJ180))</f>
        <v/>
      </c>
      <c r="AO180" s="42">
        <f>ROUND(AK180+AL180-AM180-AN180,2)</f>
        <v/>
      </c>
      <c r="AP180">
        <f>AJ180-AN180</f>
        <v/>
      </c>
      <c r="AQ180" s="42">
        <f>AU179</f>
        <v/>
      </c>
      <c r="AR180" s="42">
        <f>ROUND(AQ180*AR$6/12,2)</f>
        <v/>
      </c>
      <c r="AS180" s="42">
        <f>MIN(AS$6,AQ180+AR180)</f>
        <v/>
      </c>
      <c r="AT180" s="42">
        <f>MAX(0,MIN(AQ180+AR180-AS180,AP180))</f>
        <v/>
      </c>
      <c r="AU180" s="42">
        <f>ROUND(AQ180+AR180-AS180-AT180,2)</f>
        <v/>
      </c>
      <c r="AV180">
        <f>AP180-AT180</f>
        <v/>
      </c>
      <c r="AW180" s="42">
        <f>BA179</f>
        <v/>
      </c>
      <c r="AX180" s="42">
        <f>ROUND(AW180*AX$6/12,2)</f>
        <v/>
      </c>
      <c r="AY180" s="42">
        <f>MIN(AY$6,AW180+AX180)</f>
        <v/>
      </c>
      <c r="AZ180" s="42">
        <f>MAX(0,MIN(AW180+AX180-AY180,AV180))</f>
        <v/>
      </c>
      <c r="BA180" s="42">
        <f>ROUND(AW180+AX180-AY180-AZ180,2)</f>
        <v/>
      </c>
      <c r="BB180">
        <f>AV180-AZ180</f>
        <v/>
      </c>
      <c r="BC180" s="42">
        <f>BG179</f>
        <v/>
      </c>
      <c r="BD180" s="42">
        <f>ROUND(BC180*BD$6/12,2)</f>
        <v/>
      </c>
      <c r="BE180" s="42">
        <f>MIN(BE$6,BC180+BD180)</f>
        <v/>
      </c>
      <c r="BF180" s="42">
        <f>MAX(0,MIN(BC180+BD180-BE180,BB180))</f>
        <v/>
      </c>
      <c r="BG180" s="42">
        <f>ROUND(BC180+BD180-BE180-BF180,2)</f>
        <v/>
      </c>
      <c r="BH180">
        <f>BB180-BF180</f>
        <v/>
      </c>
      <c r="BI180" s="42">
        <f>BM179</f>
        <v/>
      </c>
      <c r="BJ180" s="42">
        <f>ROUND(BI180*BJ$6/12,2)</f>
        <v/>
      </c>
      <c r="BK180" s="42">
        <f>MIN(BK$6,BI180+BJ180)</f>
        <v/>
      </c>
      <c r="BL180" s="42">
        <f>MAX(0,MIN(BI180+BJ180-BK180,BH180))</f>
        <v/>
      </c>
      <c r="BM180" s="42">
        <f>ROUND(BI180+BJ180-BK180-BL180,2)</f>
        <v/>
      </c>
      <c r="BN180">
        <f>BH180-BL180</f>
        <v/>
      </c>
    </row>
    <row r="181">
      <c r="A181" s="43" t="n">
        <v>174</v>
      </c>
      <c r="B181" s="44">
        <f>EDATE('My Debts'!$C$6,A181-1)</f>
        <v/>
      </c>
      <c r="C181" s="45">
        <f>K181+Q181+W181+AC181+AI181+AO181+AU181+BA181+BG181+BM181</f>
        <v/>
      </c>
      <c r="D181" s="46">
        <f>I181+O181+U181+AA181+AG181+AM181+AS181+AY181+BE181+BK181+J181+P181+V181+AB181+AH181+AN181+AT181+AZ181+BF181+BL181</f>
        <v/>
      </c>
      <c r="E181" s="46">
        <f>H181+N181+T181+Z181+AF181+AL181+AR181+AX181+BD181+BJ181</f>
        <v/>
      </c>
      <c r="F181" t="n">
        <v>0</v>
      </c>
      <c r="G181" s="42">
        <f>K180</f>
        <v/>
      </c>
      <c r="H181" s="42">
        <f>ROUND(G181*H$6/12,2)</f>
        <v/>
      </c>
      <c r="I181" s="42">
        <f>MIN(I$6,G181+H181)</f>
        <v/>
      </c>
      <c r="J181" s="42">
        <f>MAX(0,MIN(G181+H181-I181,$F181))</f>
        <v/>
      </c>
      <c r="K181" s="42">
        <f>ROUND(G181+H181-I181-J181,2)</f>
        <v/>
      </c>
      <c r="L181">
        <f>$F181-J181</f>
        <v/>
      </c>
      <c r="M181" s="42">
        <f>Q180</f>
        <v/>
      </c>
      <c r="N181" s="42">
        <f>ROUND(M181*N$6/12,2)</f>
        <v/>
      </c>
      <c r="O181" s="42">
        <f>MIN(O$6,M181+N181)</f>
        <v/>
      </c>
      <c r="P181" s="42">
        <f>MAX(0,MIN(M181+N181-O181,L181))</f>
        <v/>
      </c>
      <c r="Q181" s="42">
        <f>ROUND(M181+N181-O181-P181,2)</f>
        <v/>
      </c>
      <c r="R181">
        <f>L181-P181</f>
        <v/>
      </c>
      <c r="S181" s="42">
        <f>W180</f>
        <v/>
      </c>
      <c r="T181" s="42">
        <f>ROUND(S181*T$6/12,2)</f>
        <v/>
      </c>
      <c r="U181" s="42">
        <f>MIN(U$6,S181+T181)</f>
        <v/>
      </c>
      <c r="V181" s="42">
        <f>MAX(0,MIN(S181+T181-U181,R181))</f>
        <v/>
      </c>
      <c r="W181" s="42">
        <f>ROUND(S181+T181-U181-V181,2)</f>
        <v/>
      </c>
      <c r="X181">
        <f>R181-V181</f>
        <v/>
      </c>
      <c r="Y181" s="42">
        <f>AC180</f>
        <v/>
      </c>
      <c r="Z181" s="42">
        <f>ROUND(Y181*Z$6/12,2)</f>
        <v/>
      </c>
      <c r="AA181" s="42">
        <f>MIN(AA$6,Y181+Z181)</f>
        <v/>
      </c>
      <c r="AB181" s="42">
        <f>MAX(0,MIN(Y181+Z181-AA181,X181))</f>
        <v/>
      </c>
      <c r="AC181" s="42">
        <f>ROUND(Y181+Z181-AA181-AB181,2)</f>
        <v/>
      </c>
      <c r="AD181">
        <f>X181-AB181</f>
        <v/>
      </c>
      <c r="AE181" s="42">
        <f>AI180</f>
        <v/>
      </c>
      <c r="AF181" s="42">
        <f>ROUND(AE181*AF$6/12,2)</f>
        <v/>
      </c>
      <c r="AG181" s="42">
        <f>MIN(AG$6,AE181+AF181)</f>
        <v/>
      </c>
      <c r="AH181" s="42">
        <f>MAX(0,MIN(AE181+AF181-AG181,AD181))</f>
        <v/>
      </c>
      <c r="AI181" s="42">
        <f>ROUND(AE181+AF181-AG181-AH181,2)</f>
        <v/>
      </c>
      <c r="AJ181">
        <f>AD181-AH181</f>
        <v/>
      </c>
      <c r="AK181" s="42">
        <f>AO180</f>
        <v/>
      </c>
      <c r="AL181" s="42">
        <f>ROUND(AK181*AL$6/12,2)</f>
        <v/>
      </c>
      <c r="AM181" s="42">
        <f>MIN(AM$6,AK181+AL181)</f>
        <v/>
      </c>
      <c r="AN181" s="42">
        <f>MAX(0,MIN(AK181+AL181-AM181,AJ181))</f>
        <v/>
      </c>
      <c r="AO181" s="42">
        <f>ROUND(AK181+AL181-AM181-AN181,2)</f>
        <v/>
      </c>
      <c r="AP181">
        <f>AJ181-AN181</f>
        <v/>
      </c>
      <c r="AQ181" s="42">
        <f>AU180</f>
        <v/>
      </c>
      <c r="AR181" s="42">
        <f>ROUND(AQ181*AR$6/12,2)</f>
        <v/>
      </c>
      <c r="AS181" s="42">
        <f>MIN(AS$6,AQ181+AR181)</f>
        <v/>
      </c>
      <c r="AT181" s="42">
        <f>MAX(0,MIN(AQ181+AR181-AS181,AP181))</f>
        <v/>
      </c>
      <c r="AU181" s="42">
        <f>ROUND(AQ181+AR181-AS181-AT181,2)</f>
        <v/>
      </c>
      <c r="AV181">
        <f>AP181-AT181</f>
        <v/>
      </c>
      <c r="AW181" s="42">
        <f>BA180</f>
        <v/>
      </c>
      <c r="AX181" s="42">
        <f>ROUND(AW181*AX$6/12,2)</f>
        <v/>
      </c>
      <c r="AY181" s="42">
        <f>MIN(AY$6,AW181+AX181)</f>
        <v/>
      </c>
      <c r="AZ181" s="42">
        <f>MAX(0,MIN(AW181+AX181-AY181,AV181))</f>
        <v/>
      </c>
      <c r="BA181" s="42">
        <f>ROUND(AW181+AX181-AY181-AZ181,2)</f>
        <v/>
      </c>
      <c r="BB181">
        <f>AV181-AZ181</f>
        <v/>
      </c>
      <c r="BC181" s="42">
        <f>BG180</f>
        <v/>
      </c>
      <c r="BD181" s="42">
        <f>ROUND(BC181*BD$6/12,2)</f>
        <v/>
      </c>
      <c r="BE181" s="42">
        <f>MIN(BE$6,BC181+BD181)</f>
        <v/>
      </c>
      <c r="BF181" s="42">
        <f>MAX(0,MIN(BC181+BD181-BE181,BB181))</f>
        <v/>
      </c>
      <c r="BG181" s="42">
        <f>ROUND(BC181+BD181-BE181-BF181,2)</f>
        <v/>
      </c>
      <c r="BH181">
        <f>BB181-BF181</f>
        <v/>
      </c>
      <c r="BI181" s="42">
        <f>BM180</f>
        <v/>
      </c>
      <c r="BJ181" s="42">
        <f>ROUND(BI181*BJ$6/12,2)</f>
        <v/>
      </c>
      <c r="BK181" s="42">
        <f>MIN(BK$6,BI181+BJ181)</f>
        <v/>
      </c>
      <c r="BL181" s="42">
        <f>MAX(0,MIN(BI181+BJ181-BK181,BH181))</f>
        <v/>
      </c>
      <c r="BM181" s="42">
        <f>ROUND(BI181+BJ181-BK181-BL181,2)</f>
        <v/>
      </c>
      <c r="BN181">
        <f>BH181-BL181</f>
        <v/>
      </c>
    </row>
    <row r="182">
      <c r="A182" s="39" t="n">
        <v>175</v>
      </c>
      <c r="B182" s="40">
        <f>EDATE('My Debts'!$C$6,A182-1)</f>
        <v/>
      </c>
      <c r="C182" s="41">
        <f>K182+Q182+W182+AC182+AI182+AO182+AU182+BA182+BG182+BM182</f>
        <v/>
      </c>
      <c r="D182" s="42">
        <f>I182+O182+U182+AA182+AG182+AM182+AS182+AY182+BE182+BK182+J182+P182+V182+AB182+AH182+AN182+AT182+AZ182+BF182+BL182</f>
        <v/>
      </c>
      <c r="E182" s="42">
        <f>H182+N182+T182+Z182+AF182+AL182+AR182+AX182+BD182+BJ182</f>
        <v/>
      </c>
      <c r="F182" t="n">
        <v>0</v>
      </c>
      <c r="G182" s="42">
        <f>K181</f>
        <v/>
      </c>
      <c r="H182" s="42">
        <f>ROUND(G182*H$6/12,2)</f>
        <v/>
      </c>
      <c r="I182" s="42">
        <f>MIN(I$6,G182+H182)</f>
        <v/>
      </c>
      <c r="J182" s="42">
        <f>MAX(0,MIN(G182+H182-I182,$F182))</f>
        <v/>
      </c>
      <c r="K182" s="42">
        <f>ROUND(G182+H182-I182-J182,2)</f>
        <v/>
      </c>
      <c r="L182">
        <f>$F182-J182</f>
        <v/>
      </c>
      <c r="M182" s="42">
        <f>Q181</f>
        <v/>
      </c>
      <c r="N182" s="42">
        <f>ROUND(M182*N$6/12,2)</f>
        <v/>
      </c>
      <c r="O182" s="42">
        <f>MIN(O$6,M182+N182)</f>
        <v/>
      </c>
      <c r="P182" s="42">
        <f>MAX(0,MIN(M182+N182-O182,L182))</f>
        <v/>
      </c>
      <c r="Q182" s="42">
        <f>ROUND(M182+N182-O182-P182,2)</f>
        <v/>
      </c>
      <c r="R182">
        <f>L182-P182</f>
        <v/>
      </c>
      <c r="S182" s="42">
        <f>W181</f>
        <v/>
      </c>
      <c r="T182" s="42">
        <f>ROUND(S182*T$6/12,2)</f>
        <v/>
      </c>
      <c r="U182" s="42">
        <f>MIN(U$6,S182+T182)</f>
        <v/>
      </c>
      <c r="V182" s="42">
        <f>MAX(0,MIN(S182+T182-U182,R182))</f>
        <v/>
      </c>
      <c r="W182" s="42">
        <f>ROUND(S182+T182-U182-V182,2)</f>
        <v/>
      </c>
      <c r="X182">
        <f>R182-V182</f>
        <v/>
      </c>
      <c r="Y182" s="42">
        <f>AC181</f>
        <v/>
      </c>
      <c r="Z182" s="42">
        <f>ROUND(Y182*Z$6/12,2)</f>
        <v/>
      </c>
      <c r="AA182" s="42">
        <f>MIN(AA$6,Y182+Z182)</f>
        <v/>
      </c>
      <c r="AB182" s="42">
        <f>MAX(0,MIN(Y182+Z182-AA182,X182))</f>
        <v/>
      </c>
      <c r="AC182" s="42">
        <f>ROUND(Y182+Z182-AA182-AB182,2)</f>
        <v/>
      </c>
      <c r="AD182">
        <f>X182-AB182</f>
        <v/>
      </c>
      <c r="AE182" s="42">
        <f>AI181</f>
        <v/>
      </c>
      <c r="AF182" s="42">
        <f>ROUND(AE182*AF$6/12,2)</f>
        <v/>
      </c>
      <c r="AG182" s="42">
        <f>MIN(AG$6,AE182+AF182)</f>
        <v/>
      </c>
      <c r="AH182" s="42">
        <f>MAX(0,MIN(AE182+AF182-AG182,AD182))</f>
        <v/>
      </c>
      <c r="AI182" s="42">
        <f>ROUND(AE182+AF182-AG182-AH182,2)</f>
        <v/>
      </c>
      <c r="AJ182">
        <f>AD182-AH182</f>
        <v/>
      </c>
      <c r="AK182" s="42">
        <f>AO181</f>
        <v/>
      </c>
      <c r="AL182" s="42">
        <f>ROUND(AK182*AL$6/12,2)</f>
        <v/>
      </c>
      <c r="AM182" s="42">
        <f>MIN(AM$6,AK182+AL182)</f>
        <v/>
      </c>
      <c r="AN182" s="42">
        <f>MAX(0,MIN(AK182+AL182-AM182,AJ182))</f>
        <v/>
      </c>
      <c r="AO182" s="42">
        <f>ROUND(AK182+AL182-AM182-AN182,2)</f>
        <v/>
      </c>
      <c r="AP182">
        <f>AJ182-AN182</f>
        <v/>
      </c>
      <c r="AQ182" s="42">
        <f>AU181</f>
        <v/>
      </c>
      <c r="AR182" s="42">
        <f>ROUND(AQ182*AR$6/12,2)</f>
        <v/>
      </c>
      <c r="AS182" s="42">
        <f>MIN(AS$6,AQ182+AR182)</f>
        <v/>
      </c>
      <c r="AT182" s="42">
        <f>MAX(0,MIN(AQ182+AR182-AS182,AP182))</f>
        <v/>
      </c>
      <c r="AU182" s="42">
        <f>ROUND(AQ182+AR182-AS182-AT182,2)</f>
        <v/>
      </c>
      <c r="AV182">
        <f>AP182-AT182</f>
        <v/>
      </c>
      <c r="AW182" s="42">
        <f>BA181</f>
        <v/>
      </c>
      <c r="AX182" s="42">
        <f>ROUND(AW182*AX$6/12,2)</f>
        <v/>
      </c>
      <c r="AY182" s="42">
        <f>MIN(AY$6,AW182+AX182)</f>
        <v/>
      </c>
      <c r="AZ182" s="42">
        <f>MAX(0,MIN(AW182+AX182-AY182,AV182))</f>
        <v/>
      </c>
      <c r="BA182" s="42">
        <f>ROUND(AW182+AX182-AY182-AZ182,2)</f>
        <v/>
      </c>
      <c r="BB182">
        <f>AV182-AZ182</f>
        <v/>
      </c>
      <c r="BC182" s="42">
        <f>BG181</f>
        <v/>
      </c>
      <c r="BD182" s="42">
        <f>ROUND(BC182*BD$6/12,2)</f>
        <v/>
      </c>
      <c r="BE182" s="42">
        <f>MIN(BE$6,BC182+BD182)</f>
        <v/>
      </c>
      <c r="BF182" s="42">
        <f>MAX(0,MIN(BC182+BD182-BE182,BB182))</f>
        <v/>
      </c>
      <c r="BG182" s="42">
        <f>ROUND(BC182+BD182-BE182-BF182,2)</f>
        <v/>
      </c>
      <c r="BH182">
        <f>BB182-BF182</f>
        <v/>
      </c>
      <c r="BI182" s="42">
        <f>BM181</f>
        <v/>
      </c>
      <c r="BJ182" s="42">
        <f>ROUND(BI182*BJ$6/12,2)</f>
        <v/>
      </c>
      <c r="BK182" s="42">
        <f>MIN(BK$6,BI182+BJ182)</f>
        <v/>
      </c>
      <c r="BL182" s="42">
        <f>MAX(0,MIN(BI182+BJ182-BK182,BH182))</f>
        <v/>
      </c>
      <c r="BM182" s="42">
        <f>ROUND(BI182+BJ182-BK182-BL182,2)</f>
        <v/>
      </c>
      <c r="BN182">
        <f>BH182-BL182</f>
        <v/>
      </c>
    </row>
    <row r="183">
      <c r="A183" s="43" t="n">
        <v>176</v>
      </c>
      <c r="B183" s="44">
        <f>EDATE('My Debts'!$C$6,A183-1)</f>
        <v/>
      </c>
      <c r="C183" s="45">
        <f>K183+Q183+W183+AC183+AI183+AO183+AU183+BA183+BG183+BM183</f>
        <v/>
      </c>
      <c r="D183" s="46">
        <f>I183+O183+U183+AA183+AG183+AM183+AS183+AY183+BE183+BK183+J183+P183+V183+AB183+AH183+AN183+AT183+AZ183+BF183+BL183</f>
        <v/>
      </c>
      <c r="E183" s="46">
        <f>H183+N183+T183+Z183+AF183+AL183+AR183+AX183+BD183+BJ183</f>
        <v/>
      </c>
      <c r="F183" t="n">
        <v>0</v>
      </c>
      <c r="G183" s="42">
        <f>K182</f>
        <v/>
      </c>
      <c r="H183" s="42">
        <f>ROUND(G183*H$6/12,2)</f>
        <v/>
      </c>
      <c r="I183" s="42">
        <f>MIN(I$6,G183+H183)</f>
        <v/>
      </c>
      <c r="J183" s="42">
        <f>MAX(0,MIN(G183+H183-I183,$F183))</f>
        <v/>
      </c>
      <c r="K183" s="42">
        <f>ROUND(G183+H183-I183-J183,2)</f>
        <v/>
      </c>
      <c r="L183">
        <f>$F183-J183</f>
        <v/>
      </c>
      <c r="M183" s="42">
        <f>Q182</f>
        <v/>
      </c>
      <c r="N183" s="42">
        <f>ROUND(M183*N$6/12,2)</f>
        <v/>
      </c>
      <c r="O183" s="42">
        <f>MIN(O$6,M183+N183)</f>
        <v/>
      </c>
      <c r="P183" s="42">
        <f>MAX(0,MIN(M183+N183-O183,L183))</f>
        <v/>
      </c>
      <c r="Q183" s="42">
        <f>ROUND(M183+N183-O183-P183,2)</f>
        <v/>
      </c>
      <c r="R183">
        <f>L183-P183</f>
        <v/>
      </c>
      <c r="S183" s="42">
        <f>W182</f>
        <v/>
      </c>
      <c r="T183" s="42">
        <f>ROUND(S183*T$6/12,2)</f>
        <v/>
      </c>
      <c r="U183" s="42">
        <f>MIN(U$6,S183+T183)</f>
        <v/>
      </c>
      <c r="V183" s="42">
        <f>MAX(0,MIN(S183+T183-U183,R183))</f>
        <v/>
      </c>
      <c r="W183" s="42">
        <f>ROUND(S183+T183-U183-V183,2)</f>
        <v/>
      </c>
      <c r="X183">
        <f>R183-V183</f>
        <v/>
      </c>
      <c r="Y183" s="42">
        <f>AC182</f>
        <v/>
      </c>
      <c r="Z183" s="42">
        <f>ROUND(Y183*Z$6/12,2)</f>
        <v/>
      </c>
      <c r="AA183" s="42">
        <f>MIN(AA$6,Y183+Z183)</f>
        <v/>
      </c>
      <c r="AB183" s="42">
        <f>MAX(0,MIN(Y183+Z183-AA183,X183))</f>
        <v/>
      </c>
      <c r="AC183" s="42">
        <f>ROUND(Y183+Z183-AA183-AB183,2)</f>
        <v/>
      </c>
      <c r="AD183">
        <f>X183-AB183</f>
        <v/>
      </c>
      <c r="AE183" s="42">
        <f>AI182</f>
        <v/>
      </c>
      <c r="AF183" s="42">
        <f>ROUND(AE183*AF$6/12,2)</f>
        <v/>
      </c>
      <c r="AG183" s="42">
        <f>MIN(AG$6,AE183+AF183)</f>
        <v/>
      </c>
      <c r="AH183" s="42">
        <f>MAX(0,MIN(AE183+AF183-AG183,AD183))</f>
        <v/>
      </c>
      <c r="AI183" s="42">
        <f>ROUND(AE183+AF183-AG183-AH183,2)</f>
        <v/>
      </c>
      <c r="AJ183">
        <f>AD183-AH183</f>
        <v/>
      </c>
      <c r="AK183" s="42">
        <f>AO182</f>
        <v/>
      </c>
      <c r="AL183" s="42">
        <f>ROUND(AK183*AL$6/12,2)</f>
        <v/>
      </c>
      <c r="AM183" s="42">
        <f>MIN(AM$6,AK183+AL183)</f>
        <v/>
      </c>
      <c r="AN183" s="42">
        <f>MAX(0,MIN(AK183+AL183-AM183,AJ183))</f>
        <v/>
      </c>
      <c r="AO183" s="42">
        <f>ROUND(AK183+AL183-AM183-AN183,2)</f>
        <v/>
      </c>
      <c r="AP183">
        <f>AJ183-AN183</f>
        <v/>
      </c>
      <c r="AQ183" s="42">
        <f>AU182</f>
        <v/>
      </c>
      <c r="AR183" s="42">
        <f>ROUND(AQ183*AR$6/12,2)</f>
        <v/>
      </c>
      <c r="AS183" s="42">
        <f>MIN(AS$6,AQ183+AR183)</f>
        <v/>
      </c>
      <c r="AT183" s="42">
        <f>MAX(0,MIN(AQ183+AR183-AS183,AP183))</f>
        <v/>
      </c>
      <c r="AU183" s="42">
        <f>ROUND(AQ183+AR183-AS183-AT183,2)</f>
        <v/>
      </c>
      <c r="AV183">
        <f>AP183-AT183</f>
        <v/>
      </c>
      <c r="AW183" s="42">
        <f>BA182</f>
        <v/>
      </c>
      <c r="AX183" s="42">
        <f>ROUND(AW183*AX$6/12,2)</f>
        <v/>
      </c>
      <c r="AY183" s="42">
        <f>MIN(AY$6,AW183+AX183)</f>
        <v/>
      </c>
      <c r="AZ183" s="42">
        <f>MAX(0,MIN(AW183+AX183-AY183,AV183))</f>
        <v/>
      </c>
      <c r="BA183" s="42">
        <f>ROUND(AW183+AX183-AY183-AZ183,2)</f>
        <v/>
      </c>
      <c r="BB183">
        <f>AV183-AZ183</f>
        <v/>
      </c>
      <c r="BC183" s="42">
        <f>BG182</f>
        <v/>
      </c>
      <c r="BD183" s="42">
        <f>ROUND(BC183*BD$6/12,2)</f>
        <v/>
      </c>
      <c r="BE183" s="42">
        <f>MIN(BE$6,BC183+BD183)</f>
        <v/>
      </c>
      <c r="BF183" s="42">
        <f>MAX(0,MIN(BC183+BD183-BE183,BB183))</f>
        <v/>
      </c>
      <c r="BG183" s="42">
        <f>ROUND(BC183+BD183-BE183-BF183,2)</f>
        <v/>
      </c>
      <c r="BH183">
        <f>BB183-BF183</f>
        <v/>
      </c>
      <c r="BI183" s="42">
        <f>BM182</f>
        <v/>
      </c>
      <c r="BJ183" s="42">
        <f>ROUND(BI183*BJ$6/12,2)</f>
        <v/>
      </c>
      <c r="BK183" s="42">
        <f>MIN(BK$6,BI183+BJ183)</f>
        <v/>
      </c>
      <c r="BL183" s="42">
        <f>MAX(0,MIN(BI183+BJ183-BK183,BH183))</f>
        <v/>
      </c>
      <c r="BM183" s="42">
        <f>ROUND(BI183+BJ183-BK183-BL183,2)</f>
        <v/>
      </c>
      <c r="BN183">
        <f>BH183-BL183</f>
        <v/>
      </c>
    </row>
    <row r="184">
      <c r="A184" s="39" t="n">
        <v>177</v>
      </c>
      <c r="B184" s="40">
        <f>EDATE('My Debts'!$C$6,A184-1)</f>
        <v/>
      </c>
      <c r="C184" s="41">
        <f>K184+Q184+W184+AC184+AI184+AO184+AU184+BA184+BG184+BM184</f>
        <v/>
      </c>
      <c r="D184" s="42">
        <f>I184+O184+U184+AA184+AG184+AM184+AS184+AY184+BE184+BK184+J184+P184+V184+AB184+AH184+AN184+AT184+AZ184+BF184+BL184</f>
        <v/>
      </c>
      <c r="E184" s="42">
        <f>H184+N184+T184+Z184+AF184+AL184+AR184+AX184+BD184+BJ184</f>
        <v/>
      </c>
      <c r="F184" t="n">
        <v>0</v>
      </c>
      <c r="G184" s="42">
        <f>K183</f>
        <v/>
      </c>
      <c r="H184" s="42">
        <f>ROUND(G184*H$6/12,2)</f>
        <v/>
      </c>
      <c r="I184" s="42">
        <f>MIN(I$6,G184+H184)</f>
        <v/>
      </c>
      <c r="J184" s="42">
        <f>MAX(0,MIN(G184+H184-I184,$F184))</f>
        <v/>
      </c>
      <c r="K184" s="42">
        <f>ROUND(G184+H184-I184-J184,2)</f>
        <v/>
      </c>
      <c r="L184">
        <f>$F184-J184</f>
        <v/>
      </c>
      <c r="M184" s="42">
        <f>Q183</f>
        <v/>
      </c>
      <c r="N184" s="42">
        <f>ROUND(M184*N$6/12,2)</f>
        <v/>
      </c>
      <c r="O184" s="42">
        <f>MIN(O$6,M184+N184)</f>
        <v/>
      </c>
      <c r="P184" s="42">
        <f>MAX(0,MIN(M184+N184-O184,L184))</f>
        <v/>
      </c>
      <c r="Q184" s="42">
        <f>ROUND(M184+N184-O184-P184,2)</f>
        <v/>
      </c>
      <c r="R184">
        <f>L184-P184</f>
        <v/>
      </c>
      <c r="S184" s="42">
        <f>W183</f>
        <v/>
      </c>
      <c r="T184" s="42">
        <f>ROUND(S184*T$6/12,2)</f>
        <v/>
      </c>
      <c r="U184" s="42">
        <f>MIN(U$6,S184+T184)</f>
        <v/>
      </c>
      <c r="V184" s="42">
        <f>MAX(0,MIN(S184+T184-U184,R184))</f>
        <v/>
      </c>
      <c r="W184" s="42">
        <f>ROUND(S184+T184-U184-V184,2)</f>
        <v/>
      </c>
      <c r="X184">
        <f>R184-V184</f>
        <v/>
      </c>
      <c r="Y184" s="42">
        <f>AC183</f>
        <v/>
      </c>
      <c r="Z184" s="42">
        <f>ROUND(Y184*Z$6/12,2)</f>
        <v/>
      </c>
      <c r="AA184" s="42">
        <f>MIN(AA$6,Y184+Z184)</f>
        <v/>
      </c>
      <c r="AB184" s="42">
        <f>MAX(0,MIN(Y184+Z184-AA184,X184))</f>
        <v/>
      </c>
      <c r="AC184" s="42">
        <f>ROUND(Y184+Z184-AA184-AB184,2)</f>
        <v/>
      </c>
      <c r="AD184">
        <f>X184-AB184</f>
        <v/>
      </c>
      <c r="AE184" s="42">
        <f>AI183</f>
        <v/>
      </c>
      <c r="AF184" s="42">
        <f>ROUND(AE184*AF$6/12,2)</f>
        <v/>
      </c>
      <c r="AG184" s="42">
        <f>MIN(AG$6,AE184+AF184)</f>
        <v/>
      </c>
      <c r="AH184" s="42">
        <f>MAX(0,MIN(AE184+AF184-AG184,AD184))</f>
        <v/>
      </c>
      <c r="AI184" s="42">
        <f>ROUND(AE184+AF184-AG184-AH184,2)</f>
        <v/>
      </c>
      <c r="AJ184">
        <f>AD184-AH184</f>
        <v/>
      </c>
      <c r="AK184" s="42">
        <f>AO183</f>
        <v/>
      </c>
      <c r="AL184" s="42">
        <f>ROUND(AK184*AL$6/12,2)</f>
        <v/>
      </c>
      <c r="AM184" s="42">
        <f>MIN(AM$6,AK184+AL184)</f>
        <v/>
      </c>
      <c r="AN184" s="42">
        <f>MAX(0,MIN(AK184+AL184-AM184,AJ184))</f>
        <v/>
      </c>
      <c r="AO184" s="42">
        <f>ROUND(AK184+AL184-AM184-AN184,2)</f>
        <v/>
      </c>
      <c r="AP184">
        <f>AJ184-AN184</f>
        <v/>
      </c>
      <c r="AQ184" s="42">
        <f>AU183</f>
        <v/>
      </c>
      <c r="AR184" s="42">
        <f>ROUND(AQ184*AR$6/12,2)</f>
        <v/>
      </c>
      <c r="AS184" s="42">
        <f>MIN(AS$6,AQ184+AR184)</f>
        <v/>
      </c>
      <c r="AT184" s="42">
        <f>MAX(0,MIN(AQ184+AR184-AS184,AP184))</f>
        <v/>
      </c>
      <c r="AU184" s="42">
        <f>ROUND(AQ184+AR184-AS184-AT184,2)</f>
        <v/>
      </c>
      <c r="AV184">
        <f>AP184-AT184</f>
        <v/>
      </c>
      <c r="AW184" s="42">
        <f>BA183</f>
        <v/>
      </c>
      <c r="AX184" s="42">
        <f>ROUND(AW184*AX$6/12,2)</f>
        <v/>
      </c>
      <c r="AY184" s="42">
        <f>MIN(AY$6,AW184+AX184)</f>
        <v/>
      </c>
      <c r="AZ184" s="42">
        <f>MAX(0,MIN(AW184+AX184-AY184,AV184))</f>
        <v/>
      </c>
      <c r="BA184" s="42">
        <f>ROUND(AW184+AX184-AY184-AZ184,2)</f>
        <v/>
      </c>
      <c r="BB184">
        <f>AV184-AZ184</f>
        <v/>
      </c>
      <c r="BC184" s="42">
        <f>BG183</f>
        <v/>
      </c>
      <c r="BD184" s="42">
        <f>ROUND(BC184*BD$6/12,2)</f>
        <v/>
      </c>
      <c r="BE184" s="42">
        <f>MIN(BE$6,BC184+BD184)</f>
        <v/>
      </c>
      <c r="BF184" s="42">
        <f>MAX(0,MIN(BC184+BD184-BE184,BB184))</f>
        <v/>
      </c>
      <c r="BG184" s="42">
        <f>ROUND(BC184+BD184-BE184-BF184,2)</f>
        <v/>
      </c>
      <c r="BH184">
        <f>BB184-BF184</f>
        <v/>
      </c>
      <c r="BI184" s="42">
        <f>BM183</f>
        <v/>
      </c>
      <c r="BJ184" s="42">
        <f>ROUND(BI184*BJ$6/12,2)</f>
        <v/>
      </c>
      <c r="BK184" s="42">
        <f>MIN(BK$6,BI184+BJ184)</f>
        <v/>
      </c>
      <c r="BL184" s="42">
        <f>MAX(0,MIN(BI184+BJ184-BK184,BH184))</f>
        <v/>
      </c>
      <c r="BM184" s="42">
        <f>ROUND(BI184+BJ184-BK184-BL184,2)</f>
        <v/>
      </c>
      <c r="BN184">
        <f>BH184-BL184</f>
        <v/>
      </c>
    </row>
    <row r="185">
      <c r="A185" s="43" t="n">
        <v>178</v>
      </c>
      <c r="B185" s="44">
        <f>EDATE('My Debts'!$C$6,A185-1)</f>
        <v/>
      </c>
      <c r="C185" s="45">
        <f>K185+Q185+W185+AC185+AI185+AO185+AU185+BA185+BG185+BM185</f>
        <v/>
      </c>
      <c r="D185" s="46">
        <f>I185+O185+U185+AA185+AG185+AM185+AS185+AY185+BE185+BK185+J185+P185+V185+AB185+AH185+AN185+AT185+AZ185+BF185+BL185</f>
        <v/>
      </c>
      <c r="E185" s="46">
        <f>H185+N185+T185+Z185+AF185+AL185+AR185+AX185+BD185+BJ185</f>
        <v/>
      </c>
      <c r="F185" t="n">
        <v>0</v>
      </c>
      <c r="G185" s="42">
        <f>K184</f>
        <v/>
      </c>
      <c r="H185" s="42">
        <f>ROUND(G185*H$6/12,2)</f>
        <v/>
      </c>
      <c r="I185" s="42">
        <f>MIN(I$6,G185+H185)</f>
        <v/>
      </c>
      <c r="J185" s="42">
        <f>MAX(0,MIN(G185+H185-I185,$F185))</f>
        <v/>
      </c>
      <c r="K185" s="42">
        <f>ROUND(G185+H185-I185-J185,2)</f>
        <v/>
      </c>
      <c r="L185">
        <f>$F185-J185</f>
        <v/>
      </c>
      <c r="M185" s="42">
        <f>Q184</f>
        <v/>
      </c>
      <c r="N185" s="42">
        <f>ROUND(M185*N$6/12,2)</f>
        <v/>
      </c>
      <c r="O185" s="42">
        <f>MIN(O$6,M185+N185)</f>
        <v/>
      </c>
      <c r="P185" s="42">
        <f>MAX(0,MIN(M185+N185-O185,L185))</f>
        <v/>
      </c>
      <c r="Q185" s="42">
        <f>ROUND(M185+N185-O185-P185,2)</f>
        <v/>
      </c>
      <c r="R185">
        <f>L185-P185</f>
        <v/>
      </c>
      <c r="S185" s="42">
        <f>W184</f>
        <v/>
      </c>
      <c r="T185" s="42">
        <f>ROUND(S185*T$6/12,2)</f>
        <v/>
      </c>
      <c r="U185" s="42">
        <f>MIN(U$6,S185+T185)</f>
        <v/>
      </c>
      <c r="V185" s="42">
        <f>MAX(0,MIN(S185+T185-U185,R185))</f>
        <v/>
      </c>
      <c r="W185" s="42">
        <f>ROUND(S185+T185-U185-V185,2)</f>
        <v/>
      </c>
      <c r="X185">
        <f>R185-V185</f>
        <v/>
      </c>
      <c r="Y185" s="42">
        <f>AC184</f>
        <v/>
      </c>
      <c r="Z185" s="42">
        <f>ROUND(Y185*Z$6/12,2)</f>
        <v/>
      </c>
      <c r="AA185" s="42">
        <f>MIN(AA$6,Y185+Z185)</f>
        <v/>
      </c>
      <c r="AB185" s="42">
        <f>MAX(0,MIN(Y185+Z185-AA185,X185))</f>
        <v/>
      </c>
      <c r="AC185" s="42">
        <f>ROUND(Y185+Z185-AA185-AB185,2)</f>
        <v/>
      </c>
      <c r="AD185">
        <f>X185-AB185</f>
        <v/>
      </c>
      <c r="AE185" s="42">
        <f>AI184</f>
        <v/>
      </c>
      <c r="AF185" s="42">
        <f>ROUND(AE185*AF$6/12,2)</f>
        <v/>
      </c>
      <c r="AG185" s="42">
        <f>MIN(AG$6,AE185+AF185)</f>
        <v/>
      </c>
      <c r="AH185" s="42">
        <f>MAX(0,MIN(AE185+AF185-AG185,AD185))</f>
        <v/>
      </c>
      <c r="AI185" s="42">
        <f>ROUND(AE185+AF185-AG185-AH185,2)</f>
        <v/>
      </c>
      <c r="AJ185">
        <f>AD185-AH185</f>
        <v/>
      </c>
      <c r="AK185" s="42">
        <f>AO184</f>
        <v/>
      </c>
      <c r="AL185" s="42">
        <f>ROUND(AK185*AL$6/12,2)</f>
        <v/>
      </c>
      <c r="AM185" s="42">
        <f>MIN(AM$6,AK185+AL185)</f>
        <v/>
      </c>
      <c r="AN185" s="42">
        <f>MAX(0,MIN(AK185+AL185-AM185,AJ185))</f>
        <v/>
      </c>
      <c r="AO185" s="42">
        <f>ROUND(AK185+AL185-AM185-AN185,2)</f>
        <v/>
      </c>
      <c r="AP185">
        <f>AJ185-AN185</f>
        <v/>
      </c>
      <c r="AQ185" s="42">
        <f>AU184</f>
        <v/>
      </c>
      <c r="AR185" s="42">
        <f>ROUND(AQ185*AR$6/12,2)</f>
        <v/>
      </c>
      <c r="AS185" s="42">
        <f>MIN(AS$6,AQ185+AR185)</f>
        <v/>
      </c>
      <c r="AT185" s="42">
        <f>MAX(0,MIN(AQ185+AR185-AS185,AP185))</f>
        <v/>
      </c>
      <c r="AU185" s="42">
        <f>ROUND(AQ185+AR185-AS185-AT185,2)</f>
        <v/>
      </c>
      <c r="AV185">
        <f>AP185-AT185</f>
        <v/>
      </c>
      <c r="AW185" s="42">
        <f>BA184</f>
        <v/>
      </c>
      <c r="AX185" s="42">
        <f>ROUND(AW185*AX$6/12,2)</f>
        <v/>
      </c>
      <c r="AY185" s="42">
        <f>MIN(AY$6,AW185+AX185)</f>
        <v/>
      </c>
      <c r="AZ185" s="42">
        <f>MAX(0,MIN(AW185+AX185-AY185,AV185))</f>
        <v/>
      </c>
      <c r="BA185" s="42">
        <f>ROUND(AW185+AX185-AY185-AZ185,2)</f>
        <v/>
      </c>
      <c r="BB185">
        <f>AV185-AZ185</f>
        <v/>
      </c>
      <c r="BC185" s="42">
        <f>BG184</f>
        <v/>
      </c>
      <c r="BD185" s="42">
        <f>ROUND(BC185*BD$6/12,2)</f>
        <v/>
      </c>
      <c r="BE185" s="42">
        <f>MIN(BE$6,BC185+BD185)</f>
        <v/>
      </c>
      <c r="BF185" s="42">
        <f>MAX(0,MIN(BC185+BD185-BE185,BB185))</f>
        <v/>
      </c>
      <c r="BG185" s="42">
        <f>ROUND(BC185+BD185-BE185-BF185,2)</f>
        <v/>
      </c>
      <c r="BH185">
        <f>BB185-BF185</f>
        <v/>
      </c>
      <c r="BI185" s="42">
        <f>BM184</f>
        <v/>
      </c>
      <c r="BJ185" s="42">
        <f>ROUND(BI185*BJ$6/12,2)</f>
        <v/>
      </c>
      <c r="BK185" s="42">
        <f>MIN(BK$6,BI185+BJ185)</f>
        <v/>
      </c>
      <c r="BL185" s="42">
        <f>MAX(0,MIN(BI185+BJ185-BK185,BH185))</f>
        <v/>
      </c>
      <c r="BM185" s="42">
        <f>ROUND(BI185+BJ185-BK185-BL185,2)</f>
        <v/>
      </c>
      <c r="BN185">
        <f>BH185-BL185</f>
        <v/>
      </c>
    </row>
    <row r="186">
      <c r="A186" s="39" t="n">
        <v>179</v>
      </c>
      <c r="B186" s="40">
        <f>EDATE('My Debts'!$C$6,A186-1)</f>
        <v/>
      </c>
      <c r="C186" s="41">
        <f>K186+Q186+W186+AC186+AI186+AO186+AU186+BA186+BG186+BM186</f>
        <v/>
      </c>
      <c r="D186" s="42">
        <f>I186+O186+U186+AA186+AG186+AM186+AS186+AY186+BE186+BK186+J186+P186+V186+AB186+AH186+AN186+AT186+AZ186+BF186+BL186</f>
        <v/>
      </c>
      <c r="E186" s="42">
        <f>H186+N186+T186+Z186+AF186+AL186+AR186+AX186+BD186+BJ186</f>
        <v/>
      </c>
      <c r="F186" t="n">
        <v>0</v>
      </c>
      <c r="G186" s="42">
        <f>K185</f>
        <v/>
      </c>
      <c r="H186" s="42">
        <f>ROUND(G186*H$6/12,2)</f>
        <v/>
      </c>
      <c r="I186" s="42">
        <f>MIN(I$6,G186+H186)</f>
        <v/>
      </c>
      <c r="J186" s="42">
        <f>MAX(0,MIN(G186+H186-I186,$F186))</f>
        <v/>
      </c>
      <c r="K186" s="42">
        <f>ROUND(G186+H186-I186-J186,2)</f>
        <v/>
      </c>
      <c r="L186">
        <f>$F186-J186</f>
        <v/>
      </c>
      <c r="M186" s="42">
        <f>Q185</f>
        <v/>
      </c>
      <c r="N186" s="42">
        <f>ROUND(M186*N$6/12,2)</f>
        <v/>
      </c>
      <c r="O186" s="42">
        <f>MIN(O$6,M186+N186)</f>
        <v/>
      </c>
      <c r="P186" s="42">
        <f>MAX(0,MIN(M186+N186-O186,L186))</f>
        <v/>
      </c>
      <c r="Q186" s="42">
        <f>ROUND(M186+N186-O186-P186,2)</f>
        <v/>
      </c>
      <c r="R186">
        <f>L186-P186</f>
        <v/>
      </c>
      <c r="S186" s="42">
        <f>W185</f>
        <v/>
      </c>
      <c r="T186" s="42">
        <f>ROUND(S186*T$6/12,2)</f>
        <v/>
      </c>
      <c r="U186" s="42">
        <f>MIN(U$6,S186+T186)</f>
        <v/>
      </c>
      <c r="V186" s="42">
        <f>MAX(0,MIN(S186+T186-U186,R186))</f>
        <v/>
      </c>
      <c r="W186" s="42">
        <f>ROUND(S186+T186-U186-V186,2)</f>
        <v/>
      </c>
      <c r="X186">
        <f>R186-V186</f>
        <v/>
      </c>
      <c r="Y186" s="42">
        <f>AC185</f>
        <v/>
      </c>
      <c r="Z186" s="42">
        <f>ROUND(Y186*Z$6/12,2)</f>
        <v/>
      </c>
      <c r="AA186" s="42">
        <f>MIN(AA$6,Y186+Z186)</f>
        <v/>
      </c>
      <c r="AB186" s="42">
        <f>MAX(0,MIN(Y186+Z186-AA186,X186))</f>
        <v/>
      </c>
      <c r="AC186" s="42">
        <f>ROUND(Y186+Z186-AA186-AB186,2)</f>
        <v/>
      </c>
      <c r="AD186">
        <f>X186-AB186</f>
        <v/>
      </c>
      <c r="AE186" s="42">
        <f>AI185</f>
        <v/>
      </c>
      <c r="AF186" s="42">
        <f>ROUND(AE186*AF$6/12,2)</f>
        <v/>
      </c>
      <c r="AG186" s="42">
        <f>MIN(AG$6,AE186+AF186)</f>
        <v/>
      </c>
      <c r="AH186" s="42">
        <f>MAX(0,MIN(AE186+AF186-AG186,AD186))</f>
        <v/>
      </c>
      <c r="AI186" s="42">
        <f>ROUND(AE186+AF186-AG186-AH186,2)</f>
        <v/>
      </c>
      <c r="AJ186">
        <f>AD186-AH186</f>
        <v/>
      </c>
      <c r="AK186" s="42">
        <f>AO185</f>
        <v/>
      </c>
      <c r="AL186" s="42">
        <f>ROUND(AK186*AL$6/12,2)</f>
        <v/>
      </c>
      <c r="AM186" s="42">
        <f>MIN(AM$6,AK186+AL186)</f>
        <v/>
      </c>
      <c r="AN186" s="42">
        <f>MAX(0,MIN(AK186+AL186-AM186,AJ186))</f>
        <v/>
      </c>
      <c r="AO186" s="42">
        <f>ROUND(AK186+AL186-AM186-AN186,2)</f>
        <v/>
      </c>
      <c r="AP186">
        <f>AJ186-AN186</f>
        <v/>
      </c>
      <c r="AQ186" s="42">
        <f>AU185</f>
        <v/>
      </c>
      <c r="AR186" s="42">
        <f>ROUND(AQ186*AR$6/12,2)</f>
        <v/>
      </c>
      <c r="AS186" s="42">
        <f>MIN(AS$6,AQ186+AR186)</f>
        <v/>
      </c>
      <c r="AT186" s="42">
        <f>MAX(0,MIN(AQ186+AR186-AS186,AP186))</f>
        <v/>
      </c>
      <c r="AU186" s="42">
        <f>ROUND(AQ186+AR186-AS186-AT186,2)</f>
        <v/>
      </c>
      <c r="AV186">
        <f>AP186-AT186</f>
        <v/>
      </c>
      <c r="AW186" s="42">
        <f>BA185</f>
        <v/>
      </c>
      <c r="AX186" s="42">
        <f>ROUND(AW186*AX$6/12,2)</f>
        <v/>
      </c>
      <c r="AY186" s="42">
        <f>MIN(AY$6,AW186+AX186)</f>
        <v/>
      </c>
      <c r="AZ186" s="42">
        <f>MAX(0,MIN(AW186+AX186-AY186,AV186))</f>
        <v/>
      </c>
      <c r="BA186" s="42">
        <f>ROUND(AW186+AX186-AY186-AZ186,2)</f>
        <v/>
      </c>
      <c r="BB186">
        <f>AV186-AZ186</f>
        <v/>
      </c>
      <c r="BC186" s="42">
        <f>BG185</f>
        <v/>
      </c>
      <c r="BD186" s="42">
        <f>ROUND(BC186*BD$6/12,2)</f>
        <v/>
      </c>
      <c r="BE186" s="42">
        <f>MIN(BE$6,BC186+BD186)</f>
        <v/>
      </c>
      <c r="BF186" s="42">
        <f>MAX(0,MIN(BC186+BD186-BE186,BB186))</f>
        <v/>
      </c>
      <c r="BG186" s="42">
        <f>ROUND(BC186+BD186-BE186-BF186,2)</f>
        <v/>
      </c>
      <c r="BH186">
        <f>BB186-BF186</f>
        <v/>
      </c>
      <c r="BI186" s="42">
        <f>BM185</f>
        <v/>
      </c>
      <c r="BJ186" s="42">
        <f>ROUND(BI186*BJ$6/12,2)</f>
        <v/>
      </c>
      <c r="BK186" s="42">
        <f>MIN(BK$6,BI186+BJ186)</f>
        <v/>
      </c>
      <c r="BL186" s="42">
        <f>MAX(0,MIN(BI186+BJ186-BK186,BH186))</f>
        <v/>
      </c>
      <c r="BM186" s="42">
        <f>ROUND(BI186+BJ186-BK186-BL186,2)</f>
        <v/>
      </c>
      <c r="BN186">
        <f>BH186-BL186</f>
        <v/>
      </c>
    </row>
    <row r="187">
      <c r="A187" s="43" t="n">
        <v>180</v>
      </c>
      <c r="B187" s="44">
        <f>EDATE('My Debts'!$C$6,A187-1)</f>
        <v/>
      </c>
      <c r="C187" s="45">
        <f>K187+Q187+W187+AC187+AI187+AO187+AU187+BA187+BG187+BM187</f>
        <v/>
      </c>
      <c r="D187" s="46">
        <f>I187+O187+U187+AA187+AG187+AM187+AS187+AY187+BE187+BK187+J187+P187+V187+AB187+AH187+AN187+AT187+AZ187+BF187+BL187</f>
        <v/>
      </c>
      <c r="E187" s="46">
        <f>H187+N187+T187+Z187+AF187+AL187+AR187+AX187+BD187+BJ187</f>
        <v/>
      </c>
      <c r="F187" t="n">
        <v>0</v>
      </c>
      <c r="G187" s="42">
        <f>K186</f>
        <v/>
      </c>
      <c r="H187" s="42">
        <f>ROUND(G187*H$6/12,2)</f>
        <v/>
      </c>
      <c r="I187" s="42">
        <f>MIN(I$6,G187+H187)</f>
        <v/>
      </c>
      <c r="J187" s="42">
        <f>MAX(0,MIN(G187+H187-I187,$F187))</f>
        <v/>
      </c>
      <c r="K187" s="42">
        <f>ROUND(G187+H187-I187-J187,2)</f>
        <v/>
      </c>
      <c r="L187">
        <f>$F187-J187</f>
        <v/>
      </c>
      <c r="M187" s="42">
        <f>Q186</f>
        <v/>
      </c>
      <c r="N187" s="42">
        <f>ROUND(M187*N$6/12,2)</f>
        <v/>
      </c>
      <c r="O187" s="42">
        <f>MIN(O$6,M187+N187)</f>
        <v/>
      </c>
      <c r="P187" s="42">
        <f>MAX(0,MIN(M187+N187-O187,L187))</f>
        <v/>
      </c>
      <c r="Q187" s="42">
        <f>ROUND(M187+N187-O187-P187,2)</f>
        <v/>
      </c>
      <c r="R187">
        <f>L187-P187</f>
        <v/>
      </c>
      <c r="S187" s="42">
        <f>W186</f>
        <v/>
      </c>
      <c r="T187" s="42">
        <f>ROUND(S187*T$6/12,2)</f>
        <v/>
      </c>
      <c r="U187" s="42">
        <f>MIN(U$6,S187+T187)</f>
        <v/>
      </c>
      <c r="V187" s="42">
        <f>MAX(0,MIN(S187+T187-U187,R187))</f>
        <v/>
      </c>
      <c r="W187" s="42">
        <f>ROUND(S187+T187-U187-V187,2)</f>
        <v/>
      </c>
      <c r="X187">
        <f>R187-V187</f>
        <v/>
      </c>
      <c r="Y187" s="42">
        <f>AC186</f>
        <v/>
      </c>
      <c r="Z187" s="42">
        <f>ROUND(Y187*Z$6/12,2)</f>
        <v/>
      </c>
      <c r="AA187" s="42">
        <f>MIN(AA$6,Y187+Z187)</f>
        <v/>
      </c>
      <c r="AB187" s="42">
        <f>MAX(0,MIN(Y187+Z187-AA187,X187))</f>
        <v/>
      </c>
      <c r="AC187" s="42">
        <f>ROUND(Y187+Z187-AA187-AB187,2)</f>
        <v/>
      </c>
      <c r="AD187">
        <f>X187-AB187</f>
        <v/>
      </c>
      <c r="AE187" s="42">
        <f>AI186</f>
        <v/>
      </c>
      <c r="AF187" s="42">
        <f>ROUND(AE187*AF$6/12,2)</f>
        <v/>
      </c>
      <c r="AG187" s="42">
        <f>MIN(AG$6,AE187+AF187)</f>
        <v/>
      </c>
      <c r="AH187" s="42">
        <f>MAX(0,MIN(AE187+AF187-AG187,AD187))</f>
        <v/>
      </c>
      <c r="AI187" s="42">
        <f>ROUND(AE187+AF187-AG187-AH187,2)</f>
        <v/>
      </c>
      <c r="AJ187">
        <f>AD187-AH187</f>
        <v/>
      </c>
      <c r="AK187" s="42">
        <f>AO186</f>
        <v/>
      </c>
      <c r="AL187" s="42">
        <f>ROUND(AK187*AL$6/12,2)</f>
        <v/>
      </c>
      <c r="AM187" s="42">
        <f>MIN(AM$6,AK187+AL187)</f>
        <v/>
      </c>
      <c r="AN187" s="42">
        <f>MAX(0,MIN(AK187+AL187-AM187,AJ187))</f>
        <v/>
      </c>
      <c r="AO187" s="42">
        <f>ROUND(AK187+AL187-AM187-AN187,2)</f>
        <v/>
      </c>
      <c r="AP187">
        <f>AJ187-AN187</f>
        <v/>
      </c>
      <c r="AQ187" s="42">
        <f>AU186</f>
        <v/>
      </c>
      <c r="AR187" s="42">
        <f>ROUND(AQ187*AR$6/12,2)</f>
        <v/>
      </c>
      <c r="AS187" s="42">
        <f>MIN(AS$6,AQ187+AR187)</f>
        <v/>
      </c>
      <c r="AT187" s="42">
        <f>MAX(0,MIN(AQ187+AR187-AS187,AP187))</f>
        <v/>
      </c>
      <c r="AU187" s="42">
        <f>ROUND(AQ187+AR187-AS187-AT187,2)</f>
        <v/>
      </c>
      <c r="AV187">
        <f>AP187-AT187</f>
        <v/>
      </c>
      <c r="AW187" s="42">
        <f>BA186</f>
        <v/>
      </c>
      <c r="AX187" s="42">
        <f>ROUND(AW187*AX$6/12,2)</f>
        <v/>
      </c>
      <c r="AY187" s="42">
        <f>MIN(AY$6,AW187+AX187)</f>
        <v/>
      </c>
      <c r="AZ187" s="42">
        <f>MAX(0,MIN(AW187+AX187-AY187,AV187))</f>
        <v/>
      </c>
      <c r="BA187" s="42">
        <f>ROUND(AW187+AX187-AY187-AZ187,2)</f>
        <v/>
      </c>
      <c r="BB187">
        <f>AV187-AZ187</f>
        <v/>
      </c>
      <c r="BC187" s="42">
        <f>BG186</f>
        <v/>
      </c>
      <c r="BD187" s="42">
        <f>ROUND(BC187*BD$6/12,2)</f>
        <v/>
      </c>
      <c r="BE187" s="42">
        <f>MIN(BE$6,BC187+BD187)</f>
        <v/>
      </c>
      <c r="BF187" s="42">
        <f>MAX(0,MIN(BC187+BD187-BE187,BB187))</f>
        <v/>
      </c>
      <c r="BG187" s="42">
        <f>ROUND(BC187+BD187-BE187-BF187,2)</f>
        <v/>
      </c>
      <c r="BH187">
        <f>BB187-BF187</f>
        <v/>
      </c>
      <c r="BI187" s="42">
        <f>BM186</f>
        <v/>
      </c>
      <c r="BJ187" s="42">
        <f>ROUND(BI187*BJ$6/12,2)</f>
        <v/>
      </c>
      <c r="BK187" s="42">
        <f>MIN(BK$6,BI187+BJ187)</f>
        <v/>
      </c>
      <c r="BL187" s="42">
        <f>MAX(0,MIN(BI187+BJ187-BK187,BH187))</f>
        <v/>
      </c>
      <c r="BM187" s="42">
        <f>ROUND(BI187+BJ187-BK187-BL187,2)</f>
        <v/>
      </c>
      <c r="BN187">
        <f>BH187-BL187</f>
        <v/>
      </c>
    </row>
    <row r="188">
      <c r="A188" s="39" t="n">
        <v>181</v>
      </c>
      <c r="B188" s="40">
        <f>EDATE('My Debts'!$C$6,A188-1)</f>
        <v/>
      </c>
      <c r="C188" s="41">
        <f>K188+Q188+W188+AC188+AI188+AO188+AU188+BA188+BG188+BM188</f>
        <v/>
      </c>
      <c r="D188" s="42">
        <f>I188+O188+U188+AA188+AG188+AM188+AS188+AY188+BE188+BK188+J188+P188+V188+AB188+AH188+AN188+AT188+AZ188+BF188+BL188</f>
        <v/>
      </c>
      <c r="E188" s="42">
        <f>H188+N188+T188+Z188+AF188+AL188+AR188+AX188+BD188+BJ188</f>
        <v/>
      </c>
      <c r="F188" t="n">
        <v>0</v>
      </c>
      <c r="G188" s="42">
        <f>K187</f>
        <v/>
      </c>
      <c r="H188" s="42">
        <f>ROUND(G188*H$6/12,2)</f>
        <v/>
      </c>
      <c r="I188" s="42">
        <f>MIN(I$6,G188+H188)</f>
        <v/>
      </c>
      <c r="J188" s="42">
        <f>MAX(0,MIN(G188+H188-I188,$F188))</f>
        <v/>
      </c>
      <c r="K188" s="42">
        <f>ROUND(G188+H188-I188-J188,2)</f>
        <v/>
      </c>
      <c r="L188">
        <f>$F188-J188</f>
        <v/>
      </c>
      <c r="M188" s="42">
        <f>Q187</f>
        <v/>
      </c>
      <c r="N188" s="42">
        <f>ROUND(M188*N$6/12,2)</f>
        <v/>
      </c>
      <c r="O188" s="42">
        <f>MIN(O$6,M188+N188)</f>
        <v/>
      </c>
      <c r="P188" s="42">
        <f>MAX(0,MIN(M188+N188-O188,L188))</f>
        <v/>
      </c>
      <c r="Q188" s="42">
        <f>ROUND(M188+N188-O188-P188,2)</f>
        <v/>
      </c>
      <c r="R188">
        <f>L188-P188</f>
        <v/>
      </c>
      <c r="S188" s="42">
        <f>W187</f>
        <v/>
      </c>
      <c r="T188" s="42">
        <f>ROUND(S188*T$6/12,2)</f>
        <v/>
      </c>
      <c r="U188" s="42">
        <f>MIN(U$6,S188+T188)</f>
        <v/>
      </c>
      <c r="V188" s="42">
        <f>MAX(0,MIN(S188+T188-U188,R188))</f>
        <v/>
      </c>
      <c r="W188" s="42">
        <f>ROUND(S188+T188-U188-V188,2)</f>
        <v/>
      </c>
      <c r="X188">
        <f>R188-V188</f>
        <v/>
      </c>
      <c r="Y188" s="42">
        <f>AC187</f>
        <v/>
      </c>
      <c r="Z188" s="42">
        <f>ROUND(Y188*Z$6/12,2)</f>
        <v/>
      </c>
      <c r="AA188" s="42">
        <f>MIN(AA$6,Y188+Z188)</f>
        <v/>
      </c>
      <c r="AB188" s="42">
        <f>MAX(0,MIN(Y188+Z188-AA188,X188))</f>
        <v/>
      </c>
      <c r="AC188" s="42">
        <f>ROUND(Y188+Z188-AA188-AB188,2)</f>
        <v/>
      </c>
      <c r="AD188">
        <f>X188-AB188</f>
        <v/>
      </c>
      <c r="AE188" s="42">
        <f>AI187</f>
        <v/>
      </c>
      <c r="AF188" s="42">
        <f>ROUND(AE188*AF$6/12,2)</f>
        <v/>
      </c>
      <c r="AG188" s="42">
        <f>MIN(AG$6,AE188+AF188)</f>
        <v/>
      </c>
      <c r="AH188" s="42">
        <f>MAX(0,MIN(AE188+AF188-AG188,AD188))</f>
        <v/>
      </c>
      <c r="AI188" s="42">
        <f>ROUND(AE188+AF188-AG188-AH188,2)</f>
        <v/>
      </c>
      <c r="AJ188">
        <f>AD188-AH188</f>
        <v/>
      </c>
      <c r="AK188" s="42">
        <f>AO187</f>
        <v/>
      </c>
      <c r="AL188" s="42">
        <f>ROUND(AK188*AL$6/12,2)</f>
        <v/>
      </c>
      <c r="AM188" s="42">
        <f>MIN(AM$6,AK188+AL188)</f>
        <v/>
      </c>
      <c r="AN188" s="42">
        <f>MAX(0,MIN(AK188+AL188-AM188,AJ188))</f>
        <v/>
      </c>
      <c r="AO188" s="42">
        <f>ROUND(AK188+AL188-AM188-AN188,2)</f>
        <v/>
      </c>
      <c r="AP188">
        <f>AJ188-AN188</f>
        <v/>
      </c>
      <c r="AQ188" s="42">
        <f>AU187</f>
        <v/>
      </c>
      <c r="AR188" s="42">
        <f>ROUND(AQ188*AR$6/12,2)</f>
        <v/>
      </c>
      <c r="AS188" s="42">
        <f>MIN(AS$6,AQ188+AR188)</f>
        <v/>
      </c>
      <c r="AT188" s="42">
        <f>MAX(0,MIN(AQ188+AR188-AS188,AP188))</f>
        <v/>
      </c>
      <c r="AU188" s="42">
        <f>ROUND(AQ188+AR188-AS188-AT188,2)</f>
        <v/>
      </c>
      <c r="AV188">
        <f>AP188-AT188</f>
        <v/>
      </c>
      <c r="AW188" s="42">
        <f>BA187</f>
        <v/>
      </c>
      <c r="AX188" s="42">
        <f>ROUND(AW188*AX$6/12,2)</f>
        <v/>
      </c>
      <c r="AY188" s="42">
        <f>MIN(AY$6,AW188+AX188)</f>
        <v/>
      </c>
      <c r="AZ188" s="42">
        <f>MAX(0,MIN(AW188+AX188-AY188,AV188))</f>
        <v/>
      </c>
      <c r="BA188" s="42">
        <f>ROUND(AW188+AX188-AY188-AZ188,2)</f>
        <v/>
      </c>
      <c r="BB188">
        <f>AV188-AZ188</f>
        <v/>
      </c>
      <c r="BC188" s="42">
        <f>BG187</f>
        <v/>
      </c>
      <c r="BD188" s="42">
        <f>ROUND(BC188*BD$6/12,2)</f>
        <v/>
      </c>
      <c r="BE188" s="42">
        <f>MIN(BE$6,BC188+BD188)</f>
        <v/>
      </c>
      <c r="BF188" s="42">
        <f>MAX(0,MIN(BC188+BD188-BE188,BB188))</f>
        <v/>
      </c>
      <c r="BG188" s="42">
        <f>ROUND(BC188+BD188-BE188-BF188,2)</f>
        <v/>
      </c>
      <c r="BH188">
        <f>BB188-BF188</f>
        <v/>
      </c>
      <c r="BI188" s="42">
        <f>BM187</f>
        <v/>
      </c>
      <c r="BJ188" s="42">
        <f>ROUND(BI188*BJ$6/12,2)</f>
        <v/>
      </c>
      <c r="BK188" s="42">
        <f>MIN(BK$6,BI188+BJ188)</f>
        <v/>
      </c>
      <c r="BL188" s="42">
        <f>MAX(0,MIN(BI188+BJ188-BK188,BH188))</f>
        <v/>
      </c>
      <c r="BM188" s="42">
        <f>ROUND(BI188+BJ188-BK188-BL188,2)</f>
        <v/>
      </c>
      <c r="BN188">
        <f>BH188-BL188</f>
        <v/>
      </c>
    </row>
    <row r="189">
      <c r="A189" s="43" t="n">
        <v>182</v>
      </c>
      <c r="B189" s="44">
        <f>EDATE('My Debts'!$C$6,A189-1)</f>
        <v/>
      </c>
      <c r="C189" s="45">
        <f>K189+Q189+W189+AC189+AI189+AO189+AU189+BA189+BG189+BM189</f>
        <v/>
      </c>
      <c r="D189" s="46">
        <f>I189+O189+U189+AA189+AG189+AM189+AS189+AY189+BE189+BK189+J189+P189+V189+AB189+AH189+AN189+AT189+AZ189+BF189+BL189</f>
        <v/>
      </c>
      <c r="E189" s="46">
        <f>H189+N189+T189+Z189+AF189+AL189+AR189+AX189+BD189+BJ189</f>
        <v/>
      </c>
      <c r="F189" t="n">
        <v>0</v>
      </c>
      <c r="G189" s="42">
        <f>K188</f>
        <v/>
      </c>
      <c r="H189" s="42">
        <f>ROUND(G189*H$6/12,2)</f>
        <v/>
      </c>
      <c r="I189" s="42">
        <f>MIN(I$6,G189+H189)</f>
        <v/>
      </c>
      <c r="J189" s="42">
        <f>MAX(0,MIN(G189+H189-I189,$F189))</f>
        <v/>
      </c>
      <c r="K189" s="42">
        <f>ROUND(G189+H189-I189-J189,2)</f>
        <v/>
      </c>
      <c r="L189">
        <f>$F189-J189</f>
        <v/>
      </c>
      <c r="M189" s="42">
        <f>Q188</f>
        <v/>
      </c>
      <c r="N189" s="42">
        <f>ROUND(M189*N$6/12,2)</f>
        <v/>
      </c>
      <c r="O189" s="42">
        <f>MIN(O$6,M189+N189)</f>
        <v/>
      </c>
      <c r="P189" s="42">
        <f>MAX(0,MIN(M189+N189-O189,L189))</f>
        <v/>
      </c>
      <c r="Q189" s="42">
        <f>ROUND(M189+N189-O189-P189,2)</f>
        <v/>
      </c>
      <c r="R189">
        <f>L189-P189</f>
        <v/>
      </c>
      <c r="S189" s="42">
        <f>W188</f>
        <v/>
      </c>
      <c r="T189" s="42">
        <f>ROUND(S189*T$6/12,2)</f>
        <v/>
      </c>
      <c r="U189" s="42">
        <f>MIN(U$6,S189+T189)</f>
        <v/>
      </c>
      <c r="V189" s="42">
        <f>MAX(0,MIN(S189+T189-U189,R189))</f>
        <v/>
      </c>
      <c r="W189" s="42">
        <f>ROUND(S189+T189-U189-V189,2)</f>
        <v/>
      </c>
      <c r="X189">
        <f>R189-V189</f>
        <v/>
      </c>
      <c r="Y189" s="42">
        <f>AC188</f>
        <v/>
      </c>
      <c r="Z189" s="42">
        <f>ROUND(Y189*Z$6/12,2)</f>
        <v/>
      </c>
      <c r="AA189" s="42">
        <f>MIN(AA$6,Y189+Z189)</f>
        <v/>
      </c>
      <c r="AB189" s="42">
        <f>MAX(0,MIN(Y189+Z189-AA189,X189))</f>
        <v/>
      </c>
      <c r="AC189" s="42">
        <f>ROUND(Y189+Z189-AA189-AB189,2)</f>
        <v/>
      </c>
      <c r="AD189">
        <f>X189-AB189</f>
        <v/>
      </c>
      <c r="AE189" s="42">
        <f>AI188</f>
        <v/>
      </c>
      <c r="AF189" s="42">
        <f>ROUND(AE189*AF$6/12,2)</f>
        <v/>
      </c>
      <c r="AG189" s="42">
        <f>MIN(AG$6,AE189+AF189)</f>
        <v/>
      </c>
      <c r="AH189" s="42">
        <f>MAX(0,MIN(AE189+AF189-AG189,AD189))</f>
        <v/>
      </c>
      <c r="AI189" s="42">
        <f>ROUND(AE189+AF189-AG189-AH189,2)</f>
        <v/>
      </c>
      <c r="AJ189">
        <f>AD189-AH189</f>
        <v/>
      </c>
      <c r="AK189" s="42">
        <f>AO188</f>
        <v/>
      </c>
      <c r="AL189" s="42">
        <f>ROUND(AK189*AL$6/12,2)</f>
        <v/>
      </c>
      <c r="AM189" s="42">
        <f>MIN(AM$6,AK189+AL189)</f>
        <v/>
      </c>
      <c r="AN189" s="42">
        <f>MAX(0,MIN(AK189+AL189-AM189,AJ189))</f>
        <v/>
      </c>
      <c r="AO189" s="42">
        <f>ROUND(AK189+AL189-AM189-AN189,2)</f>
        <v/>
      </c>
      <c r="AP189">
        <f>AJ189-AN189</f>
        <v/>
      </c>
      <c r="AQ189" s="42">
        <f>AU188</f>
        <v/>
      </c>
      <c r="AR189" s="42">
        <f>ROUND(AQ189*AR$6/12,2)</f>
        <v/>
      </c>
      <c r="AS189" s="42">
        <f>MIN(AS$6,AQ189+AR189)</f>
        <v/>
      </c>
      <c r="AT189" s="42">
        <f>MAX(0,MIN(AQ189+AR189-AS189,AP189))</f>
        <v/>
      </c>
      <c r="AU189" s="42">
        <f>ROUND(AQ189+AR189-AS189-AT189,2)</f>
        <v/>
      </c>
      <c r="AV189">
        <f>AP189-AT189</f>
        <v/>
      </c>
      <c r="AW189" s="42">
        <f>BA188</f>
        <v/>
      </c>
      <c r="AX189" s="42">
        <f>ROUND(AW189*AX$6/12,2)</f>
        <v/>
      </c>
      <c r="AY189" s="42">
        <f>MIN(AY$6,AW189+AX189)</f>
        <v/>
      </c>
      <c r="AZ189" s="42">
        <f>MAX(0,MIN(AW189+AX189-AY189,AV189))</f>
        <v/>
      </c>
      <c r="BA189" s="42">
        <f>ROUND(AW189+AX189-AY189-AZ189,2)</f>
        <v/>
      </c>
      <c r="BB189">
        <f>AV189-AZ189</f>
        <v/>
      </c>
      <c r="BC189" s="42">
        <f>BG188</f>
        <v/>
      </c>
      <c r="BD189" s="42">
        <f>ROUND(BC189*BD$6/12,2)</f>
        <v/>
      </c>
      <c r="BE189" s="42">
        <f>MIN(BE$6,BC189+BD189)</f>
        <v/>
      </c>
      <c r="BF189" s="42">
        <f>MAX(0,MIN(BC189+BD189-BE189,BB189))</f>
        <v/>
      </c>
      <c r="BG189" s="42">
        <f>ROUND(BC189+BD189-BE189-BF189,2)</f>
        <v/>
      </c>
      <c r="BH189">
        <f>BB189-BF189</f>
        <v/>
      </c>
      <c r="BI189" s="42">
        <f>BM188</f>
        <v/>
      </c>
      <c r="BJ189" s="42">
        <f>ROUND(BI189*BJ$6/12,2)</f>
        <v/>
      </c>
      <c r="BK189" s="42">
        <f>MIN(BK$6,BI189+BJ189)</f>
        <v/>
      </c>
      <c r="BL189" s="42">
        <f>MAX(0,MIN(BI189+BJ189-BK189,BH189))</f>
        <v/>
      </c>
      <c r="BM189" s="42">
        <f>ROUND(BI189+BJ189-BK189-BL189,2)</f>
        <v/>
      </c>
      <c r="BN189">
        <f>BH189-BL189</f>
        <v/>
      </c>
    </row>
    <row r="190">
      <c r="A190" s="39" t="n">
        <v>183</v>
      </c>
      <c r="B190" s="40">
        <f>EDATE('My Debts'!$C$6,A190-1)</f>
        <v/>
      </c>
      <c r="C190" s="41">
        <f>K190+Q190+W190+AC190+AI190+AO190+AU190+BA190+BG190+BM190</f>
        <v/>
      </c>
      <c r="D190" s="42">
        <f>I190+O190+U190+AA190+AG190+AM190+AS190+AY190+BE190+BK190+J190+P190+V190+AB190+AH190+AN190+AT190+AZ190+BF190+BL190</f>
        <v/>
      </c>
      <c r="E190" s="42">
        <f>H190+N190+T190+Z190+AF190+AL190+AR190+AX190+BD190+BJ190</f>
        <v/>
      </c>
      <c r="F190" t="n">
        <v>0</v>
      </c>
      <c r="G190" s="42">
        <f>K189</f>
        <v/>
      </c>
      <c r="H190" s="42">
        <f>ROUND(G190*H$6/12,2)</f>
        <v/>
      </c>
      <c r="I190" s="42">
        <f>MIN(I$6,G190+H190)</f>
        <v/>
      </c>
      <c r="J190" s="42">
        <f>MAX(0,MIN(G190+H190-I190,$F190))</f>
        <v/>
      </c>
      <c r="K190" s="42">
        <f>ROUND(G190+H190-I190-J190,2)</f>
        <v/>
      </c>
      <c r="L190">
        <f>$F190-J190</f>
        <v/>
      </c>
      <c r="M190" s="42">
        <f>Q189</f>
        <v/>
      </c>
      <c r="N190" s="42">
        <f>ROUND(M190*N$6/12,2)</f>
        <v/>
      </c>
      <c r="O190" s="42">
        <f>MIN(O$6,M190+N190)</f>
        <v/>
      </c>
      <c r="P190" s="42">
        <f>MAX(0,MIN(M190+N190-O190,L190))</f>
        <v/>
      </c>
      <c r="Q190" s="42">
        <f>ROUND(M190+N190-O190-P190,2)</f>
        <v/>
      </c>
      <c r="R190">
        <f>L190-P190</f>
        <v/>
      </c>
      <c r="S190" s="42">
        <f>W189</f>
        <v/>
      </c>
      <c r="T190" s="42">
        <f>ROUND(S190*T$6/12,2)</f>
        <v/>
      </c>
      <c r="U190" s="42">
        <f>MIN(U$6,S190+T190)</f>
        <v/>
      </c>
      <c r="V190" s="42">
        <f>MAX(0,MIN(S190+T190-U190,R190))</f>
        <v/>
      </c>
      <c r="W190" s="42">
        <f>ROUND(S190+T190-U190-V190,2)</f>
        <v/>
      </c>
      <c r="X190">
        <f>R190-V190</f>
        <v/>
      </c>
      <c r="Y190" s="42">
        <f>AC189</f>
        <v/>
      </c>
      <c r="Z190" s="42">
        <f>ROUND(Y190*Z$6/12,2)</f>
        <v/>
      </c>
      <c r="AA190" s="42">
        <f>MIN(AA$6,Y190+Z190)</f>
        <v/>
      </c>
      <c r="AB190" s="42">
        <f>MAX(0,MIN(Y190+Z190-AA190,X190))</f>
        <v/>
      </c>
      <c r="AC190" s="42">
        <f>ROUND(Y190+Z190-AA190-AB190,2)</f>
        <v/>
      </c>
      <c r="AD190">
        <f>X190-AB190</f>
        <v/>
      </c>
      <c r="AE190" s="42">
        <f>AI189</f>
        <v/>
      </c>
      <c r="AF190" s="42">
        <f>ROUND(AE190*AF$6/12,2)</f>
        <v/>
      </c>
      <c r="AG190" s="42">
        <f>MIN(AG$6,AE190+AF190)</f>
        <v/>
      </c>
      <c r="AH190" s="42">
        <f>MAX(0,MIN(AE190+AF190-AG190,AD190))</f>
        <v/>
      </c>
      <c r="AI190" s="42">
        <f>ROUND(AE190+AF190-AG190-AH190,2)</f>
        <v/>
      </c>
      <c r="AJ190">
        <f>AD190-AH190</f>
        <v/>
      </c>
      <c r="AK190" s="42">
        <f>AO189</f>
        <v/>
      </c>
      <c r="AL190" s="42">
        <f>ROUND(AK190*AL$6/12,2)</f>
        <v/>
      </c>
      <c r="AM190" s="42">
        <f>MIN(AM$6,AK190+AL190)</f>
        <v/>
      </c>
      <c r="AN190" s="42">
        <f>MAX(0,MIN(AK190+AL190-AM190,AJ190))</f>
        <v/>
      </c>
      <c r="AO190" s="42">
        <f>ROUND(AK190+AL190-AM190-AN190,2)</f>
        <v/>
      </c>
      <c r="AP190">
        <f>AJ190-AN190</f>
        <v/>
      </c>
      <c r="AQ190" s="42">
        <f>AU189</f>
        <v/>
      </c>
      <c r="AR190" s="42">
        <f>ROUND(AQ190*AR$6/12,2)</f>
        <v/>
      </c>
      <c r="AS190" s="42">
        <f>MIN(AS$6,AQ190+AR190)</f>
        <v/>
      </c>
      <c r="AT190" s="42">
        <f>MAX(0,MIN(AQ190+AR190-AS190,AP190))</f>
        <v/>
      </c>
      <c r="AU190" s="42">
        <f>ROUND(AQ190+AR190-AS190-AT190,2)</f>
        <v/>
      </c>
      <c r="AV190">
        <f>AP190-AT190</f>
        <v/>
      </c>
      <c r="AW190" s="42">
        <f>BA189</f>
        <v/>
      </c>
      <c r="AX190" s="42">
        <f>ROUND(AW190*AX$6/12,2)</f>
        <v/>
      </c>
      <c r="AY190" s="42">
        <f>MIN(AY$6,AW190+AX190)</f>
        <v/>
      </c>
      <c r="AZ190" s="42">
        <f>MAX(0,MIN(AW190+AX190-AY190,AV190))</f>
        <v/>
      </c>
      <c r="BA190" s="42">
        <f>ROUND(AW190+AX190-AY190-AZ190,2)</f>
        <v/>
      </c>
      <c r="BB190">
        <f>AV190-AZ190</f>
        <v/>
      </c>
      <c r="BC190" s="42">
        <f>BG189</f>
        <v/>
      </c>
      <c r="BD190" s="42">
        <f>ROUND(BC190*BD$6/12,2)</f>
        <v/>
      </c>
      <c r="BE190" s="42">
        <f>MIN(BE$6,BC190+BD190)</f>
        <v/>
      </c>
      <c r="BF190" s="42">
        <f>MAX(0,MIN(BC190+BD190-BE190,BB190))</f>
        <v/>
      </c>
      <c r="BG190" s="42">
        <f>ROUND(BC190+BD190-BE190-BF190,2)</f>
        <v/>
      </c>
      <c r="BH190">
        <f>BB190-BF190</f>
        <v/>
      </c>
      <c r="BI190" s="42">
        <f>BM189</f>
        <v/>
      </c>
      <c r="BJ190" s="42">
        <f>ROUND(BI190*BJ$6/12,2)</f>
        <v/>
      </c>
      <c r="BK190" s="42">
        <f>MIN(BK$6,BI190+BJ190)</f>
        <v/>
      </c>
      <c r="BL190" s="42">
        <f>MAX(0,MIN(BI190+BJ190-BK190,BH190))</f>
        <v/>
      </c>
      <c r="BM190" s="42">
        <f>ROUND(BI190+BJ190-BK190-BL190,2)</f>
        <v/>
      </c>
      <c r="BN190">
        <f>BH190-BL190</f>
        <v/>
      </c>
    </row>
    <row r="191">
      <c r="A191" s="43" t="n">
        <v>184</v>
      </c>
      <c r="B191" s="44">
        <f>EDATE('My Debts'!$C$6,A191-1)</f>
        <v/>
      </c>
      <c r="C191" s="45">
        <f>K191+Q191+W191+AC191+AI191+AO191+AU191+BA191+BG191+BM191</f>
        <v/>
      </c>
      <c r="D191" s="46">
        <f>I191+O191+U191+AA191+AG191+AM191+AS191+AY191+BE191+BK191+J191+P191+V191+AB191+AH191+AN191+AT191+AZ191+BF191+BL191</f>
        <v/>
      </c>
      <c r="E191" s="46">
        <f>H191+N191+T191+Z191+AF191+AL191+AR191+AX191+BD191+BJ191</f>
        <v/>
      </c>
      <c r="F191" t="n">
        <v>0</v>
      </c>
      <c r="G191" s="42">
        <f>K190</f>
        <v/>
      </c>
      <c r="H191" s="42">
        <f>ROUND(G191*H$6/12,2)</f>
        <v/>
      </c>
      <c r="I191" s="42">
        <f>MIN(I$6,G191+H191)</f>
        <v/>
      </c>
      <c r="J191" s="42">
        <f>MAX(0,MIN(G191+H191-I191,$F191))</f>
        <v/>
      </c>
      <c r="K191" s="42">
        <f>ROUND(G191+H191-I191-J191,2)</f>
        <v/>
      </c>
      <c r="L191">
        <f>$F191-J191</f>
        <v/>
      </c>
      <c r="M191" s="42">
        <f>Q190</f>
        <v/>
      </c>
      <c r="N191" s="42">
        <f>ROUND(M191*N$6/12,2)</f>
        <v/>
      </c>
      <c r="O191" s="42">
        <f>MIN(O$6,M191+N191)</f>
        <v/>
      </c>
      <c r="P191" s="42">
        <f>MAX(0,MIN(M191+N191-O191,L191))</f>
        <v/>
      </c>
      <c r="Q191" s="42">
        <f>ROUND(M191+N191-O191-P191,2)</f>
        <v/>
      </c>
      <c r="R191">
        <f>L191-P191</f>
        <v/>
      </c>
      <c r="S191" s="42">
        <f>W190</f>
        <v/>
      </c>
      <c r="T191" s="42">
        <f>ROUND(S191*T$6/12,2)</f>
        <v/>
      </c>
      <c r="U191" s="42">
        <f>MIN(U$6,S191+T191)</f>
        <v/>
      </c>
      <c r="V191" s="42">
        <f>MAX(0,MIN(S191+T191-U191,R191))</f>
        <v/>
      </c>
      <c r="W191" s="42">
        <f>ROUND(S191+T191-U191-V191,2)</f>
        <v/>
      </c>
      <c r="X191">
        <f>R191-V191</f>
        <v/>
      </c>
      <c r="Y191" s="42">
        <f>AC190</f>
        <v/>
      </c>
      <c r="Z191" s="42">
        <f>ROUND(Y191*Z$6/12,2)</f>
        <v/>
      </c>
      <c r="AA191" s="42">
        <f>MIN(AA$6,Y191+Z191)</f>
        <v/>
      </c>
      <c r="AB191" s="42">
        <f>MAX(0,MIN(Y191+Z191-AA191,X191))</f>
        <v/>
      </c>
      <c r="AC191" s="42">
        <f>ROUND(Y191+Z191-AA191-AB191,2)</f>
        <v/>
      </c>
      <c r="AD191">
        <f>X191-AB191</f>
        <v/>
      </c>
      <c r="AE191" s="42">
        <f>AI190</f>
        <v/>
      </c>
      <c r="AF191" s="42">
        <f>ROUND(AE191*AF$6/12,2)</f>
        <v/>
      </c>
      <c r="AG191" s="42">
        <f>MIN(AG$6,AE191+AF191)</f>
        <v/>
      </c>
      <c r="AH191" s="42">
        <f>MAX(0,MIN(AE191+AF191-AG191,AD191))</f>
        <v/>
      </c>
      <c r="AI191" s="42">
        <f>ROUND(AE191+AF191-AG191-AH191,2)</f>
        <v/>
      </c>
      <c r="AJ191">
        <f>AD191-AH191</f>
        <v/>
      </c>
      <c r="AK191" s="42">
        <f>AO190</f>
        <v/>
      </c>
      <c r="AL191" s="42">
        <f>ROUND(AK191*AL$6/12,2)</f>
        <v/>
      </c>
      <c r="AM191" s="42">
        <f>MIN(AM$6,AK191+AL191)</f>
        <v/>
      </c>
      <c r="AN191" s="42">
        <f>MAX(0,MIN(AK191+AL191-AM191,AJ191))</f>
        <v/>
      </c>
      <c r="AO191" s="42">
        <f>ROUND(AK191+AL191-AM191-AN191,2)</f>
        <v/>
      </c>
      <c r="AP191">
        <f>AJ191-AN191</f>
        <v/>
      </c>
      <c r="AQ191" s="42">
        <f>AU190</f>
        <v/>
      </c>
      <c r="AR191" s="42">
        <f>ROUND(AQ191*AR$6/12,2)</f>
        <v/>
      </c>
      <c r="AS191" s="42">
        <f>MIN(AS$6,AQ191+AR191)</f>
        <v/>
      </c>
      <c r="AT191" s="42">
        <f>MAX(0,MIN(AQ191+AR191-AS191,AP191))</f>
        <v/>
      </c>
      <c r="AU191" s="42">
        <f>ROUND(AQ191+AR191-AS191-AT191,2)</f>
        <v/>
      </c>
      <c r="AV191">
        <f>AP191-AT191</f>
        <v/>
      </c>
      <c r="AW191" s="42">
        <f>BA190</f>
        <v/>
      </c>
      <c r="AX191" s="42">
        <f>ROUND(AW191*AX$6/12,2)</f>
        <v/>
      </c>
      <c r="AY191" s="42">
        <f>MIN(AY$6,AW191+AX191)</f>
        <v/>
      </c>
      <c r="AZ191" s="42">
        <f>MAX(0,MIN(AW191+AX191-AY191,AV191))</f>
        <v/>
      </c>
      <c r="BA191" s="42">
        <f>ROUND(AW191+AX191-AY191-AZ191,2)</f>
        <v/>
      </c>
      <c r="BB191">
        <f>AV191-AZ191</f>
        <v/>
      </c>
      <c r="BC191" s="42">
        <f>BG190</f>
        <v/>
      </c>
      <c r="BD191" s="42">
        <f>ROUND(BC191*BD$6/12,2)</f>
        <v/>
      </c>
      <c r="BE191" s="42">
        <f>MIN(BE$6,BC191+BD191)</f>
        <v/>
      </c>
      <c r="BF191" s="42">
        <f>MAX(0,MIN(BC191+BD191-BE191,BB191))</f>
        <v/>
      </c>
      <c r="BG191" s="42">
        <f>ROUND(BC191+BD191-BE191-BF191,2)</f>
        <v/>
      </c>
      <c r="BH191">
        <f>BB191-BF191</f>
        <v/>
      </c>
      <c r="BI191" s="42">
        <f>BM190</f>
        <v/>
      </c>
      <c r="BJ191" s="42">
        <f>ROUND(BI191*BJ$6/12,2)</f>
        <v/>
      </c>
      <c r="BK191" s="42">
        <f>MIN(BK$6,BI191+BJ191)</f>
        <v/>
      </c>
      <c r="BL191" s="42">
        <f>MAX(0,MIN(BI191+BJ191-BK191,BH191))</f>
        <v/>
      </c>
      <c r="BM191" s="42">
        <f>ROUND(BI191+BJ191-BK191-BL191,2)</f>
        <v/>
      </c>
      <c r="BN191">
        <f>BH191-BL191</f>
        <v/>
      </c>
    </row>
    <row r="192">
      <c r="A192" s="39" t="n">
        <v>185</v>
      </c>
      <c r="B192" s="40">
        <f>EDATE('My Debts'!$C$6,A192-1)</f>
        <v/>
      </c>
      <c r="C192" s="41">
        <f>K192+Q192+W192+AC192+AI192+AO192+AU192+BA192+BG192+BM192</f>
        <v/>
      </c>
      <c r="D192" s="42">
        <f>I192+O192+U192+AA192+AG192+AM192+AS192+AY192+BE192+BK192+J192+P192+V192+AB192+AH192+AN192+AT192+AZ192+BF192+BL192</f>
        <v/>
      </c>
      <c r="E192" s="42">
        <f>H192+N192+T192+Z192+AF192+AL192+AR192+AX192+BD192+BJ192</f>
        <v/>
      </c>
      <c r="F192" t="n">
        <v>0</v>
      </c>
      <c r="G192" s="42">
        <f>K191</f>
        <v/>
      </c>
      <c r="H192" s="42">
        <f>ROUND(G192*H$6/12,2)</f>
        <v/>
      </c>
      <c r="I192" s="42">
        <f>MIN(I$6,G192+H192)</f>
        <v/>
      </c>
      <c r="J192" s="42">
        <f>MAX(0,MIN(G192+H192-I192,$F192))</f>
        <v/>
      </c>
      <c r="K192" s="42">
        <f>ROUND(G192+H192-I192-J192,2)</f>
        <v/>
      </c>
      <c r="L192">
        <f>$F192-J192</f>
        <v/>
      </c>
      <c r="M192" s="42">
        <f>Q191</f>
        <v/>
      </c>
      <c r="N192" s="42">
        <f>ROUND(M192*N$6/12,2)</f>
        <v/>
      </c>
      <c r="O192" s="42">
        <f>MIN(O$6,M192+N192)</f>
        <v/>
      </c>
      <c r="P192" s="42">
        <f>MAX(0,MIN(M192+N192-O192,L192))</f>
        <v/>
      </c>
      <c r="Q192" s="42">
        <f>ROUND(M192+N192-O192-P192,2)</f>
        <v/>
      </c>
      <c r="R192">
        <f>L192-P192</f>
        <v/>
      </c>
      <c r="S192" s="42">
        <f>W191</f>
        <v/>
      </c>
      <c r="T192" s="42">
        <f>ROUND(S192*T$6/12,2)</f>
        <v/>
      </c>
      <c r="U192" s="42">
        <f>MIN(U$6,S192+T192)</f>
        <v/>
      </c>
      <c r="V192" s="42">
        <f>MAX(0,MIN(S192+T192-U192,R192))</f>
        <v/>
      </c>
      <c r="W192" s="42">
        <f>ROUND(S192+T192-U192-V192,2)</f>
        <v/>
      </c>
      <c r="X192">
        <f>R192-V192</f>
        <v/>
      </c>
      <c r="Y192" s="42">
        <f>AC191</f>
        <v/>
      </c>
      <c r="Z192" s="42">
        <f>ROUND(Y192*Z$6/12,2)</f>
        <v/>
      </c>
      <c r="AA192" s="42">
        <f>MIN(AA$6,Y192+Z192)</f>
        <v/>
      </c>
      <c r="AB192" s="42">
        <f>MAX(0,MIN(Y192+Z192-AA192,X192))</f>
        <v/>
      </c>
      <c r="AC192" s="42">
        <f>ROUND(Y192+Z192-AA192-AB192,2)</f>
        <v/>
      </c>
      <c r="AD192">
        <f>X192-AB192</f>
        <v/>
      </c>
      <c r="AE192" s="42">
        <f>AI191</f>
        <v/>
      </c>
      <c r="AF192" s="42">
        <f>ROUND(AE192*AF$6/12,2)</f>
        <v/>
      </c>
      <c r="AG192" s="42">
        <f>MIN(AG$6,AE192+AF192)</f>
        <v/>
      </c>
      <c r="AH192" s="42">
        <f>MAX(0,MIN(AE192+AF192-AG192,AD192))</f>
        <v/>
      </c>
      <c r="AI192" s="42">
        <f>ROUND(AE192+AF192-AG192-AH192,2)</f>
        <v/>
      </c>
      <c r="AJ192">
        <f>AD192-AH192</f>
        <v/>
      </c>
      <c r="AK192" s="42">
        <f>AO191</f>
        <v/>
      </c>
      <c r="AL192" s="42">
        <f>ROUND(AK192*AL$6/12,2)</f>
        <v/>
      </c>
      <c r="AM192" s="42">
        <f>MIN(AM$6,AK192+AL192)</f>
        <v/>
      </c>
      <c r="AN192" s="42">
        <f>MAX(0,MIN(AK192+AL192-AM192,AJ192))</f>
        <v/>
      </c>
      <c r="AO192" s="42">
        <f>ROUND(AK192+AL192-AM192-AN192,2)</f>
        <v/>
      </c>
      <c r="AP192">
        <f>AJ192-AN192</f>
        <v/>
      </c>
      <c r="AQ192" s="42">
        <f>AU191</f>
        <v/>
      </c>
      <c r="AR192" s="42">
        <f>ROUND(AQ192*AR$6/12,2)</f>
        <v/>
      </c>
      <c r="AS192" s="42">
        <f>MIN(AS$6,AQ192+AR192)</f>
        <v/>
      </c>
      <c r="AT192" s="42">
        <f>MAX(0,MIN(AQ192+AR192-AS192,AP192))</f>
        <v/>
      </c>
      <c r="AU192" s="42">
        <f>ROUND(AQ192+AR192-AS192-AT192,2)</f>
        <v/>
      </c>
      <c r="AV192">
        <f>AP192-AT192</f>
        <v/>
      </c>
      <c r="AW192" s="42">
        <f>BA191</f>
        <v/>
      </c>
      <c r="AX192" s="42">
        <f>ROUND(AW192*AX$6/12,2)</f>
        <v/>
      </c>
      <c r="AY192" s="42">
        <f>MIN(AY$6,AW192+AX192)</f>
        <v/>
      </c>
      <c r="AZ192" s="42">
        <f>MAX(0,MIN(AW192+AX192-AY192,AV192))</f>
        <v/>
      </c>
      <c r="BA192" s="42">
        <f>ROUND(AW192+AX192-AY192-AZ192,2)</f>
        <v/>
      </c>
      <c r="BB192">
        <f>AV192-AZ192</f>
        <v/>
      </c>
      <c r="BC192" s="42">
        <f>BG191</f>
        <v/>
      </c>
      <c r="BD192" s="42">
        <f>ROUND(BC192*BD$6/12,2)</f>
        <v/>
      </c>
      <c r="BE192" s="42">
        <f>MIN(BE$6,BC192+BD192)</f>
        <v/>
      </c>
      <c r="BF192" s="42">
        <f>MAX(0,MIN(BC192+BD192-BE192,BB192))</f>
        <v/>
      </c>
      <c r="BG192" s="42">
        <f>ROUND(BC192+BD192-BE192-BF192,2)</f>
        <v/>
      </c>
      <c r="BH192">
        <f>BB192-BF192</f>
        <v/>
      </c>
      <c r="BI192" s="42">
        <f>BM191</f>
        <v/>
      </c>
      <c r="BJ192" s="42">
        <f>ROUND(BI192*BJ$6/12,2)</f>
        <v/>
      </c>
      <c r="BK192" s="42">
        <f>MIN(BK$6,BI192+BJ192)</f>
        <v/>
      </c>
      <c r="BL192" s="42">
        <f>MAX(0,MIN(BI192+BJ192-BK192,BH192))</f>
        <v/>
      </c>
      <c r="BM192" s="42">
        <f>ROUND(BI192+BJ192-BK192-BL192,2)</f>
        <v/>
      </c>
      <c r="BN192">
        <f>BH192-BL192</f>
        <v/>
      </c>
    </row>
    <row r="193">
      <c r="A193" s="43" t="n">
        <v>186</v>
      </c>
      <c r="B193" s="44">
        <f>EDATE('My Debts'!$C$6,A193-1)</f>
        <v/>
      </c>
      <c r="C193" s="45">
        <f>K193+Q193+W193+AC193+AI193+AO193+AU193+BA193+BG193+BM193</f>
        <v/>
      </c>
      <c r="D193" s="46">
        <f>I193+O193+U193+AA193+AG193+AM193+AS193+AY193+BE193+BK193+J193+P193+V193+AB193+AH193+AN193+AT193+AZ193+BF193+BL193</f>
        <v/>
      </c>
      <c r="E193" s="46">
        <f>H193+N193+T193+Z193+AF193+AL193+AR193+AX193+BD193+BJ193</f>
        <v/>
      </c>
      <c r="F193" t="n">
        <v>0</v>
      </c>
      <c r="G193" s="42">
        <f>K192</f>
        <v/>
      </c>
      <c r="H193" s="42">
        <f>ROUND(G193*H$6/12,2)</f>
        <v/>
      </c>
      <c r="I193" s="42">
        <f>MIN(I$6,G193+H193)</f>
        <v/>
      </c>
      <c r="J193" s="42">
        <f>MAX(0,MIN(G193+H193-I193,$F193))</f>
        <v/>
      </c>
      <c r="K193" s="42">
        <f>ROUND(G193+H193-I193-J193,2)</f>
        <v/>
      </c>
      <c r="L193">
        <f>$F193-J193</f>
        <v/>
      </c>
      <c r="M193" s="42">
        <f>Q192</f>
        <v/>
      </c>
      <c r="N193" s="42">
        <f>ROUND(M193*N$6/12,2)</f>
        <v/>
      </c>
      <c r="O193" s="42">
        <f>MIN(O$6,M193+N193)</f>
        <v/>
      </c>
      <c r="P193" s="42">
        <f>MAX(0,MIN(M193+N193-O193,L193))</f>
        <v/>
      </c>
      <c r="Q193" s="42">
        <f>ROUND(M193+N193-O193-P193,2)</f>
        <v/>
      </c>
      <c r="R193">
        <f>L193-P193</f>
        <v/>
      </c>
      <c r="S193" s="42">
        <f>W192</f>
        <v/>
      </c>
      <c r="T193" s="42">
        <f>ROUND(S193*T$6/12,2)</f>
        <v/>
      </c>
      <c r="U193" s="42">
        <f>MIN(U$6,S193+T193)</f>
        <v/>
      </c>
      <c r="V193" s="42">
        <f>MAX(0,MIN(S193+T193-U193,R193))</f>
        <v/>
      </c>
      <c r="W193" s="42">
        <f>ROUND(S193+T193-U193-V193,2)</f>
        <v/>
      </c>
      <c r="X193">
        <f>R193-V193</f>
        <v/>
      </c>
      <c r="Y193" s="42">
        <f>AC192</f>
        <v/>
      </c>
      <c r="Z193" s="42">
        <f>ROUND(Y193*Z$6/12,2)</f>
        <v/>
      </c>
      <c r="AA193" s="42">
        <f>MIN(AA$6,Y193+Z193)</f>
        <v/>
      </c>
      <c r="AB193" s="42">
        <f>MAX(0,MIN(Y193+Z193-AA193,X193))</f>
        <v/>
      </c>
      <c r="AC193" s="42">
        <f>ROUND(Y193+Z193-AA193-AB193,2)</f>
        <v/>
      </c>
      <c r="AD193">
        <f>X193-AB193</f>
        <v/>
      </c>
      <c r="AE193" s="42">
        <f>AI192</f>
        <v/>
      </c>
      <c r="AF193" s="42">
        <f>ROUND(AE193*AF$6/12,2)</f>
        <v/>
      </c>
      <c r="AG193" s="42">
        <f>MIN(AG$6,AE193+AF193)</f>
        <v/>
      </c>
      <c r="AH193" s="42">
        <f>MAX(0,MIN(AE193+AF193-AG193,AD193))</f>
        <v/>
      </c>
      <c r="AI193" s="42">
        <f>ROUND(AE193+AF193-AG193-AH193,2)</f>
        <v/>
      </c>
      <c r="AJ193">
        <f>AD193-AH193</f>
        <v/>
      </c>
      <c r="AK193" s="42">
        <f>AO192</f>
        <v/>
      </c>
      <c r="AL193" s="42">
        <f>ROUND(AK193*AL$6/12,2)</f>
        <v/>
      </c>
      <c r="AM193" s="42">
        <f>MIN(AM$6,AK193+AL193)</f>
        <v/>
      </c>
      <c r="AN193" s="42">
        <f>MAX(0,MIN(AK193+AL193-AM193,AJ193))</f>
        <v/>
      </c>
      <c r="AO193" s="42">
        <f>ROUND(AK193+AL193-AM193-AN193,2)</f>
        <v/>
      </c>
      <c r="AP193">
        <f>AJ193-AN193</f>
        <v/>
      </c>
      <c r="AQ193" s="42">
        <f>AU192</f>
        <v/>
      </c>
      <c r="AR193" s="42">
        <f>ROUND(AQ193*AR$6/12,2)</f>
        <v/>
      </c>
      <c r="AS193" s="42">
        <f>MIN(AS$6,AQ193+AR193)</f>
        <v/>
      </c>
      <c r="AT193" s="42">
        <f>MAX(0,MIN(AQ193+AR193-AS193,AP193))</f>
        <v/>
      </c>
      <c r="AU193" s="42">
        <f>ROUND(AQ193+AR193-AS193-AT193,2)</f>
        <v/>
      </c>
      <c r="AV193">
        <f>AP193-AT193</f>
        <v/>
      </c>
      <c r="AW193" s="42">
        <f>BA192</f>
        <v/>
      </c>
      <c r="AX193" s="42">
        <f>ROUND(AW193*AX$6/12,2)</f>
        <v/>
      </c>
      <c r="AY193" s="42">
        <f>MIN(AY$6,AW193+AX193)</f>
        <v/>
      </c>
      <c r="AZ193" s="42">
        <f>MAX(0,MIN(AW193+AX193-AY193,AV193))</f>
        <v/>
      </c>
      <c r="BA193" s="42">
        <f>ROUND(AW193+AX193-AY193-AZ193,2)</f>
        <v/>
      </c>
      <c r="BB193">
        <f>AV193-AZ193</f>
        <v/>
      </c>
      <c r="BC193" s="42">
        <f>BG192</f>
        <v/>
      </c>
      <c r="BD193" s="42">
        <f>ROUND(BC193*BD$6/12,2)</f>
        <v/>
      </c>
      <c r="BE193" s="42">
        <f>MIN(BE$6,BC193+BD193)</f>
        <v/>
      </c>
      <c r="BF193" s="42">
        <f>MAX(0,MIN(BC193+BD193-BE193,BB193))</f>
        <v/>
      </c>
      <c r="BG193" s="42">
        <f>ROUND(BC193+BD193-BE193-BF193,2)</f>
        <v/>
      </c>
      <c r="BH193">
        <f>BB193-BF193</f>
        <v/>
      </c>
      <c r="BI193" s="42">
        <f>BM192</f>
        <v/>
      </c>
      <c r="BJ193" s="42">
        <f>ROUND(BI193*BJ$6/12,2)</f>
        <v/>
      </c>
      <c r="BK193" s="42">
        <f>MIN(BK$6,BI193+BJ193)</f>
        <v/>
      </c>
      <c r="BL193" s="42">
        <f>MAX(0,MIN(BI193+BJ193-BK193,BH193))</f>
        <v/>
      </c>
      <c r="BM193" s="42">
        <f>ROUND(BI193+BJ193-BK193-BL193,2)</f>
        <v/>
      </c>
      <c r="BN193">
        <f>BH193-BL193</f>
        <v/>
      </c>
    </row>
    <row r="194">
      <c r="A194" s="39" t="n">
        <v>187</v>
      </c>
      <c r="B194" s="40">
        <f>EDATE('My Debts'!$C$6,A194-1)</f>
        <v/>
      </c>
      <c r="C194" s="41">
        <f>K194+Q194+W194+AC194+AI194+AO194+AU194+BA194+BG194+BM194</f>
        <v/>
      </c>
      <c r="D194" s="42">
        <f>I194+O194+U194+AA194+AG194+AM194+AS194+AY194+BE194+BK194+J194+P194+V194+AB194+AH194+AN194+AT194+AZ194+BF194+BL194</f>
        <v/>
      </c>
      <c r="E194" s="42">
        <f>H194+N194+T194+Z194+AF194+AL194+AR194+AX194+BD194+BJ194</f>
        <v/>
      </c>
      <c r="F194" t="n">
        <v>0</v>
      </c>
      <c r="G194" s="42">
        <f>K193</f>
        <v/>
      </c>
      <c r="H194" s="42">
        <f>ROUND(G194*H$6/12,2)</f>
        <v/>
      </c>
      <c r="I194" s="42">
        <f>MIN(I$6,G194+H194)</f>
        <v/>
      </c>
      <c r="J194" s="42">
        <f>MAX(0,MIN(G194+H194-I194,$F194))</f>
        <v/>
      </c>
      <c r="K194" s="42">
        <f>ROUND(G194+H194-I194-J194,2)</f>
        <v/>
      </c>
      <c r="L194">
        <f>$F194-J194</f>
        <v/>
      </c>
      <c r="M194" s="42">
        <f>Q193</f>
        <v/>
      </c>
      <c r="N194" s="42">
        <f>ROUND(M194*N$6/12,2)</f>
        <v/>
      </c>
      <c r="O194" s="42">
        <f>MIN(O$6,M194+N194)</f>
        <v/>
      </c>
      <c r="P194" s="42">
        <f>MAX(0,MIN(M194+N194-O194,L194))</f>
        <v/>
      </c>
      <c r="Q194" s="42">
        <f>ROUND(M194+N194-O194-P194,2)</f>
        <v/>
      </c>
      <c r="R194">
        <f>L194-P194</f>
        <v/>
      </c>
      <c r="S194" s="42">
        <f>W193</f>
        <v/>
      </c>
      <c r="T194" s="42">
        <f>ROUND(S194*T$6/12,2)</f>
        <v/>
      </c>
      <c r="U194" s="42">
        <f>MIN(U$6,S194+T194)</f>
        <v/>
      </c>
      <c r="V194" s="42">
        <f>MAX(0,MIN(S194+T194-U194,R194))</f>
        <v/>
      </c>
      <c r="W194" s="42">
        <f>ROUND(S194+T194-U194-V194,2)</f>
        <v/>
      </c>
      <c r="X194">
        <f>R194-V194</f>
        <v/>
      </c>
      <c r="Y194" s="42">
        <f>AC193</f>
        <v/>
      </c>
      <c r="Z194" s="42">
        <f>ROUND(Y194*Z$6/12,2)</f>
        <v/>
      </c>
      <c r="AA194" s="42">
        <f>MIN(AA$6,Y194+Z194)</f>
        <v/>
      </c>
      <c r="AB194" s="42">
        <f>MAX(0,MIN(Y194+Z194-AA194,X194))</f>
        <v/>
      </c>
      <c r="AC194" s="42">
        <f>ROUND(Y194+Z194-AA194-AB194,2)</f>
        <v/>
      </c>
      <c r="AD194">
        <f>X194-AB194</f>
        <v/>
      </c>
      <c r="AE194" s="42">
        <f>AI193</f>
        <v/>
      </c>
      <c r="AF194" s="42">
        <f>ROUND(AE194*AF$6/12,2)</f>
        <v/>
      </c>
      <c r="AG194" s="42">
        <f>MIN(AG$6,AE194+AF194)</f>
        <v/>
      </c>
      <c r="AH194" s="42">
        <f>MAX(0,MIN(AE194+AF194-AG194,AD194))</f>
        <v/>
      </c>
      <c r="AI194" s="42">
        <f>ROUND(AE194+AF194-AG194-AH194,2)</f>
        <v/>
      </c>
      <c r="AJ194">
        <f>AD194-AH194</f>
        <v/>
      </c>
      <c r="AK194" s="42">
        <f>AO193</f>
        <v/>
      </c>
      <c r="AL194" s="42">
        <f>ROUND(AK194*AL$6/12,2)</f>
        <v/>
      </c>
      <c r="AM194" s="42">
        <f>MIN(AM$6,AK194+AL194)</f>
        <v/>
      </c>
      <c r="AN194" s="42">
        <f>MAX(0,MIN(AK194+AL194-AM194,AJ194))</f>
        <v/>
      </c>
      <c r="AO194" s="42">
        <f>ROUND(AK194+AL194-AM194-AN194,2)</f>
        <v/>
      </c>
      <c r="AP194">
        <f>AJ194-AN194</f>
        <v/>
      </c>
      <c r="AQ194" s="42">
        <f>AU193</f>
        <v/>
      </c>
      <c r="AR194" s="42">
        <f>ROUND(AQ194*AR$6/12,2)</f>
        <v/>
      </c>
      <c r="AS194" s="42">
        <f>MIN(AS$6,AQ194+AR194)</f>
        <v/>
      </c>
      <c r="AT194" s="42">
        <f>MAX(0,MIN(AQ194+AR194-AS194,AP194))</f>
        <v/>
      </c>
      <c r="AU194" s="42">
        <f>ROUND(AQ194+AR194-AS194-AT194,2)</f>
        <v/>
      </c>
      <c r="AV194">
        <f>AP194-AT194</f>
        <v/>
      </c>
      <c r="AW194" s="42">
        <f>BA193</f>
        <v/>
      </c>
      <c r="AX194" s="42">
        <f>ROUND(AW194*AX$6/12,2)</f>
        <v/>
      </c>
      <c r="AY194" s="42">
        <f>MIN(AY$6,AW194+AX194)</f>
        <v/>
      </c>
      <c r="AZ194" s="42">
        <f>MAX(0,MIN(AW194+AX194-AY194,AV194))</f>
        <v/>
      </c>
      <c r="BA194" s="42">
        <f>ROUND(AW194+AX194-AY194-AZ194,2)</f>
        <v/>
      </c>
      <c r="BB194">
        <f>AV194-AZ194</f>
        <v/>
      </c>
      <c r="BC194" s="42">
        <f>BG193</f>
        <v/>
      </c>
      <c r="BD194" s="42">
        <f>ROUND(BC194*BD$6/12,2)</f>
        <v/>
      </c>
      <c r="BE194" s="42">
        <f>MIN(BE$6,BC194+BD194)</f>
        <v/>
      </c>
      <c r="BF194" s="42">
        <f>MAX(0,MIN(BC194+BD194-BE194,BB194))</f>
        <v/>
      </c>
      <c r="BG194" s="42">
        <f>ROUND(BC194+BD194-BE194-BF194,2)</f>
        <v/>
      </c>
      <c r="BH194">
        <f>BB194-BF194</f>
        <v/>
      </c>
      <c r="BI194" s="42">
        <f>BM193</f>
        <v/>
      </c>
      <c r="BJ194" s="42">
        <f>ROUND(BI194*BJ$6/12,2)</f>
        <v/>
      </c>
      <c r="BK194" s="42">
        <f>MIN(BK$6,BI194+BJ194)</f>
        <v/>
      </c>
      <c r="BL194" s="42">
        <f>MAX(0,MIN(BI194+BJ194-BK194,BH194))</f>
        <v/>
      </c>
      <c r="BM194" s="42">
        <f>ROUND(BI194+BJ194-BK194-BL194,2)</f>
        <v/>
      </c>
      <c r="BN194">
        <f>BH194-BL194</f>
        <v/>
      </c>
    </row>
    <row r="195">
      <c r="A195" s="43" t="n">
        <v>188</v>
      </c>
      <c r="B195" s="44">
        <f>EDATE('My Debts'!$C$6,A195-1)</f>
        <v/>
      </c>
      <c r="C195" s="45">
        <f>K195+Q195+W195+AC195+AI195+AO195+AU195+BA195+BG195+BM195</f>
        <v/>
      </c>
      <c r="D195" s="46">
        <f>I195+O195+U195+AA195+AG195+AM195+AS195+AY195+BE195+BK195+J195+P195+V195+AB195+AH195+AN195+AT195+AZ195+BF195+BL195</f>
        <v/>
      </c>
      <c r="E195" s="46">
        <f>H195+N195+T195+Z195+AF195+AL195+AR195+AX195+BD195+BJ195</f>
        <v/>
      </c>
      <c r="F195" t="n">
        <v>0</v>
      </c>
      <c r="G195" s="42">
        <f>K194</f>
        <v/>
      </c>
      <c r="H195" s="42">
        <f>ROUND(G195*H$6/12,2)</f>
        <v/>
      </c>
      <c r="I195" s="42">
        <f>MIN(I$6,G195+H195)</f>
        <v/>
      </c>
      <c r="J195" s="42">
        <f>MAX(0,MIN(G195+H195-I195,$F195))</f>
        <v/>
      </c>
      <c r="K195" s="42">
        <f>ROUND(G195+H195-I195-J195,2)</f>
        <v/>
      </c>
      <c r="L195">
        <f>$F195-J195</f>
        <v/>
      </c>
      <c r="M195" s="42">
        <f>Q194</f>
        <v/>
      </c>
      <c r="N195" s="42">
        <f>ROUND(M195*N$6/12,2)</f>
        <v/>
      </c>
      <c r="O195" s="42">
        <f>MIN(O$6,M195+N195)</f>
        <v/>
      </c>
      <c r="P195" s="42">
        <f>MAX(0,MIN(M195+N195-O195,L195))</f>
        <v/>
      </c>
      <c r="Q195" s="42">
        <f>ROUND(M195+N195-O195-P195,2)</f>
        <v/>
      </c>
      <c r="R195">
        <f>L195-P195</f>
        <v/>
      </c>
      <c r="S195" s="42">
        <f>W194</f>
        <v/>
      </c>
      <c r="T195" s="42">
        <f>ROUND(S195*T$6/12,2)</f>
        <v/>
      </c>
      <c r="U195" s="42">
        <f>MIN(U$6,S195+T195)</f>
        <v/>
      </c>
      <c r="V195" s="42">
        <f>MAX(0,MIN(S195+T195-U195,R195))</f>
        <v/>
      </c>
      <c r="W195" s="42">
        <f>ROUND(S195+T195-U195-V195,2)</f>
        <v/>
      </c>
      <c r="X195">
        <f>R195-V195</f>
        <v/>
      </c>
      <c r="Y195" s="42">
        <f>AC194</f>
        <v/>
      </c>
      <c r="Z195" s="42">
        <f>ROUND(Y195*Z$6/12,2)</f>
        <v/>
      </c>
      <c r="AA195" s="42">
        <f>MIN(AA$6,Y195+Z195)</f>
        <v/>
      </c>
      <c r="AB195" s="42">
        <f>MAX(0,MIN(Y195+Z195-AA195,X195))</f>
        <v/>
      </c>
      <c r="AC195" s="42">
        <f>ROUND(Y195+Z195-AA195-AB195,2)</f>
        <v/>
      </c>
      <c r="AD195">
        <f>X195-AB195</f>
        <v/>
      </c>
      <c r="AE195" s="42">
        <f>AI194</f>
        <v/>
      </c>
      <c r="AF195" s="42">
        <f>ROUND(AE195*AF$6/12,2)</f>
        <v/>
      </c>
      <c r="AG195" s="42">
        <f>MIN(AG$6,AE195+AF195)</f>
        <v/>
      </c>
      <c r="AH195" s="42">
        <f>MAX(0,MIN(AE195+AF195-AG195,AD195))</f>
        <v/>
      </c>
      <c r="AI195" s="42">
        <f>ROUND(AE195+AF195-AG195-AH195,2)</f>
        <v/>
      </c>
      <c r="AJ195">
        <f>AD195-AH195</f>
        <v/>
      </c>
      <c r="AK195" s="42">
        <f>AO194</f>
        <v/>
      </c>
      <c r="AL195" s="42">
        <f>ROUND(AK195*AL$6/12,2)</f>
        <v/>
      </c>
      <c r="AM195" s="42">
        <f>MIN(AM$6,AK195+AL195)</f>
        <v/>
      </c>
      <c r="AN195" s="42">
        <f>MAX(0,MIN(AK195+AL195-AM195,AJ195))</f>
        <v/>
      </c>
      <c r="AO195" s="42">
        <f>ROUND(AK195+AL195-AM195-AN195,2)</f>
        <v/>
      </c>
      <c r="AP195">
        <f>AJ195-AN195</f>
        <v/>
      </c>
      <c r="AQ195" s="42">
        <f>AU194</f>
        <v/>
      </c>
      <c r="AR195" s="42">
        <f>ROUND(AQ195*AR$6/12,2)</f>
        <v/>
      </c>
      <c r="AS195" s="42">
        <f>MIN(AS$6,AQ195+AR195)</f>
        <v/>
      </c>
      <c r="AT195" s="42">
        <f>MAX(0,MIN(AQ195+AR195-AS195,AP195))</f>
        <v/>
      </c>
      <c r="AU195" s="42">
        <f>ROUND(AQ195+AR195-AS195-AT195,2)</f>
        <v/>
      </c>
      <c r="AV195">
        <f>AP195-AT195</f>
        <v/>
      </c>
      <c r="AW195" s="42">
        <f>BA194</f>
        <v/>
      </c>
      <c r="AX195" s="42">
        <f>ROUND(AW195*AX$6/12,2)</f>
        <v/>
      </c>
      <c r="AY195" s="42">
        <f>MIN(AY$6,AW195+AX195)</f>
        <v/>
      </c>
      <c r="AZ195" s="42">
        <f>MAX(0,MIN(AW195+AX195-AY195,AV195))</f>
        <v/>
      </c>
      <c r="BA195" s="42">
        <f>ROUND(AW195+AX195-AY195-AZ195,2)</f>
        <v/>
      </c>
      <c r="BB195">
        <f>AV195-AZ195</f>
        <v/>
      </c>
      <c r="BC195" s="42">
        <f>BG194</f>
        <v/>
      </c>
      <c r="BD195" s="42">
        <f>ROUND(BC195*BD$6/12,2)</f>
        <v/>
      </c>
      <c r="BE195" s="42">
        <f>MIN(BE$6,BC195+BD195)</f>
        <v/>
      </c>
      <c r="BF195" s="42">
        <f>MAX(0,MIN(BC195+BD195-BE195,BB195))</f>
        <v/>
      </c>
      <c r="BG195" s="42">
        <f>ROUND(BC195+BD195-BE195-BF195,2)</f>
        <v/>
      </c>
      <c r="BH195">
        <f>BB195-BF195</f>
        <v/>
      </c>
      <c r="BI195" s="42">
        <f>BM194</f>
        <v/>
      </c>
      <c r="BJ195" s="42">
        <f>ROUND(BI195*BJ$6/12,2)</f>
        <v/>
      </c>
      <c r="BK195" s="42">
        <f>MIN(BK$6,BI195+BJ195)</f>
        <v/>
      </c>
      <c r="BL195" s="42">
        <f>MAX(0,MIN(BI195+BJ195-BK195,BH195))</f>
        <v/>
      </c>
      <c r="BM195" s="42">
        <f>ROUND(BI195+BJ195-BK195-BL195,2)</f>
        <v/>
      </c>
      <c r="BN195">
        <f>BH195-BL195</f>
        <v/>
      </c>
    </row>
    <row r="196">
      <c r="A196" s="39" t="n">
        <v>189</v>
      </c>
      <c r="B196" s="40">
        <f>EDATE('My Debts'!$C$6,A196-1)</f>
        <v/>
      </c>
      <c r="C196" s="41">
        <f>K196+Q196+W196+AC196+AI196+AO196+AU196+BA196+BG196+BM196</f>
        <v/>
      </c>
      <c r="D196" s="42">
        <f>I196+O196+U196+AA196+AG196+AM196+AS196+AY196+BE196+BK196+J196+P196+V196+AB196+AH196+AN196+AT196+AZ196+BF196+BL196</f>
        <v/>
      </c>
      <c r="E196" s="42">
        <f>H196+N196+T196+Z196+AF196+AL196+AR196+AX196+BD196+BJ196</f>
        <v/>
      </c>
      <c r="F196" t="n">
        <v>0</v>
      </c>
      <c r="G196" s="42">
        <f>K195</f>
        <v/>
      </c>
      <c r="H196" s="42">
        <f>ROUND(G196*H$6/12,2)</f>
        <v/>
      </c>
      <c r="I196" s="42">
        <f>MIN(I$6,G196+H196)</f>
        <v/>
      </c>
      <c r="J196" s="42">
        <f>MAX(0,MIN(G196+H196-I196,$F196))</f>
        <v/>
      </c>
      <c r="K196" s="42">
        <f>ROUND(G196+H196-I196-J196,2)</f>
        <v/>
      </c>
      <c r="L196">
        <f>$F196-J196</f>
        <v/>
      </c>
      <c r="M196" s="42">
        <f>Q195</f>
        <v/>
      </c>
      <c r="N196" s="42">
        <f>ROUND(M196*N$6/12,2)</f>
        <v/>
      </c>
      <c r="O196" s="42">
        <f>MIN(O$6,M196+N196)</f>
        <v/>
      </c>
      <c r="P196" s="42">
        <f>MAX(0,MIN(M196+N196-O196,L196))</f>
        <v/>
      </c>
      <c r="Q196" s="42">
        <f>ROUND(M196+N196-O196-P196,2)</f>
        <v/>
      </c>
      <c r="R196">
        <f>L196-P196</f>
        <v/>
      </c>
      <c r="S196" s="42">
        <f>W195</f>
        <v/>
      </c>
      <c r="T196" s="42">
        <f>ROUND(S196*T$6/12,2)</f>
        <v/>
      </c>
      <c r="U196" s="42">
        <f>MIN(U$6,S196+T196)</f>
        <v/>
      </c>
      <c r="V196" s="42">
        <f>MAX(0,MIN(S196+T196-U196,R196))</f>
        <v/>
      </c>
      <c r="W196" s="42">
        <f>ROUND(S196+T196-U196-V196,2)</f>
        <v/>
      </c>
      <c r="X196">
        <f>R196-V196</f>
        <v/>
      </c>
      <c r="Y196" s="42">
        <f>AC195</f>
        <v/>
      </c>
      <c r="Z196" s="42">
        <f>ROUND(Y196*Z$6/12,2)</f>
        <v/>
      </c>
      <c r="AA196" s="42">
        <f>MIN(AA$6,Y196+Z196)</f>
        <v/>
      </c>
      <c r="AB196" s="42">
        <f>MAX(0,MIN(Y196+Z196-AA196,X196))</f>
        <v/>
      </c>
      <c r="AC196" s="42">
        <f>ROUND(Y196+Z196-AA196-AB196,2)</f>
        <v/>
      </c>
      <c r="AD196">
        <f>X196-AB196</f>
        <v/>
      </c>
      <c r="AE196" s="42">
        <f>AI195</f>
        <v/>
      </c>
      <c r="AF196" s="42">
        <f>ROUND(AE196*AF$6/12,2)</f>
        <v/>
      </c>
      <c r="AG196" s="42">
        <f>MIN(AG$6,AE196+AF196)</f>
        <v/>
      </c>
      <c r="AH196" s="42">
        <f>MAX(0,MIN(AE196+AF196-AG196,AD196))</f>
        <v/>
      </c>
      <c r="AI196" s="42">
        <f>ROUND(AE196+AF196-AG196-AH196,2)</f>
        <v/>
      </c>
      <c r="AJ196">
        <f>AD196-AH196</f>
        <v/>
      </c>
      <c r="AK196" s="42">
        <f>AO195</f>
        <v/>
      </c>
      <c r="AL196" s="42">
        <f>ROUND(AK196*AL$6/12,2)</f>
        <v/>
      </c>
      <c r="AM196" s="42">
        <f>MIN(AM$6,AK196+AL196)</f>
        <v/>
      </c>
      <c r="AN196" s="42">
        <f>MAX(0,MIN(AK196+AL196-AM196,AJ196))</f>
        <v/>
      </c>
      <c r="AO196" s="42">
        <f>ROUND(AK196+AL196-AM196-AN196,2)</f>
        <v/>
      </c>
      <c r="AP196">
        <f>AJ196-AN196</f>
        <v/>
      </c>
      <c r="AQ196" s="42">
        <f>AU195</f>
        <v/>
      </c>
      <c r="AR196" s="42">
        <f>ROUND(AQ196*AR$6/12,2)</f>
        <v/>
      </c>
      <c r="AS196" s="42">
        <f>MIN(AS$6,AQ196+AR196)</f>
        <v/>
      </c>
      <c r="AT196" s="42">
        <f>MAX(0,MIN(AQ196+AR196-AS196,AP196))</f>
        <v/>
      </c>
      <c r="AU196" s="42">
        <f>ROUND(AQ196+AR196-AS196-AT196,2)</f>
        <v/>
      </c>
      <c r="AV196">
        <f>AP196-AT196</f>
        <v/>
      </c>
      <c r="AW196" s="42">
        <f>BA195</f>
        <v/>
      </c>
      <c r="AX196" s="42">
        <f>ROUND(AW196*AX$6/12,2)</f>
        <v/>
      </c>
      <c r="AY196" s="42">
        <f>MIN(AY$6,AW196+AX196)</f>
        <v/>
      </c>
      <c r="AZ196" s="42">
        <f>MAX(0,MIN(AW196+AX196-AY196,AV196))</f>
        <v/>
      </c>
      <c r="BA196" s="42">
        <f>ROUND(AW196+AX196-AY196-AZ196,2)</f>
        <v/>
      </c>
      <c r="BB196">
        <f>AV196-AZ196</f>
        <v/>
      </c>
      <c r="BC196" s="42">
        <f>BG195</f>
        <v/>
      </c>
      <c r="BD196" s="42">
        <f>ROUND(BC196*BD$6/12,2)</f>
        <v/>
      </c>
      <c r="BE196" s="42">
        <f>MIN(BE$6,BC196+BD196)</f>
        <v/>
      </c>
      <c r="BF196" s="42">
        <f>MAX(0,MIN(BC196+BD196-BE196,BB196))</f>
        <v/>
      </c>
      <c r="BG196" s="42">
        <f>ROUND(BC196+BD196-BE196-BF196,2)</f>
        <v/>
      </c>
      <c r="BH196">
        <f>BB196-BF196</f>
        <v/>
      </c>
      <c r="BI196" s="42">
        <f>BM195</f>
        <v/>
      </c>
      <c r="BJ196" s="42">
        <f>ROUND(BI196*BJ$6/12,2)</f>
        <v/>
      </c>
      <c r="BK196" s="42">
        <f>MIN(BK$6,BI196+BJ196)</f>
        <v/>
      </c>
      <c r="BL196" s="42">
        <f>MAX(0,MIN(BI196+BJ196-BK196,BH196))</f>
        <v/>
      </c>
      <c r="BM196" s="42">
        <f>ROUND(BI196+BJ196-BK196-BL196,2)</f>
        <v/>
      </c>
      <c r="BN196">
        <f>BH196-BL196</f>
        <v/>
      </c>
    </row>
    <row r="197">
      <c r="A197" s="43" t="n">
        <v>190</v>
      </c>
      <c r="B197" s="44">
        <f>EDATE('My Debts'!$C$6,A197-1)</f>
        <v/>
      </c>
      <c r="C197" s="45">
        <f>K197+Q197+W197+AC197+AI197+AO197+AU197+BA197+BG197+BM197</f>
        <v/>
      </c>
      <c r="D197" s="46">
        <f>I197+O197+U197+AA197+AG197+AM197+AS197+AY197+BE197+BK197+J197+P197+V197+AB197+AH197+AN197+AT197+AZ197+BF197+BL197</f>
        <v/>
      </c>
      <c r="E197" s="46">
        <f>H197+N197+T197+Z197+AF197+AL197+AR197+AX197+BD197+BJ197</f>
        <v/>
      </c>
      <c r="F197" t="n">
        <v>0</v>
      </c>
      <c r="G197" s="42">
        <f>K196</f>
        <v/>
      </c>
      <c r="H197" s="42">
        <f>ROUND(G197*H$6/12,2)</f>
        <v/>
      </c>
      <c r="I197" s="42">
        <f>MIN(I$6,G197+H197)</f>
        <v/>
      </c>
      <c r="J197" s="42">
        <f>MAX(0,MIN(G197+H197-I197,$F197))</f>
        <v/>
      </c>
      <c r="K197" s="42">
        <f>ROUND(G197+H197-I197-J197,2)</f>
        <v/>
      </c>
      <c r="L197">
        <f>$F197-J197</f>
        <v/>
      </c>
      <c r="M197" s="42">
        <f>Q196</f>
        <v/>
      </c>
      <c r="N197" s="42">
        <f>ROUND(M197*N$6/12,2)</f>
        <v/>
      </c>
      <c r="O197" s="42">
        <f>MIN(O$6,M197+N197)</f>
        <v/>
      </c>
      <c r="P197" s="42">
        <f>MAX(0,MIN(M197+N197-O197,L197))</f>
        <v/>
      </c>
      <c r="Q197" s="42">
        <f>ROUND(M197+N197-O197-P197,2)</f>
        <v/>
      </c>
      <c r="R197">
        <f>L197-P197</f>
        <v/>
      </c>
      <c r="S197" s="42">
        <f>W196</f>
        <v/>
      </c>
      <c r="T197" s="42">
        <f>ROUND(S197*T$6/12,2)</f>
        <v/>
      </c>
      <c r="U197" s="42">
        <f>MIN(U$6,S197+T197)</f>
        <v/>
      </c>
      <c r="V197" s="42">
        <f>MAX(0,MIN(S197+T197-U197,R197))</f>
        <v/>
      </c>
      <c r="W197" s="42">
        <f>ROUND(S197+T197-U197-V197,2)</f>
        <v/>
      </c>
      <c r="X197">
        <f>R197-V197</f>
        <v/>
      </c>
      <c r="Y197" s="42">
        <f>AC196</f>
        <v/>
      </c>
      <c r="Z197" s="42">
        <f>ROUND(Y197*Z$6/12,2)</f>
        <v/>
      </c>
      <c r="AA197" s="42">
        <f>MIN(AA$6,Y197+Z197)</f>
        <v/>
      </c>
      <c r="AB197" s="42">
        <f>MAX(0,MIN(Y197+Z197-AA197,X197))</f>
        <v/>
      </c>
      <c r="AC197" s="42">
        <f>ROUND(Y197+Z197-AA197-AB197,2)</f>
        <v/>
      </c>
      <c r="AD197">
        <f>X197-AB197</f>
        <v/>
      </c>
      <c r="AE197" s="42">
        <f>AI196</f>
        <v/>
      </c>
      <c r="AF197" s="42">
        <f>ROUND(AE197*AF$6/12,2)</f>
        <v/>
      </c>
      <c r="AG197" s="42">
        <f>MIN(AG$6,AE197+AF197)</f>
        <v/>
      </c>
      <c r="AH197" s="42">
        <f>MAX(0,MIN(AE197+AF197-AG197,AD197))</f>
        <v/>
      </c>
      <c r="AI197" s="42">
        <f>ROUND(AE197+AF197-AG197-AH197,2)</f>
        <v/>
      </c>
      <c r="AJ197">
        <f>AD197-AH197</f>
        <v/>
      </c>
      <c r="AK197" s="42">
        <f>AO196</f>
        <v/>
      </c>
      <c r="AL197" s="42">
        <f>ROUND(AK197*AL$6/12,2)</f>
        <v/>
      </c>
      <c r="AM197" s="42">
        <f>MIN(AM$6,AK197+AL197)</f>
        <v/>
      </c>
      <c r="AN197" s="42">
        <f>MAX(0,MIN(AK197+AL197-AM197,AJ197))</f>
        <v/>
      </c>
      <c r="AO197" s="42">
        <f>ROUND(AK197+AL197-AM197-AN197,2)</f>
        <v/>
      </c>
      <c r="AP197">
        <f>AJ197-AN197</f>
        <v/>
      </c>
      <c r="AQ197" s="42">
        <f>AU196</f>
        <v/>
      </c>
      <c r="AR197" s="42">
        <f>ROUND(AQ197*AR$6/12,2)</f>
        <v/>
      </c>
      <c r="AS197" s="42">
        <f>MIN(AS$6,AQ197+AR197)</f>
        <v/>
      </c>
      <c r="AT197" s="42">
        <f>MAX(0,MIN(AQ197+AR197-AS197,AP197))</f>
        <v/>
      </c>
      <c r="AU197" s="42">
        <f>ROUND(AQ197+AR197-AS197-AT197,2)</f>
        <v/>
      </c>
      <c r="AV197">
        <f>AP197-AT197</f>
        <v/>
      </c>
      <c r="AW197" s="42">
        <f>BA196</f>
        <v/>
      </c>
      <c r="AX197" s="42">
        <f>ROUND(AW197*AX$6/12,2)</f>
        <v/>
      </c>
      <c r="AY197" s="42">
        <f>MIN(AY$6,AW197+AX197)</f>
        <v/>
      </c>
      <c r="AZ197" s="42">
        <f>MAX(0,MIN(AW197+AX197-AY197,AV197))</f>
        <v/>
      </c>
      <c r="BA197" s="42">
        <f>ROUND(AW197+AX197-AY197-AZ197,2)</f>
        <v/>
      </c>
      <c r="BB197">
        <f>AV197-AZ197</f>
        <v/>
      </c>
      <c r="BC197" s="42">
        <f>BG196</f>
        <v/>
      </c>
      <c r="BD197" s="42">
        <f>ROUND(BC197*BD$6/12,2)</f>
        <v/>
      </c>
      <c r="BE197" s="42">
        <f>MIN(BE$6,BC197+BD197)</f>
        <v/>
      </c>
      <c r="BF197" s="42">
        <f>MAX(0,MIN(BC197+BD197-BE197,BB197))</f>
        <v/>
      </c>
      <c r="BG197" s="42">
        <f>ROUND(BC197+BD197-BE197-BF197,2)</f>
        <v/>
      </c>
      <c r="BH197">
        <f>BB197-BF197</f>
        <v/>
      </c>
      <c r="BI197" s="42">
        <f>BM196</f>
        <v/>
      </c>
      <c r="BJ197" s="42">
        <f>ROUND(BI197*BJ$6/12,2)</f>
        <v/>
      </c>
      <c r="BK197" s="42">
        <f>MIN(BK$6,BI197+BJ197)</f>
        <v/>
      </c>
      <c r="BL197" s="42">
        <f>MAX(0,MIN(BI197+BJ197-BK197,BH197))</f>
        <v/>
      </c>
      <c r="BM197" s="42">
        <f>ROUND(BI197+BJ197-BK197-BL197,2)</f>
        <v/>
      </c>
      <c r="BN197">
        <f>BH197-BL197</f>
        <v/>
      </c>
    </row>
    <row r="198">
      <c r="A198" s="39" t="n">
        <v>191</v>
      </c>
      <c r="B198" s="40">
        <f>EDATE('My Debts'!$C$6,A198-1)</f>
        <v/>
      </c>
      <c r="C198" s="41">
        <f>K198+Q198+W198+AC198+AI198+AO198+AU198+BA198+BG198+BM198</f>
        <v/>
      </c>
      <c r="D198" s="42">
        <f>I198+O198+U198+AA198+AG198+AM198+AS198+AY198+BE198+BK198+J198+P198+V198+AB198+AH198+AN198+AT198+AZ198+BF198+BL198</f>
        <v/>
      </c>
      <c r="E198" s="42">
        <f>H198+N198+T198+Z198+AF198+AL198+AR198+AX198+BD198+BJ198</f>
        <v/>
      </c>
      <c r="F198" t="n">
        <v>0</v>
      </c>
      <c r="G198" s="42">
        <f>K197</f>
        <v/>
      </c>
      <c r="H198" s="42">
        <f>ROUND(G198*H$6/12,2)</f>
        <v/>
      </c>
      <c r="I198" s="42">
        <f>MIN(I$6,G198+H198)</f>
        <v/>
      </c>
      <c r="J198" s="42">
        <f>MAX(0,MIN(G198+H198-I198,$F198))</f>
        <v/>
      </c>
      <c r="K198" s="42">
        <f>ROUND(G198+H198-I198-J198,2)</f>
        <v/>
      </c>
      <c r="L198">
        <f>$F198-J198</f>
        <v/>
      </c>
      <c r="M198" s="42">
        <f>Q197</f>
        <v/>
      </c>
      <c r="N198" s="42">
        <f>ROUND(M198*N$6/12,2)</f>
        <v/>
      </c>
      <c r="O198" s="42">
        <f>MIN(O$6,M198+N198)</f>
        <v/>
      </c>
      <c r="P198" s="42">
        <f>MAX(0,MIN(M198+N198-O198,L198))</f>
        <v/>
      </c>
      <c r="Q198" s="42">
        <f>ROUND(M198+N198-O198-P198,2)</f>
        <v/>
      </c>
      <c r="R198">
        <f>L198-P198</f>
        <v/>
      </c>
      <c r="S198" s="42">
        <f>W197</f>
        <v/>
      </c>
      <c r="T198" s="42">
        <f>ROUND(S198*T$6/12,2)</f>
        <v/>
      </c>
      <c r="U198" s="42">
        <f>MIN(U$6,S198+T198)</f>
        <v/>
      </c>
      <c r="V198" s="42">
        <f>MAX(0,MIN(S198+T198-U198,R198))</f>
        <v/>
      </c>
      <c r="W198" s="42">
        <f>ROUND(S198+T198-U198-V198,2)</f>
        <v/>
      </c>
      <c r="X198">
        <f>R198-V198</f>
        <v/>
      </c>
      <c r="Y198" s="42">
        <f>AC197</f>
        <v/>
      </c>
      <c r="Z198" s="42">
        <f>ROUND(Y198*Z$6/12,2)</f>
        <v/>
      </c>
      <c r="AA198" s="42">
        <f>MIN(AA$6,Y198+Z198)</f>
        <v/>
      </c>
      <c r="AB198" s="42">
        <f>MAX(0,MIN(Y198+Z198-AA198,X198))</f>
        <v/>
      </c>
      <c r="AC198" s="42">
        <f>ROUND(Y198+Z198-AA198-AB198,2)</f>
        <v/>
      </c>
      <c r="AD198">
        <f>X198-AB198</f>
        <v/>
      </c>
      <c r="AE198" s="42">
        <f>AI197</f>
        <v/>
      </c>
      <c r="AF198" s="42">
        <f>ROUND(AE198*AF$6/12,2)</f>
        <v/>
      </c>
      <c r="AG198" s="42">
        <f>MIN(AG$6,AE198+AF198)</f>
        <v/>
      </c>
      <c r="AH198" s="42">
        <f>MAX(0,MIN(AE198+AF198-AG198,AD198))</f>
        <v/>
      </c>
      <c r="AI198" s="42">
        <f>ROUND(AE198+AF198-AG198-AH198,2)</f>
        <v/>
      </c>
      <c r="AJ198">
        <f>AD198-AH198</f>
        <v/>
      </c>
      <c r="AK198" s="42">
        <f>AO197</f>
        <v/>
      </c>
      <c r="AL198" s="42">
        <f>ROUND(AK198*AL$6/12,2)</f>
        <v/>
      </c>
      <c r="AM198" s="42">
        <f>MIN(AM$6,AK198+AL198)</f>
        <v/>
      </c>
      <c r="AN198" s="42">
        <f>MAX(0,MIN(AK198+AL198-AM198,AJ198))</f>
        <v/>
      </c>
      <c r="AO198" s="42">
        <f>ROUND(AK198+AL198-AM198-AN198,2)</f>
        <v/>
      </c>
      <c r="AP198">
        <f>AJ198-AN198</f>
        <v/>
      </c>
      <c r="AQ198" s="42">
        <f>AU197</f>
        <v/>
      </c>
      <c r="AR198" s="42">
        <f>ROUND(AQ198*AR$6/12,2)</f>
        <v/>
      </c>
      <c r="AS198" s="42">
        <f>MIN(AS$6,AQ198+AR198)</f>
        <v/>
      </c>
      <c r="AT198" s="42">
        <f>MAX(0,MIN(AQ198+AR198-AS198,AP198))</f>
        <v/>
      </c>
      <c r="AU198" s="42">
        <f>ROUND(AQ198+AR198-AS198-AT198,2)</f>
        <v/>
      </c>
      <c r="AV198">
        <f>AP198-AT198</f>
        <v/>
      </c>
      <c r="AW198" s="42">
        <f>BA197</f>
        <v/>
      </c>
      <c r="AX198" s="42">
        <f>ROUND(AW198*AX$6/12,2)</f>
        <v/>
      </c>
      <c r="AY198" s="42">
        <f>MIN(AY$6,AW198+AX198)</f>
        <v/>
      </c>
      <c r="AZ198" s="42">
        <f>MAX(0,MIN(AW198+AX198-AY198,AV198))</f>
        <v/>
      </c>
      <c r="BA198" s="42">
        <f>ROUND(AW198+AX198-AY198-AZ198,2)</f>
        <v/>
      </c>
      <c r="BB198">
        <f>AV198-AZ198</f>
        <v/>
      </c>
      <c r="BC198" s="42">
        <f>BG197</f>
        <v/>
      </c>
      <c r="BD198" s="42">
        <f>ROUND(BC198*BD$6/12,2)</f>
        <v/>
      </c>
      <c r="BE198" s="42">
        <f>MIN(BE$6,BC198+BD198)</f>
        <v/>
      </c>
      <c r="BF198" s="42">
        <f>MAX(0,MIN(BC198+BD198-BE198,BB198))</f>
        <v/>
      </c>
      <c r="BG198" s="42">
        <f>ROUND(BC198+BD198-BE198-BF198,2)</f>
        <v/>
      </c>
      <c r="BH198">
        <f>BB198-BF198</f>
        <v/>
      </c>
      <c r="BI198" s="42">
        <f>BM197</f>
        <v/>
      </c>
      <c r="BJ198" s="42">
        <f>ROUND(BI198*BJ$6/12,2)</f>
        <v/>
      </c>
      <c r="BK198" s="42">
        <f>MIN(BK$6,BI198+BJ198)</f>
        <v/>
      </c>
      <c r="BL198" s="42">
        <f>MAX(0,MIN(BI198+BJ198-BK198,BH198))</f>
        <v/>
      </c>
      <c r="BM198" s="42">
        <f>ROUND(BI198+BJ198-BK198-BL198,2)</f>
        <v/>
      </c>
      <c r="BN198">
        <f>BH198-BL198</f>
        <v/>
      </c>
    </row>
    <row r="199">
      <c r="A199" s="43" t="n">
        <v>192</v>
      </c>
      <c r="B199" s="44">
        <f>EDATE('My Debts'!$C$6,A199-1)</f>
        <v/>
      </c>
      <c r="C199" s="45">
        <f>K199+Q199+W199+AC199+AI199+AO199+AU199+BA199+BG199+BM199</f>
        <v/>
      </c>
      <c r="D199" s="46">
        <f>I199+O199+U199+AA199+AG199+AM199+AS199+AY199+BE199+BK199+J199+P199+V199+AB199+AH199+AN199+AT199+AZ199+BF199+BL199</f>
        <v/>
      </c>
      <c r="E199" s="46">
        <f>H199+N199+T199+Z199+AF199+AL199+AR199+AX199+BD199+BJ199</f>
        <v/>
      </c>
      <c r="F199" t="n">
        <v>0</v>
      </c>
      <c r="G199" s="42">
        <f>K198</f>
        <v/>
      </c>
      <c r="H199" s="42">
        <f>ROUND(G199*H$6/12,2)</f>
        <v/>
      </c>
      <c r="I199" s="42">
        <f>MIN(I$6,G199+H199)</f>
        <v/>
      </c>
      <c r="J199" s="42">
        <f>MAX(0,MIN(G199+H199-I199,$F199))</f>
        <v/>
      </c>
      <c r="K199" s="42">
        <f>ROUND(G199+H199-I199-J199,2)</f>
        <v/>
      </c>
      <c r="L199">
        <f>$F199-J199</f>
        <v/>
      </c>
      <c r="M199" s="42">
        <f>Q198</f>
        <v/>
      </c>
      <c r="N199" s="42">
        <f>ROUND(M199*N$6/12,2)</f>
        <v/>
      </c>
      <c r="O199" s="42">
        <f>MIN(O$6,M199+N199)</f>
        <v/>
      </c>
      <c r="P199" s="42">
        <f>MAX(0,MIN(M199+N199-O199,L199))</f>
        <v/>
      </c>
      <c r="Q199" s="42">
        <f>ROUND(M199+N199-O199-P199,2)</f>
        <v/>
      </c>
      <c r="R199">
        <f>L199-P199</f>
        <v/>
      </c>
      <c r="S199" s="42">
        <f>W198</f>
        <v/>
      </c>
      <c r="T199" s="42">
        <f>ROUND(S199*T$6/12,2)</f>
        <v/>
      </c>
      <c r="U199" s="42">
        <f>MIN(U$6,S199+T199)</f>
        <v/>
      </c>
      <c r="V199" s="42">
        <f>MAX(0,MIN(S199+T199-U199,R199))</f>
        <v/>
      </c>
      <c r="W199" s="42">
        <f>ROUND(S199+T199-U199-V199,2)</f>
        <v/>
      </c>
      <c r="X199">
        <f>R199-V199</f>
        <v/>
      </c>
      <c r="Y199" s="42">
        <f>AC198</f>
        <v/>
      </c>
      <c r="Z199" s="42">
        <f>ROUND(Y199*Z$6/12,2)</f>
        <v/>
      </c>
      <c r="AA199" s="42">
        <f>MIN(AA$6,Y199+Z199)</f>
        <v/>
      </c>
      <c r="AB199" s="42">
        <f>MAX(0,MIN(Y199+Z199-AA199,X199))</f>
        <v/>
      </c>
      <c r="AC199" s="42">
        <f>ROUND(Y199+Z199-AA199-AB199,2)</f>
        <v/>
      </c>
      <c r="AD199">
        <f>X199-AB199</f>
        <v/>
      </c>
      <c r="AE199" s="42">
        <f>AI198</f>
        <v/>
      </c>
      <c r="AF199" s="42">
        <f>ROUND(AE199*AF$6/12,2)</f>
        <v/>
      </c>
      <c r="AG199" s="42">
        <f>MIN(AG$6,AE199+AF199)</f>
        <v/>
      </c>
      <c r="AH199" s="42">
        <f>MAX(0,MIN(AE199+AF199-AG199,AD199))</f>
        <v/>
      </c>
      <c r="AI199" s="42">
        <f>ROUND(AE199+AF199-AG199-AH199,2)</f>
        <v/>
      </c>
      <c r="AJ199">
        <f>AD199-AH199</f>
        <v/>
      </c>
      <c r="AK199" s="42">
        <f>AO198</f>
        <v/>
      </c>
      <c r="AL199" s="42">
        <f>ROUND(AK199*AL$6/12,2)</f>
        <v/>
      </c>
      <c r="AM199" s="42">
        <f>MIN(AM$6,AK199+AL199)</f>
        <v/>
      </c>
      <c r="AN199" s="42">
        <f>MAX(0,MIN(AK199+AL199-AM199,AJ199))</f>
        <v/>
      </c>
      <c r="AO199" s="42">
        <f>ROUND(AK199+AL199-AM199-AN199,2)</f>
        <v/>
      </c>
      <c r="AP199">
        <f>AJ199-AN199</f>
        <v/>
      </c>
      <c r="AQ199" s="42">
        <f>AU198</f>
        <v/>
      </c>
      <c r="AR199" s="42">
        <f>ROUND(AQ199*AR$6/12,2)</f>
        <v/>
      </c>
      <c r="AS199" s="42">
        <f>MIN(AS$6,AQ199+AR199)</f>
        <v/>
      </c>
      <c r="AT199" s="42">
        <f>MAX(0,MIN(AQ199+AR199-AS199,AP199))</f>
        <v/>
      </c>
      <c r="AU199" s="42">
        <f>ROUND(AQ199+AR199-AS199-AT199,2)</f>
        <v/>
      </c>
      <c r="AV199">
        <f>AP199-AT199</f>
        <v/>
      </c>
      <c r="AW199" s="42">
        <f>BA198</f>
        <v/>
      </c>
      <c r="AX199" s="42">
        <f>ROUND(AW199*AX$6/12,2)</f>
        <v/>
      </c>
      <c r="AY199" s="42">
        <f>MIN(AY$6,AW199+AX199)</f>
        <v/>
      </c>
      <c r="AZ199" s="42">
        <f>MAX(0,MIN(AW199+AX199-AY199,AV199))</f>
        <v/>
      </c>
      <c r="BA199" s="42">
        <f>ROUND(AW199+AX199-AY199-AZ199,2)</f>
        <v/>
      </c>
      <c r="BB199">
        <f>AV199-AZ199</f>
        <v/>
      </c>
      <c r="BC199" s="42">
        <f>BG198</f>
        <v/>
      </c>
      <c r="BD199" s="42">
        <f>ROUND(BC199*BD$6/12,2)</f>
        <v/>
      </c>
      <c r="BE199" s="42">
        <f>MIN(BE$6,BC199+BD199)</f>
        <v/>
      </c>
      <c r="BF199" s="42">
        <f>MAX(0,MIN(BC199+BD199-BE199,BB199))</f>
        <v/>
      </c>
      <c r="BG199" s="42">
        <f>ROUND(BC199+BD199-BE199-BF199,2)</f>
        <v/>
      </c>
      <c r="BH199">
        <f>BB199-BF199</f>
        <v/>
      </c>
      <c r="BI199" s="42">
        <f>BM198</f>
        <v/>
      </c>
      <c r="BJ199" s="42">
        <f>ROUND(BI199*BJ$6/12,2)</f>
        <v/>
      </c>
      <c r="BK199" s="42">
        <f>MIN(BK$6,BI199+BJ199)</f>
        <v/>
      </c>
      <c r="BL199" s="42">
        <f>MAX(0,MIN(BI199+BJ199-BK199,BH199))</f>
        <v/>
      </c>
      <c r="BM199" s="42">
        <f>ROUND(BI199+BJ199-BK199-BL199,2)</f>
        <v/>
      </c>
      <c r="BN199">
        <f>BH199-BL199</f>
        <v/>
      </c>
    </row>
    <row r="200">
      <c r="A200" s="39" t="n">
        <v>193</v>
      </c>
      <c r="B200" s="40">
        <f>EDATE('My Debts'!$C$6,A200-1)</f>
        <v/>
      </c>
      <c r="C200" s="41">
        <f>K200+Q200+W200+AC200+AI200+AO200+AU200+BA200+BG200+BM200</f>
        <v/>
      </c>
      <c r="D200" s="42">
        <f>I200+O200+U200+AA200+AG200+AM200+AS200+AY200+BE200+BK200+J200+P200+V200+AB200+AH200+AN200+AT200+AZ200+BF200+BL200</f>
        <v/>
      </c>
      <c r="E200" s="42">
        <f>H200+N200+T200+Z200+AF200+AL200+AR200+AX200+BD200+BJ200</f>
        <v/>
      </c>
      <c r="F200" t="n">
        <v>0</v>
      </c>
      <c r="G200" s="42">
        <f>K199</f>
        <v/>
      </c>
      <c r="H200" s="42">
        <f>ROUND(G200*H$6/12,2)</f>
        <v/>
      </c>
      <c r="I200" s="42">
        <f>MIN(I$6,G200+H200)</f>
        <v/>
      </c>
      <c r="J200" s="42">
        <f>MAX(0,MIN(G200+H200-I200,$F200))</f>
        <v/>
      </c>
      <c r="K200" s="42">
        <f>ROUND(G200+H200-I200-J200,2)</f>
        <v/>
      </c>
      <c r="L200">
        <f>$F200-J200</f>
        <v/>
      </c>
      <c r="M200" s="42">
        <f>Q199</f>
        <v/>
      </c>
      <c r="N200" s="42">
        <f>ROUND(M200*N$6/12,2)</f>
        <v/>
      </c>
      <c r="O200" s="42">
        <f>MIN(O$6,M200+N200)</f>
        <v/>
      </c>
      <c r="P200" s="42">
        <f>MAX(0,MIN(M200+N200-O200,L200))</f>
        <v/>
      </c>
      <c r="Q200" s="42">
        <f>ROUND(M200+N200-O200-P200,2)</f>
        <v/>
      </c>
      <c r="R200">
        <f>L200-P200</f>
        <v/>
      </c>
      <c r="S200" s="42">
        <f>W199</f>
        <v/>
      </c>
      <c r="T200" s="42">
        <f>ROUND(S200*T$6/12,2)</f>
        <v/>
      </c>
      <c r="U200" s="42">
        <f>MIN(U$6,S200+T200)</f>
        <v/>
      </c>
      <c r="V200" s="42">
        <f>MAX(0,MIN(S200+T200-U200,R200))</f>
        <v/>
      </c>
      <c r="W200" s="42">
        <f>ROUND(S200+T200-U200-V200,2)</f>
        <v/>
      </c>
      <c r="X200">
        <f>R200-V200</f>
        <v/>
      </c>
      <c r="Y200" s="42">
        <f>AC199</f>
        <v/>
      </c>
      <c r="Z200" s="42">
        <f>ROUND(Y200*Z$6/12,2)</f>
        <v/>
      </c>
      <c r="AA200" s="42">
        <f>MIN(AA$6,Y200+Z200)</f>
        <v/>
      </c>
      <c r="AB200" s="42">
        <f>MAX(0,MIN(Y200+Z200-AA200,X200))</f>
        <v/>
      </c>
      <c r="AC200" s="42">
        <f>ROUND(Y200+Z200-AA200-AB200,2)</f>
        <v/>
      </c>
      <c r="AD200">
        <f>X200-AB200</f>
        <v/>
      </c>
      <c r="AE200" s="42">
        <f>AI199</f>
        <v/>
      </c>
      <c r="AF200" s="42">
        <f>ROUND(AE200*AF$6/12,2)</f>
        <v/>
      </c>
      <c r="AG200" s="42">
        <f>MIN(AG$6,AE200+AF200)</f>
        <v/>
      </c>
      <c r="AH200" s="42">
        <f>MAX(0,MIN(AE200+AF200-AG200,AD200))</f>
        <v/>
      </c>
      <c r="AI200" s="42">
        <f>ROUND(AE200+AF200-AG200-AH200,2)</f>
        <v/>
      </c>
      <c r="AJ200">
        <f>AD200-AH200</f>
        <v/>
      </c>
      <c r="AK200" s="42">
        <f>AO199</f>
        <v/>
      </c>
      <c r="AL200" s="42">
        <f>ROUND(AK200*AL$6/12,2)</f>
        <v/>
      </c>
      <c r="AM200" s="42">
        <f>MIN(AM$6,AK200+AL200)</f>
        <v/>
      </c>
      <c r="AN200" s="42">
        <f>MAX(0,MIN(AK200+AL200-AM200,AJ200))</f>
        <v/>
      </c>
      <c r="AO200" s="42">
        <f>ROUND(AK200+AL200-AM200-AN200,2)</f>
        <v/>
      </c>
      <c r="AP200">
        <f>AJ200-AN200</f>
        <v/>
      </c>
      <c r="AQ200" s="42">
        <f>AU199</f>
        <v/>
      </c>
      <c r="AR200" s="42">
        <f>ROUND(AQ200*AR$6/12,2)</f>
        <v/>
      </c>
      <c r="AS200" s="42">
        <f>MIN(AS$6,AQ200+AR200)</f>
        <v/>
      </c>
      <c r="AT200" s="42">
        <f>MAX(0,MIN(AQ200+AR200-AS200,AP200))</f>
        <v/>
      </c>
      <c r="AU200" s="42">
        <f>ROUND(AQ200+AR200-AS200-AT200,2)</f>
        <v/>
      </c>
      <c r="AV200">
        <f>AP200-AT200</f>
        <v/>
      </c>
      <c r="AW200" s="42">
        <f>BA199</f>
        <v/>
      </c>
      <c r="AX200" s="42">
        <f>ROUND(AW200*AX$6/12,2)</f>
        <v/>
      </c>
      <c r="AY200" s="42">
        <f>MIN(AY$6,AW200+AX200)</f>
        <v/>
      </c>
      <c r="AZ200" s="42">
        <f>MAX(0,MIN(AW200+AX200-AY200,AV200))</f>
        <v/>
      </c>
      <c r="BA200" s="42">
        <f>ROUND(AW200+AX200-AY200-AZ200,2)</f>
        <v/>
      </c>
      <c r="BB200">
        <f>AV200-AZ200</f>
        <v/>
      </c>
      <c r="BC200" s="42">
        <f>BG199</f>
        <v/>
      </c>
      <c r="BD200" s="42">
        <f>ROUND(BC200*BD$6/12,2)</f>
        <v/>
      </c>
      <c r="BE200" s="42">
        <f>MIN(BE$6,BC200+BD200)</f>
        <v/>
      </c>
      <c r="BF200" s="42">
        <f>MAX(0,MIN(BC200+BD200-BE200,BB200))</f>
        <v/>
      </c>
      <c r="BG200" s="42">
        <f>ROUND(BC200+BD200-BE200-BF200,2)</f>
        <v/>
      </c>
      <c r="BH200">
        <f>BB200-BF200</f>
        <v/>
      </c>
      <c r="BI200" s="42">
        <f>BM199</f>
        <v/>
      </c>
      <c r="BJ200" s="42">
        <f>ROUND(BI200*BJ$6/12,2)</f>
        <v/>
      </c>
      <c r="BK200" s="42">
        <f>MIN(BK$6,BI200+BJ200)</f>
        <v/>
      </c>
      <c r="BL200" s="42">
        <f>MAX(0,MIN(BI200+BJ200-BK200,BH200))</f>
        <v/>
      </c>
      <c r="BM200" s="42">
        <f>ROUND(BI200+BJ200-BK200-BL200,2)</f>
        <v/>
      </c>
      <c r="BN200">
        <f>BH200-BL200</f>
        <v/>
      </c>
    </row>
    <row r="201">
      <c r="A201" s="43" t="n">
        <v>194</v>
      </c>
      <c r="B201" s="44">
        <f>EDATE('My Debts'!$C$6,A201-1)</f>
        <v/>
      </c>
      <c r="C201" s="45">
        <f>K201+Q201+W201+AC201+AI201+AO201+AU201+BA201+BG201+BM201</f>
        <v/>
      </c>
      <c r="D201" s="46">
        <f>I201+O201+U201+AA201+AG201+AM201+AS201+AY201+BE201+BK201+J201+P201+V201+AB201+AH201+AN201+AT201+AZ201+BF201+BL201</f>
        <v/>
      </c>
      <c r="E201" s="46">
        <f>H201+N201+T201+Z201+AF201+AL201+AR201+AX201+BD201+BJ201</f>
        <v/>
      </c>
      <c r="F201" t="n">
        <v>0</v>
      </c>
      <c r="G201" s="42">
        <f>K200</f>
        <v/>
      </c>
      <c r="H201" s="42">
        <f>ROUND(G201*H$6/12,2)</f>
        <v/>
      </c>
      <c r="I201" s="42">
        <f>MIN(I$6,G201+H201)</f>
        <v/>
      </c>
      <c r="J201" s="42">
        <f>MAX(0,MIN(G201+H201-I201,$F201))</f>
        <v/>
      </c>
      <c r="K201" s="42">
        <f>ROUND(G201+H201-I201-J201,2)</f>
        <v/>
      </c>
      <c r="L201">
        <f>$F201-J201</f>
        <v/>
      </c>
      <c r="M201" s="42">
        <f>Q200</f>
        <v/>
      </c>
      <c r="N201" s="42">
        <f>ROUND(M201*N$6/12,2)</f>
        <v/>
      </c>
      <c r="O201" s="42">
        <f>MIN(O$6,M201+N201)</f>
        <v/>
      </c>
      <c r="P201" s="42">
        <f>MAX(0,MIN(M201+N201-O201,L201))</f>
        <v/>
      </c>
      <c r="Q201" s="42">
        <f>ROUND(M201+N201-O201-P201,2)</f>
        <v/>
      </c>
      <c r="R201">
        <f>L201-P201</f>
        <v/>
      </c>
      <c r="S201" s="42">
        <f>W200</f>
        <v/>
      </c>
      <c r="T201" s="42">
        <f>ROUND(S201*T$6/12,2)</f>
        <v/>
      </c>
      <c r="U201" s="42">
        <f>MIN(U$6,S201+T201)</f>
        <v/>
      </c>
      <c r="V201" s="42">
        <f>MAX(0,MIN(S201+T201-U201,R201))</f>
        <v/>
      </c>
      <c r="W201" s="42">
        <f>ROUND(S201+T201-U201-V201,2)</f>
        <v/>
      </c>
      <c r="X201">
        <f>R201-V201</f>
        <v/>
      </c>
      <c r="Y201" s="42">
        <f>AC200</f>
        <v/>
      </c>
      <c r="Z201" s="42">
        <f>ROUND(Y201*Z$6/12,2)</f>
        <v/>
      </c>
      <c r="AA201" s="42">
        <f>MIN(AA$6,Y201+Z201)</f>
        <v/>
      </c>
      <c r="AB201" s="42">
        <f>MAX(0,MIN(Y201+Z201-AA201,X201))</f>
        <v/>
      </c>
      <c r="AC201" s="42">
        <f>ROUND(Y201+Z201-AA201-AB201,2)</f>
        <v/>
      </c>
      <c r="AD201">
        <f>X201-AB201</f>
        <v/>
      </c>
      <c r="AE201" s="42">
        <f>AI200</f>
        <v/>
      </c>
      <c r="AF201" s="42">
        <f>ROUND(AE201*AF$6/12,2)</f>
        <v/>
      </c>
      <c r="AG201" s="42">
        <f>MIN(AG$6,AE201+AF201)</f>
        <v/>
      </c>
      <c r="AH201" s="42">
        <f>MAX(0,MIN(AE201+AF201-AG201,AD201))</f>
        <v/>
      </c>
      <c r="AI201" s="42">
        <f>ROUND(AE201+AF201-AG201-AH201,2)</f>
        <v/>
      </c>
      <c r="AJ201">
        <f>AD201-AH201</f>
        <v/>
      </c>
      <c r="AK201" s="42">
        <f>AO200</f>
        <v/>
      </c>
      <c r="AL201" s="42">
        <f>ROUND(AK201*AL$6/12,2)</f>
        <v/>
      </c>
      <c r="AM201" s="42">
        <f>MIN(AM$6,AK201+AL201)</f>
        <v/>
      </c>
      <c r="AN201" s="42">
        <f>MAX(0,MIN(AK201+AL201-AM201,AJ201))</f>
        <v/>
      </c>
      <c r="AO201" s="42">
        <f>ROUND(AK201+AL201-AM201-AN201,2)</f>
        <v/>
      </c>
      <c r="AP201">
        <f>AJ201-AN201</f>
        <v/>
      </c>
      <c r="AQ201" s="42">
        <f>AU200</f>
        <v/>
      </c>
      <c r="AR201" s="42">
        <f>ROUND(AQ201*AR$6/12,2)</f>
        <v/>
      </c>
      <c r="AS201" s="42">
        <f>MIN(AS$6,AQ201+AR201)</f>
        <v/>
      </c>
      <c r="AT201" s="42">
        <f>MAX(0,MIN(AQ201+AR201-AS201,AP201))</f>
        <v/>
      </c>
      <c r="AU201" s="42">
        <f>ROUND(AQ201+AR201-AS201-AT201,2)</f>
        <v/>
      </c>
      <c r="AV201">
        <f>AP201-AT201</f>
        <v/>
      </c>
      <c r="AW201" s="42">
        <f>BA200</f>
        <v/>
      </c>
      <c r="AX201" s="42">
        <f>ROUND(AW201*AX$6/12,2)</f>
        <v/>
      </c>
      <c r="AY201" s="42">
        <f>MIN(AY$6,AW201+AX201)</f>
        <v/>
      </c>
      <c r="AZ201" s="42">
        <f>MAX(0,MIN(AW201+AX201-AY201,AV201))</f>
        <v/>
      </c>
      <c r="BA201" s="42">
        <f>ROUND(AW201+AX201-AY201-AZ201,2)</f>
        <v/>
      </c>
      <c r="BB201">
        <f>AV201-AZ201</f>
        <v/>
      </c>
      <c r="BC201" s="42">
        <f>BG200</f>
        <v/>
      </c>
      <c r="BD201" s="42">
        <f>ROUND(BC201*BD$6/12,2)</f>
        <v/>
      </c>
      <c r="BE201" s="42">
        <f>MIN(BE$6,BC201+BD201)</f>
        <v/>
      </c>
      <c r="BF201" s="42">
        <f>MAX(0,MIN(BC201+BD201-BE201,BB201))</f>
        <v/>
      </c>
      <c r="BG201" s="42">
        <f>ROUND(BC201+BD201-BE201-BF201,2)</f>
        <v/>
      </c>
      <c r="BH201">
        <f>BB201-BF201</f>
        <v/>
      </c>
      <c r="BI201" s="42">
        <f>BM200</f>
        <v/>
      </c>
      <c r="BJ201" s="42">
        <f>ROUND(BI201*BJ$6/12,2)</f>
        <v/>
      </c>
      <c r="BK201" s="42">
        <f>MIN(BK$6,BI201+BJ201)</f>
        <v/>
      </c>
      <c r="BL201" s="42">
        <f>MAX(0,MIN(BI201+BJ201-BK201,BH201))</f>
        <v/>
      </c>
      <c r="BM201" s="42">
        <f>ROUND(BI201+BJ201-BK201-BL201,2)</f>
        <v/>
      </c>
      <c r="BN201">
        <f>BH201-BL201</f>
        <v/>
      </c>
    </row>
    <row r="202">
      <c r="A202" s="39" t="n">
        <v>195</v>
      </c>
      <c r="B202" s="40">
        <f>EDATE('My Debts'!$C$6,A202-1)</f>
        <v/>
      </c>
      <c r="C202" s="41">
        <f>K202+Q202+W202+AC202+AI202+AO202+AU202+BA202+BG202+BM202</f>
        <v/>
      </c>
      <c r="D202" s="42">
        <f>I202+O202+U202+AA202+AG202+AM202+AS202+AY202+BE202+BK202+J202+P202+V202+AB202+AH202+AN202+AT202+AZ202+BF202+BL202</f>
        <v/>
      </c>
      <c r="E202" s="42">
        <f>H202+N202+T202+Z202+AF202+AL202+AR202+AX202+BD202+BJ202</f>
        <v/>
      </c>
      <c r="F202" t="n">
        <v>0</v>
      </c>
      <c r="G202" s="42">
        <f>K201</f>
        <v/>
      </c>
      <c r="H202" s="42">
        <f>ROUND(G202*H$6/12,2)</f>
        <v/>
      </c>
      <c r="I202" s="42">
        <f>MIN(I$6,G202+H202)</f>
        <v/>
      </c>
      <c r="J202" s="42">
        <f>MAX(0,MIN(G202+H202-I202,$F202))</f>
        <v/>
      </c>
      <c r="K202" s="42">
        <f>ROUND(G202+H202-I202-J202,2)</f>
        <v/>
      </c>
      <c r="L202">
        <f>$F202-J202</f>
        <v/>
      </c>
      <c r="M202" s="42">
        <f>Q201</f>
        <v/>
      </c>
      <c r="N202" s="42">
        <f>ROUND(M202*N$6/12,2)</f>
        <v/>
      </c>
      <c r="O202" s="42">
        <f>MIN(O$6,M202+N202)</f>
        <v/>
      </c>
      <c r="P202" s="42">
        <f>MAX(0,MIN(M202+N202-O202,L202))</f>
        <v/>
      </c>
      <c r="Q202" s="42">
        <f>ROUND(M202+N202-O202-P202,2)</f>
        <v/>
      </c>
      <c r="R202">
        <f>L202-P202</f>
        <v/>
      </c>
      <c r="S202" s="42">
        <f>W201</f>
        <v/>
      </c>
      <c r="T202" s="42">
        <f>ROUND(S202*T$6/12,2)</f>
        <v/>
      </c>
      <c r="U202" s="42">
        <f>MIN(U$6,S202+T202)</f>
        <v/>
      </c>
      <c r="V202" s="42">
        <f>MAX(0,MIN(S202+T202-U202,R202))</f>
        <v/>
      </c>
      <c r="W202" s="42">
        <f>ROUND(S202+T202-U202-V202,2)</f>
        <v/>
      </c>
      <c r="X202">
        <f>R202-V202</f>
        <v/>
      </c>
      <c r="Y202" s="42">
        <f>AC201</f>
        <v/>
      </c>
      <c r="Z202" s="42">
        <f>ROUND(Y202*Z$6/12,2)</f>
        <v/>
      </c>
      <c r="AA202" s="42">
        <f>MIN(AA$6,Y202+Z202)</f>
        <v/>
      </c>
      <c r="AB202" s="42">
        <f>MAX(0,MIN(Y202+Z202-AA202,X202))</f>
        <v/>
      </c>
      <c r="AC202" s="42">
        <f>ROUND(Y202+Z202-AA202-AB202,2)</f>
        <v/>
      </c>
      <c r="AD202">
        <f>X202-AB202</f>
        <v/>
      </c>
      <c r="AE202" s="42">
        <f>AI201</f>
        <v/>
      </c>
      <c r="AF202" s="42">
        <f>ROUND(AE202*AF$6/12,2)</f>
        <v/>
      </c>
      <c r="AG202" s="42">
        <f>MIN(AG$6,AE202+AF202)</f>
        <v/>
      </c>
      <c r="AH202" s="42">
        <f>MAX(0,MIN(AE202+AF202-AG202,AD202))</f>
        <v/>
      </c>
      <c r="AI202" s="42">
        <f>ROUND(AE202+AF202-AG202-AH202,2)</f>
        <v/>
      </c>
      <c r="AJ202">
        <f>AD202-AH202</f>
        <v/>
      </c>
      <c r="AK202" s="42">
        <f>AO201</f>
        <v/>
      </c>
      <c r="AL202" s="42">
        <f>ROUND(AK202*AL$6/12,2)</f>
        <v/>
      </c>
      <c r="AM202" s="42">
        <f>MIN(AM$6,AK202+AL202)</f>
        <v/>
      </c>
      <c r="AN202" s="42">
        <f>MAX(0,MIN(AK202+AL202-AM202,AJ202))</f>
        <v/>
      </c>
      <c r="AO202" s="42">
        <f>ROUND(AK202+AL202-AM202-AN202,2)</f>
        <v/>
      </c>
      <c r="AP202">
        <f>AJ202-AN202</f>
        <v/>
      </c>
      <c r="AQ202" s="42">
        <f>AU201</f>
        <v/>
      </c>
      <c r="AR202" s="42">
        <f>ROUND(AQ202*AR$6/12,2)</f>
        <v/>
      </c>
      <c r="AS202" s="42">
        <f>MIN(AS$6,AQ202+AR202)</f>
        <v/>
      </c>
      <c r="AT202" s="42">
        <f>MAX(0,MIN(AQ202+AR202-AS202,AP202))</f>
        <v/>
      </c>
      <c r="AU202" s="42">
        <f>ROUND(AQ202+AR202-AS202-AT202,2)</f>
        <v/>
      </c>
      <c r="AV202">
        <f>AP202-AT202</f>
        <v/>
      </c>
      <c r="AW202" s="42">
        <f>BA201</f>
        <v/>
      </c>
      <c r="AX202" s="42">
        <f>ROUND(AW202*AX$6/12,2)</f>
        <v/>
      </c>
      <c r="AY202" s="42">
        <f>MIN(AY$6,AW202+AX202)</f>
        <v/>
      </c>
      <c r="AZ202" s="42">
        <f>MAX(0,MIN(AW202+AX202-AY202,AV202))</f>
        <v/>
      </c>
      <c r="BA202" s="42">
        <f>ROUND(AW202+AX202-AY202-AZ202,2)</f>
        <v/>
      </c>
      <c r="BB202">
        <f>AV202-AZ202</f>
        <v/>
      </c>
      <c r="BC202" s="42">
        <f>BG201</f>
        <v/>
      </c>
      <c r="BD202" s="42">
        <f>ROUND(BC202*BD$6/12,2)</f>
        <v/>
      </c>
      <c r="BE202" s="42">
        <f>MIN(BE$6,BC202+BD202)</f>
        <v/>
      </c>
      <c r="BF202" s="42">
        <f>MAX(0,MIN(BC202+BD202-BE202,BB202))</f>
        <v/>
      </c>
      <c r="BG202" s="42">
        <f>ROUND(BC202+BD202-BE202-BF202,2)</f>
        <v/>
      </c>
      <c r="BH202">
        <f>BB202-BF202</f>
        <v/>
      </c>
      <c r="BI202" s="42">
        <f>BM201</f>
        <v/>
      </c>
      <c r="BJ202" s="42">
        <f>ROUND(BI202*BJ$6/12,2)</f>
        <v/>
      </c>
      <c r="BK202" s="42">
        <f>MIN(BK$6,BI202+BJ202)</f>
        <v/>
      </c>
      <c r="BL202" s="42">
        <f>MAX(0,MIN(BI202+BJ202-BK202,BH202))</f>
        <v/>
      </c>
      <c r="BM202" s="42">
        <f>ROUND(BI202+BJ202-BK202-BL202,2)</f>
        <v/>
      </c>
      <c r="BN202">
        <f>BH202-BL202</f>
        <v/>
      </c>
    </row>
    <row r="203">
      <c r="A203" s="43" t="n">
        <v>196</v>
      </c>
      <c r="B203" s="44">
        <f>EDATE('My Debts'!$C$6,A203-1)</f>
        <v/>
      </c>
      <c r="C203" s="45">
        <f>K203+Q203+W203+AC203+AI203+AO203+AU203+BA203+BG203+BM203</f>
        <v/>
      </c>
      <c r="D203" s="46">
        <f>I203+O203+U203+AA203+AG203+AM203+AS203+AY203+BE203+BK203+J203+P203+V203+AB203+AH203+AN203+AT203+AZ203+BF203+BL203</f>
        <v/>
      </c>
      <c r="E203" s="46">
        <f>H203+N203+T203+Z203+AF203+AL203+AR203+AX203+BD203+BJ203</f>
        <v/>
      </c>
      <c r="F203" t="n">
        <v>0</v>
      </c>
      <c r="G203" s="42">
        <f>K202</f>
        <v/>
      </c>
      <c r="H203" s="42">
        <f>ROUND(G203*H$6/12,2)</f>
        <v/>
      </c>
      <c r="I203" s="42">
        <f>MIN(I$6,G203+H203)</f>
        <v/>
      </c>
      <c r="J203" s="42">
        <f>MAX(0,MIN(G203+H203-I203,$F203))</f>
        <v/>
      </c>
      <c r="K203" s="42">
        <f>ROUND(G203+H203-I203-J203,2)</f>
        <v/>
      </c>
      <c r="L203">
        <f>$F203-J203</f>
        <v/>
      </c>
      <c r="M203" s="42">
        <f>Q202</f>
        <v/>
      </c>
      <c r="N203" s="42">
        <f>ROUND(M203*N$6/12,2)</f>
        <v/>
      </c>
      <c r="O203" s="42">
        <f>MIN(O$6,M203+N203)</f>
        <v/>
      </c>
      <c r="P203" s="42">
        <f>MAX(0,MIN(M203+N203-O203,L203))</f>
        <v/>
      </c>
      <c r="Q203" s="42">
        <f>ROUND(M203+N203-O203-P203,2)</f>
        <v/>
      </c>
      <c r="R203">
        <f>L203-P203</f>
        <v/>
      </c>
      <c r="S203" s="42">
        <f>W202</f>
        <v/>
      </c>
      <c r="T203" s="42">
        <f>ROUND(S203*T$6/12,2)</f>
        <v/>
      </c>
      <c r="U203" s="42">
        <f>MIN(U$6,S203+T203)</f>
        <v/>
      </c>
      <c r="V203" s="42">
        <f>MAX(0,MIN(S203+T203-U203,R203))</f>
        <v/>
      </c>
      <c r="W203" s="42">
        <f>ROUND(S203+T203-U203-V203,2)</f>
        <v/>
      </c>
      <c r="X203">
        <f>R203-V203</f>
        <v/>
      </c>
      <c r="Y203" s="42">
        <f>AC202</f>
        <v/>
      </c>
      <c r="Z203" s="42">
        <f>ROUND(Y203*Z$6/12,2)</f>
        <v/>
      </c>
      <c r="AA203" s="42">
        <f>MIN(AA$6,Y203+Z203)</f>
        <v/>
      </c>
      <c r="AB203" s="42">
        <f>MAX(0,MIN(Y203+Z203-AA203,X203))</f>
        <v/>
      </c>
      <c r="AC203" s="42">
        <f>ROUND(Y203+Z203-AA203-AB203,2)</f>
        <v/>
      </c>
      <c r="AD203">
        <f>X203-AB203</f>
        <v/>
      </c>
      <c r="AE203" s="42">
        <f>AI202</f>
        <v/>
      </c>
      <c r="AF203" s="42">
        <f>ROUND(AE203*AF$6/12,2)</f>
        <v/>
      </c>
      <c r="AG203" s="42">
        <f>MIN(AG$6,AE203+AF203)</f>
        <v/>
      </c>
      <c r="AH203" s="42">
        <f>MAX(0,MIN(AE203+AF203-AG203,AD203))</f>
        <v/>
      </c>
      <c r="AI203" s="42">
        <f>ROUND(AE203+AF203-AG203-AH203,2)</f>
        <v/>
      </c>
      <c r="AJ203">
        <f>AD203-AH203</f>
        <v/>
      </c>
      <c r="AK203" s="42">
        <f>AO202</f>
        <v/>
      </c>
      <c r="AL203" s="42">
        <f>ROUND(AK203*AL$6/12,2)</f>
        <v/>
      </c>
      <c r="AM203" s="42">
        <f>MIN(AM$6,AK203+AL203)</f>
        <v/>
      </c>
      <c r="AN203" s="42">
        <f>MAX(0,MIN(AK203+AL203-AM203,AJ203))</f>
        <v/>
      </c>
      <c r="AO203" s="42">
        <f>ROUND(AK203+AL203-AM203-AN203,2)</f>
        <v/>
      </c>
      <c r="AP203">
        <f>AJ203-AN203</f>
        <v/>
      </c>
      <c r="AQ203" s="42">
        <f>AU202</f>
        <v/>
      </c>
      <c r="AR203" s="42">
        <f>ROUND(AQ203*AR$6/12,2)</f>
        <v/>
      </c>
      <c r="AS203" s="42">
        <f>MIN(AS$6,AQ203+AR203)</f>
        <v/>
      </c>
      <c r="AT203" s="42">
        <f>MAX(0,MIN(AQ203+AR203-AS203,AP203))</f>
        <v/>
      </c>
      <c r="AU203" s="42">
        <f>ROUND(AQ203+AR203-AS203-AT203,2)</f>
        <v/>
      </c>
      <c r="AV203">
        <f>AP203-AT203</f>
        <v/>
      </c>
      <c r="AW203" s="42">
        <f>BA202</f>
        <v/>
      </c>
      <c r="AX203" s="42">
        <f>ROUND(AW203*AX$6/12,2)</f>
        <v/>
      </c>
      <c r="AY203" s="42">
        <f>MIN(AY$6,AW203+AX203)</f>
        <v/>
      </c>
      <c r="AZ203" s="42">
        <f>MAX(0,MIN(AW203+AX203-AY203,AV203))</f>
        <v/>
      </c>
      <c r="BA203" s="42">
        <f>ROUND(AW203+AX203-AY203-AZ203,2)</f>
        <v/>
      </c>
      <c r="BB203">
        <f>AV203-AZ203</f>
        <v/>
      </c>
      <c r="BC203" s="42">
        <f>BG202</f>
        <v/>
      </c>
      <c r="BD203" s="42">
        <f>ROUND(BC203*BD$6/12,2)</f>
        <v/>
      </c>
      <c r="BE203" s="42">
        <f>MIN(BE$6,BC203+BD203)</f>
        <v/>
      </c>
      <c r="BF203" s="42">
        <f>MAX(0,MIN(BC203+BD203-BE203,BB203))</f>
        <v/>
      </c>
      <c r="BG203" s="42">
        <f>ROUND(BC203+BD203-BE203-BF203,2)</f>
        <v/>
      </c>
      <c r="BH203">
        <f>BB203-BF203</f>
        <v/>
      </c>
      <c r="BI203" s="42">
        <f>BM202</f>
        <v/>
      </c>
      <c r="BJ203" s="42">
        <f>ROUND(BI203*BJ$6/12,2)</f>
        <v/>
      </c>
      <c r="BK203" s="42">
        <f>MIN(BK$6,BI203+BJ203)</f>
        <v/>
      </c>
      <c r="BL203" s="42">
        <f>MAX(0,MIN(BI203+BJ203-BK203,BH203))</f>
        <v/>
      </c>
      <c r="BM203" s="42">
        <f>ROUND(BI203+BJ203-BK203-BL203,2)</f>
        <v/>
      </c>
      <c r="BN203">
        <f>BH203-BL203</f>
        <v/>
      </c>
    </row>
    <row r="204">
      <c r="A204" s="39" t="n">
        <v>197</v>
      </c>
      <c r="B204" s="40">
        <f>EDATE('My Debts'!$C$6,A204-1)</f>
        <v/>
      </c>
      <c r="C204" s="41">
        <f>K204+Q204+W204+AC204+AI204+AO204+AU204+BA204+BG204+BM204</f>
        <v/>
      </c>
      <c r="D204" s="42">
        <f>I204+O204+U204+AA204+AG204+AM204+AS204+AY204+BE204+BK204+J204+P204+V204+AB204+AH204+AN204+AT204+AZ204+BF204+BL204</f>
        <v/>
      </c>
      <c r="E204" s="42">
        <f>H204+N204+T204+Z204+AF204+AL204+AR204+AX204+BD204+BJ204</f>
        <v/>
      </c>
      <c r="F204" t="n">
        <v>0</v>
      </c>
      <c r="G204" s="42">
        <f>K203</f>
        <v/>
      </c>
      <c r="H204" s="42">
        <f>ROUND(G204*H$6/12,2)</f>
        <v/>
      </c>
      <c r="I204" s="42">
        <f>MIN(I$6,G204+H204)</f>
        <v/>
      </c>
      <c r="J204" s="42">
        <f>MAX(0,MIN(G204+H204-I204,$F204))</f>
        <v/>
      </c>
      <c r="K204" s="42">
        <f>ROUND(G204+H204-I204-J204,2)</f>
        <v/>
      </c>
      <c r="L204">
        <f>$F204-J204</f>
        <v/>
      </c>
      <c r="M204" s="42">
        <f>Q203</f>
        <v/>
      </c>
      <c r="N204" s="42">
        <f>ROUND(M204*N$6/12,2)</f>
        <v/>
      </c>
      <c r="O204" s="42">
        <f>MIN(O$6,M204+N204)</f>
        <v/>
      </c>
      <c r="P204" s="42">
        <f>MAX(0,MIN(M204+N204-O204,L204))</f>
        <v/>
      </c>
      <c r="Q204" s="42">
        <f>ROUND(M204+N204-O204-P204,2)</f>
        <v/>
      </c>
      <c r="R204">
        <f>L204-P204</f>
        <v/>
      </c>
      <c r="S204" s="42">
        <f>W203</f>
        <v/>
      </c>
      <c r="T204" s="42">
        <f>ROUND(S204*T$6/12,2)</f>
        <v/>
      </c>
      <c r="U204" s="42">
        <f>MIN(U$6,S204+T204)</f>
        <v/>
      </c>
      <c r="V204" s="42">
        <f>MAX(0,MIN(S204+T204-U204,R204))</f>
        <v/>
      </c>
      <c r="W204" s="42">
        <f>ROUND(S204+T204-U204-V204,2)</f>
        <v/>
      </c>
      <c r="X204">
        <f>R204-V204</f>
        <v/>
      </c>
      <c r="Y204" s="42">
        <f>AC203</f>
        <v/>
      </c>
      <c r="Z204" s="42">
        <f>ROUND(Y204*Z$6/12,2)</f>
        <v/>
      </c>
      <c r="AA204" s="42">
        <f>MIN(AA$6,Y204+Z204)</f>
        <v/>
      </c>
      <c r="AB204" s="42">
        <f>MAX(0,MIN(Y204+Z204-AA204,X204))</f>
        <v/>
      </c>
      <c r="AC204" s="42">
        <f>ROUND(Y204+Z204-AA204-AB204,2)</f>
        <v/>
      </c>
      <c r="AD204">
        <f>X204-AB204</f>
        <v/>
      </c>
      <c r="AE204" s="42">
        <f>AI203</f>
        <v/>
      </c>
      <c r="AF204" s="42">
        <f>ROUND(AE204*AF$6/12,2)</f>
        <v/>
      </c>
      <c r="AG204" s="42">
        <f>MIN(AG$6,AE204+AF204)</f>
        <v/>
      </c>
      <c r="AH204" s="42">
        <f>MAX(0,MIN(AE204+AF204-AG204,AD204))</f>
        <v/>
      </c>
      <c r="AI204" s="42">
        <f>ROUND(AE204+AF204-AG204-AH204,2)</f>
        <v/>
      </c>
      <c r="AJ204">
        <f>AD204-AH204</f>
        <v/>
      </c>
      <c r="AK204" s="42">
        <f>AO203</f>
        <v/>
      </c>
      <c r="AL204" s="42">
        <f>ROUND(AK204*AL$6/12,2)</f>
        <v/>
      </c>
      <c r="AM204" s="42">
        <f>MIN(AM$6,AK204+AL204)</f>
        <v/>
      </c>
      <c r="AN204" s="42">
        <f>MAX(0,MIN(AK204+AL204-AM204,AJ204))</f>
        <v/>
      </c>
      <c r="AO204" s="42">
        <f>ROUND(AK204+AL204-AM204-AN204,2)</f>
        <v/>
      </c>
      <c r="AP204">
        <f>AJ204-AN204</f>
        <v/>
      </c>
      <c r="AQ204" s="42">
        <f>AU203</f>
        <v/>
      </c>
      <c r="AR204" s="42">
        <f>ROUND(AQ204*AR$6/12,2)</f>
        <v/>
      </c>
      <c r="AS204" s="42">
        <f>MIN(AS$6,AQ204+AR204)</f>
        <v/>
      </c>
      <c r="AT204" s="42">
        <f>MAX(0,MIN(AQ204+AR204-AS204,AP204))</f>
        <v/>
      </c>
      <c r="AU204" s="42">
        <f>ROUND(AQ204+AR204-AS204-AT204,2)</f>
        <v/>
      </c>
      <c r="AV204">
        <f>AP204-AT204</f>
        <v/>
      </c>
      <c r="AW204" s="42">
        <f>BA203</f>
        <v/>
      </c>
      <c r="AX204" s="42">
        <f>ROUND(AW204*AX$6/12,2)</f>
        <v/>
      </c>
      <c r="AY204" s="42">
        <f>MIN(AY$6,AW204+AX204)</f>
        <v/>
      </c>
      <c r="AZ204" s="42">
        <f>MAX(0,MIN(AW204+AX204-AY204,AV204))</f>
        <v/>
      </c>
      <c r="BA204" s="42">
        <f>ROUND(AW204+AX204-AY204-AZ204,2)</f>
        <v/>
      </c>
      <c r="BB204">
        <f>AV204-AZ204</f>
        <v/>
      </c>
      <c r="BC204" s="42">
        <f>BG203</f>
        <v/>
      </c>
      <c r="BD204" s="42">
        <f>ROUND(BC204*BD$6/12,2)</f>
        <v/>
      </c>
      <c r="BE204" s="42">
        <f>MIN(BE$6,BC204+BD204)</f>
        <v/>
      </c>
      <c r="BF204" s="42">
        <f>MAX(0,MIN(BC204+BD204-BE204,BB204))</f>
        <v/>
      </c>
      <c r="BG204" s="42">
        <f>ROUND(BC204+BD204-BE204-BF204,2)</f>
        <v/>
      </c>
      <c r="BH204">
        <f>BB204-BF204</f>
        <v/>
      </c>
      <c r="BI204" s="42">
        <f>BM203</f>
        <v/>
      </c>
      <c r="BJ204" s="42">
        <f>ROUND(BI204*BJ$6/12,2)</f>
        <v/>
      </c>
      <c r="BK204" s="42">
        <f>MIN(BK$6,BI204+BJ204)</f>
        <v/>
      </c>
      <c r="BL204" s="42">
        <f>MAX(0,MIN(BI204+BJ204-BK204,BH204))</f>
        <v/>
      </c>
      <c r="BM204" s="42">
        <f>ROUND(BI204+BJ204-BK204-BL204,2)</f>
        <v/>
      </c>
      <c r="BN204">
        <f>BH204-BL204</f>
        <v/>
      </c>
    </row>
    <row r="205">
      <c r="A205" s="43" t="n">
        <v>198</v>
      </c>
      <c r="B205" s="44">
        <f>EDATE('My Debts'!$C$6,A205-1)</f>
        <v/>
      </c>
      <c r="C205" s="45">
        <f>K205+Q205+W205+AC205+AI205+AO205+AU205+BA205+BG205+BM205</f>
        <v/>
      </c>
      <c r="D205" s="46">
        <f>I205+O205+U205+AA205+AG205+AM205+AS205+AY205+BE205+BK205+J205+P205+V205+AB205+AH205+AN205+AT205+AZ205+BF205+BL205</f>
        <v/>
      </c>
      <c r="E205" s="46">
        <f>H205+N205+T205+Z205+AF205+AL205+AR205+AX205+BD205+BJ205</f>
        <v/>
      </c>
      <c r="F205" t="n">
        <v>0</v>
      </c>
      <c r="G205" s="42">
        <f>K204</f>
        <v/>
      </c>
      <c r="H205" s="42">
        <f>ROUND(G205*H$6/12,2)</f>
        <v/>
      </c>
      <c r="I205" s="42">
        <f>MIN(I$6,G205+H205)</f>
        <v/>
      </c>
      <c r="J205" s="42">
        <f>MAX(0,MIN(G205+H205-I205,$F205))</f>
        <v/>
      </c>
      <c r="K205" s="42">
        <f>ROUND(G205+H205-I205-J205,2)</f>
        <v/>
      </c>
      <c r="L205">
        <f>$F205-J205</f>
        <v/>
      </c>
      <c r="M205" s="42">
        <f>Q204</f>
        <v/>
      </c>
      <c r="N205" s="42">
        <f>ROUND(M205*N$6/12,2)</f>
        <v/>
      </c>
      <c r="O205" s="42">
        <f>MIN(O$6,M205+N205)</f>
        <v/>
      </c>
      <c r="P205" s="42">
        <f>MAX(0,MIN(M205+N205-O205,L205))</f>
        <v/>
      </c>
      <c r="Q205" s="42">
        <f>ROUND(M205+N205-O205-P205,2)</f>
        <v/>
      </c>
      <c r="R205">
        <f>L205-P205</f>
        <v/>
      </c>
      <c r="S205" s="42">
        <f>W204</f>
        <v/>
      </c>
      <c r="T205" s="42">
        <f>ROUND(S205*T$6/12,2)</f>
        <v/>
      </c>
      <c r="U205" s="42">
        <f>MIN(U$6,S205+T205)</f>
        <v/>
      </c>
      <c r="V205" s="42">
        <f>MAX(0,MIN(S205+T205-U205,R205))</f>
        <v/>
      </c>
      <c r="W205" s="42">
        <f>ROUND(S205+T205-U205-V205,2)</f>
        <v/>
      </c>
      <c r="X205">
        <f>R205-V205</f>
        <v/>
      </c>
      <c r="Y205" s="42">
        <f>AC204</f>
        <v/>
      </c>
      <c r="Z205" s="42">
        <f>ROUND(Y205*Z$6/12,2)</f>
        <v/>
      </c>
      <c r="AA205" s="42">
        <f>MIN(AA$6,Y205+Z205)</f>
        <v/>
      </c>
      <c r="AB205" s="42">
        <f>MAX(0,MIN(Y205+Z205-AA205,X205))</f>
        <v/>
      </c>
      <c r="AC205" s="42">
        <f>ROUND(Y205+Z205-AA205-AB205,2)</f>
        <v/>
      </c>
      <c r="AD205">
        <f>X205-AB205</f>
        <v/>
      </c>
      <c r="AE205" s="42">
        <f>AI204</f>
        <v/>
      </c>
      <c r="AF205" s="42">
        <f>ROUND(AE205*AF$6/12,2)</f>
        <v/>
      </c>
      <c r="AG205" s="42">
        <f>MIN(AG$6,AE205+AF205)</f>
        <v/>
      </c>
      <c r="AH205" s="42">
        <f>MAX(0,MIN(AE205+AF205-AG205,AD205))</f>
        <v/>
      </c>
      <c r="AI205" s="42">
        <f>ROUND(AE205+AF205-AG205-AH205,2)</f>
        <v/>
      </c>
      <c r="AJ205">
        <f>AD205-AH205</f>
        <v/>
      </c>
      <c r="AK205" s="42">
        <f>AO204</f>
        <v/>
      </c>
      <c r="AL205" s="42">
        <f>ROUND(AK205*AL$6/12,2)</f>
        <v/>
      </c>
      <c r="AM205" s="42">
        <f>MIN(AM$6,AK205+AL205)</f>
        <v/>
      </c>
      <c r="AN205" s="42">
        <f>MAX(0,MIN(AK205+AL205-AM205,AJ205))</f>
        <v/>
      </c>
      <c r="AO205" s="42">
        <f>ROUND(AK205+AL205-AM205-AN205,2)</f>
        <v/>
      </c>
      <c r="AP205">
        <f>AJ205-AN205</f>
        <v/>
      </c>
      <c r="AQ205" s="42">
        <f>AU204</f>
        <v/>
      </c>
      <c r="AR205" s="42">
        <f>ROUND(AQ205*AR$6/12,2)</f>
        <v/>
      </c>
      <c r="AS205" s="42">
        <f>MIN(AS$6,AQ205+AR205)</f>
        <v/>
      </c>
      <c r="AT205" s="42">
        <f>MAX(0,MIN(AQ205+AR205-AS205,AP205))</f>
        <v/>
      </c>
      <c r="AU205" s="42">
        <f>ROUND(AQ205+AR205-AS205-AT205,2)</f>
        <v/>
      </c>
      <c r="AV205">
        <f>AP205-AT205</f>
        <v/>
      </c>
      <c r="AW205" s="42">
        <f>BA204</f>
        <v/>
      </c>
      <c r="AX205" s="42">
        <f>ROUND(AW205*AX$6/12,2)</f>
        <v/>
      </c>
      <c r="AY205" s="42">
        <f>MIN(AY$6,AW205+AX205)</f>
        <v/>
      </c>
      <c r="AZ205" s="42">
        <f>MAX(0,MIN(AW205+AX205-AY205,AV205))</f>
        <v/>
      </c>
      <c r="BA205" s="42">
        <f>ROUND(AW205+AX205-AY205-AZ205,2)</f>
        <v/>
      </c>
      <c r="BB205">
        <f>AV205-AZ205</f>
        <v/>
      </c>
      <c r="BC205" s="42">
        <f>BG204</f>
        <v/>
      </c>
      <c r="BD205" s="42">
        <f>ROUND(BC205*BD$6/12,2)</f>
        <v/>
      </c>
      <c r="BE205" s="42">
        <f>MIN(BE$6,BC205+BD205)</f>
        <v/>
      </c>
      <c r="BF205" s="42">
        <f>MAX(0,MIN(BC205+BD205-BE205,BB205))</f>
        <v/>
      </c>
      <c r="BG205" s="42">
        <f>ROUND(BC205+BD205-BE205-BF205,2)</f>
        <v/>
      </c>
      <c r="BH205">
        <f>BB205-BF205</f>
        <v/>
      </c>
      <c r="BI205" s="42">
        <f>BM204</f>
        <v/>
      </c>
      <c r="BJ205" s="42">
        <f>ROUND(BI205*BJ$6/12,2)</f>
        <v/>
      </c>
      <c r="BK205" s="42">
        <f>MIN(BK$6,BI205+BJ205)</f>
        <v/>
      </c>
      <c r="BL205" s="42">
        <f>MAX(0,MIN(BI205+BJ205-BK205,BH205))</f>
        <v/>
      </c>
      <c r="BM205" s="42">
        <f>ROUND(BI205+BJ205-BK205-BL205,2)</f>
        <v/>
      </c>
      <c r="BN205">
        <f>BH205-BL205</f>
        <v/>
      </c>
    </row>
    <row r="206">
      <c r="A206" s="39" t="n">
        <v>199</v>
      </c>
      <c r="B206" s="40">
        <f>EDATE('My Debts'!$C$6,A206-1)</f>
        <v/>
      </c>
      <c r="C206" s="41">
        <f>K206+Q206+W206+AC206+AI206+AO206+AU206+BA206+BG206+BM206</f>
        <v/>
      </c>
      <c r="D206" s="42">
        <f>I206+O206+U206+AA206+AG206+AM206+AS206+AY206+BE206+BK206+J206+P206+V206+AB206+AH206+AN206+AT206+AZ206+BF206+BL206</f>
        <v/>
      </c>
      <c r="E206" s="42">
        <f>H206+N206+T206+Z206+AF206+AL206+AR206+AX206+BD206+BJ206</f>
        <v/>
      </c>
      <c r="F206" t="n">
        <v>0</v>
      </c>
      <c r="G206" s="42">
        <f>K205</f>
        <v/>
      </c>
      <c r="H206" s="42">
        <f>ROUND(G206*H$6/12,2)</f>
        <v/>
      </c>
      <c r="I206" s="42">
        <f>MIN(I$6,G206+H206)</f>
        <v/>
      </c>
      <c r="J206" s="42">
        <f>MAX(0,MIN(G206+H206-I206,$F206))</f>
        <v/>
      </c>
      <c r="K206" s="42">
        <f>ROUND(G206+H206-I206-J206,2)</f>
        <v/>
      </c>
      <c r="L206">
        <f>$F206-J206</f>
        <v/>
      </c>
      <c r="M206" s="42">
        <f>Q205</f>
        <v/>
      </c>
      <c r="N206" s="42">
        <f>ROUND(M206*N$6/12,2)</f>
        <v/>
      </c>
      <c r="O206" s="42">
        <f>MIN(O$6,M206+N206)</f>
        <v/>
      </c>
      <c r="P206" s="42">
        <f>MAX(0,MIN(M206+N206-O206,L206))</f>
        <v/>
      </c>
      <c r="Q206" s="42">
        <f>ROUND(M206+N206-O206-P206,2)</f>
        <v/>
      </c>
      <c r="R206">
        <f>L206-P206</f>
        <v/>
      </c>
      <c r="S206" s="42">
        <f>W205</f>
        <v/>
      </c>
      <c r="T206" s="42">
        <f>ROUND(S206*T$6/12,2)</f>
        <v/>
      </c>
      <c r="U206" s="42">
        <f>MIN(U$6,S206+T206)</f>
        <v/>
      </c>
      <c r="V206" s="42">
        <f>MAX(0,MIN(S206+T206-U206,R206))</f>
        <v/>
      </c>
      <c r="W206" s="42">
        <f>ROUND(S206+T206-U206-V206,2)</f>
        <v/>
      </c>
      <c r="X206">
        <f>R206-V206</f>
        <v/>
      </c>
      <c r="Y206" s="42">
        <f>AC205</f>
        <v/>
      </c>
      <c r="Z206" s="42">
        <f>ROUND(Y206*Z$6/12,2)</f>
        <v/>
      </c>
      <c r="AA206" s="42">
        <f>MIN(AA$6,Y206+Z206)</f>
        <v/>
      </c>
      <c r="AB206" s="42">
        <f>MAX(0,MIN(Y206+Z206-AA206,X206))</f>
        <v/>
      </c>
      <c r="AC206" s="42">
        <f>ROUND(Y206+Z206-AA206-AB206,2)</f>
        <v/>
      </c>
      <c r="AD206">
        <f>X206-AB206</f>
        <v/>
      </c>
      <c r="AE206" s="42">
        <f>AI205</f>
        <v/>
      </c>
      <c r="AF206" s="42">
        <f>ROUND(AE206*AF$6/12,2)</f>
        <v/>
      </c>
      <c r="AG206" s="42">
        <f>MIN(AG$6,AE206+AF206)</f>
        <v/>
      </c>
      <c r="AH206" s="42">
        <f>MAX(0,MIN(AE206+AF206-AG206,AD206))</f>
        <v/>
      </c>
      <c r="AI206" s="42">
        <f>ROUND(AE206+AF206-AG206-AH206,2)</f>
        <v/>
      </c>
      <c r="AJ206">
        <f>AD206-AH206</f>
        <v/>
      </c>
      <c r="AK206" s="42">
        <f>AO205</f>
        <v/>
      </c>
      <c r="AL206" s="42">
        <f>ROUND(AK206*AL$6/12,2)</f>
        <v/>
      </c>
      <c r="AM206" s="42">
        <f>MIN(AM$6,AK206+AL206)</f>
        <v/>
      </c>
      <c r="AN206" s="42">
        <f>MAX(0,MIN(AK206+AL206-AM206,AJ206))</f>
        <v/>
      </c>
      <c r="AO206" s="42">
        <f>ROUND(AK206+AL206-AM206-AN206,2)</f>
        <v/>
      </c>
      <c r="AP206">
        <f>AJ206-AN206</f>
        <v/>
      </c>
      <c r="AQ206" s="42">
        <f>AU205</f>
        <v/>
      </c>
      <c r="AR206" s="42">
        <f>ROUND(AQ206*AR$6/12,2)</f>
        <v/>
      </c>
      <c r="AS206" s="42">
        <f>MIN(AS$6,AQ206+AR206)</f>
        <v/>
      </c>
      <c r="AT206" s="42">
        <f>MAX(0,MIN(AQ206+AR206-AS206,AP206))</f>
        <v/>
      </c>
      <c r="AU206" s="42">
        <f>ROUND(AQ206+AR206-AS206-AT206,2)</f>
        <v/>
      </c>
      <c r="AV206">
        <f>AP206-AT206</f>
        <v/>
      </c>
      <c r="AW206" s="42">
        <f>BA205</f>
        <v/>
      </c>
      <c r="AX206" s="42">
        <f>ROUND(AW206*AX$6/12,2)</f>
        <v/>
      </c>
      <c r="AY206" s="42">
        <f>MIN(AY$6,AW206+AX206)</f>
        <v/>
      </c>
      <c r="AZ206" s="42">
        <f>MAX(0,MIN(AW206+AX206-AY206,AV206))</f>
        <v/>
      </c>
      <c r="BA206" s="42">
        <f>ROUND(AW206+AX206-AY206-AZ206,2)</f>
        <v/>
      </c>
      <c r="BB206">
        <f>AV206-AZ206</f>
        <v/>
      </c>
      <c r="BC206" s="42">
        <f>BG205</f>
        <v/>
      </c>
      <c r="BD206" s="42">
        <f>ROUND(BC206*BD$6/12,2)</f>
        <v/>
      </c>
      <c r="BE206" s="42">
        <f>MIN(BE$6,BC206+BD206)</f>
        <v/>
      </c>
      <c r="BF206" s="42">
        <f>MAX(0,MIN(BC206+BD206-BE206,BB206))</f>
        <v/>
      </c>
      <c r="BG206" s="42">
        <f>ROUND(BC206+BD206-BE206-BF206,2)</f>
        <v/>
      </c>
      <c r="BH206">
        <f>BB206-BF206</f>
        <v/>
      </c>
      <c r="BI206" s="42">
        <f>BM205</f>
        <v/>
      </c>
      <c r="BJ206" s="42">
        <f>ROUND(BI206*BJ$6/12,2)</f>
        <v/>
      </c>
      <c r="BK206" s="42">
        <f>MIN(BK$6,BI206+BJ206)</f>
        <v/>
      </c>
      <c r="BL206" s="42">
        <f>MAX(0,MIN(BI206+BJ206-BK206,BH206))</f>
        <v/>
      </c>
      <c r="BM206" s="42">
        <f>ROUND(BI206+BJ206-BK206-BL206,2)</f>
        <v/>
      </c>
      <c r="BN206">
        <f>BH206-BL206</f>
        <v/>
      </c>
    </row>
    <row r="207">
      <c r="A207" s="43" t="n">
        <v>200</v>
      </c>
      <c r="B207" s="44">
        <f>EDATE('My Debts'!$C$6,A207-1)</f>
        <v/>
      </c>
      <c r="C207" s="45">
        <f>K207+Q207+W207+AC207+AI207+AO207+AU207+BA207+BG207+BM207</f>
        <v/>
      </c>
      <c r="D207" s="46">
        <f>I207+O207+U207+AA207+AG207+AM207+AS207+AY207+BE207+BK207+J207+P207+V207+AB207+AH207+AN207+AT207+AZ207+BF207+BL207</f>
        <v/>
      </c>
      <c r="E207" s="46">
        <f>H207+N207+T207+Z207+AF207+AL207+AR207+AX207+BD207+BJ207</f>
        <v/>
      </c>
      <c r="F207" t="n">
        <v>0</v>
      </c>
      <c r="G207" s="42">
        <f>K206</f>
        <v/>
      </c>
      <c r="H207" s="42">
        <f>ROUND(G207*H$6/12,2)</f>
        <v/>
      </c>
      <c r="I207" s="42">
        <f>MIN(I$6,G207+H207)</f>
        <v/>
      </c>
      <c r="J207" s="42">
        <f>MAX(0,MIN(G207+H207-I207,$F207))</f>
        <v/>
      </c>
      <c r="K207" s="42">
        <f>ROUND(G207+H207-I207-J207,2)</f>
        <v/>
      </c>
      <c r="L207">
        <f>$F207-J207</f>
        <v/>
      </c>
      <c r="M207" s="42">
        <f>Q206</f>
        <v/>
      </c>
      <c r="N207" s="42">
        <f>ROUND(M207*N$6/12,2)</f>
        <v/>
      </c>
      <c r="O207" s="42">
        <f>MIN(O$6,M207+N207)</f>
        <v/>
      </c>
      <c r="P207" s="42">
        <f>MAX(0,MIN(M207+N207-O207,L207))</f>
        <v/>
      </c>
      <c r="Q207" s="42">
        <f>ROUND(M207+N207-O207-P207,2)</f>
        <v/>
      </c>
      <c r="R207">
        <f>L207-P207</f>
        <v/>
      </c>
      <c r="S207" s="42">
        <f>W206</f>
        <v/>
      </c>
      <c r="T207" s="42">
        <f>ROUND(S207*T$6/12,2)</f>
        <v/>
      </c>
      <c r="U207" s="42">
        <f>MIN(U$6,S207+T207)</f>
        <v/>
      </c>
      <c r="V207" s="42">
        <f>MAX(0,MIN(S207+T207-U207,R207))</f>
        <v/>
      </c>
      <c r="W207" s="42">
        <f>ROUND(S207+T207-U207-V207,2)</f>
        <v/>
      </c>
      <c r="X207">
        <f>R207-V207</f>
        <v/>
      </c>
      <c r="Y207" s="42">
        <f>AC206</f>
        <v/>
      </c>
      <c r="Z207" s="42">
        <f>ROUND(Y207*Z$6/12,2)</f>
        <v/>
      </c>
      <c r="AA207" s="42">
        <f>MIN(AA$6,Y207+Z207)</f>
        <v/>
      </c>
      <c r="AB207" s="42">
        <f>MAX(0,MIN(Y207+Z207-AA207,X207))</f>
        <v/>
      </c>
      <c r="AC207" s="42">
        <f>ROUND(Y207+Z207-AA207-AB207,2)</f>
        <v/>
      </c>
      <c r="AD207">
        <f>X207-AB207</f>
        <v/>
      </c>
      <c r="AE207" s="42">
        <f>AI206</f>
        <v/>
      </c>
      <c r="AF207" s="42">
        <f>ROUND(AE207*AF$6/12,2)</f>
        <v/>
      </c>
      <c r="AG207" s="42">
        <f>MIN(AG$6,AE207+AF207)</f>
        <v/>
      </c>
      <c r="AH207" s="42">
        <f>MAX(0,MIN(AE207+AF207-AG207,AD207))</f>
        <v/>
      </c>
      <c r="AI207" s="42">
        <f>ROUND(AE207+AF207-AG207-AH207,2)</f>
        <v/>
      </c>
      <c r="AJ207">
        <f>AD207-AH207</f>
        <v/>
      </c>
      <c r="AK207" s="42">
        <f>AO206</f>
        <v/>
      </c>
      <c r="AL207" s="42">
        <f>ROUND(AK207*AL$6/12,2)</f>
        <v/>
      </c>
      <c r="AM207" s="42">
        <f>MIN(AM$6,AK207+AL207)</f>
        <v/>
      </c>
      <c r="AN207" s="42">
        <f>MAX(0,MIN(AK207+AL207-AM207,AJ207))</f>
        <v/>
      </c>
      <c r="AO207" s="42">
        <f>ROUND(AK207+AL207-AM207-AN207,2)</f>
        <v/>
      </c>
      <c r="AP207">
        <f>AJ207-AN207</f>
        <v/>
      </c>
      <c r="AQ207" s="42">
        <f>AU206</f>
        <v/>
      </c>
      <c r="AR207" s="42">
        <f>ROUND(AQ207*AR$6/12,2)</f>
        <v/>
      </c>
      <c r="AS207" s="42">
        <f>MIN(AS$6,AQ207+AR207)</f>
        <v/>
      </c>
      <c r="AT207" s="42">
        <f>MAX(0,MIN(AQ207+AR207-AS207,AP207))</f>
        <v/>
      </c>
      <c r="AU207" s="42">
        <f>ROUND(AQ207+AR207-AS207-AT207,2)</f>
        <v/>
      </c>
      <c r="AV207">
        <f>AP207-AT207</f>
        <v/>
      </c>
      <c r="AW207" s="42">
        <f>BA206</f>
        <v/>
      </c>
      <c r="AX207" s="42">
        <f>ROUND(AW207*AX$6/12,2)</f>
        <v/>
      </c>
      <c r="AY207" s="42">
        <f>MIN(AY$6,AW207+AX207)</f>
        <v/>
      </c>
      <c r="AZ207" s="42">
        <f>MAX(0,MIN(AW207+AX207-AY207,AV207))</f>
        <v/>
      </c>
      <c r="BA207" s="42">
        <f>ROUND(AW207+AX207-AY207-AZ207,2)</f>
        <v/>
      </c>
      <c r="BB207">
        <f>AV207-AZ207</f>
        <v/>
      </c>
      <c r="BC207" s="42">
        <f>BG206</f>
        <v/>
      </c>
      <c r="BD207" s="42">
        <f>ROUND(BC207*BD$6/12,2)</f>
        <v/>
      </c>
      <c r="BE207" s="42">
        <f>MIN(BE$6,BC207+BD207)</f>
        <v/>
      </c>
      <c r="BF207" s="42">
        <f>MAX(0,MIN(BC207+BD207-BE207,BB207))</f>
        <v/>
      </c>
      <c r="BG207" s="42">
        <f>ROUND(BC207+BD207-BE207-BF207,2)</f>
        <v/>
      </c>
      <c r="BH207">
        <f>BB207-BF207</f>
        <v/>
      </c>
      <c r="BI207" s="42">
        <f>BM206</f>
        <v/>
      </c>
      <c r="BJ207" s="42">
        <f>ROUND(BI207*BJ$6/12,2)</f>
        <v/>
      </c>
      <c r="BK207" s="42">
        <f>MIN(BK$6,BI207+BJ207)</f>
        <v/>
      </c>
      <c r="BL207" s="42">
        <f>MAX(0,MIN(BI207+BJ207-BK207,BH207))</f>
        <v/>
      </c>
      <c r="BM207" s="42">
        <f>ROUND(BI207+BJ207-BK207-BL207,2)</f>
        <v/>
      </c>
      <c r="BN207">
        <f>BH207-BL207</f>
        <v/>
      </c>
    </row>
    <row r="208">
      <c r="A208" s="39" t="n">
        <v>201</v>
      </c>
      <c r="B208" s="40">
        <f>EDATE('My Debts'!$C$6,A208-1)</f>
        <v/>
      </c>
      <c r="C208" s="41">
        <f>K208+Q208+W208+AC208+AI208+AO208+AU208+BA208+BG208+BM208</f>
        <v/>
      </c>
      <c r="D208" s="42">
        <f>I208+O208+U208+AA208+AG208+AM208+AS208+AY208+BE208+BK208+J208+P208+V208+AB208+AH208+AN208+AT208+AZ208+BF208+BL208</f>
        <v/>
      </c>
      <c r="E208" s="42">
        <f>H208+N208+T208+Z208+AF208+AL208+AR208+AX208+BD208+BJ208</f>
        <v/>
      </c>
      <c r="F208" t="n">
        <v>0</v>
      </c>
      <c r="G208" s="42">
        <f>K207</f>
        <v/>
      </c>
      <c r="H208" s="42">
        <f>ROUND(G208*H$6/12,2)</f>
        <v/>
      </c>
      <c r="I208" s="42">
        <f>MIN(I$6,G208+H208)</f>
        <v/>
      </c>
      <c r="J208" s="42">
        <f>MAX(0,MIN(G208+H208-I208,$F208))</f>
        <v/>
      </c>
      <c r="K208" s="42">
        <f>ROUND(G208+H208-I208-J208,2)</f>
        <v/>
      </c>
      <c r="L208">
        <f>$F208-J208</f>
        <v/>
      </c>
      <c r="M208" s="42">
        <f>Q207</f>
        <v/>
      </c>
      <c r="N208" s="42">
        <f>ROUND(M208*N$6/12,2)</f>
        <v/>
      </c>
      <c r="O208" s="42">
        <f>MIN(O$6,M208+N208)</f>
        <v/>
      </c>
      <c r="P208" s="42">
        <f>MAX(0,MIN(M208+N208-O208,L208))</f>
        <v/>
      </c>
      <c r="Q208" s="42">
        <f>ROUND(M208+N208-O208-P208,2)</f>
        <v/>
      </c>
      <c r="R208">
        <f>L208-P208</f>
        <v/>
      </c>
      <c r="S208" s="42">
        <f>W207</f>
        <v/>
      </c>
      <c r="T208" s="42">
        <f>ROUND(S208*T$6/12,2)</f>
        <v/>
      </c>
      <c r="U208" s="42">
        <f>MIN(U$6,S208+T208)</f>
        <v/>
      </c>
      <c r="V208" s="42">
        <f>MAX(0,MIN(S208+T208-U208,R208))</f>
        <v/>
      </c>
      <c r="W208" s="42">
        <f>ROUND(S208+T208-U208-V208,2)</f>
        <v/>
      </c>
      <c r="X208">
        <f>R208-V208</f>
        <v/>
      </c>
      <c r="Y208" s="42">
        <f>AC207</f>
        <v/>
      </c>
      <c r="Z208" s="42">
        <f>ROUND(Y208*Z$6/12,2)</f>
        <v/>
      </c>
      <c r="AA208" s="42">
        <f>MIN(AA$6,Y208+Z208)</f>
        <v/>
      </c>
      <c r="AB208" s="42">
        <f>MAX(0,MIN(Y208+Z208-AA208,X208))</f>
        <v/>
      </c>
      <c r="AC208" s="42">
        <f>ROUND(Y208+Z208-AA208-AB208,2)</f>
        <v/>
      </c>
      <c r="AD208">
        <f>X208-AB208</f>
        <v/>
      </c>
      <c r="AE208" s="42">
        <f>AI207</f>
        <v/>
      </c>
      <c r="AF208" s="42">
        <f>ROUND(AE208*AF$6/12,2)</f>
        <v/>
      </c>
      <c r="AG208" s="42">
        <f>MIN(AG$6,AE208+AF208)</f>
        <v/>
      </c>
      <c r="AH208" s="42">
        <f>MAX(0,MIN(AE208+AF208-AG208,AD208))</f>
        <v/>
      </c>
      <c r="AI208" s="42">
        <f>ROUND(AE208+AF208-AG208-AH208,2)</f>
        <v/>
      </c>
      <c r="AJ208">
        <f>AD208-AH208</f>
        <v/>
      </c>
      <c r="AK208" s="42">
        <f>AO207</f>
        <v/>
      </c>
      <c r="AL208" s="42">
        <f>ROUND(AK208*AL$6/12,2)</f>
        <v/>
      </c>
      <c r="AM208" s="42">
        <f>MIN(AM$6,AK208+AL208)</f>
        <v/>
      </c>
      <c r="AN208" s="42">
        <f>MAX(0,MIN(AK208+AL208-AM208,AJ208))</f>
        <v/>
      </c>
      <c r="AO208" s="42">
        <f>ROUND(AK208+AL208-AM208-AN208,2)</f>
        <v/>
      </c>
      <c r="AP208">
        <f>AJ208-AN208</f>
        <v/>
      </c>
      <c r="AQ208" s="42">
        <f>AU207</f>
        <v/>
      </c>
      <c r="AR208" s="42">
        <f>ROUND(AQ208*AR$6/12,2)</f>
        <v/>
      </c>
      <c r="AS208" s="42">
        <f>MIN(AS$6,AQ208+AR208)</f>
        <v/>
      </c>
      <c r="AT208" s="42">
        <f>MAX(0,MIN(AQ208+AR208-AS208,AP208))</f>
        <v/>
      </c>
      <c r="AU208" s="42">
        <f>ROUND(AQ208+AR208-AS208-AT208,2)</f>
        <v/>
      </c>
      <c r="AV208">
        <f>AP208-AT208</f>
        <v/>
      </c>
      <c r="AW208" s="42">
        <f>BA207</f>
        <v/>
      </c>
      <c r="AX208" s="42">
        <f>ROUND(AW208*AX$6/12,2)</f>
        <v/>
      </c>
      <c r="AY208" s="42">
        <f>MIN(AY$6,AW208+AX208)</f>
        <v/>
      </c>
      <c r="AZ208" s="42">
        <f>MAX(0,MIN(AW208+AX208-AY208,AV208))</f>
        <v/>
      </c>
      <c r="BA208" s="42">
        <f>ROUND(AW208+AX208-AY208-AZ208,2)</f>
        <v/>
      </c>
      <c r="BB208">
        <f>AV208-AZ208</f>
        <v/>
      </c>
      <c r="BC208" s="42">
        <f>BG207</f>
        <v/>
      </c>
      <c r="BD208" s="42">
        <f>ROUND(BC208*BD$6/12,2)</f>
        <v/>
      </c>
      <c r="BE208" s="42">
        <f>MIN(BE$6,BC208+BD208)</f>
        <v/>
      </c>
      <c r="BF208" s="42">
        <f>MAX(0,MIN(BC208+BD208-BE208,BB208))</f>
        <v/>
      </c>
      <c r="BG208" s="42">
        <f>ROUND(BC208+BD208-BE208-BF208,2)</f>
        <v/>
      </c>
      <c r="BH208">
        <f>BB208-BF208</f>
        <v/>
      </c>
      <c r="BI208" s="42">
        <f>BM207</f>
        <v/>
      </c>
      <c r="BJ208" s="42">
        <f>ROUND(BI208*BJ$6/12,2)</f>
        <v/>
      </c>
      <c r="BK208" s="42">
        <f>MIN(BK$6,BI208+BJ208)</f>
        <v/>
      </c>
      <c r="BL208" s="42">
        <f>MAX(0,MIN(BI208+BJ208-BK208,BH208))</f>
        <v/>
      </c>
      <c r="BM208" s="42">
        <f>ROUND(BI208+BJ208-BK208-BL208,2)</f>
        <v/>
      </c>
      <c r="BN208">
        <f>BH208-BL208</f>
        <v/>
      </c>
    </row>
    <row r="209">
      <c r="A209" s="43" t="n">
        <v>202</v>
      </c>
      <c r="B209" s="44">
        <f>EDATE('My Debts'!$C$6,A209-1)</f>
        <v/>
      </c>
      <c r="C209" s="45">
        <f>K209+Q209+W209+AC209+AI209+AO209+AU209+BA209+BG209+BM209</f>
        <v/>
      </c>
      <c r="D209" s="46">
        <f>I209+O209+U209+AA209+AG209+AM209+AS209+AY209+BE209+BK209+J209+P209+V209+AB209+AH209+AN209+AT209+AZ209+BF209+BL209</f>
        <v/>
      </c>
      <c r="E209" s="46">
        <f>H209+N209+T209+Z209+AF209+AL209+AR209+AX209+BD209+BJ209</f>
        <v/>
      </c>
      <c r="F209" t="n">
        <v>0</v>
      </c>
      <c r="G209" s="42">
        <f>K208</f>
        <v/>
      </c>
      <c r="H209" s="42">
        <f>ROUND(G209*H$6/12,2)</f>
        <v/>
      </c>
      <c r="I209" s="42">
        <f>MIN(I$6,G209+H209)</f>
        <v/>
      </c>
      <c r="J209" s="42">
        <f>MAX(0,MIN(G209+H209-I209,$F209))</f>
        <v/>
      </c>
      <c r="K209" s="42">
        <f>ROUND(G209+H209-I209-J209,2)</f>
        <v/>
      </c>
      <c r="L209">
        <f>$F209-J209</f>
        <v/>
      </c>
      <c r="M209" s="42">
        <f>Q208</f>
        <v/>
      </c>
      <c r="N209" s="42">
        <f>ROUND(M209*N$6/12,2)</f>
        <v/>
      </c>
      <c r="O209" s="42">
        <f>MIN(O$6,M209+N209)</f>
        <v/>
      </c>
      <c r="P209" s="42">
        <f>MAX(0,MIN(M209+N209-O209,L209))</f>
        <v/>
      </c>
      <c r="Q209" s="42">
        <f>ROUND(M209+N209-O209-P209,2)</f>
        <v/>
      </c>
      <c r="R209">
        <f>L209-P209</f>
        <v/>
      </c>
      <c r="S209" s="42">
        <f>W208</f>
        <v/>
      </c>
      <c r="T209" s="42">
        <f>ROUND(S209*T$6/12,2)</f>
        <v/>
      </c>
      <c r="U209" s="42">
        <f>MIN(U$6,S209+T209)</f>
        <v/>
      </c>
      <c r="V209" s="42">
        <f>MAX(0,MIN(S209+T209-U209,R209))</f>
        <v/>
      </c>
      <c r="W209" s="42">
        <f>ROUND(S209+T209-U209-V209,2)</f>
        <v/>
      </c>
      <c r="X209">
        <f>R209-V209</f>
        <v/>
      </c>
      <c r="Y209" s="42">
        <f>AC208</f>
        <v/>
      </c>
      <c r="Z209" s="42">
        <f>ROUND(Y209*Z$6/12,2)</f>
        <v/>
      </c>
      <c r="AA209" s="42">
        <f>MIN(AA$6,Y209+Z209)</f>
        <v/>
      </c>
      <c r="AB209" s="42">
        <f>MAX(0,MIN(Y209+Z209-AA209,X209))</f>
        <v/>
      </c>
      <c r="AC209" s="42">
        <f>ROUND(Y209+Z209-AA209-AB209,2)</f>
        <v/>
      </c>
      <c r="AD209">
        <f>X209-AB209</f>
        <v/>
      </c>
      <c r="AE209" s="42">
        <f>AI208</f>
        <v/>
      </c>
      <c r="AF209" s="42">
        <f>ROUND(AE209*AF$6/12,2)</f>
        <v/>
      </c>
      <c r="AG209" s="42">
        <f>MIN(AG$6,AE209+AF209)</f>
        <v/>
      </c>
      <c r="AH209" s="42">
        <f>MAX(0,MIN(AE209+AF209-AG209,AD209))</f>
        <v/>
      </c>
      <c r="AI209" s="42">
        <f>ROUND(AE209+AF209-AG209-AH209,2)</f>
        <v/>
      </c>
      <c r="AJ209">
        <f>AD209-AH209</f>
        <v/>
      </c>
      <c r="AK209" s="42">
        <f>AO208</f>
        <v/>
      </c>
      <c r="AL209" s="42">
        <f>ROUND(AK209*AL$6/12,2)</f>
        <v/>
      </c>
      <c r="AM209" s="42">
        <f>MIN(AM$6,AK209+AL209)</f>
        <v/>
      </c>
      <c r="AN209" s="42">
        <f>MAX(0,MIN(AK209+AL209-AM209,AJ209))</f>
        <v/>
      </c>
      <c r="AO209" s="42">
        <f>ROUND(AK209+AL209-AM209-AN209,2)</f>
        <v/>
      </c>
      <c r="AP209">
        <f>AJ209-AN209</f>
        <v/>
      </c>
      <c r="AQ209" s="42">
        <f>AU208</f>
        <v/>
      </c>
      <c r="AR209" s="42">
        <f>ROUND(AQ209*AR$6/12,2)</f>
        <v/>
      </c>
      <c r="AS209" s="42">
        <f>MIN(AS$6,AQ209+AR209)</f>
        <v/>
      </c>
      <c r="AT209" s="42">
        <f>MAX(0,MIN(AQ209+AR209-AS209,AP209))</f>
        <v/>
      </c>
      <c r="AU209" s="42">
        <f>ROUND(AQ209+AR209-AS209-AT209,2)</f>
        <v/>
      </c>
      <c r="AV209">
        <f>AP209-AT209</f>
        <v/>
      </c>
      <c r="AW209" s="42">
        <f>BA208</f>
        <v/>
      </c>
      <c r="AX209" s="42">
        <f>ROUND(AW209*AX$6/12,2)</f>
        <v/>
      </c>
      <c r="AY209" s="42">
        <f>MIN(AY$6,AW209+AX209)</f>
        <v/>
      </c>
      <c r="AZ209" s="42">
        <f>MAX(0,MIN(AW209+AX209-AY209,AV209))</f>
        <v/>
      </c>
      <c r="BA209" s="42">
        <f>ROUND(AW209+AX209-AY209-AZ209,2)</f>
        <v/>
      </c>
      <c r="BB209">
        <f>AV209-AZ209</f>
        <v/>
      </c>
      <c r="BC209" s="42">
        <f>BG208</f>
        <v/>
      </c>
      <c r="BD209" s="42">
        <f>ROUND(BC209*BD$6/12,2)</f>
        <v/>
      </c>
      <c r="BE209" s="42">
        <f>MIN(BE$6,BC209+BD209)</f>
        <v/>
      </c>
      <c r="BF209" s="42">
        <f>MAX(0,MIN(BC209+BD209-BE209,BB209))</f>
        <v/>
      </c>
      <c r="BG209" s="42">
        <f>ROUND(BC209+BD209-BE209-BF209,2)</f>
        <v/>
      </c>
      <c r="BH209">
        <f>BB209-BF209</f>
        <v/>
      </c>
      <c r="BI209" s="42">
        <f>BM208</f>
        <v/>
      </c>
      <c r="BJ209" s="42">
        <f>ROUND(BI209*BJ$6/12,2)</f>
        <v/>
      </c>
      <c r="BK209" s="42">
        <f>MIN(BK$6,BI209+BJ209)</f>
        <v/>
      </c>
      <c r="BL209" s="42">
        <f>MAX(0,MIN(BI209+BJ209-BK209,BH209))</f>
        <v/>
      </c>
      <c r="BM209" s="42">
        <f>ROUND(BI209+BJ209-BK209-BL209,2)</f>
        <v/>
      </c>
      <c r="BN209">
        <f>BH209-BL209</f>
        <v/>
      </c>
    </row>
    <row r="210">
      <c r="A210" s="39" t="n">
        <v>203</v>
      </c>
      <c r="B210" s="40">
        <f>EDATE('My Debts'!$C$6,A210-1)</f>
        <v/>
      </c>
      <c r="C210" s="41">
        <f>K210+Q210+W210+AC210+AI210+AO210+AU210+BA210+BG210+BM210</f>
        <v/>
      </c>
      <c r="D210" s="42">
        <f>I210+O210+U210+AA210+AG210+AM210+AS210+AY210+BE210+BK210+J210+P210+V210+AB210+AH210+AN210+AT210+AZ210+BF210+BL210</f>
        <v/>
      </c>
      <c r="E210" s="42">
        <f>H210+N210+T210+Z210+AF210+AL210+AR210+AX210+BD210+BJ210</f>
        <v/>
      </c>
      <c r="F210" t="n">
        <v>0</v>
      </c>
      <c r="G210" s="42">
        <f>K209</f>
        <v/>
      </c>
      <c r="H210" s="42">
        <f>ROUND(G210*H$6/12,2)</f>
        <v/>
      </c>
      <c r="I210" s="42">
        <f>MIN(I$6,G210+H210)</f>
        <v/>
      </c>
      <c r="J210" s="42">
        <f>MAX(0,MIN(G210+H210-I210,$F210))</f>
        <v/>
      </c>
      <c r="K210" s="42">
        <f>ROUND(G210+H210-I210-J210,2)</f>
        <v/>
      </c>
      <c r="L210">
        <f>$F210-J210</f>
        <v/>
      </c>
      <c r="M210" s="42">
        <f>Q209</f>
        <v/>
      </c>
      <c r="N210" s="42">
        <f>ROUND(M210*N$6/12,2)</f>
        <v/>
      </c>
      <c r="O210" s="42">
        <f>MIN(O$6,M210+N210)</f>
        <v/>
      </c>
      <c r="P210" s="42">
        <f>MAX(0,MIN(M210+N210-O210,L210))</f>
        <v/>
      </c>
      <c r="Q210" s="42">
        <f>ROUND(M210+N210-O210-P210,2)</f>
        <v/>
      </c>
      <c r="R210">
        <f>L210-P210</f>
        <v/>
      </c>
      <c r="S210" s="42">
        <f>W209</f>
        <v/>
      </c>
      <c r="T210" s="42">
        <f>ROUND(S210*T$6/12,2)</f>
        <v/>
      </c>
      <c r="U210" s="42">
        <f>MIN(U$6,S210+T210)</f>
        <v/>
      </c>
      <c r="V210" s="42">
        <f>MAX(0,MIN(S210+T210-U210,R210))</f>
        <v/>
      </c>
      <c r="W210" s="42">
        <f>ROUND(S210+T210-U210-V210,2)</f>
        <v/>
      </c>
      <c r="X210">
        <f>R210-V210</f>
        <v/>
      </c>
      <c r="Y210" s="42">
        <f>AC209</f>
        <v/>
      </c>
      <c r="Z210" s="42">
        <f>ROUND(Y210*Z$6/12,2)</f>
        <v/>
      </c>
      <c r="AA210" s="42">
        <f>MIN(AA$6,Y210+Z210)</f>
        <v/>
      </c>
      <c r="AB210" s="42">
        <f>MAX(0,MIN(Y210+Z210-AA210,X210))</f>
        <v/>
      </c>
      <c r="AC210" s="42">
        <f>ROUND(Y210+Z210-AA210-AB210,2)</f>
        <v/>
      </c>
      <c r="AD210">
        <f>X210-AB210</f>
        <v/>
      </c>
      <c r="AE210" s="42">
        <f>AI209</f>
        <v/>
      </c>
      <c r="AF210" s="42">
        <f>ROUND(AE210*AF$6/12,2)</f>
        <v/>
      </c>
      <c r="AG210" s="42">
        <f>MIN(AG$6,AE210+AF210)</f>
        <v/>
      </c>
      <c r="AH210" s="42">
        <f>MAX(0,MIN(AE210+AF210-AG210,AD210))</f>
        <v/>
      </c>
      <c r="AI210" s="42">
        <f>ROUND(AE210+AF210-AG210-AH210,2)</f>
        <v/>
      </c>
      <c r="AJ210">
        <f>AD210-AH210</f>
        <v/>
      </c>
      <c r="AK210" s="42">
        <f>AO209</f>
        <v/>
      </c>
      <c r="AL210" s="42">
        <f>ROUND(AK210*AL$6/12,2)</f>
        <v/>
      </c>
      <c r="AM210" s="42">
        <f>MIN(AM$6,AK210+AL210)</f>
        <v/>
      </c>
      <c r="AN210" s="42">
        <f>MAX(0,MIN(AK210+AL210-AM210,AJ210))</f>
        <v/>
      </c>
      <c r="AO210" s="42">
        <f>ROUND(AK210+AL210-AM210-AN210,2)</f>
        <v/>
      </c>
      <c r="AP210">
        <f>AJ210-AN210</f>
        <v/>
      </c>
      <c r="AQ210" s="42">
        <f>AU209</f>
        <v/>
      </c>
      <c r="AR210" s="42">
        <f>ROUND(AQ210*AR$6/12,2)</f>
        <v/>
      </c>
      <c r="AS210" s="42">
        <f>MIN(AS$6,AQ210+AR210)</f>
        <v/>
      </c>
      <c r="AT210" s="42">
        <f>MAX(0,MIN(AQ210+AR210-AS210,AP210))</f>
        <v/>
      </c>
      <c r="AU210" s="42">
        <f>ROUND(AQ210+AR210-AS210-AT210,2)</f>
        <v/>
      </c>
      <c r="AV210">
        <f>AP210-AT210</f>
        <v/>
      </c>
      <c r="AW210" s="42">
        <f>BA209</f>
        <v/>
      </c>
      <c r="AX210" s="42">
        <f>ROUND(AW210*AX$6/12,2)</f>
        <v/>
      </c>
      <c r="AY210" s="42">
        <f>MIN(AY$6,AW210+AX210)</f>
        <v/>
      </c>
      <c r="AZ210" s="42">
        <f>MAX(0,MIN(AW210+AX210-AY210,AV210))</f>
        <v/>
      </c>
      <c r="BA210" s="42">
        <f>ROUND(AW210+AX210-AY210-AZ210,2)</f>
        <v/>
      </c>
      <c r="BB210">
        <f>AV210-AZ210</f>
        <v/>
      </c>
      <c r="BC210" s="42">
        <f>BG209</f>
        <v/>
      </c>
      <c r="BD210" s="42">
        <f>ROUND(BC210*BD$6/12,2)</f>
        <v/>
      </c>
      <c r="BE210" s="42">
        <f>MIN(BE$6,BC210+BD210)</f>
        <v/>
      </c>
      <c r="BF210" s="42">
        <f>MAX(0,MIN(BC210+BD210-BE210,BB210))</f>
        <v/>
      </c>
      <c r="BG210" s="42">
        <f>ROUND(BC210+BD210-BE210-BF210,2)</f>
        <v/>
      </c>
      <c r="BH210">
        <f>BB210-BF210</f>
        <v/>
      </c>
      <c r="BI210" s="42">
        <f>BM209</f>
        <v/>
      </c>
      <c r="BJ210" s="42">
        <f>ROUND(BI210*BJ$6/12,2)</f>
        <v/>
      </c>
      <c r="BK210" s="42">
        <f>MIN(BK$6,BI210+BJ210)</f>
        <v/>
      </c>
      <c r="BL210" s="42">
        <f>MAX(0,MIN(BI210+BJ210-BK210,BH210))</f>
        <v/>
      </c>
      <c r="BM210" s="42">
        <f>ROUND(BI210+BJ210-BK210-BL210,2)</f>
        <v/>
      </c>
      <c r="BN210">
        <f>BH210-BL210</f>
        <v/>
      </c>
    </row>
    <row r="211">
      <c r="A211" s="43" t="n">
        <v>204</v>
      </c>
      <c r="B211" s="44">
        <f>EDATE('My Debts'!$C$6,A211-1)</f>
        <v/>
      </c>
      <c r="C211" s="45">
        <f>K211+Q211+W211+AC211+AI211+AO211+AU211+BA211+BG211+BM211</f>
        <v/>
      </c>
      <c r="D211" s="46">
        <f>I211+O211+U211+AA211+AG211+AM211+AS211+AY211+BE211+BK211+J211+P211+V211+AB211+AH211+AN211+AT211+AZ211+BF211+BL211</f>
        <v/>
      </c>
      <c r="E211" s="46">
        <f>H211+N211+T211+Z211+AF211+AL211+AR211+AX211+BD211+BJ211</f>
        <v/>
      </c>
      <c r="F211" t="n">
        <v>0</v>
      </c>
      <c r="G211" s="42">
        <f>K210</f>
        <v/>
      </c>
      <c r="H211" s="42">
        <f>ROUND(G211*H$6/12,2)</f>
        <v/>
      </c>
      <c r="I211" s="42">
        <f>MIN(I$6,G211+H211)</f>
        <v/>
      </c>
      <c r="J211" s="42">
        <f>MAX(0,MIN(G211+H211-I211,$F211))</f>
        <v/>
      </c>
      <c r="K211" s="42">
        <f>ROUND(G211+H211-I211-J211,2)</f>
        <v/>
      </c>
      <c r="L211">
        <f>$F211-J211</f>
        <v/>
      </c>
      <c r="M211" s="42">
        <f>Q210</f>
        <v/>
      </c>
      <c r="N211" s="42">
        <f>ROUND(M211*N$6/12,2)</f>
        <v/>
      </c>
      <c r="O211" s="42">
        <f>MIN(O$6,M211+N211)</f>
        <v/>
      </c>
      <c r="P211" s="42">
        <f>MAX(0,MIN(M211+N211-O211,L211))</f>
        <v/>
      </c>
      <c r="Q211" s="42">
        <f>ROUND(M211+N211-O211-P211,2)</f>
        <v/>
      </c>
      <c r="R211">
        <f>L211-P211</f>
        <v/>
      </c>
      <c r="S211" s="42">
        <f>W210</f>
        <v/>
      </c>
      <c r="T211" s="42">
        <f>ROUND(S211*T$6/12,2)</f>
        <v/>
      </c>
      <c r="U211" s="42">
        <f>MIN(U$6,S211+T211)</f>
        <v/>
      </c>
      <c r="V211" s="42">
        <f>MAX(0,MIN(S211+T211-U211,R211))</f>
        <v/>
      </c>
      <c r="W211" s="42">
        <f>ROUND(S211+T211-U211-V211,2)</f>
        <v/>
      </c>
      <c r="X211">
        <f>R211-V211</f>
        <v/>
      </c>
      <c r="Y211" s="42">
        <f>AC210</f>
        <v/>
      </c>
      <c r="Z211" s="42">
        <f>ROUND(Y211*Z$6/12,2)</f>
        <v/>
      </c>
      <c r="AA211" s="42">
        <f>MIN(AA$6,Y211+Z211)</f>
        <v/>
      </c>
      <c r="AB211" s="42">
        <f>MAX(0,MIN(Y211+Z211-AA211,X211))</f>
        <v/>
      </c>
      <c r="AC211" s="42">
        <f>ROUND(Y211+Z211-AA211-AB211,2)</f>
        <v/>
      </c>
      <c r="AD211">
        <f>X211-AB211</f>
        <v/>
      </c>
      <c r="AE211" s="42">
        <f>AI210</f>
        <v/>
      </c>
      <c r="AF211" s="42">
        <f>ROUND(AE211*AF$6/12,2)</f>
        <v/>
      </c>
      <c r="AG211" s="42">
        <f>MIN(AG$6,AE211+AF211)</f>
        <v/>
      </c>
      <c r="AH211" s="42">
        <f>MAX(0,MIN(AE211+AF211-AG211,AD211))</f>
        <v/>
      </c>
      <c r="AI211" s="42">
        <f>ROUND(AE211+AF211-AG211-AH211,2)</f>
        <v/>
      </c>
      <c r="AJ211">
        <f>AD211-AH211</f>
        <v/>
      </c>
      <c r="AK211" s="42">
        <f>AO210</f>
        <v/>
      </c>
      <c r="AL211" s="42">
        <f>ROUND(AK211*AL$6/12,2)</f>
        <v/>
      </c>
      <c r="AM211" s="42">
        <f>MIN(AM$6,AK211+AL211)</f>
        <v/>
      </c>
      <c r="AN211" s="42">
        <f>MAX(0,MIN(AK211+AL211-AM211,AJ211))</f>
        <v/>
      </c>
      <c r="AO211" s="42">
        <f>ROUND(AK211+AL211-AM211-AN211,2)</f>
        <v/>
      </c>
      <c r="AP211">
        <f>AJ211-AN211</f>
        <v/>
      </c>
      <c r="AQ211" s="42">
        <f>AU210</f>
        <v/>
      </c>
      <c r="AR211" s="42">
        <f>ROUND(AQ211*AR$6/12,2)</f>
        <v/>
      </c>
      <c r="AS211" s="42">
        <f>MIN(AS$6,AQ211+AR211)</f>
        <v/>
      </c>
      <c r="AT211" s="42">
        <f>MAX(0,MIN(AQ211+AR211-AS211,AP211))</f>
        <v/>
      </c>
      <c r="AU211" s="42">
        <f>ROUND(AQ211+AR211-AS211-AT211,2)</f>
        <v/>
      </c>
      <c r="AV211">
        <f>AP211-AT211</f>
        <v/>
      </c>
      <c r="AW211" s="42">
        <f>BA210</f>
        <v/>
      </c>
      <c r="AX211" s="42">
        <f>ROUND(AW211*AX$6/12,2)</f>
        <v/>
      </c>
      <c r="AY211" s="42">
        <f>MIN(AY$6,AW211+AX211)</f>
        <v/>
      </c>
      <c r="AZ211" s="42">
        <f>MAX(0,MIN(AW211+AX211-AY211,AV211))</f>
        <v/>
      </c>
      <c r="BA211" s="42">
        <f>ROUND(AW211+AX211-AY211-AZ211,2)</f>
        <v/>
      </c>
      <c r="BB211">
        <f>AV211-AZ211</f>
        <v/>
      </c>
      <c r="BC211" s="42">
        <f>BG210</f>
        <v/>
      </c>
      <c r="BD211" s="42">
        <f>ROUND(BC211*BD$6/12,2)</f>
        <v/>
      </c>
      <c r="BE211" s="42">
        <f>MIN(BE$6,BC211+BD211)</f>
        <v/>
      </c>
      <c r="BF211" s="42">
        <f>MAX(0,MIN(BC211+BD211-BE211,BB211))</f>
        <v/>
      </c>
      <c r="BG211" s="42">
        <f>ROUND(BC211+BD211-BE211-BF211,2)</f>
        <v/>
      </c>
      <c r="BH211">
        <f>BB211-BF211</f>
        <v/>
      </c>
      <c r="BI211" s="42">
        <f>BM210</f>
        <v/>
      </c>
      <c r="BJ211" s="42">
        <f>ROUND(BI211*BJ$6/12,2)</f>
        <v/>
      </c>
      <c r="BK211" s="42">
        <f>MIN(BK$6,BI211+BJ211)</f>
        <v/>
      </c>
      <c r="BL211" s="42">
        <f>MAX(0,MIN(BI211+BJ211-BK211,BH211))</f>
        <v/>
      </c>
      <c r="BM211" s="42">
        <f>ROUND(BI211+BJ211-BK211-BL211,2)</f>
        <v/>
      </c>
      <c r="BN211">
        <f>BH211-BL211</f>
        <v/>
      </c>
    </row>
    <row r="212">
      <c r="A212" s="39" t="n">
        <v>205</v>
      </c>
      <c r="B212" s="40">
        <f>EDATE('My Debts'!$C$6,A212-1)</f>
        <v/>
      </c>
      <c r="C212" s="41">
        <f>K212+Q212+W212+AC212+AI212+AO212+AU212+BA212+BG212+BM212</f>
        <v/>
      </c>
      <c r="D212" s="42">
        <f>I212+O212+U212+AA212+AG212+AM212+AS212+AY212+BE212+BK212+J212+P212+V212+AB212+AH212+AN212+AT212+AZ212+BF212+BL212</f>
        <v/>
      </c>
      <c r="E212" s="42">
        <f>H212+N212+T212+Z212+AF212+AL212+AR212+AX212+BD212+BJ212</f>
        <v/>
      </c>
      <c r="F212" t="n">
        <v>0</v>
      </c>
      <c r="G212" s="42">
        <f>K211</f>
        <v/>
      </c>
      <c r="H212" s="42">
        <f>ROUND(G212*H$6/12,2)</f>
        <v/>
      </c>
      <c r="I212" s="42">
        <f>MIN(I$6,G212+H212)</f>
        <v/>
      </c>
      <c r="J212" s="42">
        <f>MAX(0,MIN(G212+H212-I212,$F212))</f>
        <v/>
      </c>
      <c r="K212" s="42">
        <f>ROUND(G212+H212-I212-J212,2)</f>
        <v/>
      </c>
      <c r="L212">
        <f>$F212-J212</f>
        <v/>
      </c>
      <c r="M212" s="42">
        <f>Q211</f>
        <v/>
      </c>
      <c r="N212" s="42">
        <f>ROUND(M212*N$6/12,2)</f>
        <v/>
      </c>
      <c r="O212" s="42">
        <f>MIN(O$6,M212+N212)</f>
        <v/>
      </c>
      <c r="P212" s="42">
        <f>MAX(0,MIN(M212+N212-O212,L212))</f>
        <v/>
      </c>
      <c r="Q212" s="42">
        <f>ROUND(M212+N212-O212-P212,2)</f>
        <v/>
      </c>
      <c r="R212">
        <f>L212-P212</f>
        <v/>
      </c>
      <c r="S212" s="42">
        <f>W211</f>
        <v/>
      </c>
      <c r="T212" s="42">
        <f>ROUND(S212*T$6/12,2)</f>
        <v/>
      </c>
      <c r="U212" s="42">
        <f>MIN(U$6,S212+T212)</f>
        <v/>
      </c>
      <c r="V212" s="42">
        <f>MAX(0,MIN(S212+T212-U212,R212))</f>
        <v/>
      </c>
      <c r="W212" s="42">
        <f>ROUND(S212+T212-U212-V212,2)</f>
        <v/>
      </c>
      <c r="X212">
        <f>R212-V212</f>
        <v/>
      </c>
      <c r="Y212" s="42">
        <f>AC211</f>
        <v/>
      </c>
      <c r="Z212" s="42">
        <f>ROUND(Y212*Z$6/12,2)</f>
        <v/>
      </c>
      <c r="AA212" s="42">
        <f>MIN(AA$6,Y212+Z212)</f>
        <v/>
      </c>
      <c r="AB212" s="42">
        <f>MAX(0,MIN(Y212+Z212-AA212,X212))</f>
        <v/>
      </c>
      <c r="AC212" s="42">
        <f>ROUND(Y212+Z212-AA212-AB212,2)</f>
        <v/>
      </c>
      <c r="AD212">
        <f>X212-AB212</f>
        <v/>
      </c>
      <c r="AE212" s="42">
        <f>AI211</f>
        <v/>
      </c>
      <c r="AF212" s="42">
        <f>ROUND(AE212*AF$6/12,2)</f>
        <v/>
      </c>
      <c r="AG212" s="42">
        <f>MIN(AG$6,AE212+AF212)</f>
        <v/>
      </c>
      <c r="AH212" s="42">
        <f>MAX(0,MIN(AE212+AF212-AG212,AD212))</f>
        <v/>
      </c>
      <c r="AI212" s="42">
        <f>ROUND(AE212+AF212-AG212-AH212,2)</f>
        <v/>
      </c>
      <c r="AJ212">
        <f>AD212-AH212</f>
        <v/>
      </c>
      <c r="AK212" s="42">
        <f>AO211</f>
        <v/>
      </c>
      <c r="AL212" s="42">
        <f>ROUND(AK212*AL$6/12,2)</f>
        <v/>
      </c>
      <c r="AM212" s="42">
        <f>MIN(AM$6,AK212+AL212)</f>
        <v/>
      </c>
      <c r="AN212" s="42">
        <f>MAX(0,MIN(AK212+AL212-AM212,AJ212))</f>
        <v/>
      </c>
      <c r="AO212" s="42">
        <f>ROUND(AK212+AL212-AM212-AN212,2)</f>
        <v/>
      </c>
      <c r="AP212">
        <f>AJ212-AN212</f>
        <v/>
      </c>
      <c r="AQ212" s="42">
        <f>AU211</f>
        <v/>
      </c>
      <c r="AR212" s="42">
        <f>ROUND(AQ212*AR$6/12,2)</f>
        <v/>
      </c>
      <c r="AS212" s="42">
        <f>MIN(AS$6,AQ212+AR212)</f>
        <v/>
      </c>
      <c r="AT212" s="42">
        <f>MAX(0,MIN(AQ212+AR212-AS212,AP212))</f>
        <v/>
      </c>
      <c r="AU212" s="42">
        <f>ROUND(AQ212+AR212-AS212-AT212,2)</f>
        <v/>
      </c>
      <c r="AV212">
        <f>AP212-AT212</f>
        <v/>
      </c>
      <c r="AW212" s="42">
        <f>BA211</f>
        <v/>
      </c>
      <c r="AX212" s="42">
        <f>ROUND(AW212*AX$6/12,2)</f>
        <v/>
      </c>
      <c r="AY212" s="42">
        <f>MIN(AY$6,AW212+AX212)</f>
        <v/>
      </c>
      <c r="AZ212" s="42">
        <f>MAX(0,MIN(AW212+AX212-AY212,AV212))</f>
        <v/>
      </c>
      <c r="BA212" s="42">
        <f>ROUND(AW212+AX212-AY212-AZ212,2)</f>
        <v/>
      </c>
      <c r="BB212">
        <f>AV212-AZ212</f>
        <v/>
      </c>
      <c r="BC212" s="42">
        <f>BG211</f>
        <v/>
      </c>
      <c r="BD212" s="42">
        <f>ROUND(BC212*BD$6/12,2)</f>
        <v/>
      </c>
      <c r="BE212" s="42">
        <f>MIN(BE$6,BC212+BD212)</f>
        <v/>
      </c>
      <c r="BF212" s="42">
        <f>MAX(0,MIN(BC212+BD212-BE212,BB212))</f>
        <v/>
      </c>
      <c r="BG212" s="42">
        <f>ROUND(BC212+BD212-BE212-BF212,2)</f>
        <v/>
      </c>
      <c r="BH212">
        <f>BB212-BF212</f>
        <v/>
      </c>
      <c r="BI212" s="42">
        <f>BM211</f>
        <v/>
      </c>
      <c r="BJ212" s="42">
        <f>ROUND(BI212*BJ$6/12,2)</f>
        <v/>
      </c>
      <c r="BK212" s="42">
        <f>MIN(BK$6,BI212+BJ212)</f>
        <v/>
      </c>
      <c r="BL212" s="42">
        <f>MAX(0,MIN(BI212+BJ212-BK212,BH212))</f>
        <v/>
      </c>
      <c r="BM212" s="42">
        <f>ROUND(BI212+BJ212-BK212-BL212,2)</f>
        <v/>
      </c>
      <c r="BN212">
        <f>BH212-BL212</f>
        <v/>
      </c>
    </row>
    <row r="213">
      <c r="A213" s="43" t="n">
        <v>206</v>
      </c>
      <c r="B213" s="44">
        <f>EDATE('My Debts'!$C$6,A213-1)</f>
        <v/>
      </c>
      <c r="C213" s="45">
        <f>K213+Q213+W213+AC213+AI213+AO213+AU213+BA213+BG213+BM213</f>
        <v/>
      </c>
      <c r="D213" s="46">
        <f>I213+O213+U213+AA213+AG213+AM213+AS213+AY213+BE213+BK213+J213+P213+V213+AB213+AH213+AN213+AT213+AZ213+BF213+BL213</f>
        <v/>
      </c>
      <c r="E213" s="46">
        <f>H213+N213+T213+Z213+AF213+AL213+AR213+AX213+BD213+BJ213</f>
        <v/>
      </c>
      <c r="F213" t="n">
        <v>0</v>
      </c>
      <c r="G213" s="42">
        <f>K212</f>
        <v/>
      </c>
      <c r="H213" s="42">
        <f>ROUND(G213*H$6/12,2)</f>
        <v/>
      </c>
      <c r="I213" s="42">
        <f>MIN(I$6,G213+H213)</f>
        <v/>
      </c>
      <c r="J213" s="42">
        <f>MAX(0,MIN(G213+H213-I213,$F213))</f>
        <v/>
      </c>
      <c r="K213" s="42">
        <f>ROUND(G213+H213-I213-J213,2)</f>
        <v/>
      </c>
      <c r="L213">
        <f>$F213-J213</f>
        <v/>
      </c>
      <c r="M213" s="42">
        <f>Q212</f>
        <v/>
      </c>
      <c r="N213" s="42">
        <f>ROUND(M213*N$6/12,2)</f>
        <v/>
      </c>
      <c r="O213" s="42">
        <f>MIN(O$6,M213+N213)</f>
        <v/>
      </c>
      <c r="P213" s="42">
        <f>MAX(0,MIN(M213+N213-O213,L213))</f>
        <v/>
      </c>
      <c r="Q213" s="42">
        <f>ROUND(M213+N213-O213-P213,2)</f>
        <v/>
      </c>
      <c r="R213">
        <f>L213-P213</f>
        <v/>
      </c>
      <c r="S213" s="42">
        <f>W212</f>
        <v/>
      </c>
      <c r="T213" s="42">
        <f>ROUND(S213*T$6/12,2)</f>
        <v/>
      </c>
      <c r="U213" s="42">
        <f>MIN(U$6,S213+T213)</f>
        <v/>
      </c>
      <c r="V213" s="42">
        <f>MAX(0,MIN(S213+T213-U213,R213))</f>
        <v/>
      </c>
      <c r="W213" s="42">
        <f>ROUND(S213+T213-U213-V213,2)</f>
        <v/>
      </c>
      <c r="X213">
        <f>R213-V213</f>
        <v/>
      </c>
      <c r="Y213" s="42">
        <f>AC212</f>
        <v/>
      </c>
      <c r="Z213" s="42">
        <f>ROUND(Y213*Z$6/12,2)</f>
        <v/>
      </c>
      <c r="AA213" s="42">
        <f>MIN(AA$6,Y213+Z213)</f>
        <v/>
      </c>
      <c r="AB213" s="42">
        <f>MAX(0,MIN(Y213+Z213-AA213,X213))</f>
        <v/>
      </c>
      <c r="AC213" s="42">
        <f>ROUND(Y213+Z213-AA213-AB213,2)</f>
        <v/>
      </c>
      <c r="AD213">
        <f>X213-AB213</f>
        <v/>
      </c>
      <c r="AE213" s="42">
        <f>AI212</f>
        <v/>
      </c>
      <c r="AF213" s="42">
        <f>ROUND(AE213*AF$6/12,2)</f>
        <v/>
      </c>
      <c r="AG213" s="42">
        <f>MIN(AG$6,AE213+AF213)</f>
        <v/>
      </c>
      <c r="AH213" s="42">
        <f>MAX(0,MIN(AE213+AF213-AG213,AD213))</f>
        <v/>
      </c>
      <c r="AI213" s="42">
        <f>ROUND(AE213+AF213-AG213-AH213,2)</f>
        <v/>
      </c>
      <c r="AJ213">
        <f>AD213-AH213</f>
        <v/>
      </c>
      <c r="AK213" s="42">
        <f>AO212</f>
        <v/>
      </c>
      <c r="AL213" s="42">
        <f>ROUND(AK213*AL$6/12,2)</f>
        <v/>
      </c>
      <c r="AM213" s="42">
        <f>MIN(AM$6,AK213+AL213)</f>
        <v/>
      </c>
      <c r="AN213" s="42">
        <f>MAX(0,MIN(AK213+AL213-AM213,AJ213))</f>
        <v/>
      </c>
      <c r="AO213" s="42">
        <f>ROUND(AK213+AL213-AM213-AN213,2)</f>
        <v/>
      </c>
      <c r="AP213">
        <f>AJ213-AN213</f>
        <v/>
      </c>
      <c r="AQ213" s="42">
        <f>AU212</f>
        <v/>
      </c>
      <c r="AR213" s="42">
        <f>ROUND(AQ213*AR$6/12,2)</f>
        <v/>
      </c>
      <c r="AS213" s="42">
        <f>MIN(AS$6,AQ213+AR213)</f>
        <v/>
      </c>
      <c r="AT213" s="42">
        <f>MAX(0,MIN(AQ213+AR213-AS213,AP213))</f>
        <v/>
      </c>
      <c r="AU213" s="42">
        <f>ROUND(AQ213+AR213-AS213-AT213,2)</f>
        <v/>
      </c>
      <c r="AV213">
        <f>AP213-AT213</f>
        <v/>
      </c>
      <c r="AW213" s="42">
        <f>BA212</f>
        <v/>
      </c>
      <c r="AX213" s="42">
        <f>ROUND(AW213*AX$6/12,2)</f>
        <v/>
      </c>
      <c r="AY213" s="42">
        <f>MIN(AY$6,AW213+AX213)</f>
        <v/>
      </c>
      <c r="AZ213" s="42">
        <f>MAX(0,MIN(AW213+AX213-AY213,AV213))</f>
        <v/>
      </c>
      <c r="BA213" s="42">
        <f>ROUND(AW213+AX213-AY213-AZ213,2)</f>
        <v/>
      </c>
      <c r="BB213">
        <f>AV213-AZ213</f>
        <v/>
      </c>
      <c r="BC213" s="42">
        <f>BG212</f>
        <v/>
      </c>
      <c r="BD213" s="42">
        <f>ROUND(BC213*BD$6/12,2)</f>
        <v/>
      </c>
      <c r="BE213" s="42">
        <f>MIN(BE$6,BC213+BD213)</f>
        <v/>
      </c>
      <c r="BF213" s="42">
        <f>MAX(0,MIN(BC213+BD213-BE213,BB213))</f>
        <v/>
      </c>
      <c r="BG213" s="42">
        <f>ROUND(BC213+BD213-BE213-BF213,2)</f>
        <v/>
      </c>
      <c r="BH213">
        <f>BB213-BF213</f>
        <v/>
      </c>
      <c r="BI213" s="42">
        <f>BM212</f>
        <v/>
      </c>
      <c r="BJ213" s="42">
        <f>ROUND(BI213*BJ$6/12,2)</f>
        <v/>
      </c>
      <c r="BK213" s="42">
        <f>MIN(BK$6,BI213+BJ213)</f>
        <v/>
      </c>
      <c r="BL213" s="42">
        <f>MAX(0,MIN(BI213+BJ213-BK213,BH213))</f>
        <v/>
      </c>
      <c r="BM213" s="42">
        <f>ROUND(BI213+BJ213-BK213-BL213,2)</f>
        <v/>
      </c>
      <c r="BN213">
        <f>BH213-BL213</f>
        <v/>
      </c>
    </row>
    <row r="214">
      <c r="A214" s="39" t="n">
        <v>207</v>
      </c>
      <c r="B214" s="40">
        <f>EDATE('My Debts'!$C$6,A214-1)</f>
        <v/>
      </c>
      <c r="C214" s="41">
        <f>K214+Q214+W214+AC214+AI214+AO214+AU214+BA214+BG214+BM214</f>
        <v/>
      </c>
      <c r="D214" s="42">
        <f>I214+O214+U214+AA214+AG214+AM214+AS214+AY214+BE214+BK214+J214+P214+V214+AB214+AH214+AN214+AT214+AZ214+BF214+BL214</f>
        <v/>
      </c>
      <c r="E214" s="42">
        <f>H214+N214+T214+Z214+AF214+AL214+AR214+AX214+BD214+BJ214</f>
        <v/>
      </c>
      <c r="F214" t="n">
        <v>0</v>
      </c>
      <c r="G214" s="42">
        <f>K213</f>
        <v/>
      </c>
      <c r="H214" s="42">
        <f>ROUND(G214*H$6/12,2)</f>
        <v/>
      </c>
      <c r="I214" s="42">
        <f>MIN(I$6,G214+H214)</f>
        <v/>
      </c>
      <c r="J214" s="42">
        <f>MAX(0,MIN(G214+H214-I214,$F214))</f>
        <v/>
      </c>
      <c r="K214" s="42">
        <f>ROUND(G214+H214-I214-J214,2)</f>
        <v/>
      </c>
      <c r="L214">
        <f>$F214-J214</f>
        <v/>
      </c>
      <c r="M214" s="42">
        <f>Q213</f>
        <v/>
      </c>
      <c r="N214" s="42">
        <f>ROUND(M214*N$6/12,2)</f>
        <v/>
      </c>
      <c r="O214" s="42">
        <f>MIN(O$6,M214+N214)</f>
        <v/>
      </c>
      <c r="P214" s="42">
        <f>MAX(0,MIN(M214+N214-O214,L214))</f>
        <v/>
      </c>
      <c r="Q214" s="42">
        <f>ROUND(M214+N214-O214-P214,2)</f>
        <v/>
      </c>
      <c r="R214">
        <f>L214-P214</f>
        <v/>
      </c>
      <c r="S214" s="42">
        <f>W213</f>
        <v/>
      </c>
      <c r="T214" s="42">
        <f>ROUND(S214*T$6/12,2)</f>
        <v/>
      </c>
      <c r="U214" s="42">
        <f>MIN(U$6,S214+T214)</f>
        <v/>
      </c>
      <c r="V214" s="42">
        <f>MAX(0,MIN(S214+T214-U214,R214))</f>
        <v/>
      </c>
      <c r="W214" s="42">
        <f>ROUND(S214+T214-U214-V214,2)</f>
        <v/>
      </c>
      <c r="X214">
        <f>R214-V214</f>
        <v/>
      </c>
      <c r="Y214" s="42">
        <f>AC213</f>
        <v/>
      </c>
      <c r="Z214" s="42">
        <f>ROUND(Y214*Z$6/12,2)</f>
        <v/>
      </c>
      <c r="AA214" s="42">
        <f>MIN(AA$6,Y214+Z214)</f>
        <v/>
      </c>
      <c r="AB214" s="42">
        <f>MAX(0,MIN(Y214+Z214-AA214,X214))</f>
        <v/>
      </c>
      <c r="AC214" s="42">
        <f>ROUND(Y214+Z214-AA214-AB214,2)</f>
        <v/>
      </c>
      <c r="AD214">
        <f>X214-AB214</f>
        <v/>
      </c>
      <c r="AE214" s="42">
        <f>AI213</f>
        <v/>
      </c>
      <c r="AF214" s="42">
        <f>ROUND(AE214*AF$6/12,2)</f>
        <v/>
      </c>
      <c r="AG214" s="42">
        <f>MIN(AG$6,AE214+AF214)</f>
        <v/>
      </c>
      <c r="AH214" s="42">
        <f>MAX(0,MIN(AE214+AF214-AG214,AD214))</f>
        <v/>
      </c>
      <c r="AI214" s="42">
        <f>ROUND(AE214+AF214-AG214-AH214,2)</f>
        <v/>
      </c>
      <c r="AJ214">
        <f>AD214-AH214</f>
        <v/>
      </c>
      <c r="AK214" s="42">
        <f>AO213</f>
        <v/>
      </c>
      <c r="AL214" s="42">
        <f>ROUND(AK214*AL$6/12,2)</f>
        <v/>
      </c>
      <c r="AM214" s="42">
        <f>MIN(AM$6,AK214+AL214)</f>
        <v/>
      </c>
      <c r="AN214" s="42">
        <f>MAX(0,MIN(AK214+AL214-AM214,AJ214))</f>
        <v/>
      </c>
      <c r="AO214" s="42">
        <f>ROUND(AK214+AL214-AM214-AN214,2)</f>
        <v/>
      </c>
      <c r="AP214">
        <f>AJ214-AN214</f>
        <v/>
      </c>
      <c r="AQ214" s="42">
        <f>AU213</f>
        <v/>
      </c>
      <c r="AR214" s="42">
        <f>ROUND(AQ214*AR$6/12,2)</f>
        <v/>
      </c>
      <c r="AS214" s="42">
        <f>MIN(AS$6,AQ214+AR214)</f>
        <v/>
      </c>
      <c r="AT214" s="42">
        <f>MAX(0,MIN(AQ214+AR214-AS214,AP214))</f>
        <v/>
      </c>
      <c r="AU214" s="42">
        <f>ROUND(AQ214+AR214-AS214-AT214,2)</f>
        <v/>
      </c>
      <c r="AV214">
        <f>AP214-AT214</f>
        <v/>
      </c>
      <c r="AW214" s="42">
        <f>BA213</f>
        <v/>
      </c>
      <c r="AX214" s="42">
        <f>ROUND(AW214*AX$6/12,2)</f>
        <v/>
      </c>
      <c r="AY214" s="42">
        <f>MIN(AY$6,AW214+AX214)</f>
        <v/>
      </c>
      <c r="AZ214" s="42">
        <f>MAX(0,MIN(AW214+AX214-AY214,AV214))</f>
        <v/>
      </c>
      <c r="BA214" s="42">
        <f>ROUND(AW214+AX214-AY214-AZ214,2)</f>
        <v/>
      </c>
      <c r="BB214">
        <f>AV214-AZ214</f>
        <v/>
      </c>
      <c r="BC214" s="42">
        <f>BG213</f>
        <v/>
      </c>
      <c r="BD214" s="42">
        <f>ROUND(BC214*BD$6/12,2)</f>
        <v/>
      </c>
      <c r="BE214" s="42">
        <f>MIN(BE$6,BC214+BD214)</f>
        <v/>
      </c>
      <c r="BF214" s="42">
        <f>MAX(0,MIN(BC214+BD214-BE214,BB214))</f>
        <v/>
      </c>
      <c r="BG214" s="42">
        <f>ROUND(BC214+BD214-BE214-BF214,2)</f>
        <v/>
      </c>
      <c r="BH214">
        <f>BB214-BF214</f>
        <v/>
      </c>
      <c r="BI214" s="42">
        <f>BM213</f>
        <v/>
      </c>
      <c r="BJ214" s="42">
        <f>ROUND(BI214*BJ$6/12,2)</f>
        <v/>
      </c>
      <c r="BK214" s="42">
        <f>MIN(BK$6,BI214+BJ214)</f>
        <v/>
      </c>
      <c r="BL214" s="42">
        <f>MAX(0,MIN(BI214+BJ214-BK214,BH214))</f>
        <v/>
      </c>
      <c r="BM214" s="42">
        <f>ROUND(BI214+BJ214-BK214-BL214,2)</f>
        <v/>
      </c>
      <c r="BN214">
        <f>BH214-BL214</f>
        <v/>
      </c>
    </row>
    <row r="215">
      <c r="A215" s="43" t="n">
        <v>208</v>
      </c>
      <c r="B215" s="44">
        <f>EDATE('My Debts'!$C$6,A215-1)</f>
        <v/>
      </c>
      <c r="C215" s="45">
        <f>K215+Q215+W215+AC215+AI215+AO215+AU215+BA215+BG215+BM215</f>
        <v/>
      </c>
      <c r="D215" s="46">
        <f>I215+O215+U215+AA215+AG215+AM215+AS215+AY215+BE215+BK215+J215+P215+V215+AB215+AH215+AN215+AT215+AZ215+BF215+BL215</f>
        <v/>
      </c>
      <c r="E215" s="46">
        <f>H215+N215+T215+Z215+AF215+AL215+AR215+AX215+BD215+BJ215</f>
        <v/>
      </c>
      <c r="F215" t="n">
        <v>0</v>
      </c>
      <c r="G215" s="42">
        <f>K214</f>
        <v/>
      </c>
      <c r="H215" s="42">
        <f>ROUND(G215*H$6/12,2)</f>
        <v/>
      </c>
      <c r="I215" s="42">
        <f>MIN(I$6,G215+H215)</f>
        <v/>
      </c>
      <c r="J215" s="42">
        <f>MAX(0,MIN(G215+H215-I215,$F215))</f>
        <v/>
      </c>
      <c r="K215" s="42">
        <f>ROUND(G215+H215-I215-J215,2)</f>
        <v/>
      </c>
      <c r="L215">
        <f>$F215-J215</f>
        <v/>
      </c>
      <c r="M215" s="42">
        <f>Q214</f>
        <v/>
      </c>
      <c r="N215" s="42">
        <f>ROUND(M215*N$6/12,2)</f>
        <v/>
      </c>
      <c r="O215" s="42">
        <f>MIN(O$6,M215+N215)</f>
        <v/>
      </c>
      <c r="P215" s="42">
        <f>MAX(0,MIN(M215+N215-O215,L215))</f>
        <v/>
      </c>
      <c r="Q215" s="42">
        <f>ROUND(M215+N215-O215-P215,2)</f>
        <v/>
      </c>
      <c r="R215">
        <f>L215-P215</f>
        <v/>
      </c>
      <c r="S215" s="42">
        <f>W214</f>
        <v/>
      </c>
      <c r="T215" s="42">
        <f>ROUND(S215*T$6/12,2)</f>
        <v/>
      </c>
      <c r="U215" s="42">
        <f>MIN(U$6,S215+T215)</f>
        <v/>
      </c>
      <c r="V215" s="42">
        <f>MAX(0,MIN(S215+T215-U215,R215))</f>
        <v/>
      </c>
      <c r="W215" s="42">
        <f>ROUND(S215+T215-U215-V215,2)</f>
        <v/>
      </c>
      <c r="X215">
        <f>R215-V215</f>
        <v/>
      </c>
      <c r="Y215" s="42">
        <f>AC214</f>
        <v/>
      </c>
      <c r="Z215" s="42">
        <f>ROUND(Y215*Z$6/12,2)</f>
        <v/>
      </c>
      <c r="AA215" s="42">
        <f>MIN(AA$6,Y215+Z215)</f>
        <v/>
      </c>
      <c r="AB215" s="42">
        <f>MAX(0,MIN(Y215+Z215-AA215,X215))</f>
        <v/>
      </c>
      <c r="AC215" s="42">
        <f>ROUND(Y215+Z215-AA215-AB215,2)</f>
        <v/>
      </c>
      <c r="AD215">
        <f>X215-AB215</f>
        <v/>
      </c>
      <c r="AE215" s="42">
        <f>AI214</f>
        <v/>
      </c>
      <c r="AF215" s="42">
        <f>ROUND(AE215*AF$6/12,2)</f>
        <v/>
      </c>
      <c r="AG215" s="42">
        <f>MIN(AG$6,AE215+AF215)</f>
        <v/>
      </c>
      <c r="AH215" s="42">
        <f>MAX(0,MIN(AE215+AF215-AG215,AD215))</f>
        <v/>
      </c>
      <c r="AI215" s="42">
        <f>ROUND(AE215+AF215-AG215-AH215,2)</f>
        <v/>
      </c>
      <c r="AJ215">
        <f>AD215-AH215</f>
        <v/>
      </c>
      <c r="AK215" s="42">
        <f>AO214</f>
        <v/>
      </c>
      <c r="AL215" s="42">
        <f>ROUND(AK215*AL$6/12,2)</f>
        <v/>
      </c>
      <c r="AM215" s="42">
        <f>MIN(AM$6,AK215+AL215)</f>
        <v/>
      </c>
      <c r="AN215" s="42">
        <f>MAX(0,MIN(AK215+AL215-AM215,AJ215))</f>
        <v/>
      </c>
      <c r="AO215" s="42">
        <f>ROUND(AK215+AL215-AM215-AN215,2)</f>
        <v/>
      </c>
      <c r="AP215">
        <f>AJ215-AN215</f>
        <v/>
      </c>
      <c r="AQ215" s="42">
        <f>AU214</f>
        <v/>
      </c>
      <c r="AR215" s="42">
        <f>ROUND(AQ215*AR$6/12,2)</f>
        <v/>
      </c>
      <c r="AS215" s="42">
        <f>MIN(AS$6,AQ215+AR215)</f>
        <v/>
      </c>
      <c r="AT215" s="42">
        <f>MAX(0,MIN(AQ215+AR215-AS215,AP215))</f>
        <v/>
      </c>
      <c r="AU215" s="42">
        <f>ROUND(AQ215+AR215-AS215-AT215,2)</f>
        <v/>
      </c>
      <c r="AV215">
        <f>AP215-AT215</f>
        <v/>
      </c>
      <c r="AW215" s="42">
        <f>BA214</f>
        <v/>
      </c>
      <c r="AX215" s="42">
        <f>ROUND(AW215*AX$6/12,2)</f>
        <v/>
      </c>
      <c r="AY215" s="42">
        <f>MIN(AY$6,AW215+AX215)</f>
        <v/>
      </c>
      <c r="AZ215" s="42">
        <f>MAX(0,MIN(AW215+AX215-AY215,AV215))</f>
        <v/>
      </c>
      <c r="BA215" s="42">
        <f>ROUND(AW215+AX215-AY215-AZ215,2)</f>
        <v/>
      </c>
      <c r="BB215">
        <f>AV215-AZ215</f>
        <v/>
      </c>
      <c r="BC215" s="42">
        <f>BG214</f>
        <v/>
      </c>
      <c r="BD215" s="42">
        <f>ROUND(BC215*BD$6/12,2)</f>
        <v/>
      </c>
      <c r="BE215" s="42">
        <f>MIN(BE$6,BC215+BD215)</f>
        <v/>
      </c>
      <c r="BF215" s="42">
        <f>MAX(0,MIN(BC215+BD215-BE215,BB215))</f>
        <v/>
      </c>
      <c r="BG215" s="42">
        <f>ROUND(BC215+BD215-BE215-BF215,2)</f>
        <v/>
      </c>
      <c r="BH215">
        <f>BB215-BF215</f>
        <v/>
      </c>
      <c r="BI215" s="42">
        <f>BM214</f>
        <v/>
      </c>
      <c r="BJ215" s="42">
        <f>ROUND(BI215*BJ$6/12,2)</f>
        <v/>
      </c>
      <c r="BK215" s="42">
        <f>MIN(BK$6,BI215+BJ215)</f>
        <v/>
      </c>
      <c r="BL215" s="42">
        <f>MAX(0,MIN(BI215+BJ215-BK215,BH215))</f>
        <v/>
      </c>
      <c r="BM215" s="42">
        <f>ROUND(BI215+BJ215-BK215-BL215,2)</f>
        <v/>
      </c>
      <c r="BN215">
        <f>BH215-BL215</f>
        <v/>
      </c>
    </row>
    <row r="216">
      <c r="A216" s="39" t="n">
        <v>209</v>
      </c>
      <c r="B216" s="40">
        <f>EDATE('My Debts'!$C$6,A216-1)</f>
        <v/>
      </c>
      <c r="C216" s="41">
        <f>K216+Q216+W216+AC216+AI216+AO216+AU216+BA216+BG216+BM216</f>
        <v/>
      </c>
      <c r="D216" s="42">
        <f>I216+O216+U216+AA216+AG216+AM216+AS216+AY216+BE216+BK216+J216+P216+V216+AB216+AH216+AN216+AT216+AZ216+BF216+BL216</f>
        <v/>
      </c>
      <c r="E216" s="42">
        <f>H216+N216+T216+Z216+AF216+AL216+AR216+AX216+BD216+BJ216</f>
        <v/>
      </c>
      <c r="F216" t="n">
        <v>0</v>
      </c>
      <c r="G216" s="42">
        <f>K215</f>
        <v/>
      </c>
      <c r="H216" s="42">
        <f>ROUND(G216*H$6/12,2)</f>
        <v/>
      </c>
      <c r="I216" s="42">
        <f>MIN(I$6,G216+H216)</f>
        <v/>
      </c>
      <c r="J216" s="42">
        <f>MAX(0,MIN(G216+H216-I216,$F216))</f>
        <v/>
      </c>
      <c r="K216" s="42">
        <f>ROUND(G216+H216-I216-J216,2)</f>
        <v/>
      </c>
      <c r="L216">
        <f>$F216-J216</f>
        <v/>
      </c>
      <c r="M216" s="42">
        <f>Q215</f>
        <v/>
      </c>
      <c r="N216" s="42">
        <f>ROUND(M216*N$6/12,2)</f>
        <v/>
      </c>
      <c r="O216" s="42">
        <f>MIN(O$6,M216+N216)</f>
        <v/>
      </c>
      <c r="P216" s="42">
        <f>MAX(0,MIN(M216+N216-O216,L216))</f>
        <v/>
      </c>
      <c r="Q216" s="42">
        <f>ROUND(M216+N216-O216-P216,2)</f>
        <v/>
      </c>
      <c r="R216">
        <f>L216-P216</f>
        <v/>
      </c>
      <c r="S216" s="42">
        <f>W215</f>
        <v/>
      </c>
      <c r="T216" s="42">
        <f>ROUND(S216*T$6/12,2)</f>
        <v/>
      </c>
      <c r="U216" s="42">
        <f>MIN(U$6,S216+T216)</f>
        <v/>
      </c>
      <c r="V216" s="42">
        <f>MAX(0,MIN(S216+T216-U216,R216))</f>
        <v/>
      </c>
      <c r="W216" s="42">
        <f>ROUND(S216+T216-U216-V216,2)</f>
        <v/>
      </c>
      <c r="X216">
        <f>R216-V216</f>
        <v/>
      </c>
      <c r="Y216" s="42">
        <f>AC215</f>
        <v/>
      </c>
      <c r="Z216" s="42">
        <f>ROUND(Y216*Z$6/12,2)</f>
        <v/>
      </c>
      <c r="AA216" s="42">
        <f>MIN(AA$6,Y216+Z216)</f>
        <v/>
      </c>
      <c r="AB216" s="42">
        <f>MAX(0,MIN(Y216+Z216-AA216,X216))</f>
        <v/>
      </c>
      <c r="AC216" s="42">
        <f>ROUND(Y216+Z216-AA216-AB216,2)</f>
        <v/>
      </c>
      <c r="AD216">
        <f>X216-AB216</f>
        <v/>
      </c>
      <c r="AE216" s="42">
        <f>AI215</f>
        <v/>
      </c>
      <c r="AF216" s="42">
        <f>ROUND(AE216*AF$6/12,2)</f>
        <v/>
      </c>
      <c r="AG216" s="42">
        <f>MIN(AG$6,AE216+AF216)</f>
        <v/>
      </c>
      <c r="AH216" s="42">
        <f>MAX(0,MIN(AE216+AF216-AG216,AD216))</f>
        <v/>
      </c>
      <c r="AI216" s="42">
        <f>ROUND(AE216+AF216-AG216-AH216,2)</f>
        <v/>
      </c>
      <c r="AJ216">
        <f>AD216-AH216</f>
        <v/>
      </c>
      <c r="AK216" s="42">
        <f>AO215</f>
        <v/>
      </c>
      <c r="AL216" s="42">
        <f>ROUND(AK216*AL$6/12,2)</f>
        <v/>
      </c>
      <c r="AM216" s="42">
        <f>MIN(AM$6,AK216+AL216)</f>
        <v/>
      </c>
      <c r="AN216" s="42">
        <f>MAX(0,MIN(AK216+AL216-AM216,AJ216))</f>
        <v/>
      </c>
      <c r="AO216" s="42">
        <f>ROUND(AK216+AL216-AM216-AN216,2)</f>
        <v/>
      </c>
      <c r="AP216">
        <f>AJ216-AN216</f>
        <v/>
      </c>
      <c r="AQ216" s="42">
        <f>AU215</f>
        <v/>
      </c>
      <c r="AR216" s="42">
        <f>ROUND(AQ216*AR$6/12,2)</f>
        <v/>
      </c>
      <c r="AS216" s="42">
        <f>MIN(AS$6,AQ216+AR216)</f>
        <v/>
      </c>
      <c r="AT216" s="42">
        <f>MAX(0,MIN(AQ216+AR216-AS216,AP216))</f>
        <v/>
      </c>
      <c r="AU216" s="42">
        <f>ROUND(AQ216+AR216-AS216-AT216,2)</f>
        <v/>
      </c>
      <c r="AV216">
        <f>AP216-AT216</f>
        <v/>
      </c>
      <c r="AW216" s="42">
        <f>BA215</f>
        <v/>
      </c>
      <c r="AX216" s="42">
        <f>ROUND(AW216*AX$6/12,2)</f>
        <v/>
      </c>
      <c r="AY216" s="42">
        <f>MIN(AY$6,AW216+AX216)</f>
        <v/>
      </c>
      <c r="AZ216" s="42">
        <f>MAX(0,MIN(AW216+AX216-AY216,AV216))</f>
        <v/>
      </c>
      <c r="BA216" s="42">
        <f>ROUND(AW216+AX216-AY216-AZ216,2)</f>
        <v/>
      </c>
      <c r="BB216">
        <f>AV216-AZ216</f>
        <v/>
      </c>
      <c r="BC216" s="42">
        <f>BG215</f>
        <v/>
      </c>
      <c r="BD216" s="42">
        <f>ROUND(BC216*BD$6/12,2)</f>
        <v/>
      </c>
      <c r="BE216" s="42">
        <f>MIN(BE$6,BC216+BD216)</f>
        <v/>
      </c>
      <c r="BF216" s="42">
        <f>MAX(0,MIN(BC216+BD216-BE216,BB216))</f>
        <v/>
      </c>
      <c r="BG216" s="42">
        <f>ROUND(BC216+BD216-BE216-BF216,2)</f>
        <v/>
      </c>
      <c r="BH216">
        <f>BB216-BF216</f>
        <v/>
      </c>
      <c r="BI216" s="42">
        <f>BM215</f>
        <v/>
      </c>
      <c r="BJ216" s="42">
        <f>ROUND(BI216*BJ$6/12,2)</f>
        <v/>
      </c>
      <c r="BK216" s="42">
        <f>MIN(BK$6,BI216+BJ216)</f>
        <v/>
      </c>
      <c r="BL216" s="42">
        <f>MAX(0,MIN(BI216+BJ216-BK216,BH216))</f>
        <v/>
      </c>
      <c r="BM216" s="42">
        <f>ROUND(BI216+BJ216-BK216-BL216,2)</f>
        <v/>
      </c>
      <c r="BN216">
        <f>BH216-BL216</f>
        <v/>
      </c>
    </row>
    <row r="217">
      <c r="A217" s="43" t="n">
        <v>210</v>
      </c>
      <c r="B217" s="44">
        <f>EDATE('My Debts'!$C$6,A217-1)</f>
        <v/>
      </c>
      <c r="C217" s="45">
        <f>K217+Q217+W217+AC217+AI217+AO217+AU217+BA217+BG217+BM217</f>
        <v/>
      </c>
      <c r="D217" s="46">
        <f>I217+O217+U217+AA217+AG217+AM217+AS217+AY217+BE217+BK217+J217+P217+V217+AB217+AH217+AN217+AT217+AZ217+BF217+BL217</f>
        <v/>
      </c>
      <c r="E217" s="46">
        <f>H217+N217+T217+Z217+AF217+AL217+AR217+AX217+BD217+BJ217</f>
        <v/>
      </c>
      <c r="F217" t="n">
        <v>0</v>
      </c>
      <c r="G217" s="42">
        <f>K216</f>
        <v/>
      </c>
      <c r="H217" s="42">
        <f>ROUND(G217*H$6/12,2)</f>
        <v/>
      </c>
      <c r="I217" s="42">
        <f>MIN(I$6,G217+H217)</f>
        <v/>
      </c>
      <c r="J217" s="42">
        <f>MAX(0,MIN(G217+H217-I217,$F217))</f>
        <v/>
      </c>
      <c r="K217" s="42">
        <f>ROUND(G217+H217-I217-J217,2)</f>
        <v/>
      </c>
      <c r="L217">
        <f>$F217-J217</f>
        <v/>
      </c>
      <c r="M217" s="42">
        <f>Q216</f>
        <v/>
      </c>
      <c r="N217" s="42">
        <f>ROUND(M217*N$6/12,2)</f>
        <v/>
      </c>
      <c r="O217" s="42">
        <f>MIN(O$6,M217+N217)</f>
        <v/>
      </c>
      <c r="P217" s="42">
        <f>MAX(0,MIN(M217+N217-O217,L217))</f>
        <v/>
      </c>
      <c r="Q217" s="42">
        <f>ROUND(M217+N217-O217-P217,2)</f>
        <v/>
      </c>
      <c r="R217">
        <f>L217-P217</f>
        <v/>
      </c>
      <c r="S217" s="42">
        <f>W216</f>
        <v/>
      </c>
      <c r="T217" s="42">
        <f>ROUND(S217*T$6/12,2)</f>
        <v/>
      </c>
      <c r="U217" s="42">
        <f>MIN(U$6,S217+T217)</f>
        <v/>
      </c>
      <c r="V217" s="42">
        <f>MAX(0,MIN(S217+T217-U217,R217))</f>
        <v/>
      </c>
      <c r="W217" s="42">
        <f>ROUND(S217+T217-U217-V217,2)</f>
        <v/>
      </c>
      <c r="X217">
        <f>R217-V217</f>
        <v/>
      </c>
      <c r="Y217" s="42">
        <f>AC216</f>
        <v/>
      </c>
      <c r="Z217" s="42">
        <f>ROUND(Y217*Z$6/12,2)</f>
        <v/>
      </c>
      <c r="AA217" s="42">
        <f>MIN(AA$6,Y217+Z217)</f>
        <v/>
      </c>
      <c r="AB217" s="42">
        <f>MAX(0,MIN(Y217+Z217-AA217,X217))</f>
        <v/>
      </c>
      <c r="AC217" s="42">
        <f>ROUND(Y217+Z217-AA217-AB217,2)</f>
        <v/>
      </c>
      <c r="AD217">
        <f>X217-AB217</f>
        <v/>
      </c>
      <c r="AE217" s="42">
        <f>AI216</f>
        <v/>
      </c>
      <c r="AF217" s="42">
        <f>ROUND(AE217*AF$6/12,2)</f>
        <v/>
      </c>
      <c r="AG217" s="42">
        <f>MIN(AG$6,AE217+AF217)</f>
        <v/>
      </c>
      <c r="AH217" s="42">
        <f>MAX(0,MIN(AE217+AF217-AG217,AD217))</f>
        <v/>
      </c>
      <c r="AI217" s="42">
        <f>ROUND(AE217+AF217-AG217-AH217,2)</f>
        <v/>
      </c>
      <c r="AJ217">
        <f>AD217-AH217</f>
        <v/>
      </c>
      <c r="AK217" s="42">
        <f>AO216</f>
        <v/>
      </c>
      <c r="AL217" s="42">
        <f>ROUND(AK217*AL$6/12,2)</f>
        <v/>
      </c>
      <c r="AM217" s="42">
        <f>MIN(AM$6,AK217+AL217)</f>
        <v/>
      </c>
      <c r="AN217" s="42">
        <f>MAX(0,MIN(AK217+AL217-AM217,AJ217))</f>
        <v/>
      </c>
      <c r="AO217" s="42">
        <f>ROUND(AK217+AL217-AM217-AN217,2)</f>
        <v/>
      </c>
      <c r="AP217">
        <f>AJ217-AN217</f>
        <v/>
      </c>
      <c r="AQ217" s="42">
        <f>AU216</f>
        <v/>
      </c>
      <c r="AR217" s="42">
        <f>ROUND(AQ217*AR$6/12,2)</f>
        <v/>
      </c>
      <c r="AS217" s="42">
        <f>MIN(AS$6,AQ217+AR217)</f>
        <v/>
      </c>
      <c r="AT217" s="42">
        <f>MAX(0,MIN(AQ217+AR217-AS217,AP217))</f>
        <v/>
      </c>
      <c r="AU217" s="42">
        <f>ROUND(AQ217+AR217-AS217-AT217,2)</f>
        <v/>
      </c>
      <c r="AV217">
        <f>AP217-AT217</f>
        <v/>
      </c>
      <c r="AW217" s="42">
        <f>BA216</f>
        <v/>
      </c>
      <c r="AX217" s="42">
        <f>ROUND(AW217*AX$6/12,2)</f>
        <v/>
      </c>
      <c r="AY217" s="42">
        <f>MIN(AY$6,AW217+AX217)</f>
        <v/>
      </c>
      <c r="AZ217" s="42">
        <f>MAX(0,MIN(AW217+AX217-AY217,AV217))</f>
        <v/>
      </c>
      <c r="BA217" s="42">
        <f>ROUND(AW217+AX217-AY217-AZ217,2)</f>
        <v/>
      </c>
      <c r="BB217">
        <f>AV217-AZ217</f>
        <v/>
      </c>
      <c r="BC217" s="42">
        <f>BG216</f>
        <v/>
      </c>
      <c r="BD217" s="42">
        <f>ROUND(BC217*BD$6/12,2)</f>
        <v/>
      </c>
      <c r="BE217" s="42">
        <f>MIN(BE$6,BC217+BD217)</f>
        <v/>
      </c>
      <c r="BF217" s="42">
        <f>MAX(0,MIN(BC217+BD217-BE217,BB217))</f>
        <v/>
      </c>
      <c r="BG217" s="42">
        <f>ROUND(BC217+BD217-BE217-BF217,2)</f>
        <v/>
      </c>
      <c r="BH217">
        <f>BB217-BF217</f>
        <v/>
      </c>
      <c r="BI217" s="42">
        <f>BM216</f>
        <v/>
      </c>
      <c r="BJ217" s="42">
        <f>ROUND(BI217*BJ$6/12,2)</f>
        <v/>
      </c>
      <c r="BK217" s="42">
        <f>MIN(BK$6,BI217+BJ217)</f>
        <v/>
      </c>
      <c r="BL217" s="42">
        <f>MAX(0,MIN(BI217+BJ217-BK217,BH217))</f>
        <v/>
      </c>
      <c r="BM217" s="42">
        <f>ROUND(BI217+BJ217-BK217-BL217,2)</f>
        <v/>
      </c>
      <c r="BN217">
        <f>BH217-BL217</f>
        <v/>
      </c>
    </row>
    <row r="218">
      <c r="A218" s="39" t="n">
        <v>211</v>
      </c>
      <c r="B218" s="40">
        <f>EDATE('My Debts'!$C$6,A218-1)</f>
        <v/>
      </c>
      <c r="C218" s="41">
        <f>K218+Q218+W218+AC218+AI218+AO218+AU218+BA218+BG218+BM218</f>
        <v/>
      </c>
      <c r="D218" s="42">
        <f>I218+O218+U218+AA218+AG218+AM218+AS218+AY218+BE218+BK218+J218+P218+V218+AB218+AH218+AN218+AT218+AZ218+BF218+BL218</f>
        <v/>
      </c>
      <c r="E218" s="42">
        <f>H218+N218+T218+Z218+AF218+AL218+AR218+AX218+BD218+BJ218</f>
        <v/>
      </c>
      <c r="F218" t="n">
        <v>0</v>
      </c>
      <c r="G218" s="42">
        <f>K217</f>
        <v/>
      </c>
      <c r="H218" s="42">
        <f>ROUND(G218*H$6/12,2)</f>
        <v/>
      </c>
      <c r="I218" s="42">
        <f>MIN(I$6,G218+H218)</f>
        <v/>
      </c>
      <c r="J218" s="42">
        <f>MAX(0,MIN(G218+H218-I218,$F218))</f>
        <v/>
      </c>
      <c r="K218" s="42">
        <f>ROUND(G218+H218-I218-J218,2)</f>
        <v/>
      </c>
      <c r="L218">
        <f>$F218-J218</f>
        <v/>
      </c>
      <c r="M218" s="42">
        <f>Q217</f>
        <v/>
      </c>
      <c r="N218" s="42">
        <f>ROUND(M218*N$6/12,2)</f>
        <v/>
      </c>
      <c r="O218" s="42">
        <f>MIN(O$6,M218+N218)</f>
        <v/>
      </c>
      <c r="P218" s="42">
        <f>MAX(0,MIN(M218+N218-O218,L218))</f>
        <v/>
      </c>
      <c r="Q218" s="42">
        <f>ROUND(M218+N218-O218-P218,2)</f>
        <v/>
      </c>
      <c r="R218">
        <f>L218-P218</f>
        <v/>
      </c>
      <c r="S218" s="42">
        <f>W217</f>
        <v/>
      </c>
      <c r="T218" s="42">
        <f>ROUND(S218*T$6/12,2)</f>
        <v/>
      </c>
      <c r="U218" s="42">
        <f>MIN(U$6,S218+T218)</f>
        <v/>
      </c>
      <c r="V218" s="42">
        <f>MAX(0,MIN(S218+T218-U218,R218))</f>
        <v/>
      </c>
      <c r="W218" s="42">
        <f>ROUND(S218+T218-U218-V218,2)</f>
        <v/>
      </c>
      <c r="X218">
        <f>R218-V218</f>
        <v/>
      </c>
      <c r="Y218" s="42">
        <f>AC217</f>
        <v/>
      </c>
      <c r="Z218" s="42">
        <f>ROUND(Y218*Z$6/12,2)</f>
        <v/>
      </c>
      <c r="AA218" s="42">
        <f>MIN(AA$6,Y218+Z218)</f>
        <v/>
      </c>
      <c r="AB218" s="42">
        <f>MAX(0,MIN(Y218+Z218-AA218,X218))</f>
        <v/>
      </c>
      <c r="AC218" s="42">
        <f>ROUND(Y218+Z218-AA218-AB218,2)</f>
        <v/>
      </c>
      <c r="AD218">
        <f>X218-AB218</f>
        <v/>
      </c>
      <c r="AE218" s="42">
        <f>AI217</f>
        <v/>
      </c>
      <c r="AF218" s="42">
        <f>ROUND(AE218*AF$6/12,2)</f>
        <v/>
      </c>
      <c r="AG218" s="42">
        <f>MIN(AG$6,AE218+AF218)</f>
        <v/>
      </c>
      <c r="AH218" s="42">
        <f>MAX(0,MIN(AE218+AF218-AG218,AD218))</f>
        <v/>
      </c>
      <c r="AI218" s="42">
        <f>ROUND(AE218+AF218-AG218-AH218,2)</f>
        <v/>
      </c>
      <c r="AJ218">
        <f>AD218-AH218</f>
        <v/>
      </c>
      <c r="AK218" s="42">
        <f>AO217</f>
        <v/>
      </c>
      <c r="AL218" s="42">
        <f>ROUND(AK218*AL$6/12,2)</f>
        <v/>
      </c>
      <c r="AM218" s="42">
        <f>MIN(AM$6,AK218+AL218)</f>
        <v/>
      </c>
      <c r="AN218" s="42">
        <f>MAX(0,MIN(AK218+AL218-AM218,AJ218))</f>
        <v/>
      </c>
      <c r="AO218" s="42">
        <f>ROUND(AK218+AL218-AM218-AN218,2)</f>
        <v/>
      </c>
      <c r="AP218">
        <f>AJ218-AN218</f>
        <v/>
      </c>
      <c r="AQ218" s="42">
        <f>AU217</f>
        <v/>
      </c>
      <c r="AR218" s="42">
        <f>ROUND(AQ218*AR$6/12,2)</f>
        <v/>
      </c>
      <c r="AS218" s="42">
        <f>MIN(AS$6,AQ218+AR218)</f>
        <v/>
      </c>
      <c r="AT218" s="42">
        <f>MAX(0,MIN(AQ218+AR218-AS218,AP218))</f>
        <v/>
      </c>
      <c r="AU218" s="42">
        <f>ROUND(AQ218+AR218-AS218-AT218,2)</f>
        <v/>
      </c>
      <c r="AV218">
        <f>AP218-AT218</f>
        <v/>
      </c>
      <c r="AW218" s="42">
        <f>BA217</f>
        <v/>
      </c>
      <c r="AX218" s="42">
        <f>ROUND(AW218*AX$6/12,2)</f>
        <v/>
      </c>
      <c r="AY218" s="42">
        <f>MIN(AY$6,AW218+AX218)</f>
        <v/>
      </c>
      <c r="AZ218" s="42">
        <f>MAX(0,MIN(AW218+AX218-AY218,AV218))</f>
        <v/>
      </c>
      <c r="BA218" s="42">
        <f>ROUND(AW218+AX218-AY218-AZ218,2)</f>
        <v/>
      </c>
      <c r="BB218">
        <f>AV218-AZ218</f>
        <v/>
      </c>
      <c r="BC218" s="42">
        <f>BG217</f>
        <v/>
      </c>
      <c r="BD218" s="42">
        <f>ROUND(BC218*BD$6/12,2)</f>
        <v/>
      </c>
      <c r="BE218" s="42">
        <f>MIN(BE$6,BC218+BD218)</f>
        <v/>
      </c>
      <c r="BF218" s="42">
        <f>MAX(0,MIN(BC218+BD218-BE218,BB218))</f>
        <v/>
      </c>
      <c r="BG218" s="42">
        <f>ROUND(BC218+BD218-BE218-BF218,2)</f>
        <v/>
      </c>
      <c r="BH218">
        <f>BB218-BF218</f>
        <v/>
      </c>
      <c r="BI218" s="42">
        <f>BM217</f>
        <v/>
      </c>
      <c r="BJ218" s="42">
        <f>ROUND(BI218*BJ$6/12,2)</f>
        <v/>
      </c>
      <c r="BK218" s="42">
        <f>MIN(BK$6,BI218+BJ218)</f>
        <v/>
      </c>
      <c r="BL218" s="42">
        <f>MAX(0,MIN(BI218+BJ218-BK218,BH218))</f>
        <v/>
      </c>
      <c r="BM218" s="42">
        <f>ROUND(BI218+BJ218-BK218-BL218,2)</f>
        <v/>
      </c>
      <c r="BN218">
        <f>BH218-BL218</f>
        <v/>
      </c>
    </row>
    <row r="219">
      <c r="A219" s="43" t="n">
        <v>212</v>
      </c>
      <c r="B219" s="44">
        <f>EDATE('My Debts'!$C$6,A219-1)</f>
        <v/>
      </c>
      <c r="C219" s="45">
        <f>K219+Q219+W219+AC219+AI219+AO219+AU219+BA219+BG219+BM219</f>
        <v/>
      </c>
      <c r="D219" s="46">
        <f>I219+O219+U219+AA219+AG219+AM219+AS219+AY219+BE219+BK219+J219+P219+V219+AB219+AH219+AN219+AT219+AZ219+BF219+BL219</f>
        <v/>
      </c>
      <c r="E219" s="46">
        <f>H219+N219+T219+Z219+AF219+AL219+AR219+AX219+BD219+BJ219</f>
        <v/>
      </c>
      <c r="F219" t="n">
        <v>0</v>
      </c>
      <c r="G219" s="42">
        <f>K218</f>
        <v/>
      </c>
      <c r="H219" s="42">
        <f>ROUND(G219*H$6/12,2)</f>
        <v/>
      </c>
      <c r="I219" s="42">
        <f>MIN(I$6,G219+H219)</f>
        <v/>
      </c>
      <c r="J219" s="42">
        <f>MAX(0,MIN(G219+H219-I219,$F219))</f>
        <v/>
      </c>
      <c r="K219" s="42">
        <f>ROUND(G219+H219-I219-J219,2)</f>
        <v/>
      </c>
      <c r="L219">
        <f>$F219-J219</f>
        <v/>
      </c>
      <c r="M219" s="42">
        <f>Q218</f>
        <v/>
      </c>
      <c r="N219" s="42">
        <f>ROUND(M219*N$6/12,2)</f>
        <v/>
      </c>
      <c r="O219" s="42">
        <f>MIN(O$6,M219+N219)</f>
        <v/>
      </c>
      <c r="P219" s="42">
        <f>MAX(0,MIN(M219+N219-O219,L219))</f>
        <v/>
      </c>
      <c r="Q219" s="42">
        <f>ROUND(M219+N219-O219-P219,2)</f>
        <v/>
      </c>
      <c r="R219">
        <f>L219-P219</f>
        <v/>
      </c>
      <c r="S219" s="42">
        <f>W218</f>
        <v/>
      </c>
      <c r="T219" s="42">
        <f>ROUND(S219*T$6/12,2)</f>
        <v/>
      </c>
      <c r="U219" s="42">
        <f>MIN(U$6,S219+T219)</f>
        <v/>
      </c>
      <c r="V219" s="42">
        <f>MAX(0,MIN(S219+T219-U219,R219))</f>
        <v/>
      </c>
      <c r="W219" s="42">
        <f>ROUND(S219+T219-U219-V219,2)</f>
        <v/>
      </c>
      <c r="X219">
        <f>R219-V219</f>
        <v/>
      </c>
      <c r="Y219" s="42">
        <f>AC218</f>
        <v/>
      </c>
      <c r="Z219" s="42">
        <f>ROUND(Y219*Z$6/12,2)</f>
        <v/>
      </c>
      <c r="AA219" s="42">
        <f>MIN(AA$6,Y219+Z219)</f>
        <v/>
      </c>
      <c r="AB219" s="42">
        <f>MAX(0,MIN(Y219+Z219-AA219,X219))</f>
        <v/>
      </c>
      <c r="AC219" s="42">
        <f>ROUND(Y219+Z219-AA219-AB219,2)</f>
        <v/>
      </c>
      <c r="AD219">
        <f>X219-AB219</f>
        <v/>
      </c>
      <c r="AE219" s="42">
        <f>AI218</f>
        <v/>
      </c>
      <c r="AF219" s="42">
        <f>ROUND(AE219*AF$6/12,2)</f>
        <v/>
      </c>
      <c r="AG219" s="42">
        <f>MIN(AG$6,AE219+AF219)</f>
        <v/>
      </c>
      <c r="AH219" s="42">
        <f>MAX(0,MIN(AE219+AF219-AG219,AD219))</f>
        <v/>
      </c>
      <c r="AI219" s="42">
        <f>ROUND(AE219+AF219-AG219-AH219,2)</f>
        <v/>
      </c>
      <c r="AJ219">
        <f>AD219-AH219</f>
        <v/>
      </c>
      <c r="AK219" s="42">
        <f>AO218</f>
        <v/>
      </c>
      <c r="AL219" s="42">
        <f>ROUND(AK219*AL$6/12,2)</f>
        <v/>
      </c>
      <c r="AM219" s="42">
        <f>MIN(AM$6,AK219+AL219)</f>
        <v/>
      </c>
      <c r="AN219" s="42">
        <f>MAX(0,MIN(AK219+AL219-AM219,AJ219))</f>
        <v/>
      </c>
      <c r="AO219" s="42">
        <f>ROUND(AK219+AL219-AM219-AN219,2)</f>
        <v/>
      </c>
      <c r="AP219">
        <f>AJ219-AN219</f>
        <v/>
      </c>
      <c r="AQ219" s="42">
        <f>AU218</f>
        <v/>
      </c>
      <c r="AR219" s="42">
        <f>ROUND(AQ219*AR$6/12,2)</f>
        <v/>
      </c>
      <c r="AS219" s="42">
        <f>MIN(AS$6,AQ219+AR219)</f>
        <v/>
      </c>
      <c r="AT219" s="42">
        <f>MAX(0,MIN(AQ219+AR219-AS219,AP219))</f>
        <v/>
      </c>
      <c r="AU219" s="42">
        <f>ROUND(AQ219+AR219-AS219-AT219,2)</f>
        <v/>
      </c>
      <c r="AV219">
        <f>AP219-AT219</f>
        <v/>
      </c>
      <c r="AW219" s="42">
        <f>BA218</f>
        <v/>
      </c>
      <c r="AX219" s="42">
        <f>ROUND(AW219*AX$6/12,2)</f>
        <v/>
      </c>
      <c r="AY219" s="42">
        <f>MIN(AY$6,AW219+AX219)</f>
        <v/>
      </c>
      <c r="AZ219" s="42">
        <f>MAX(0,MIN(AW219+AX219-AY219,AV219))</f>
        <v/>
      </c>
      <c r="BA219" s="42">
        <f>ROUND(AW219+AX219-AY219-AZ219,2)</f>
        <v/>
      </c>
      <c r="BB219">
        <f>AV219-AZ219</f>
        <v/>
      </c>
      <c r="BC219" s="42">
        <f>BG218</f>
        <v/>
      </c>
      <c r="BD219" s="42">
        <f>ROUND(BC219*BD$6/12,2)</f>
        <v/>
      </c>
      <c r="BE219" s="42">
        <f>MIN(BE$6,BC219+BD219)</f>
        <v/>
      </c>
      <c r="BF219" s="42">
        <f>MAX(0,MIN(BC219+BD219-BE219,BB219))</f>
        <v/>
      </c>
      <c r="BG219" s="42">
        <f>ROUND(BC219+BD219-BE219-BF219,2)</f>
        <v/>
      </c>
      <c r="BH219">
        <f>BB219-BF219</f>
        <v/>
      </c>
      <c r="BI219" s="42">
        <f>BM218</f>
        <v/>
      </c>
      <c r="BJ219" s="42">
        <f>ROUND(BI219*BJ$6/12,2)</f>
        <v/>
      </c>
      <c r="BK219" s="42">
        <f>MIN(BK$6,BI219+BJ219)</f>
        <v/>
      </c>
      <c r="BL219" s="42">
        <f>MAX(0,MIN(BI219+BJ219-BK219,BH219))</f>
        <v/>
      </c>
      <c r="BM219" s="42">
        <f>ROUND(BI219+BJ219-BK219-BL219,2)</f>
        <v/>
      </c>
      <c r="BN219">
        <f>BH219-BL219</f>
        <v/>
      </c>
    </row>
    <row r="220">
      <c r="A220" s="39" t="n">
        <v>213</v>
      </c>
      <c r="B220" s="40">
        <f>EDATE('My Debts'!$C$6,A220-1)</f>
        <v/>
      </c>
      <c r="C220" s="41">
        <f>K220+Q220+W220+AC220+AI220+AO220+AU220+BA220+BG220+BM220</f>
        <v/>
      </c>
      <c r="D220" s="42">
        <f>I220+O220+U220+AA220+AG220+AM220+AS220+AY220+BE220+BK220+J220+P220+V220+AB220+AH220+AN220+AT220+AZ220+BF220+BL220</f>
        <v/>
      </c>
      <c r="E220" s="42">
        <f>H220+N220+T220+Z220+AF220+AL220+AR220+AX220+BD220+BJ220</f>
        <v/>
      </c>
      <c r="F220" t="n">
        <v>0</v>
      </c>
      <c r="G220" s="42">
        <f>K219</f>
        <v/>
      </c>
      <c r="H220" s="42">
        <f>ROUND(G220*H$6/12,2)</f>
        <v/>
      </c>
      <c r="I220" s="42">
        <f>MIN(I$6,G220+H220)</f>
        <v/>
      </c>
      <c r="J220" s="42">
        <f>MAX(0,MIN(G220+H220-I220,$F220))</f>
        <v/>
      </c>
      <c r="K220" s="42">
        <f>ROUND(G220+H220-I220-J220,2)</f>
        <v/>
      </c>
      <c r="L220">
        <f>$F220-J220</f>
        <v/>
      </c>
      <c r="M220" s="42">
        <f>Q219</f>
        <v/>
      </c>
      <c r="N220" s="42">
        <f>ROUND(M220*N$6/12,2)</f>
        <v/>
      </c>
      <c r="O220" s="42">
        <f>MIN(O$6,M220+N220)</f>
        <v/>
      </c>
      <c r="P220" s="42">
        <f>MAX(0,MIN(M220+N220-O220,L220))</f>
        <v/>
      </c>
      <c r="Q220" s="42">
        <f>ROUND(M220+N220-O220-P220,2)</f>
        <v/>
      </c>
      <c r="R220">
        <f>L220-P220</f>
        <v/>
      </c>
      <c r="S220" s="42">
        <f>W219</f>
        <v/>
      </c>
      <c r="T220" s="42">
        <f>ROUND(S220*T$6/12,2)</f>
        <v/>
      </c>
      <c r="U220" s="42">
        <f>MIN(U$6,S220+T220)</f>
        <v/>
      </c>
      <c r="V220" s="42">
        <f>MAX(0,MIN(S220+T220-U220,R220))</f>
        <v/>
      </c>
      <c r="W220" s="42">
        <f>ROUND(S220+T220-U220-V220,2)</f>
        <v/>
      </c>
      <c r="X220">
        <f>R220-V220</f>
        <v/>
      </c>
      <c r="Y220" s="42">
        <f>AC219</f>
        <v/>
      </c>
      <c r="Z220" s="42">
        <f>ROUND(Y220*Z$6/12,2)</f>
        <v/>
      </c>
      <c r="AA220" s="42">
        <f>MIN(AA$6,Y220+Z220)</f>
        <v/>
      </c>
      <c r="AB220" s="42">
        <f>MAX(0,MIN(Y220+Z220-AA220,X220))</f>
        <v/>
      </c>
      <c r="AC220" s="42">
        <f>ROUND(Y220+Z220-AA220-AB220,2)</f>
        <v/>
      </c>
      <c r="AD220">
        <f>X220-AB220</f>
        <v/>
      </c>
      <c r="AE220" s="42">
        <f>AI219</f>
        <v/>
      </c>
      <c r="AF220" s="42">
        <f>ROUND(AE220*AF$6/12,2)</f>
        <v/>
      </c>
      <c r="AG220" s="42">
        <f>MIN(AG$6,AE220+AF220)</f>
        <v/>
      </c>
      <c r="AH220" s="42">
        <f>MAX(0,MIN(AE220+AF220-AG220,AD220))</f>
        <v/>
      </c>
      <c r="AI220" s="42">
        <f>ROUND(AE220+AF220-AG220-AH220,2)</f>
        <v/>
      </c>
      <c r="AJ220">
        <f>AD220-AH220</f>
        <v/>
      </c>
      <c r="AK220" s="42">
        <f>AO219</f>
        <v/>
      </c>
      <c r="AL220" s="42">
        <f>ROUND(AK220*AL$6/12,2)</f>
        <v/>
      </c>
      <c r="AM220" s="42">
        <f>MIN(AM$6,AK220+AL220)</f>
        <v/>
      </c>
      <c r="AN220" s="42">
        <f>MAX(0,MIN(AK220+AL220-AM220,AJ220))</f>
        <v/>
      </c>
      <c r="AO220" s="42">
        <f>ROUND(AK220+AL220-AM220-AN220,2)</f>
        <v/>
      </c>
      <c r="AP220">
        <f>AJ220-AN220</f>
        <v/>
      </c>
      <c r="AQ220" s="42">
        <f>AU219</f>
        <v/>
      </c>
      <c r="AR220" s="42">
        <f>ROUND(AQ220*AR$6/12,2)</f>
        <v/>
      </c>
      <c r="AS220" s="42">
        <f>MIN(AS$6,AQ220+AR220)</f>
        <v/>
      </c>
      <c r="AT220" s="42">
        <f>MAX(0,MIN(AQ220+AR220-AS220,AP220))</f>
        <v/>
      </c>
      <c r="AU220" s="42">
        <f>ROUND(AQ220+AR220-AS220-AT220,2)</f>
        <v/>
      </c>
      <c r="AV220">
        <f>AP220-AT220</f>
        <v/>
      </c>
      <c r="AW220" s="42">
        <f>BA219</f>
        <v/>
      </c>
      <c r="AX220" s="42">
        <f>ROUND(AW220*AX$6/12,2)</f>
        <v/>
      </c>
      <c r="AY220" s="42">
        <f>MIN(AY$6,AW220+AX220)</f>
        <v/>
      </c>
      <c r="AZ220" s="42">
        <f>MAX(0,MIN(AW220+AX220-AY220,AV220))</f>
        <v/>
      </c>
      <c r="BA220" s="42">
        <f>ROUND(AW220+AX220-AY220-AZ220,2)</f>
        <v/>
      </c>
      <c r="BB220">
        <f>AV220-AZ220</f>
        <v/>
      </c>
      <c r="BC220" s="42">
        <f>BG219</f>
        <v/>
      </c>
      <c r="BD220" s="42">
        <f>ROUND(BC220*BD$6/12,2)</f>
        <v/>
      </c>
      <c r="BE220" s="42">
        <f>MIN(BE$6,BC220+BD220)</f>
        <v/>
      </c>
      <c r="BF220" s="42">
        <f>MAX(0,MIN(BC220+BD220-BE220,BB220))</f>
        <v/>
      </c>
      <c r="BG220" s="42">
        <f>ROUND(BC220+BD220-BE220-BF220,2)</f>
        <v/>
      </c>
      <c r="BH220">
        <f>BB220-BF220</f>
        <v/>
      </c>
      <c r="BI220" s="42">
        <f>BM219</f>
        <v/>
      </c>
      <c r="BJ220" s="42">
        <f>ROUND(BI220*BJ$6/12,2)</f>
        <v/>
      </c>
      <c r="BK220" s="42">
        <f>MIN(BK$6,BI220+BJ220)</f>
        <v/>
      </c>
      <c r="BL220" s="42">
        <f>MAX(0,MIN(BI220+BJ220-BK220,BH220))</f>
        <v/>
      </c>
      <c r="BM220" s="42">
        <f>ROUND(BI220+BJ220-BK220-BL220,2)</f>
        <v/>
      </c>
      <c r="BN220">
        <f>BH220-BL220</f>
        <v/>
      </c>
    </row>
    <row r="221">
      <c r="A221" s="43" t="n">
        <v>214</v>
      </c>
      <c r="B221" s="44">
        <f>EDATE('My Debts'!$C$6,A221-1)</f>
        <v/>
      </c>
      <c r="C221" s="45">
        <f>K221+Q221+W221+AC221+AI221+AO221+AU221+BA221+BG221+BM221</f>
        <v/>
      </c>
      <c r="D221" s="46">
        <f>I221+O221+U221+AA221+AG221+AM221+AS221+AY221+BE221+BK221+J221+P221+V221+AB221+AH221+AN221+AT221+AZ221+BF221+BL221</f>
        <v/>
      </c>
      <c r="E221" s="46">
        <f>H221+N221+T221+Z221+AF221+AL221+AR221+AX221+BD221+BJ221</f>
        <v/>
      </c>
      <c r="F221" t="n">
        <v>0</v>
      </c>
      <c r="G221" s="42">
        <f>K220</f>
        <v/>
      </c>
      <c r="H221" s="42">
        <f>ROUND(G221*H$6/12,2)</f>
        <v/>
      </c>
      <c r="I221" s="42">
        <f>MIN(I$6,G221+H221)</f>
        <v/>
      </c>
      <c r="J221" s="42">
        <f>MAX(0,MIN(G221+H221-I221,$F221))</f>
        <v/>
      </c>
      <c r="K221" s="42">
        <f>ROUND(G221+H221-I221-J221,2)</f>
        <v/>
      </c>
      <c r="L221">
        <f>$F221-J221</f>
        <v/>
      </c>
      <c r="M221" s="42">
        <f>Q220</f>
        <v/>
      </c>
      <c r="N221" s="42">
        <f>ROUND(M221*N$6/12,2)</f>
        <v/>
      </c>
      <c r="O221" s="42">
        <f>MIN(O$6,M221+N221)</f>
        <v/>
      </c>
      <c r="P221" s="42">
        <f>MAX(0,MIN(M221+N221-O221,L221))</f>
        <v/>
      </c>
      <c r="Q221" s="42">
        <f>ROUND(M221+N221-O221-P221,2)</f>
        <v/>
      </c>
      <c r="R221">
        <f>L221-P221</f>
        <v/>
      </c>
      <c r="S221" s="42">
        <f>W220</f>
        <v/>
      </c>
      <c r="T221" s="42">
        <f>ROUND(S221*T$6/12,2)</f>
        <v/>
      </c>
      <c r="U221" s="42">
        <f>MIN(U$6,S221+T221)</f>
        <v/>
      </c>
      <c r="V221" s="42">
        <f>MAX(0,MIN(S221+T221-U221,R221))</f>
        <v/>
      </c>
      <c r="W221" s="42">
        <f>ROUND(S221+T221-U221-V221,2)</f>
        <v/>
      </c>
      <c r="X221">
        <f>R221-V221</f>
        <v/>
      </c>
      <c r="Y221" s="42">
        <f>AC220</f>
        <v/>
      </c>
      <c r="Z221" s="42">
        <f>ROUND(Y221*Z$6/12,2)</f>
        <v/>
      </c>
      <c r="AA221" s="42">
        <f>MIN(AA$6,Y221+Z221)</f>
        <v/>
      </c>
      <c r="AB221" s="42">
        <f>MAX(0,MIN(Y221+Z221-AA221,X221))</f>
        <v/>
      </c>
      <c r="AC221" s="42">
        <f>ROUND(Y221+Z221-AA221-AB221,2)</f>
        <v/>
      </c>
      <c r="AD221">
        <f>X221-AB221</f>
        <v/>
      </c>
      <c r="AE221" s="42">
        <f>AI220</f>
        <v/>
      </c>
      <c r="AF221" s="42">
        <f>ROUND(AE221*AF$6/12,2)</f>
        <v/>
      </c>
      <c r="AG221" s="42">
        <f>MIN(AG$6,AE221+AF221)</f>
        <v/>
      </c>
      <c r="AH221" s="42">
        <f>MAX(0,MIN(AE221+AF221-AG221,AD221))</f>
        <v/>
      </c>
      <c r="AI221" s="42">
        <f>ROUND(AE221+AF221-AG221-AH221,2)</f>
        <v/>
      </c>
      <c r="AJ221">
        <f>AD221-AH221</f>
        <v/>
      </c>
      <c r="AK221" s="42">
        <f>AO220</f>
        <v/>
      </c>
      <c r="AL221" s="42">
        <f>ROUND(AK221*AL$6/12,2)</f>
        <v/>
      </c>
      <c r="AM221" s="42">
        <f>MIN(AM$6,AK221+AL221)</f>
        <v/>
      </c>
      <c r="AN221" s="42">
        <f>MAX(0,MIN(AK221+AL221-AM221,AJ221))</f>
        <v/>
      </c>
      <c r="AO221" s="42">
        <f>ROUND(AK221+AL221-AM221-AN221,2)</f>
        <v/>
      </c>
      <c r="AP221">
        <f>AJ221-AN221</f>
        <v/>
      </c>
      <c r="AQ221" s="42">
        <f>AU220</f>
        <v/>
      </c>
      <c r="AR221" s="42">
        <f>ROUND(AQ221*AR$6/12,2)</f>
        <v/>
      </c>
      <c r="AS221" s="42">
        <f>MIN(AS$6,AQ221+AR221)</f>
        <v/>
      </c>
      <c r="AT221" s="42">
        <f>MAX(0,MIN(AQ221+AR221-AS221,AP221))</f>
        <v/>
      </c>
      <c r="AU221" s="42">
        <f>ROUND(AQ221+AR221-AS221-AT221,2)</f>
        <v/>
      </c>
      <c r="AV221">
        <f>AP221-AT221</f>
        <v/>
      </c>
      <c r="AW221" s="42">
        <f>BA220</f>
        <v/>
      </c>
      <c r="AX221" s="42">
        <f>ROUND(AW221*AX$6/12,2)</f>
        <v/>
      </c>
      <c r="AY221" s="42">
        <f>MIN(AY$6,AW221+AX221)</f>
        <v/>
      </c>
      <c r="AZ221" s="42">
        <f>MAX(0,MIN(AW221+AX221-AY221,AV221))</f>
        <v/>
      </c>
      <c r="BA221" s="42">
        <f>ROUND(AW221+AX221-AY221-AZ221,2)</f>
        <v/>
      </c>
      <c r="BB221">
        <f>AV221-AZ221</f>
        <v/>
      </c>
      <c r="BC221" s="42">
        <f>BG220</f>
        <v/>
      </c>
      <c r="BD221" s="42">
        <f>ROUND(BC221*BD$6/12,2)</f>
        <v/>
      </c>
      <c r="BE221" s="42">
        <f>MIN(BE$6,BC221+BD221)</f>
        <v/>
      </c>
      <c r="BF221" s="42">
        <f>MAX(0,MIN(BC221+BD221-BE221,BB221))</f>
        <v/>
      </c>
      <c r="BG221" s="42">
        <f>ROUND(BC221+BD221-BE221-BF221,2)</f>
        <v/>
      </c>
      <c r="BH221">
        <f>BB221-BF221</f>
        <v/>
      </c>
      <c r="BI221" s="42">
        <f>BM220</f>
        <v/>
      </c>
      <c r="BJ221" s="42">
        <f>ROUND(BI221*BJ$6/12,2)</f>
        <v/>
      </c>
      <c r="BK221" s="42">
        <f>MIN(BK$6,BI221+BJ221)</f>
        <v/>
      </c>
      <c r="BL221" s="42">
        <f>MAX(0,MIN(BI221+BJ221-BK221,BH221))</f>
        <v/>
      </c>
      <c r="BM221" s="42">
        <f>ROUND(BI221+BJ221-BK221-BL221,2)</f>
        <v/>
      </c>
      <c r="BN221">
        <f>BH221-BL221</f>
        <v/>
      </c>
    </row>
    <row r="222">
      <c r="A222" s="39" t="n">
        <v>215</v>
      </c>
      <c r="B222" s="40">
        <f>EDATE('My Debts'!$C$6,A222-1)</f>
        <v/>
      </c>
      <c r="C222" s="41">
        <f>K222+Q222+W222+AC222+AI222+AO222+AU222+BA222+BG222+BM222</f>
        <v/>
      </c>
      <c r="D222" s="42">
        <f>I222+O222+U222+AA222+AG222+AM222+AS222+AY222+BE222+BK222+J222+P222+V222+AB222+AH222+AN222+AT222+AZ222+BF222+BL222</f>
        <v/>
      </c>
      <c r="E222" s="42">
        <f>H222+N222+T222+Z222+AF222+AL222+AR222+AX222+BD222+BJ222</f>
        <v/>
      </c>
      <c r="F222" t="n">
        <v>0</v>
      </c>
      <c r="G222" s="42">
        <f>K221</f>
        <v/>
      </c>
      <c r="H222" s="42">
        <f>ROUND(G222*H$6/12,2)</f>
        <v/>
      </c>
      <c r="I222" s="42">
        <f>MIN(I$6,G222+H222)</f>
        <v/>
      </c>
      <c r="J222" s="42">
        <f>MAX(0,MIN(G222+H222-I222,$F222))</f>
        <v/>
      </c>
      <c r="K222" s="42">
        <f>ROUND(G222+H222-I222-J222,2)</f>
        <v/>
      </c>
      <c r="L222">
        <f>$F222-J222</f>
        <v/>
      </c>
      <c r="M222" s="42">
        <f>Q221</f>
        <v/>
      </c>
      <c r="N222" s="42">
        <f>ROUND(M222*N$6/12,2)</f>
        <v/>
      </c>
      <c r="O222" s="42">
        <f>MIN(O$6,M222+N222)</f>
        <v/>
      </c>
      <c r="P222" s="42">
        <f>MAX(0,MIN(M222+N222-O222,L222))</f>
        <v/>
      </c>
      <c r="Q222" s="42">
        <f>ROUND(M222+N222-O222-P222,2)</f>
        <v/>
      </c>
      <c r="R222">
        <f>L222-P222</f>
        <v/>
      </c>
      <c r="S222" s="42">
        <f>W221</f>
        <v/>
      </c>
      <c r="T222" s="42">
        <f>ROUND(S222*T$6/12,2)</f>
        <v/>
      </c>
      <c r="U222" s="42">
        <f>MIN(U$6,S222+T222)</f>
        <v/>
      </c>
      <c r="V222" s="42">
        <f>MAX(0,MIN(S222+T222-U222,R222))</f>
        <v/>
      </c>
      <c r="W222" s="42">
        <f>ROUND(S222+T222-U222-V222,2)</f>
        <v/>
      </c>
      <c r="X222">
        <f>R222-V222</f>
        <v/>
      </c>
      <c r="Y222" s="42">
        <f>AC221</f>
        <v/>
      </c>
      <c r="Z222" s="42">
        <f>ROUND(Y222*Z$6/12,2)</f>
        <v/>
      </c>
      <c r="AA222" s="42">
        <f>MIN(AA$6,Y222+Z222)</f>
        <v/>
      </c>
      <c r="AB222" s="42">
        <f>MAX(0,MIN(Y222+Z222-AA222,X222))</f>
        <v/>
      </c>
      <c r="AC222" s="42">
        <f>ROUND(Y222+Z222-AA222-AB222,2)</f>
        <v/>
      </c>
      <c r="AD222">
        <f>X222-AB222</f>
        <v/>
      </c>
      <c r="AE222" s="42">
        <f>AI221</f>
        <v/>
      </c>
      <c r="AF222" s="42">
        <f>ROUND(AE222*AF$6/12,2)</f>
        <v/>
      </c>
      <c r="AG222" s="42">
        <f>MIN(AG$6,AE222+AF222)</f>
        <v/>
      </c>
      <c r="AH222" s="42">
        <f>MAX(0,MIN(AE222+AF222-AG222,AD222))</f>
        <v/>
      </c>
      <c r="AI222" s="42">
        <f>ROUND(AE222+AF222-AG222-AH222,2)</f>
        <v/>
      </c>
      <c r="AJ222">
        <f>AD222-AH222</f>
        <v/>
      </c>
      <c r="AK222" s="42">
        <f>AO221</f>
        <v/>
      </c>
      <c r="AL222" s="42">
        <f>ROUND(AK222*AL$6/12,2)</f>
        <v/>
      </c>
      <c r="AM222" s="42">
        <f>MIN(AM$6,AK222+AL222)</f>
        <v/>
      </c>
      <c r="AN222" s="42">
        <f>MAX(0,MIN(AK222+AL222-AM222,AJ222))</f>
        <v/>
      </c>
      <c r="AO222" s="42">
        <f>ROUND(AK222+AL222-AM222-AN222,2)</f>
        <v/>
      </c>
      <c r="AP222">
        <f>AJ222-AN222</f>
        <v/>
      </c>
      <c r="AQ222" s="42">
        <f>AU221</f>
        <v/>
      </c>
      <c r="AR222" s="42">
        <f>ROUND(AQ222*AR$6/12,2)</f>
        <v/>
      </c>
      <c r="AS222" s="42">
        <f>MIN(AS$6,AQ222+AR222)</f>
        <v/>
      </c>
      <c r="AT222" s="42">
        <f>MAX(0,MIN(AQ222+AR222-AS222,AP222))</f>
        <v/>
      </c>
      <c r="AU222" s="42">
        <f>ROUND(AQ222+AR222-AS222-AT222,2)</f>
        <v/>
      </c>
      <c r="AV222">
        <f>AP222-AT222</f>
        <v/>
      </c>
      <c r="AW222" s="42">
        <f>BA221</f>
        <v/>
      </c>
      <c r="AX222" s="42">
        <f>ROUND(AW222*AX$6/12,2)</f>
        <v/>
      </c>
      <c r="AY222" s="42">
        <f>MIN(AY$6,AW222+AX222)</f>
        <v/>
      </c>
      <c r="AZ222" s="42">
        <f>MAX(0,MIN(AW222+AX222-AY222,AV222))</f>
        <v/>
      </c>
      <c r="BA222" s="42">
        <f>ROUND(AW222+AX222-AY222-AZ222,2)</f>
        <v/>
      </c>
      <c r="BB222">
        <f>AV222-AZ222</f>
        <v/>
      </c>
      <c r="BC222" s="42">
        <f>BG221</f>
        <v/>
      </c>
      <c r="BD222" s="42">
        <f>ROUND(BC222*BD$6/12,2)</f>
        <v/>
      </c>
      <c r="BE222" s="42">
        <f>MIN(BE$6,BC222+BD222)</f>
        <v/>
      </c>
      <c r="BF222" s="42">
        <f>MAX(0,MIN(BC222+BD222-BE222,BB222))</f>
        <v/>
      </c>
      <c r="BG222" s="42">
        <f>ROUND(BC222+BD222-BE222-BF222,2)</f>
        <v/>
      </c>
      <c r="BH222">
        <f>BB222-BF222</f>
        <v/>
      </c>
      <c r="BI222" s="42">
        <f>BM221</f>
        <v/>
      </c>
      <c r="BJ222" s="42">
        <f>ROUND(BI222*BJ$6/12,2)</f>
        <v/>
      </c>
      <c r="BK222" s="42">
        <f>MIN(BK$6,BI222+BJ222)</f>
        <v/>
      </c>
      <c r="BL222" s="42">
        <f>MAX(0,MIN(BI222+BJ222-BK222,BH222))</f>
        <v/>
      </c>
      <c r="BM222" s="42">
        <f>ROUND(BI222+BJ222-BK222-BL222,2)</f>
        <v/>
      </c>
      <c r="BN222">
        <f>BH222-BL222</f>
        <v/>
      </c>
    </row>
    <row r="223">
      <c r="A223" s="43" t="n">
        <v>216</v>
      </c>
      <c r="B223" s="44">
        <f>EDATE('My Debts'!$C$6,A223-1)</f>
        <v/>
      </c>
      <c r="C223" s="45">
        <f>K223+Q223+W223+AC223+AI223+AO223+AU223+BA223+BG223+BM223</f>
        <v/>
      </c>
      <c r="D223" s="46">
        <f>I223+O223+U223+AA223+AG223+AM223+AS223+AY223+BE223+BK223+J223+P223+V223+AB223+AH223+AN223+AT223+AZ223+BF223+BL223</f>
        <v/>
      </c>
      <c r="E223" s="46">
        <f>H223+N223+T223+Z223+AF223+AL223+AR223+AX223+BD223+BJ223</f>
        <v/>
      </c>
      <c r="F223" t="n">
        <v>0</v>
      </c>
      <c r="G223" s="42">
        <f>K222</f>
        <v/>
      </c>
      <c r="H223" s="42">
        <f>ROUND(G223*H$6/12,2)</f>
        <v/>
      </c>
      <c r="I223" s="42">
        <f>MIN(I$6,G223+H223)</f>
        <v/>
      </c>
      <c r="J223" s="42">
        <f>MAX(0,MIN(G223+H223-I223,$F223))</f>
        <v/>
      </c>
      <c r="K223" s="42">
        <f>ROUND(G223+H223-I223-J223,2)</f>
        <v/>
      </c>
      <c r="L223">
        <f>$F223-J223</f>
        <v/>
      </c>
      <c r="M223" s="42">
        <f>Q222</f>
        <v/>
      </c>
      <c r="N223" s="42">
        <f>ROUND(M223*N$6/12,2)</f>
        <v/>
      </c>
      <c r="O223" s="42">
        <f>MIN(O$6,M223+N223)</f>
        <v/>
      </c>
      <c r="P223" s="42">
        <f>MAX(0,MIN(M223+N223-O223,L223))</f>
        <v/>
      </c>
      <c r="Q223" s="42">
        <f>ROUND(M223+N223-O223-P223,2)</f>
        <v/>
      </c>
      <c r="R223">
        <f>L223-P223</f>
        <v/>
      </c>
      <c r="S223" s="42">
        <f>W222</f>
        <v/>
      </c>
      <c r="T223" s="42">
        <f>ROUND(S223*T$6/12,2)</f>
        <v/>
      </c>
      <c r="U223" s="42">
        <f>MIN(U$6,S223+T223)</f>
        <v/>
      </c>
      <c r="V223" s="42">
        <f>MAX(0,MIN(S223+T223-U223,R223))</f>
        <v/>
      </c>
      <c r="W223" s="42">
        <f>ROUND(S223+T223-U223-V223,2)</f>
        <v/>
      </c>
      <c r="X223">
        <f>R223-V223</f>
        <v/>
      </c>
      <c r="Y223" s="42">
        <f>AC222</f>
        <v/>
      </c>
      <c r="Z223" s="42">
        <f>ROUND(Y223*Z$6/12,2)</f>
        <v/>
      </c>
      <c r="AA223" s="42">
        <f>MIN(AA$6,Y223+Z223)</f>
        <v/>
      </c>
      <c r="AB223" s="42">
        <f>MAX(0,MIN(Y223+Z223-AA223,X223))</f>
        <v/>
      </c>
      <c r="AC223" s="42">
        <f>ROUND(Y223+Z223-AA223-AB223,2)</f>
        <v/>
      </c>
      <c r="AD223">
        <f>X223-AB223</f>
        <v/>
      </c>
      <c r="AE223" s="42">
        <f>AI222</f>
        <v/>
      </c>
      <c r="AF223" s="42">
        <f>ROUND(AE223*AF$6/12,2)</f>
        <v/>
      </c>
      <c r="AG223" s="42">
        <f>MIN(AG$6,AE223+AF223)</f>
        <v/>
      </c>
      <c r="AH223" s="42">
        <f>MAX(0,MIN(AE223+AF223-AG223,AD223))</f>
        <v/>
      </c>
      <c r="AI223" s="42">
        <f>ROUND(AE223+AF223-AG223-AH223,2)</f>
        <v/>
      </c>
      <c r="AJ223">
        <f>AD223-AH223</f>
        <v/>
      </c>
      <c r="AK223" s="42">
        <f>AO222</f>
        <v/>
      </c>
      <c r="AL223" s="42">
        <f>ROUND(AK223*AL$6/12,2)</f>
        <v/>
      </c>
      <c r="AM223" s="42">
        <f>MIN(AM$6,AK223+AL223)</f>
        <v/>
      </c>
      <c r="AN223" s="42">
        <f>MAX(0,MIN(AK223+AL223-AM223,AJ223))</f>
        <v/>
      </c>
      <c r="AO223" s="42">
        <f>ROUND(AK223+AL223-AM223-AN223,2)</f>
        <v/>
      </c>
      <c r="AP223">
        <f>AJ223-AN223</f>
        <v/>
      </c>
      <c r="AQ223" s="42">
        <f>AU222</f>
        <v/>
      </c>
      <c r="AR223" s="42">
        <f>ROUND(AQ223*AR$6/12,2)</f>
        <v/>
      </c>
      <c r="AS223" s="42">
        <f>MIN(AS$6,AQ223+AR223)</f>
        <v/>
      </c>
      <c r="AT223" s="42">
        <f>MAX(0,MIN(AQ223+AR223-AS223,AP223))</f>
        <v/>
      </c>
      <c r="AU223" s="42">
        <f>ROUND(AQ223+AR223-AS223-AT223,2)</f>
        <v/>
      </c>
      <c r="AV223">
        <f>AP223-AT223</f>
        <v/>
      </c>
      <c r="AW223" s="42">
        <f>BA222</f>
        <v/>
      </c>
      <c r="AX223" s="42">
        <f>ROUND(AW223*AX$6/12,2)</f>
        <v/>
      </c>
      <c r="AY223" s="42">
        <f>MIN(AY$6,AW223+AX223)</f>
        <v/>
      </c>
      <c r="AZ223" s="42">
        <f>MAX(0,MIN(AW223+AX223-AY223,AV223))</f>
        <v/>
      </c>
      <c r="BA223" s="42">
        <f>ROUND(AW223+AX223-AY223-AZ223,2)</f>
        <v/>
      </c>
      <c r="BB223">
        <f>AV223-AZ223</f>
        <v/>
      </c>
      <c r="BC223" s="42">
        <f>BG222</f>
        <v/>
      </c>
      <c r="BD223" s="42">
        <f>ROUND(BC223*BD$6/12,2)</f>
        <v/>
      </c>
      <c r="BE223" s="42">
        <f>MIN(BE$6,BC223+BD223)</f>
        <v/>
      </c>
      <c r="BF223" s="42">
        <f>MAX(0,MIN(BC223+BD223-BE223,BB223))</f>
        <v/>
      </c>
      <c r="BG223" s="42">
        <f>ROUND(BC223+BD223-BE223-BF223,2)</f>
        <v/>
      </c>
      <c r="BH223">
        <f>BB223-BF223</f>
        <v/>
      </c>
      <c r="BI223" s="42">
        <f>BM222</f>
        <v/>
      </c>
      <c r="BJ223" s="42">
        <f>ROUND(BI223*BJ$6/12,2)</f>
        <v/>
      </c>
      <c r="BK223" s="42">
        <f>MIN(BK$6,BI223+BJ223)</f>
        <v/>
      </c>
      <c r="BL223" s="42">
        <f>MAX(0,MIN(BI223+BJ223-BK223,BH223))</f>
        <v/>
      </c>
      <c r="BM223" s="42">
        <f>ROUND(BI223+BJ223-BK223-BL223,2)</f>
        <v/>
      </c>
      <c r="BN223">
        <f>BH223-BL223</f>
        <v/>
      </c>
    </row>
    <row r="224">
      <c r="A224" s="39" t="n">
        <v>217</v>
      </c>
      <c r="B224" s="40">
        <f>EDATE('My Debts'!$C$6,A224-1)</f>
        <v/>
      </c>
      <c r="C224" s="41">
        <f>K224+Q224+W224+AC224+AI224+AO224+AU224+BA224+BG224+BM224</f>
        <v/>
      </c>
      <c r="D224" s="42">
        <f>I224+O224+U224+AA224+AG224+AM224+AS224+AY224+BE224+BK224+J224+P224+V224+AB224+AH224+AN224+AT224+AZ224+BF224+BL224</f>
        <v/>
      </c>
      <c r="E224" s="42">
        <f>H224+N224+T224+Z224+AF224+AL224+AR224+AX224+BD224+BJ224</f>
        <v/>
      </c>
      <c r="F224" t="n">
        <v>0</v>
      </c>
      <c r="G224" s="42">
        <f>K223</f>
        <v/>
      </c>
      <c r="H224" s="42">
        <f>ROUND(G224*H$6/12,2)</f>
        <v/>
      </c>
      <c r="I224" s="42">
        <f>MIN(I$6,G224+H224)</f>
        <v/>
      </c>
      <c r="J224" s="42">
        <f>MAX(0,MIN(G224+H224-I224,$F224))</f>
        <v/>
      </c>
      <c r="K224" s="42">
        <f>ROUND(G224+H224-I224-J224,2)</f>
        <v/>
      </c>
      <c r="L224">
        <f>$F224-J224</f>
        <v/>
      </c>
      <c r="M224" s="42">
        <f>Q223</f>
        <v/>
      </c>
      <c r="N224" s="42">
        <f>ROUND(M224*N$6/12,2)</f>
        <v/>
      </c>
      <c r="O224" s="42">
        <f>MIN(O$6,M224+N224)</f>
        <v/>
      </c>
      <c r="P224" s="42">
        <f>MAX(0,MIN(M224+N224-O224,L224))</f>
        <v/>
      </c>
      <c r="Q224" s="42">
        <f>ROUND(M224+N224-O224-P224,2)</f>
        <v/>
      </c>
      <c r="R224">
        <f>L224-P224</f>
        <v/>
      </c>
      <c r="S224" s="42">
        <f>W223</f>
        <v/>
      </c>
      <c r="T224" s="42">
        <f>ROUND(S224*T$6/12,2)</f>
        <v/>
      </c>
      <c r="U224" s="42">
        <f>MIN(U$6,S224+T224)</f>
        <v/>
      </c>
      <c r="V224" s="42">
        <f>MAX(0,MIN(S224+T224-U224,R224))</f>
        <v/>
      </c>
      <c r="W224" s="42">
        <f>ROUND(S224+T224-U224-V224,2)</f>
        <v/>
      </c>
      <c r="X224">
        <f>R224-V224</f>
        <v/>
      </c>
      <c r="Y224" s="42">
        <f>AC223</f>
        <v/>
      </c>
      <c r="Z224" s="42">
        <f>ROUND(Y224*Z$6/12,2)</f>
        <v/>
      </c>
      <c r="AA224" s="42">
        <f>MIN(AA$6,Y224+Z224)</f>
        <v/>
      </c>
      <c r="AB224" s="42">
        <f>MAX(0,MIN(Y224+Z224-AA224,X224))</f>
        <v/>
      </c>
      <c r="AC224" s="42">
        <f>ROUND(Y224+Z224-AA224-AB224,2)</f>
        <v/>
      </c>
      <c r="AD224">
        <f>X224-AB224</f>
        <v/>
      </c>
      <c r="AE224" s="42">
        <f>AI223</f>
        <v/>
      </c>
      <c r="AF224" s="42">
        <f>ROUND(AE224*AF$6/12,2)</f>
        <v/>
      </c>
      <c r="AG224" s="42">
        <f>MIN(AG$6,AE224+AF224)</f>
        <v/>
      </c>
      <c r="AH224" s="42">
        <f>MAX(0,MIN(AE224+AF224-AG224,AD224))</f>
        <v/>
      </c>
      <c r="AI224" s="42">
        <f>ROUND(AE224+AF224-AG224-AH224,2)</f>
        <v/>
      </c>
      <c r="AJ224">
        <f>AD224-AH224</f>
        <v/>
      </c>
      <c r="AK224" s="42">
        <f>AO223</f>
        <v/>
      </c>
      <c r="AL224" s="42">
        <f>ROUND(AK224*AL$6/12,2)</f>
        <v/>
      </c>
      <c r="AM224" s="42">
        <f>MIN(AM$6,AK224+AL224)</f>
        <v/>
      </c>
      <c r="AN224" s="42">
        <f>MAX(0,MIN(AK224+AL224-AM224,AJ224))</f>
        <v/>
      </c>
      <c r="AO224" s="42">
        <f>ROUND(AK224+AL224-AM224-AN224,2)</f>
        <v/>
      </c>
      <c r="AP224">
        <f>AJ224-AN224</f>
        <v/>
      </c>
      <c r="AQ224" s="42">
        <f>AU223</f>
        <v/>
      </c>
      <c r="AR224" s="42">
        <f>ROUND(AQ224*AR$6/12,2)</f>
        <v/>
      </c>
      <c r="AS224" s="42">
        <f>MIN(AS$6,AQ224+AR224)</f>
        <v/>
      </c>
      <c r="AT224" s="42">
        <f>MAX(0,MIN(AQ224+AR224-AS224,AP224))</f>
        <v/>
      </c>
      <c r="AU224" s="42">
        <f>ROUND(AQ224+AR224-AS224-AT224,2)</f>
        <v/>
      </c>
      <c r="AV224">
        <f>AP224-AT224</f>
        <v/>
      </c>
      <c r="AW224" s="42">
        <f>BA223</f>
        <v/>
      </c>
      <c r="AX224" s="42">
        <f>ROUND(AW224*AX$6/12,2)</f>
        <v/>
      </c>
      <c r="AY224" s="42">
        <f>MIN(AY$6,AW224+AX224)</f>
        <v/>
      </c>
      <c r="AZ224" s="42">
        <f>MAX(0,MIN(AW224+AX224-AY224,AV224))</f>
        <v/>
      </c>
      <c r="BA224" s="42">
        <f>ROUND(AW224+AX224-AY224-AZ224,2)</f>
        <v/>
      </c>
      <c r="BB224">
        <f>AV224-AZ224</f>
        <v/>
      </c>
      <c r="BC224" s="42">
        <f>BG223</f>
        <v/>
      </c>
      <c r="BD224" s="42">
        <f>ROUND(BC224*BD$6/12,2)</f>
        <v/>
      </c>
      <c r="BE224" s="42">
        <f>MIN(BE$6,BC224+BD224)</f>
        <v/>
      </c>
      <c r="BF224" s="42">
        <f>MAX(0,MIN(BC224+BD224-BE224,BB224))</f>
        <v/>
      </c>
      <c r="BG224" s="42">
        <f>ROUND(BC224+BD224-BE224-BF224,2)</f>
        <v/>
      </c>
      <c r="BH224">
        <f>BB224-BF224</f>
        <v/>
      </c>
      <c r="BI224" s="42">
        <f>BM223</f>
        <v/>
      </c>
      <c r="BJ224" s="42">
        <f>ROUND(BI224*BJ$6/12,2)</f>
        <v/>
      </c>
      <c r="BK224" s="42">
        <f>MIN(BK$6,BI224+BJ224)</f>
        <v/>
      </c>
      <c r="BL224" s="42">
        <f>MAX(0,MIN(BI224+BJ224-BK224,BH224))</f>
        <v/>
      </c>
      <c r="BM224" s="42">
        <f>ROUND(BI224+BJ224-BK224-BL224,2)</f>
        <v/>
      </c>
      <c r="BN224">
        <f>BH224-BL224</f>
        <v/>
      </c>
    </row>
    <row r="225">
      <c r="A225" s="43" t="n">
        <v>218</v>
      </c>
      <c r="B225" s="44">
        <f>EDATE('My Debts'!$C$6,A225-1)</f>
        <v/>
      </c>
      <c r="C225" s="45">
        <f>K225+Q225+W225+AC225+AI225+AO225+AU225+BA225+BG225+BM225</f>
        <v/>
      </c>
      <c r="D225" s="46">
        <f>I225+O225+U225+AA225+AG225+AM225+AS225+AY225+BE225+BK225+J225+P225+V225+AB225+AH225+AN225+AT225+AZ225+BF225+BL225</f>
        <v/>
      </c>
      <c r="E225" s="46">
        <f>H225+N225+T225+Z225+AF225+AL225+AR225+AX225+BD225+BJ225</f>
        <v/>
      </c>
      <c r="F225" t="n">
        <v>0</v>
      </c>
      <c r="G225" s="42">
        <f>K224</f>
        <v/>
      </c>
      <c r="H225" s="42">
        <f>ROUND(G225*H$6/12,2)</f>
        <v/>
      </c>
      <c r="I225" s="42">
        <f>MIN(I$6,G225+H225)</f>
        <v/>
      </c>
      <c r="J225" s="42">
        <f>MAX(0,MIN(G225+H225-I225,$F225))</f>
        <v/>
      </c>
      <c r="K225" s="42">
        <f>ROUND(G225+H225-I225-J225,2)</f>
        <v/>
      </c>
      <c r="L225">
        <f>$F225-J225</f>
        <v/>
      </c>
      <c r="M225" s="42">
        <f>Q224</f>
        <v/>
      </c>
      <c r="N225" s="42">
        <f>ROUND(M225*N$6/12,2)</f>
        <v/>
      </c>
      <c r="O225" s="42">
        <f>MIN(O$6,M225+N225)</f>
        <v/>
      </c>
      <c r="P225" s="42">
        <f>MAX(0,MIN(M225+N225-O225,L225))</f>
        <v/>
      </c>
      <c r="Q225" s="42">
        <f>ROUND(M225+N225-O225-P225,2)</f>
        <v/>
      </c>
      <c r="R225">
        <f>L225-P225</f>
        <v/>
      </c>
      <c r="S225" s="42">
        <f>W224</f>
        <v/>
      </c>
      <c r="T225" s="42">
        <f>ROUND(S225*T$6/12,2)</f>
        <v/>
      </c>
      <c r="U225" s="42">
        <f>MIN(U$6,S225+T225)</f>
        <v/>
      </c>
      <c r="V225" s="42">
        <f>MAX(0,MIN(S225+T225-U225,R225))</f>
        <v/>
      </c>
      <c r="W225" s="42">
        <f>ROUND(S225+T225-U225-V225,2)</f>
        <v/>
      </c>
      <c r="X225">
        <f>R225-V225</f>
        <v/>
      </c>
      <c r="Y225" s="42">
        <f>AC224</f>
        <v/>
      </c>
      <c r="Z225" s="42">
        <f>ROUND(Y225*Z$6/12,2)</f>
        <v/>
      </c>
      <c r="AA225" s="42">
        <f>MIN(AA$6,Y225+Z225)</f>
        <v/>
      </c>
      <c r="AB225" s="42">
        <f>MAX(0,MIN(Y225+Z225-AA225,X225))</f>
        <v/>
      </c>
      <c r="AC225" s="42">
        <f>ROUND(Y225+Z225-AA225-AB225,2)</f>
        <v/>
      </c>
      <c r="AD225">
        <f>X225-AB225</f>
        <v/>
      </c>
      <c r="AE225" s="42">
        <f>AI224</f>
        <v/>
      </c>
      <c r="AF225" s="42">
        <f>ROUND(AE225*AF$6/12,2)</f>
        <v/>
      </c>
      <c r="AG225" s="42">
        <f>MIN(AG$6,AE225+AF225)</f>
        <v/>
      </c>
      <c r="AH225" s="42">
        <f>MAX(0,MIN(AE225+AF225-AG225,AD225))</f>
        <v/>
      </c>
      <c r="AI225" s="42">
        <f>ROUND(AE225+AF225-AG225-AH225,2)</f>
        <v/>
      </c>
      <c r="AJ225">
        <f>AD225-AH225</f>
        <v/>
      </c>
      <c r="AK225" s="42">
        <f>AO224</f>
        <v/>
      </c>
      <c r="AL225" s="42">
        <f>ROUND(AK225*AL$6/12,2)</f>
        <v/>
      </c>
      <c r="AM225" s="42">
        <f>MIN(AM$6,AK225+AL225)</f>
        <v/>
      </c>
      <c r="AN225" s="42">
        <f>MAX(0,MIN(AK225+AL225-AM225,AJ225))</f>
        <v/>
      </c>
      <c r="AO225" s="42">
        <f>ROUND(AK225+AL225-AM225-AN225,2)</f>
        <v/>
      </c>
      <c r="AP225">
        <f>AJ225-AN225</f>
        <v/>
      </c>
      <c r="AQ225" s="42">
        <f>AU224</f>
        <v/>
      </c>
      <c r="AR225" s="42">
        <f>ROUND(AQ225*AR$6/12,2)</f>
        <v/>
      </c>
      <c r="AS225" s="42">
        <f>MIN(AS$6,AQ225+AR225)</f>
        <v/>
      </c>
      <c r="AT225" s="42">
        <f>MAX(0,MIN(AQ225+AR225-AS225,AP225))</f>
        <v/>
      </c>
      <c r="AU225" s="42">
        <f>ROUND(AQ225+AR225-AS225-AT225,2)</f>
        <v/>
      </c>
      <c r="AV225">
        <f>AP225-AT225</f>
        <v/>
      </c>
      <c r="AW225" s="42">
        <f>BA224</f>
        <v/>
      </c>
      <c r="AX225" s="42">
        <f>ROUND(AW225*AX$6/12,2)</f>
        <v/>
      </c>
      <c r="AY225" s="42">
        <f>MIN(AY$6,AW225+AX225)</f>
        <v/>
      </c>
      <c r="AZ225" s="42">
        <f>MAX(0,MIN(AW225+AX225-AY225,AV225))</f>
        <v/>
      </c>
      <c r="BA225" s="42">
        <f>ROUND(AW225+AX225-AY225-AZ225,2)</f>
        <v/>
      </c>
      <c r="BB225">
        <f>AV225-AZ225</f>
        <v/>
      </c>
      <c r="BC225" s="42">
        <f>BG224</f>
        <v/>
      </c>
      <c r="BD225" s="42">
        <f>ROUND(BC225*BD$6/12,2)</f>
        <v/>
      </c>
      <c r="BE225" s="42">
        <f>MIN(BE$6,BC225+BD225)</f>
        <v/>
      </c>
      <c r="BF225" s="42">
        <f>MAX(0,MIN(BC225+BD225-BE225,BB225))</f>
        <v/>
      </c>
      <c r="BG225" s="42">
        <f>ROUND(BC225+BD225-BE225-BF225,2)</f>
        <v/>
      </c>
      <c r="BH225">
        <f>BB225-BF225</f>
        <v/>
      </c>
      <c r="BI225" s="42">
        <f>BM224</f>
        <v/>
      </c>
      <c r="BJ225" s="42">
        <f>ROUND(BI225*BJ$6/12,2)</f>
        <v/>
      </c>
      <c r="BK225" s="42">
        <f>MIN(BK$6,BI225+BJ225)</f>
        <v/>
      </c>
      <c r="BL225" s="42">
        <f>MAX(0,MIN(BI225+BJ225-BK225,BH225))</f>
        <v/>
      </c>
      <c r="BM225" s="42">
        <f>ROUND(BI225+BJ225-BK225-BL225,2)</f>
        <v/>
      </c>
      <c r="BN225">
        <f>BH225-BL225</f>
        <v/>
      </c>
    </row>
    <row r="226">
      <c r="A226" s="39" t="n">
        <v>219</v>
      </c>
      <c r="B226" s="40">
        <f>EDATE('My Debts'!$C$6,A226-1)</f>
        <v/>
      </c>
      <c r="C226" s="41">
        <f>K226+Q226+W226+AC226+AI226+AO226+AU226+BA226+BG226+BM226</f>
        <v/>
      </c>
      <c r="D226" s="42">
        <f>I226+O226+U226+AA226+AG226+AM226+AS226+AY226+BE226+BK226+J226+P226+V226+AB226+AH226+AN226+AT226+AZ226+BF226+BL226</f>
        <v/>
      </c>
      <c r="E226" s="42">
        <f>H226+N226+T226+Z226+AF226+AL226+AR226+AX226+BD226+BJ226</f>
        <v/>
      </c>
      <c r="F226" t="n">
        <v>0</v>
      </c>
      <c r="G226" s="42">
        <f>K225</f>
        <v/>
      </c>
      <c r="H226" s="42">
        <f>ROUND(G226*H$6/12,2)</f>
        <v/>
      </c>
      <c r="I226" s="42">
        <f>MIN(I$6,G226+H226)</f>
        <v/>
      </c>
      <c r="J226" s="42">
        <f>MAX(0,MIN(G226+H226-I226,$F226))</f>
        <v/>
      </c>
      <c r="K226" s="42">
        <f>ROUND(G226+H226-I226-J226,2)</f>
        <v/>
      </c>
      <c r="L226">
        <f>$F226-J226</f>
        <v/>
      </c>
      <c r="M226" s="42">
        <f>Q225</f>
        <v/>
      </c>
      <c r="N226" s="42">
        <f>ROUND(M226*N$6/12,2)</f>
        <v/>
      </c>
      <c r="O226" s="42">
        <f>MIN(O$6,M226+N226)</f>
        <v/>
      </c>
      <c r="P226" s="42">
        <f>MAX(0,MIN(M226+N226-O226,L226))</f>
        <v/>
      </c>
      <c r="Q226" s="42">
        <f>ROUND(M226+N226-O226-P226,2)</f>
        <v/>
      </c>
      <c r="R226">
        <f>L226-P226</f>
        <v/>
      </c>
      <c r="S226" s="42">
        <f>W225</f>
        <v/>
      </c>
      <c r="T226" s="42">
        <f>ROUND(S226*T$6/12,2)</f>
        <v/>
      </c>
      <c r="U226" s="42">
        <f>MIN(U$6,S226+T226)</f>
        <v/>
      </c>
      <c r="V226" s="42">
        <f>MAX(0,MIN(S226+T226-U226,R226))</f>
        <v/>
      </c>
      <c r="W226" s="42">
        <f>ROUND(S226+T226-U226-V226,2)</f>
        <v/>
      </c>
      <c r="X226">
        <f>R226-V226</f>
        <v/>
      </c>
      <c r="Y226" s="42">
        <f>AC225</f>
        <v/>
      </c>
      <c r="Z226" s="42">
        <f>ROUND(Y226*Z$6/12,2)</f>
        <v/>
      </c>
      <c r="AA226" s="42">
        <f>MIN(AA$6,Y226+Z226)</f>
        <v/>
      </c>
      <c r="AB226" s="42">
        <f>MAX(0,MIN(Y226+Z226-AA226,X226))</f>
        <v/>
      </c>
      <c r="AC226" s="42">
        <f>ROUND(Y226+Z226-AA226-AB226,2)</f>
        <v/>
      </c>
      <c r="AD226">
        <f>X226-AB226</f>
        <v/>
      </c>
      <c r="AE226" s="42">
        <f>AI225</f>
        <v/>
      </c>
      <c r="AF226" s="42">
        <f>ROUND(AE226*AF$6/12,2)</f>
        <v/>
      </c>
      <c r="AG226" s="42">
        <f>MIN(AG$6,AE226+AF226)</f>
        <v/>
      </c>
      <c r="AH226" s="42">
        <f>MAX(0,MIN(AE226+AF226-AG226,AD226))</f>
        <v/>
      </c>
      <c r="AI226" s="42">
        <f>ROUND(AE226+AF226-AG226-AH226,2)</f>
        <v/>
      </c>
      <c r="AJ226">
        <f>AD226-AH226</f>
        <v/>
      </c>
      <c r="AK226" s="42">
        <f>AO225</f>
        <v/>
      </c>
      <c r="AL226" s="42">
        <f>ROUND(AK226*AL$6/12,2)</f>
        <v/>
      </c>
      <c r="AM226" s="42">
        <f>MIN(AM$6,AK226+AL226)</f>
        <v/>
      </c>
      <c r="AN226" s="42">
        <f>MAX(0,MIN(AK226+AL226-AM226,AJ226))</f>
        <v/>
      </c>
      <c r="AO226" s="42">
        <f>ROUND(AK226+AL226-AM226-AN226,2)</f>
        <v/>
      </c>
      <c r="AP226">
        <f>AJ226-AN226</f>
        <v/>
      </c>
      <c r="AQ226" s="42">
        <f>AU225</f>
        <v/>
      </c>
      <c r="AR226" s="42">
        <f>ROUND(AQ226*AR$6/12,2)</f>
        <v/>
      </c>
      <c r="AS226" s="42">
        <f>MIN(AS$6,AQ226+AR226)</f>
        <v/>
      </c>
      <c r="AT226" s="42">
        <f>MAX(0,MIN(AQ226+AR226-AS226,AP226))</f>
        <v/>
      </c>
      <c r="AU226" s="42">
        <f>ROUND(AQ226+AR226-AS226-AT226,2)</f>
        <v/>
      </c>
      <c r="AV226">
        <f>AP226-AT226</f>
        <v/>
      </c>
      <c r="AW226" s="42">
        <f>BA225</f>
        <v/>
      </c>
      <c r="AX226" s="42">
        <f>ROUND(AW226*AX$6/12,2)</f>
        <v/>
      </c>
      <c r="AY226" s="42">
        <f>MIN(AY$6,AW226+AX226)</f>
        <v/>
      </c>
      <c r="AZ226" s="42">
        <f>MAX(0,MIN(AW226+AX226-AY226,AV226))</f>
        <v/>
      </c>
      <c r="BA226" s="42">
        <f>ROUND(AW226+AX226-AY226-AZ226,2)</f>
        <v/>
      </c>
      <c r="BB226">
        <f>AV226-AZ226</f>
        <v/>
      </c>
      <c r="BC226" s="42">
        <f>BG225</f>
        <v/>
      </c>
      <c r="BD226" s="42">
        <f>ROUND(BC226*BD$6/12,2)</f>
        <v/>
      </c>
      <c r="BE226" s="42">
        <f>MIN(BE$6,BC226+BD226)</f>
        <v/>
      </c>
      <c r="BF226" s="42">
        <f>MAX(0,MIN(BC226+BD226-BE226,BB226))</f>
        <v/>
      </c>
      <c r="BG226" s="42">
        <f>ROUND(BC226+BD226-BE226-BF226,2)</f>
        <v/>
      </c>
      <c r="BH226">
        <f>BB226-BF226</f>
        <v/>
      </c>
      <c r="BI226" s="42">
        <f>BM225</f>
        <v/>
      </c>
      <c r="BJ226" s="42">
        <f>ROUND(BI226*BJ$6/12,2)</f>
        <v/>
      </c>
      <c r="BK226" s="42">
        <f>MIN(BK$6,BI226+BJ226)</f>
        <v/>
      </c>
      <c r="BL226" s="42">
        <f>MAX(0,MIN(BI226+BJ226-BK226,BH226))</f>
        <v/>
      </c>
      <c r="BM226" s="42">
        <f>ROUND(BI226+BJ226-BK226-BL226,2)</f>
        <v/>
      </c>
      <c r="BN226">
        <f>BH226-BL226</f>
        <v/>
      </c>
    </row>
    <row r="227">
      <c r="A227" s="43" t="n">
        <v>220</v>
      </c>
      <c r="B227" s="44">
        <f>EDATE('My Debts'!$C$6,A227-1)</f>
        <v/>
      </c>
      <c r="C227" s="45">
        <f>K227+Q227+W227+AC227+AI227+AO227+AU227+BA227+BG227+BM227</f>
        <v/>
      </c>
      <c r="D227" s="46">
        <f>I227+O227+U227+AA227+AG227+AM227+AS227+AY227+BE227+BK227+J227+P227+V227+AB227+AH227+AN227+AT227+AZ227+BF227+BL227</f>
        <v/>
      </c>
      <c r="E227" s="46">
        <f>H227+N227+T227+Z227+AF227+AL227+AR227+AX227+BD227+BJ227</f>
        <v/>
      </c>
      <c r="F227" t="n">
        <v>0</v>
      </c>
      <c r="G227" s="42">
        <f>K226</f>
        <v/>
      </c>
      <c r="H227" s="42">
        <f>ROUND(G227*H$6/12,2)</f>
        <v/>
      </c>
      <c r="I227" s="42">
        <f>MIN(I$6,G227+H227)</f>
        <v/>
      </c>
      <c r="J227" s="42">
        <f>MAX(0,MIN(G227+H227-I227,$F227))</f>
        <v/>
      </c>
      <c r="K227" s="42">
        <f>ROUND(G227+H227-I227-J227,2)</f>
        <v/>
      </c>
      <c r="L227">
        <f>$F227-J227</f>
        <v/>
      </c>
      <c r="M227" s="42">
        <f>Q226</f>
        <v/>
      </c>
      <c r="N227" s="42">
        <f>ROUND(M227*N$6/12,2)</f>
        <v/>
      </c>
      <c r="O227" s="42">
        <f>MIN(O$6,M227+N227)</f>
        <v/>
      </c>
      <c r="P227" s="42">
        <f>MAX(0,MIN(M227+N227-O227,L227))</f>
        <v/>
      </c>
      <c r="Q227" s="42">
        <f>ROUND(M227+N227-O227-P227,2)</f>
        <v/>
      </c>
      <c r="R227">
        <f>L227-P227</f>
        <v/>
      </c>
      <c r="S227" s="42">
        <f>W226</f>
        <v/>
      </c>
      <c r="T227" s="42">
        <f>ROUND(S227*T$6/12,2)</f>
        <v/>
      </c>
      <c r="U227" s="42">
        <f>MIN(U$6,S227+T227)</f>
        <v/>
      </c>
      <c r="V227" s="42">
        <f>MAX(0,MIN(S227+T227-U227,R227))</f>
        <v/>
      </c>
      <c r="W227" s="42">
        <f>ROUND(S227+T227-U227-V227,2)</f>
        <v/>
      </c>
      <c r="X227">
        <f>R227-V227</f>
        <v/>
      </c>
      <c r="Y227" s="42">
        <f>AC226</f>
        <v/>
      </c>
      <c r="Z227" s="42">
        <f>ROUND(Y227*Z$6/12,2)</f>
        <v/>
      </c>
      <c r="AA227" s="42">
        <f>MIN(AA$6,Y227+Z227)</f>
        <v/>
      </c>
      <c r="AB227" s="42">
        <f>MAX(0,MIN(Y227+Z227-AA227,X227))</f>
        <v/>
      </c>
      <c r="AC227" s="42">
        <f>ROUND(Y227+Z227-AA227-AB227,2)</f>
        <v/>
      </c>
      <c r="AD227">
        <f>X227-AB227</f>
        <v/>
      </c>
      <c r="AE227" s="42">
        <f>AI226</f>
        <v/>
      </c>
      <c r="AF227" s="42">
        <f>ROUND(AE227*AF$6/12,2)</f>
        <v/>
      </c>
      <c r="AG227" s="42">
        <f>MIN(AG$6,AE227+AF227)</f>
        <v/>
      </c>
      <c r="AH227" s="42">
        <f>MAX(0,MIN(AE227+AF227-AG227,AD227))</f>
        <v/>
      </c>
      <c r="AI227" s="42">
        <f>ROUND(AE227+AF227-AG227-AH227,2)</f>
        <v/>
      </c>
      <c r="AJ227">
        <f>AD227-AH227</f>
        <v/>
      </c>
      <c r="AK227" s="42">
        <f>AO226</f>
        <v/>
      </c>
      <c r="AL227" s="42">
        <f>ROUND(AK227*AL$6/12,2)</f>
        <v/>
      </c>
      <c r="AM227" s="42">
        <f>MIN(AM$6,AK227+AL227)</f>
        <v/>
      </c>
      <c r="AN227" s="42">
        <f>MAX(0,MIN(AK227+AL227-AM227,AJ227))</f>
        <v/>
      </c>
      <c r="AO227" s="42">
        <f>ROUND(AK227+AL227-AM227-AN227,2)</f>
        <v/>
      </c>
      <c r="AP227">
        <f>AJ227-AN227</f>
        <v/>
      </c>
      <c r="AQ227" s="42">
        <f>AU226</f>
        <v/>
      </c>
      <c r="AR227" s="42">
        <f>ROUND(AQ227*AR$6/12,2)</f>
        <v/>
      </c>
      <c r="AS227" s="42">
        <f>MIN(AS$6,AQ227+AR227)</f>
        <v/>
      </c>
      <c r="AT227" s="42">
        <f>MAX(0,MIN(AQ227+AR227-AS227,AP227))</f>
        <v/>
      </c>
      <c r="AU227" s="42">
        <f>ROUND(AQ227+AR227-AS227-AT227,2)</f>
        <v/>
      </c>
      <c r="AV227">
        <f>AP227-AT227</f>
        <v/>
      </c>
      <c r="AW227" s="42">
        <f>BA226</f>
        <v/>
      </c>
      <c r="AX227" s="42">
        <f>ROUND(AW227*AX$6/12,2)</f>
        <v/>
      </c>
      <c r="AY227" s="42">
        <f>MIN(AY$6,AW227+AX227)</f>
        <v/>
      </c>
      <c r="AZ227" s="42">
        <f>MAX(0,MIN(AW227+AX227-AY227,AV227))</f>
        <v/>
      </c>
      <c r="BA227" s="42">
        <f>ROUND(AW227+AX227-AY227-AZ227,2)</f>
        <v/>
      </c>
      <c r="BB227">
        <f>AV227-AZ227</f>
        <v/>
      </c>
      <c r="BC227" s="42">
        <f>BG226</f>
        <v/>
      </c>
      <c r="BD227" s="42">
        <f>ROUND(BC227*BD$6/12,2)</f>
        <v/>
      </c>
      <c r="BE227" s="42">
        <f>MIN(BE$6,BC227+BD227)</f>
        <v/>
      </c>
      <c r="BF227" s="42">
        <f>MAX(0,MIN(BC227+BD227-BE227,BB227))</f>
        <v/>
      </c>
      <c r="BG227" s="42">
        <f>ROUND(BC227+BD227-BE227-BF227,2)</f>
        <v/>
      </c>
      <c r="BH227">
        <f>BB227-BF227</f>
        <v/>
      </c>
      <c r="BI227" s="42">
        <f>BM226</f>
        <v/>
      </c>
      <c r="BJ227" s="42">
        <f>ROUND(BI227*BJ$6/12,2)</f>
        <v/>
      </c>
      <c r="BK227" s="42">
        <f>MIN(BK$6,BI227+BJ227)</f>
        <v/>
      </c>
      <c r="BL227" s="42">
        <f>MAX(0,MIN(BI227+BJ227-BK227,BH227))</f>
        <v/>
      </c>
      <c r="BM227" s="42">
        <f>ROUND(BI227+BJ227-BK227-BL227,2)</f>
        <v/>
      </c>
      <c r="BN227">
        <f>BH227-BL227</f>
        <v/>
      </c>
    </row>
    <row r="228">
      <c r="A228" s="39" t="n">
        <v>221</v>
      </c>
      <c r="B228" s="40">
        <f>EDATE('My Debts'!$C$6,A228-1)</f>
        <v/>
      </c>
      <c r="C228" s="41">
        <f>K228+Q228+W228+AC228+AI228+AO228+AU228+BA228+BG228+BM228</f>
        <v/>
      </c>
      <c r="D228" s="42">
        <f>I228+O228+U228+AA228+AG228+AM228+AS228+AY228+BE228+BK228+J228+P228+V228+AB228+AH228+AN228+AT228+AZ228+BF228+BL228</f>
        <v/>
      </c>
      <c r="E228" s="42">
        <f>H228+N228+T228+Z228+AF228+AL228+AR228+AX228+BD228+BJ228</f>
        <v/>
      </c>
      <c r="F228" t="n">
        <v>0</v>
      </c>
      <c r="G228" s="42">
        <f>K227</f>
        <v/>
      </c>
      <c r="H228" s="42">
        <f>ROUND(G228*H$6/12,2)</f>
        <v/>
      </c>
      <c r="I228" s="42">
        <f>MIN(I$6,G228+H228)</f>
        <v/>
      </c>
      <c r="J228" s="42">
        <f>MAX(0,MIN(G228+H228-I228,$F228))</f>
        <v/>
      </c>
      <c r="K228" s="42">
        <f>ROUND(G228+H228-I228-J228,2)</f>
        <v/>
      </c>
      <c r="L228">
        <f>$F228-J228</f>
        <v/>
      </c>
      <c r="M228" s="42">
        <f>Q227</f>
        <v/>
      </c>
      <c r="N228" s="42">
        <f>ROUND(M228*N$6/12,2)</f>
        <v/>
      </c>
      <c r="O228" s="42">
        <f>MIN(O$6,M228+N228)</f>
        <v/>
      </c>
      <c r="P228" s="42">
        <f>MAX(0,MIN(M228+N228-O228,L228))</f>
        <v/>
      </c>
      <c r="Q228" s="42">
        <f>ROUND(M228+N228-O228-P228,2)</f>
        <v/>
      </c>
      <c r="R228">
        <f>L228-P228</f>
        <v/>
      </c>
      <c r="S228" s="42">
        <f>W227</f>
        <v/>
      </c>
      <c r="T228" s="42">
        <f>ROUND(S228*T$6/12,2)</f>
        <v/>
      </c>
      <c r="U228" s="42">
        <f>MIN(U$6,S228+T228)</f>
        <v/>
      </c>
      <c r="V228" s="42">
        <f>MAX(0,MIN(S228+T228-U228,R228))</f>
        <v/>
      </c>
      <c r="W228" s="42">
        <f>ROUND(S228+T228-U228-V228,2)</f>
        <v/>
      </c>
      <c r="X228">
        <f>R228-V228</f>
        <v/>
      </c>
      <c r="Y228" s="42">
        <f>AC227</f>
        <v/>
      </c>
      <c r="Z228" s="42">
        <f>ROUND(Y228*Z$6/12,2)</f>
        <v/>
      </c>
      <c r="AA228" s="42">
        <f>MIN(AA$6,Y228+Z228)</f>
        <v/>
      </c>
      <c r="AB228" s="42">
        <f>MAX(0,MIN(Y228+Z228-AA228,X228))</f>
        <v/>
      </c>
      <c r="AC228" s="42">
        <f>ROUND(Y228+Z228-AA228-AB228,2)</f>
        <v/>
      </c>
      <c r="AD228">
        <f>X228-AB228</f>
        <v/>
      </c>
      <c r="AE228" s="42">
        <f>AI227</f>
        <v/>
      </c>
      <c r="AF228" s="42">
        <f>ROUND(AE228*AF$6/12,2)</f>
        <v/>
      </c>
      <c r="AG228" s="42">
        <f>MIN(AG$6,AE228+AF228)</f>
        <v/>
      </c>
      <c r="AH228" s="42">
        <f>MAX(0,MIN(AE228+AF228-AG228,AD228))</f>
        <v/>
      </c>
      <c r="AI228" s="42">
        <f>ROUND(AE228+AF228-AG228-AH228,2)</f>
        <v/>
      </c>
      <c r="AJ228">
        <f>AD228-AH228</f>
        <v/>
      </c>
      <c r="AK228" s="42">
        <f>AO227</f>
        <v/>
      </c>
      <c r="AL228" s="42">
        <f>ROUND(AK228*AL$6/12,2)</f>
        <v/>
      </c>
      <c r="AM228" s="42">
        <f>MIN(AM$6,AK228+AL228)</f>
        <v/>
      </c>
      <c r="AN228" s="42">
        <f>MAX(0,MIN(AK228+AL228-AM228,AJ228))</f>
        <v/>
      </c>
      <c r="AO228" s="42">
        <f>ROUND(AK228+AL228-AM228-AN228,2)</f>
        <v/>
      </c>
      <c r="AP228">
        <f>AJ228-AN228</f>
        <v/>
      </c>
      <c r="AQ228" s="42">
        <f>AU227</f>
        <v/>
      </c>
      <c r="AR228" s="42">
        <f>ROUND(AQ228*AR$6/12,2)</f>
        <v/>
      </c>
      <c r="AS228" s="42">
        <f>MIN(AS$6,AQ228+AR228)</f>
        <v/>
      </c>
      <c r="AT228" s="42">
        <f>MAX(0,MIN(AQ228+AR228-AS228,AP228))</f>
        <v/>
      </c>
      <c r="AU228" s="42">
        <f>ROUND(AQ228+AR228-AS228-AT228,2)</f>
        <v/>
      </c>
      <c r="AV228">
        <f>AP228-AT228</f>
        <v/>
      </c>
      <c r="AW228" s="42">
        <f>BA227</f>
        <v/>
      </c>
      <c r="AX228" s="42">
        <f>ROUND(AW228*AX$6/12,2)</f>
        <v/>
      </c>
      <c r="AY228" s="42">
        <f>MIN(AY$6,AW228+AX228)</f>
        <v/>
      </c>
      <c r="AZ228" s="42">
        <f>MAX(0,MIN(AW228+AX228-AY228,AV228))</f>
        <v/>
      </c>
      <c r="BA228" s="42">
        <f>ROUND(AW228+AX228-AY228-AZ228,2)</f>
        <v/>
      </c>
      <c r="BB228">
        <f>AV228-AZ228</f>
        <v/>
      </c>
      <c r="BC228" s="42">
        <f>BG227</f>
        <v/>
      </c>
      <c r="BD228" s="42">
        <f>ROUND(BC228*BD$6/12,2)</f>
        <v/>
      </c>
      <c r="BE228" s="42">
        <f>MIN(BE$6,BC228+BD228)</f>
        <v/>
      </c>
      <c r="BF228" s="42">
        <f>MAX(0,MIN(BC228+BD228-BE228,BB228))</f>
        <v/>
      </c>
      <c r="BG228" s="42">
        <f>ROUND(BC228+BD228-BE228-BF228,2)</f>
        <v/>
      </c>
      <c r="BH228">
        <f>BB228-BF228</f>
        <v/>
      </c>
      <c r="BI228" s="42">
        <f>BM227</f>
        <v/>
      </c>
      <c r="BJ228" s="42">
        <f>ROUND(BI228*BJ$6/12,2)</f>
        <v/>
      </c>
      <c r="BK228" s="42">
        <f>MIN(BK$6,BI228+BJ228)</f>
        <v/>
      </c>
      <c r="BL228" s="42">
        <f>MAX(0,MIN(BI228+BJ228-BK228,BH228))</f>
        <v/>
      </c>
      <c r="BM228" s="42">
        <f>ROUND(BI228+BJ228-BK228-BL228,2)</f>
        <v/>
      </c>
      <c r="BN228">
        <f>BH228-BL228</f>
        <v/>
      </c>
    </row>
    <row r="229">
      <c r="A229" s="43" t="n">
        <v>222</v>
      </c>
      <c r="B229" s="44">
        <f>EDATE('My Debts'!$C$6,A229-1)</f>
        <v/>
      </c>
      <c r="C229" s="45">
        <f>K229+Q229+W229+AC229+AI229+AO229+AU229+BA229+BG229+BM229</f>
        <v/>
      </c>
      <c r="D229" s="46">
        <f>I229+O229+U229+AA229+AG229+AM229+AS229+AY229+BE229+BK229+J229+P229+V229+AB229+AH229+AN229+AT229+AZ229+BF229+BL229</f>
        <v/>
      </c>
      <c r="E229" s="46">
        <f>H229+N229+T229+Z229+AF229+AL229+AR229+AX229+BD229+BJ229</f>
        <v/>
      </c>
      <c r="F229" t="n">
        <v>0</v>
      </c>
      <c r="G229" s="42">
        <f>K228</f>
        <v/>
      </c>
      <c r="H229" s="42">
        <f>ROUND(G229*H$6/12,2)</f>
        <v/>
      </c>
      <c r="I229" s="42">
        <f>MIN(I$6,G229+H229)</f>
        <v/>
      </c>
      <c r="J229" s="42">
        <f>MAX(0,MIN(G229+H229-I229,$F229))</f>
        <v/>
      </c>
      <c r="K229" s="42">
        <f>ROUND(G229+H229-I229-J229,2)</f>
        <v/>
      </c>
      <c r="L229">
        <f>$F229-J229</f>
        <v/>
      </c>
      <c r="M229" s="42">
        <f>Q228</f>
        <v/>
      </c>
      <c r="N229" s="42">
        <f>ROUND(M229*N$6/12,2)</f>
        <v/>
      </c>
      <c r="O229" s="42">
        <f>MIN(O$6,M229+N229)</f>
        <v/>
      </c>
      <c r="P229" s="42">
        <f>MAX(0,MIN(M229+N229-O229,L229))</f>
        <v/>
      </c>
      <c r="Q229" s="42">
        <f>ROUND(M229+N229-O229-P229,2)</f>
        <v/>
      </c>
      <c r="R229">
        <f>L229-P229</f>
        <v/>
      </c>
      <c r="S229" s="42">
        <f>W228</f>
        <v/>
      </c>
      <c r="T229" s="42">
        <f>ROUND(S229*T$6/12,2)</f>
        <v/>
      </c>
      <c r="U229" s="42">
        <f>MIN(U$6,S229+T229)</f>
        <v/>
      </c>
      <c r="V229" s="42">
        <f>MAX(0,MIN(S229+T229-U229,R229))</f>
        <v/>
      </c>
      <c r="W229" s="42">
        <f>ROUND(S229+T229-U229-V229,2)</f>
        <v/>
      </c>
      <c r="X229">
        <f>R229-V229</f>
        <v/>
      </c>
      <c r="Y229" s="42">
        <f>AC228</f>
        <v/>
      </c>
      <c r="Z229" s="42">
        <f>ROUND(Y229*Z$6/12,2)</f>
        <v/>
      </c>
      <c r="AA229" s="42">
        <f>MIN(AA$6,Y229+Z229)</f>
        <v/>
      </c>
      <c r="AB229" s="42">
        <f>MAX(0,MIN(Y229+Z229-AA229,X229))</f>
        <v/>
      </c>
      <c r="AC229" s="42">
        <f>ROUND(Y229+Z229-AA229-AB229,2)</f>
        <v/>
      </c>
      <c r="AD229">
        <f>X229-AB229</f>
        <v/>
      </c>
      <c r="AE229" s="42">
        <f>AI228</f>
        <v/>
      </c>
      <c r="AF229" s="42">
        <f>ROUND(AE229*AF$6/12,2)</f>
        <v/>
      </c>
      <c r="AG229" s="42">
        <f>MIN(AG$6,AE229+AF229)</f>
        <v/>
      </c>
      <c r="AH229" s="42">
        <f>MAX(0,MIN(AE229+AF229-AG229,AD229))</f>
        <v/>
      </c>
      <c r="AI229" s="42">
        <f>ROUND(AE229+AF229-AG229-AH229,2)</f>
        <v/>
      </c>
      <c r="AJ229">
        <f>AD229-AH229</f>
        <v/>
      </c>
      <c r="AK229" s="42">
        <f>AO228</f>
        <v/>
      </c>
      <c r="AL229" s="42">
        <f>ROUND(AK229*AL$6/12,2)</f>
        <v/>
      </c>
      <c r="AM229" s="42">
        <f>MIN(AM$6,AK229+AL229)</f>
        <v/>
      </c>
      <c r="AN229" s="42">
        <f>MAX(0,MIN(AK229+AL229-AM229,AJ229))</f>
        <v/>
      </c>
      <c r="AO229" s="42">
        <f>ROUND(AK229+AL229-AM229-AN229,2)</f>
        <v/>
      </c>
      <c r="AP229">
        <f>AJ229-AN229</f>
        <v/>
      </c>
      <c r="AQ229" s="42">
        <f>AU228</f>
        <v/>
      </c>
      <c r="AR229" s="42">
        <f>ROUND(AQ229*AR$6/12,2)</f>
        <v/>
      </c>
      <c r="AS229" s="42">
        <f>MIN(AS$6,AQ229+AR229)</f>
        <v/>
      </c>
      <c r="AT229" s="42">
        <f>MAX(0,MIN(AQ229+AR229-AS229,AP229))</f>
        <v/>
      </c>
      <c r="AU229" s="42">
        <f>ROUND(AQ229+AR229-AS229-AT229,2)</f>
        <v/>
      </c>
      <c r="AV229">
        <f>AP229-AT229</f>
        <v/>
      </c>
      <c r="AW229" s="42">
        <f>BA228</f>
        <v/>
      </c>
      <c r="AX229" s="42">
        <f>ROUND(AW229*AX$6/12,2)</f>
        <v/>
      </c>
      <c r="AY229" s="42">
        <f>MIN(AY$6,AW229+AX229)</f>
        <v/>
      </c>
      <c r="AZ229" s="42">
        <f>MAX(0,MIN(AW229+AX229-AY229,AV229))</f>
        <v/>
      </c>
      <c r="BA229" s="42">
        <f>ROUND(AW229+AX229-AY229-AZ229,2)</f>
        <v/>
      </c>
      <c r="BB229">
        <f>AV229-AZ229</f>
        <v/>
      </c>
      <c r="BC229" s="42">
        <f>BG228</f>
        <v/>
      </c>
      <c r="BD229" s="42">
        <f>ROUND(BC229*BD$6/12,2)</f>
        <v/>
      </c>
      <c r="BE229" s="42">
        <f>MIN(BE$6,BC229+BD229)</f>
        <v/>
      </c>
      <c r="BF229" s="42">
        <f>MAX(0,MIN(BC229+BD229-BE229,BB229))</f>
        <v/>
      </c>
      <c r="BG229" s="42">
        <f>ROUND(BC229+BD229-BE229-BF229,2)</f>
        <v/>
      </c>
      <c r="BH229">
        <f>BB229-BF229</f>
        <v/>
      </c>
      <c r="BI229" s="42">
        <f>BM228</f>
        <v/>
      </c>
      <c r="BJ229" s="42">
        <f>ROUND(BI229*BJ$6/12,2)</f>
        <v/>
      </c>
      <c r="BK229" s="42">
        <f>MIN(BK$6,BI229+BJ229)</f>
        <v/>
      </c>
      <c r="BL229" s="42">
        <f>MAX(0,MIN(BI229+BJ229-BK229,BH229))</f>
        <v/>
      </c>
      <c r="BM229" s="42">
        <f>ROUND(BI229+BJ229-BK229-BL229,2)</f>
        <v/>
      </c>
      <c r="BN229">
        <f>BH229-BL229</f>
        <v/>
      </c>
    </row>
    <row r="230">
      <c r="A230" s="39" t="n">
        <v>223</v>
      </c>
      <c r="B230" s="40">
        <f>EDATE('My Debts'!$C$6,A230-1)</f>
        <v/>
      </c>
      <c r="C230" s="41">
        <f>K230+Q230+W230+AC230+AI230+AO230+AU230+BA230+BG230+BM230</f>
        <v/>
      </c>
      <c r="D230" s="42">
        <f>I230+O230+U230+AA230+AG230+AM230+AS230+AY230+BE230+BK230+J230+P230+V230+AB230+AH230+AN230+AT230+AZ230+BF230+BL230</f>
        <v/>
      </c>
      <c r="E230" s="42">
        <f>H230+N230+T230+Z230+AF230+AL230+AR230+AX230+BD230+BJ230</f>
        <v/>
      </c>
      <c r="F230" t="n">
        <v>0</v>
      </c>
      <c r="G230" s="42">
        <f>K229</f>
        <v/>
      </c>
      <c r="H230" s="42">
        <f>ROUND(G230*H$6/12,2)</f>
        <v/>
      </c>
      <c r="I230" s="42">
        <f>MIN(I$6,G230+H230)</f>
        <v/>
      </c>
      <c r="J230" s="42">
        <f>MAX(0,MIN(G230+H230-I230,$F230))</f>
        <v/>
      </c>
      <c r="K230" s="42">
        <f>ROUND(G230+H230-I230-J230,2)</f>
        <v/>
      </c>
      <c r="L230">
        <f>$F230-J230</f>
        <v/>
      </c>
      <c r="M230" s="42">
        <f>Q229</f>
        <v/>
      </c>
      <c r="N230" s="42">
        <f>ROUND(M230*N$6/12,2)</f>
        <v/>
      </c>
      <c r="O230" s="42">
        <f>MIN(O$6,M230+N230)</f>
        <v/>
      </c>
      <c r="P230" s="42">
        <f>MAX(0,MIN(M230+N230-O230,L230))</f>
        <v/>
      </c>
      <c r="Q230" s="42">
        <f>ROUND(M230+N230-O230-P230,2)</f>
        <v/>
      </c>
      <c r="R230">
        <f>L230-P230</f>
        <v/>
      </c>
      <c r="S230" s="42">
        <f>W229</f>
        <v/>
      </c>
      <c r="T230" s="42">
        <f>ROUND(S230*T$6/12,2)</f>
        <v/>
      </c>
      <c r="U230" s="42">
        <f>MIN(U$6,S230+T230)</f>
        <v/>
      </c>
      <c r="V230" s="42">
        <f>MAX(0,MIN(S230+T230-U230,R230))</f>
        <v/>
      </c>
      <c r="W230" s="42">
        <f>ROUND(S230+T230-U230-V230,2)</f>
        <v/>
      </c>
      <c r="X230">
        <f>R230-V230</f>
        <v/>
      </c>
      <c r="Y230" s="42">
        <f>AC229</f>
        <v/>
      </c>
      <c r="Z230" s="42">
        <f>ROUND(Y230*Z$6/12,2)</f>
        <v/>
      </c>
      <c r="AA230" s="42">
        <f>MIN(AA$6,Y230+Z230)</f>
        <v/>
      </c>
      <c r="AB230" s="42">
        <f>MAX(0,MIN(Y230+Z230-AA230,X230))</f>
        <v/>
      </c>
      <c r="AC230" s="42">
        <f>ROUND(Y230+Z230-AA230-AB230,2)</f>
        <v/>
      </c>
      <c r="AD230">
        <f>X230-AB230</f>
        <v/>
      </c>
      <c r="AE230" s="42">
        <f>AI229</f>
        <v/>
      </c>
      <c r="AF230" s="42">
        <f>ROUND(AE230*AF$6/12,2)</f>
        <v/>
      </c>
      <c r="AG230" s="42">
        <f>MIN(AG$6,AE230+AF230)</f>
        <v/>
      </c>
      <c r="AH230" s="42">
        <f>MAX(0,MIN(AE230+AF230-AG230,AD230))</f>
        <v/>
      </c>
      <c r="AI230" s="42">
        <f>ROUND(AE230+AF230-AG230-AH230,2)</f>
        <v/>
      </c>
      <c r="AJ230">
        <f>AD230-AH230</f>
        <v/>
      </c>
      <c r="AK230" s="42">
        <f>AO229</f>
        <v/>
      </c>
      <c r="AL230" s="42">
        <f>ROUND(AK230*AL$6/12,2)</f>
        <v/>
      </c>
      <c r="AM230" s="42">
        <f>MIN(AM$6,AK230+AL230)</f>
        <v/>
      </c>
      <c r="AN230" s="42">
        <f>MAX(0,MIN(AK230+AL230-AM230,AJ230))</f>
        <v/>
      </c>
      <c r="AO230" s="42">
        <f>ROUND(AK230+AL230-AM230-AN230,2)</f>
        <v/>
      </c>
      <c r="AP230">
        <f>AJ230-AN230</f>
        <v/>
      </c>
      <c r="AQ230" s="42">
        <f>AU229</f>
        <v/>
      </c>
      <c r="AR230" s="42">
        <f>ROUND(AQ230*AR$6/12,2)</f>
        <v/>
      </c>
      <c r="AS230" s="42">
        <f>MIN(AS$6,AQ230+AR230)</f>
        <v/>
      </c>
      <c r="AT230" s="42">
        <f>MAX(0,MIN(AQ230+AR230-AS230,AP230))</f>
        <v/>
      </c>
      <c r="AU230" s="42">
        <f>ROUND(AQ230+AR230-AS230-AT230,2)</f>
        <v/>
      </c>
      <c r="AV230">
        <f>AP230-AT230</f>
        <v/>
      </c>
      <c r="AW230" s="42">
        <f>BA229</f>
        <v/>
      </c>
      <c r="AX230" s="42">
        <f>ROUND(AW230*AX$6/12,2)</f>
        <v/>
      </c>
      <c r="AY230" s="42">
        <f>MIN(AY$6,AW230+AX230)</f>
        <v/>
      </c>
      <c r="AZ230" s="42">
        <f>MAX(0,MIN(AW230+AX230-AY230,AV230))</f>
        <v/>
      </c>
      <c r="BA230" s="42">
        <f>ROUND(AW230+AX230-AY230-AZ230,2)</f>
        <v/>
      </c>
      <c r="BB230">
        <f>AV230-AZ230</f>
        <v/>
      </c>
      <c r="BC230" s="42">
        <f>BG229</f>
        <v/>
      </c>
      <c r="BD230" s="42">
        <f>ROUND(BC230*BD$6/12,2)</f>
        <v/>
      </c>
      <c r="BE230" s="42">
        <f>MIN(BE$6,BC230+BD230)</f>
        <v/>
      </c>
      <c r="BF230" s="42">
        <f>MAX(0,MIN(BC230+BD230-BE230,BB230))</f>
        <v/>
      </c>
      <c r="BG230" s="42">
        <f>ROUND(BC230+BD230-BE230-BF230,2)</f>
        <v/>
      </c>
      <c r="BH230">
        <f>BB230-BF230</f>
        <v/>
      </c>
      <c r="BI230" s="42">
        <f>BM229</f>
        <v/>
      </c>
      <c r="BJ230" s="42">
        <f>ROUND(BI230*BJ$6/12,2)</f>
        <v/>
      </c>
      <c r="BK230" s="42">
        <f>MIN(BK$6,BI230+BJ230)</f>
        <v/>
      </c>
      <c r="BL230" s="42">
        <f>MAX(0,MIN(BI230+BJ230-BK230,BH230))</f>
        <v/>
      </c>
      <c r="BM230" s="42">
        <f>ROUND(BI230+BJ230-BK230-BL230,2)</f>
        <v/>
      </c>
      <c r="BN230">
        <f>BH230-BL230</f>
        <v/>
      </c>
    </row>
    <row r="231">
      <c r="A231" s="43" t="n">
        <v>224</v>
      </c>
      <c r="B231" s="44">
        <f>EDATE('My Debts'!$C$6,A231-1)</f>
        <v/>
      </c>
      <c r="C231" s="45">
        <f>K231+Q231+W231+AC231+AI231+AO231+AU231+BA231+BG231+BM231</f>
        <v/>
      </c>
      <c r="D231" s="46">
        <f>I231+O231+U231+AA231+AG231+AM231+AS231+AY231+BE231+BK231+J231+P231+V231+AB231+AH231+AN231+AT231+AZ231+BF231+BL231</f>
        <v/>
      </c>
      <c r="E231" s="46">
        <f>H231+N231+T231+Z231+AF231+AL231+AR231+AX231+BD231+BJ231</f>
        <v/>
      </c>
      <c r="F231" t="n">
        <v>0</v>
      </c>
      <c r="G231" s="42">
        <f>K230</f>
        <v/>
      </c>
      <c r="H231" s="42">
        <f>ROUND(G231*H$6/12,2)</f>
        <v/>
      </c>
      <c r="I231" s="42">
        <f>MIN(I$6,G231+H231)</f>
        <v/>
      </c>
      <c r="J231" s="42">
        <f>MAX(0,MIN(G231+H231-I231,$F231))</f>
        <v/>
      </c>
      <c r="K231" s="42">
        <f>ROUND(G231+H231-I231-J231,2)</f>
        <v/>
      </c>
      <c r="L231">
        <f>$F231-J231</f>
        <v/>
      </c>
      <c r="M231" s="42">
        <f>Q230</f>
        <v/>
      </c>
      <c r="N231" s="42">
        <f>ROUND(M231*N$6/12,2)</f>
        <v/>
      </c>
      <c r="O231" s="42">
        <f>MIN(O$6,M231+N231)</f>
        <v/>
      </c>
      <c r="P231" s="42">
        <f>MAX(0,MIN(M231+N231-O231,L231))</f>
        <v/>
      </c>
      <c r="Q231" s="42">
        <f>ROUND(M231+N231-O231-P231,2)</f>
        <v/>
      </c>
      <c r="R231">
        <f>L231-P231</f>
        <v/>
      </c>
      <c r="S231" s="42">
        <f>W230</f>
        <v/>
      </c>
      <c r="T231" s="42">
        <f>ROUND(S231*T$6/12,2)</f>
        <v/>
      </c>
      <c r="U231" s="42">
        <f>MIN(U$6,S231+T231)</f>
        <v/>
      </c>
      <c r="V231" s="42">
        <f>MAX(0,MIN(S231+T231-U231,R231))</f>
        <v/>
      </c>
      <c r="W231" s="42">
        <f>ROUND(S231+T231-U231-V231,2)</f>
        <v/>
      </c>
      <c r="X231">
        <f>R231-V231</f>
        <v/>
      </c>
      <c r="Y231" s="42">
        <f>AC230</f>
        <v/>
      </c>
      <c r="Z231" s="42">
        <f>ROUND(Y231*Z$6/12,2)</f>
        <v/>
      </c>
      <c r="AA231" s="42">
        <f>MIN(AA$6,Y231+Z231)</f>
        <v/>
      </c>
      <c r="AB231" s="42">
        <f>MAX(0,MIN(Y231+Z231-AA231,X231))</f>
        <v/>
      </c>
      <c r="AC231" s="42">
        <f>ROUND(Y231+Z231-AA231-AB231,2)</f>
        <v/>
      </c>
      <c r="AD231">
        <f>X231-AB231</f>
        <v/>
      </c>
      <c r="AE231" s="42">
        <f>AI230</f>
        <v/>
      </c>
      <c r="AF231" s="42">
        <f>ROUND(AE231*AF$6/12,2)</f>
        <v/>
      </c>
      <c r="AG231" s="42">
        <f>MIN(AG$6,AE231+AF231)</f>
        <v/>
      </c>
      <c r="AH231" s="42">
        <f>MAX(0,MIN(AE231+AF231-AG231,AD231))</f>
        <v/>
      </c>
      <c r="AI231" s="42">
        <f>ROUND(AE231+AF231-AG231-AH231,2)</f>
        <v/>
      </c>
      <c r="AJ231">
        <f>AD231-AH231</f>
        <v/>
      </c>
      <c r="AK231" s="42">
        <f>AO230</f>
        <v/>
      </c>
      <c r="AL231" s="42">
        <f>ROUND(AK231*AL$6/12,2)</f>
        <v/>
      </c>
      <c r="AM231" s="42">
        <f>MIN(AM$6,AK231+AL231)</f>
        <v/>
      </c>
      <c r="AN231" s="42">
        <f>MAX(0,MIN(AK231+AL231-AM231,AJ231))</f>
        <v/>
      </c>
      <c r="AO231" s="42">
        <f>ROUND(AK231+AL231-AM231-AN231,2)</f>
        <v/>
      </c>
      <c r="AP231">
        <f>AJ231-AN231</f>
        <v/>
      </c>
      <c r="AQ231" s="42">
        <f>AU230</f>
        <v/>
      </c>
      <c r="AR231" s="42">
        <f>ROUND(AQ231*AR$6/12,2)</f>
        <v/>
      </c>
      <c r="AS231" s="42">
        <f>MIN(AS$6,AQ231+AR231)</f>
        <v/>
      </c>
      <c r="AT231" s="42">
        <f>MAX(0,MIN(AQ231+AR231-AS231,AP231))</f>
        <v/>
      </c>
      <c r="AU231" s="42">
        <f>ROUND(AQ231+AR231-AS231-AT231,2)</f>
        <v/>
      </c>
      <c r="AV231">
        <f>AP231-AT231</f>
        <v/>
      </c>
      <c r="AW231" s="42">
        <f>BA230</f>
        <v/>
      </c>
      <c r="AX231" s="42">
        <f>ROUND(AW231*AX$6/12,2)</f>
        <v/>
      </c>
      <c r="AY231" s="42">
        <f>MIN(AY$6,AW231+AX231)</f>
        <v/>
      </c>
      <c r="AZ231" s="42">
        <f>MAX(0,MIN(AW231+AX231-AY231,AV231))</f>
        <v/>
      </c>
      <c r="BA231" s="42">
        <f>ROUND(AW231+AX231-AY231-AZ231,2)</f>
        <v/>
      </c>
      <c r="BB231">
        <f>AV231-AZ231</f>
        <v/>
      </c>
      <c r="BC231" s="42">
        <f>BG230</f>
        <v/>
      </c>
      <c r="BD231" s="42">
        <f>ROUND(BC231*BD$6/12,2)</f>
        <v/>
      </c>
      <c r="BE231" s="42">
        <f>MIN(BE$6,BC231+BD231)</f>
        <v/>
      </c>
      <c r="BF231" s="42">
        <f>MAX(0,MIN(BC231+BD231-BE231,BB231))</f>
        <v/>
      </c>
      <c r="BG231" s="42">
        <f>ROUND(BC231+BD231-BE231-BF231,2)</f>
        <v/>
      </c>
      <c r="BH231">
        <f>BB231-BF231</f>
        <v/>
      </c>
      <c r="BI231" s="42">
        <f>BM230</f>
        <v/>
      </c>
      <c r="BJ231" s="42">
        <f>ROUND(BI231*BJ$6/12,2)</f>
        <v/>
      </c>
      <c r="BK231" s="42">
        <f>MIN(BK$6,BI231+BJ231)</f>
        <v/>
      </c>
      <c r="BL231" s="42">
        <f>MAX(0,MIN(BI231+BJ231-BK231,BH231))</f>
        <v/>
      </c>
      <c r="BM231" s="42">
        <f>ROUND(BI231+BJ231-BK231-BL231,2)</f>
        <v/>
      </c>
      <c r="BN231">
        <f>BH231-BL231</f>
        <v/>
      </c>
    </row>
    <row r="232">
      <c r="A232" s="39" t="n">
        <v>225</v>
      </c>
      <c r="B232" s="40">
        <f>EDATE('My Debts'!$C$6,A232-1)</f>
        <v/>
      </c>
      <c r="C232" s="41">
        <f>K232+Q232+W232+AC232+AI232+AO232+AU232+BA232+BG232+BM232</f>
        <v/>
      </c>
      <c r="D232" s="42">
        <f>I232+O232+U232+AA232+AG232+AM232+AS232+AY232+BE232+BK232+J232+P232+V232+AB232+AH232+AN232+AT232+AZ232+BF232+BL232</f>
        <v/>
      </c>
      <c r="E232" s="42">
        <f>H232+N232+T232+Z232+AF232+AL232+AR232+AX232+BD232+BJ232</f>
        <v/>
      </c>
      <c r="F232" t="n">
        <v>0</v>
      </c>
      <c r="G232" s="42">
        <f>K231</f>
        <v/>
      </c>
      <c r="H232" s="42">
        <f>ROUND(G232*H$6/12,2)</f>
        <v/>
      </c>
      <c r="I232" s="42">
        <f>MIN(I$6,G232+H232)</f>
        <v/>
      </c>
      <c r="J232" s="42">
        <f>MAX(0,MIN(G232+H232-I232,$F232))</f>
        <v/>
      </c>
      <c r="K232" s="42">
        <f>ROUND(G232+H232-I232-J232,2)</f>
        <v/>
      </c>
      <c r="L232">
        <f>$F232-J232</f>
        <v/>
      </c>
      <c r="M232" s="42">
        <f>Q231</f>
        <v/>
      </c>
      <c r="N232" s="42">
        <f>ROUND(M232*N$6/12,2)</f>
        <v/>
      </c>
      <c r="O232" s="42">
        <f>MIN(O$6,M232+N232)</f>
        <v/>
      </c>
      <c r="P232" s="42">
        <f>MAX(0,MIN(M232+N232-O232,L232))</f>
        <v/>
      </c>
      <c r="Q232" s="42">
        <f>ROUND(M232+N232-O232-P232,2)</f>
        <v/>
      </c>
      <c r="R232">
        <f>L232-P232</f>
        <v/>
      </c>
      <c r="S232" s="42">
        <f>W231</f>
        <v/>
      </c>
      <c r="T232" s="42">
        <f>ROUND(S232*T$6/12,2)</f>
        <v/>
      </c>
      <c r="U232" s="42">
        <f>MIN(U$6,S232+T232)</f>
        <v/>
      </c>
      <c r="V232" s="42">
        <f>MAX(0,MIN(S232+T232-U232,R232))</f>
        <v/>
      </c>
      <c r="W232" s="42">
        <f>ROUND(S232+T232-U232-V232,2)</f>
        <v/>
      </c>
      <c r="X232">
        <f>R232-V232</f>
        <v/>
      </c>
      <c r="Y232" s="42">
        <f>AC231</f>
        <v/>
      </c>
      <c r="Z232" s="42">
        <f>ROUND(Y232*Z$6/12,2)</f>
        <v/>
      </c>
      <c r="AA232" s="42">
        <f>MIN(AA$6,Y232+Z232)</f>
        <v/>
      </c>
      <c r="AB232" s="42">
        <f>MAX(0,MIN(Y232+Z232-AA232,X232))</f>
        <v/>
      </c>
      <c r="AC232" s="42">
        <f>ROUND(Y232+Z232-AA232-AB232,2)</f>
        <v/>
      </c>
      <c r="AD232">
        <f>X232-AB232</f>
        <v/>
      </c>
      <c r="AE232" s="42">
        <f>AI231</f>
        <v/>
      </c>
      <c r="AF232" s="42">
        <f>ROUND(AE232*AF$6/12,2)</f>
        <v/>
      </c>
      <c r="AG232" s="42">
        <f>MIN(AG$6,AE232+AF232)</f>
        <v/>
      </c>
      <c r="AH232" s="42">
        <f>MAX(0,MIN(AE232+AF232-AG232,AD232))</f>
        <v/>
      </c>
      <c r="AI232" s="42">
        <f>ROUND(AE232+AF232-AG232-AH232,2)</f>
        <v/>
      </c>
      <c r="AJ232">
        <f>AD232-AH232</f>
        <v/>
      </c>
      <c r="AK232" s="42">
        <f>AO231</f>
        <v/>
      </c>
      <c r="AL232" s="42">
        <f>ROUND(AK232*AL$6/12,2)</f>
        <v/>
      </c>
      <c r="AM232" s="42">
        <f>MIN(AM$6,AK232+AL232)</f>
        <v/>
      </c>
      <c r="AN232" s="42">
        <f>MAX(0,MIN(AK232+AL232-AM232,AJ232))</f>
        <v/>
      </c>
      <c r="AO232" s="42">
        <f>ROUND(AK232+AL232-AM232-AN232,2)</f>
        <v/>
      </c>
      <c r="AP232">
        <f>AJ232-AN232</f>
        <v/>
      </c>
      <c r="AQ232" s="42">
        <f>AU231</f>
        <v/>
      </c>
      <c r="AR232" s="42">
        <f>ROUND(AQ232*AR$6/12,2)</f>
        <v/>
      </c>
      <c r="AS232" s="42">
        <f>MIN(AS$6,AQ232+AR232)</f>
        <v/>
      </c>
      <c r="AT232" s="42">
        <f>MAX(0,MIN(AQ232+AR232-AS232,AP232))</f>
        <v/>
      </c>
      <c r="AU232" s="42">
        <f>ROUND(AQ232+AR232-AS232-AT232,2)</f>
        <v/>
      </c>
      <c r="AV232">
        <f>AP232-AT232</f>
        <v/>
      </c>
      <c r="AW232" s="42">
        <f>BA231</f>
        <v/>
      </c>
      <c r="AX232" s="42">
        <f>ROUND(AW232*AX$6/12,2)</f>
        <v/>
      </c>
      <c r="AY232" s="42">
        <f>MIN(AY$6,AW232+AX232)</f>
        <v/>
      </c>
      <c r="AZ232" s="42">
        <f>MAX(0,MIN(AW232+AX232-AY232,AV232))</f>
        <v/>
      </c>
      <c r="BA232" s="42">
        <f>ROUND(AW232+AX232-AY232-AZ232,2)</f>
        <v/>
      </c>
      <c r="BB232">
        <f>AV232-AZ232</f>
        <v/>
      </c>
      <c r="BC232" s="42">
        <f>BG231</f>
        <v/>
      </c>
      <c r="BD232" s="42">
        <f>ROUND(BC232*BD$6/12,2)</f>
        <v/>
      </c>
      <c r="BE232" s="42">
        <f>MIN(BE$6,BC232+BD232)</f>
        <v/>
      </c>
      <c r="BF232" s="42">
        <f>MAX(0,MIN(BC232+BD232-BE232,BB232))</f>
        <v/>
      </c>
      <c r="BG232" s="42">
        <f>ROUND(BC232+BD232-BE232-BF232,2)</f>
        <v/>
      </c>
      <c r="BH232">
        <f>BB232-BF232</f>
        <v/>
      </c>
      <c r="BI232" s="42">
        <f>BM231</f>
        <v/>
      </c>
      <c r="BJ232" s="42">
        <f>ROUND(BI232*BJ$6/12,2)</f>
        <v/>
      </c>
      <c r="BK232" s="42">
        <f>MIN(BK$6,BI232+BJ232)</f>
        <v/>
      </c>
      <c r="BL232" s="42">
        <f>MAX(0,MIN(BI232+BJ232-BK232,BH232))</f>
        <v/>
      </c>
      <c r="BM232" s="42">
        <f>ROUND(BI232+BJ232-BK232-BL232,2)</f>
        <v/>
      </c>
      <c r="BN232">
        <f>BH232-BL232</f>
        <v/>
      </c>
    </row>
    <row r="233">
      <c r="A233" s="43" t="n">
        <v>226</v>
      </c>
      <c r="B233" s="44">
        <f>EDATE('My Debts'!$C$6,A233-1)</f>
        <v/>
      </c>
      <c r="C233" s="45">
        <f>K233+Q233+W233+AC233+AI233+AO233+AU233+BA233+BG233+BM233</f>
        <v/>
      </c>
      <c r="D233" s="46">
        <f>I233+O233+U233+AA233+AG233+AM233+AS233+AY233+BE233+BK233+J233+P233+V233+AB233+AH233+AN233+AT233+AZ233+BF233+BL233</f>
        <v/>
      </c>
      <c r="E233" s="46">
        <f>H233+N233+T233+Z233+AF233+AL233+AR233+AX233+BD233+BJ233</f>
        <v/>
      </c>
      <c r="F233" t="n">
        <v>0</v>
      </c>
      <c r="G233" s="42">
        <f>K232</f>
        <v/>
      </c>
      <c r="H233" s="42">
        <f>ROUND(G233*H$6/12,2)</f>
        <v/>
      </c>
      <c r="I233" s="42">
        <f>MIN(I$6,G233+H233)</f>
        <v/>
      </c>
      <c r="J233" s="42">
        <f>MAX(0,MIN(G233+H233-I233,$F233))</f>
        <v/>
      </c>
      <c r="K233" s="42">
        <f>ROUND(G233+H233-I233-J233,2)</f>
        <v/>
      </c>
      <c r="L233">
        <f>$F233-J233</f>
        <v/>
      </c>
      <c r="M233" s="42">
        <f>Q232</f>
        <v/>
      </c>
      <c r="N233" s="42">
        <f>ROUND(M233*N$6/12,2)</f>
        <v/>
      </c>
      <c r="O233" s="42">
        <f>MIN(O$6,M233+N233)</f>
        <v/>
      </c>
      <c r="P233" s="42">
        <f>MAX(0,MIN(M233+N233-O233,L233))</f>
        <v/>
      </c>
      <c r="Q233" s="42">
        <f>ROUND(M233+N233-O233-P233,2)</f>
        <v/>
      </c>
      <c r="R233">
        <f>L233-P233</f>
        <v/>
      </c>
      <c r="S233" s="42">
        <f>W232</f>
        <v/>
      </c>
      <c r="T233" s="42">
        <f>ROUND(S233*T$6/12,2)</f>
        <v/>
      </c>
      <c r="U233" s="42">
        <f>MIN(U$6,S233+T233)</f>
        <v/>
      </c>
      <c r="V233" s="42">
        <f>MAX(0,MIN(S233+T233-U233,R233))</f>
        <v/>
      </c>
      <c r="W233" s="42">
        <f>ROUND(S233+T233-U233-V233,2)</f>
        <v/>
      </c>
      <c r="X233">
        <f>R233-V233</f>
        <v/>
      </c>
      <c r="Y233" s="42">
        <f>AC232</f>
        <v/>
      </c>
      <c r="Z233" s="42">
        <f>ROUND(Y233*Z$6/12,2)</f>
        <v/>
      </c>
      <c r="AA233" s="42">
        <f>MIN(AA$6,Y233+Z233)</f>
        <v/>
      </c>
      <c r="AB233" s="42">
        <f>MAX(0,MIN(Y233+Z233-AA233,X233))</f>
        <v/>
      </c>
      <c r="AC233" s="42">
        <f>ROUND(Y233+Z233-AA233-AB233,2)</f>
        <v/>
      </c>
      <c r="AD233">
        <f>X233-AB233</f>
        <v/>
      </c>
      <c r="AE233" s="42">
        <f>AI232</f>
        <v/>
      </c>
      <c r="AF233" s="42">
        <f>ROUND(AE233*AF$6/12,2)</f>
        <v/>
      </c>
      <c r="AG233" s="42">
        <f>MIN(AG$6,AE233+AF233)</f>
        <v/>
      </c>
      <c r="AH233" s="42">
        <f>MAX(0,MIN(AE233+AF233-AG233,AD233))</f>
        <v/>
      </c>
      <c r="AI233" s="42">
        <f>ROUND(AE233+AF233-AG233-AH233,2)</f>
        <v/>
      </c>
      <c r="AJ233">
        <f>AD233-AH233</f>
        <v/>
      </c>
      <c r="AK233" s="42">
        <f>AO232</f>
        <v/>
      </c>
      <c r="AL233" s="42">
        <f>ROUND(AK233*AL$6/12,2)</f>
        <v/>
      </c>
      <c r="AM233" s="42">
        <f>MIN(AM$6,AK233+AL233)</f>
        <v/>
      </c>
      <c r="AN233" s="42">
        <f>MAX(0,MIN(AK233+AL233-AM233,AJ233))</f>
        <v/>
      </c>
      <c r="AO233" s="42">
        <f>ROUND(AK233+AL233-AM233-AN233,2)</f>
        <v/>
      </c>
      <c r="AP233">
        <f>AJ233-AN233</f>
        <v/>
      </c>
      <c r="AQ233" s="42">
        <f>AU232</f>
        <v/>
      </c>
      <c r="AR233" s="42">
        <f>ROUND(AQ233*AR$6/12,2)</f>
        <v/>
      </c>
      <c r="AS233" s="42">
        <f>MIN(AS$6,AQ233+AR233)</f>
        <v/>
      </c>
      <c r="AT233" s="42">
        <f>MAX(0,MIN(AQ233+AR233-AS233,AP233))</f>
        <v/>
      </c>
      <c r="AU233" s="42">
        <f>ROUND(AQ233+AR233-AS233-AT233,2)</f>
        <v/>
      </c>
      <c r="AV233">
        <f>AP233-AT233</f>
        <v/>
      </c>
      <c r="AW233" s="42">
        <f>BA232</f>
        <v/>
      </c>
      <c r="AX233" s="42">
        <f>ROUND(AW233*AX$6/12,2)</f>
        <v/>
      </c>
      <c r="AY233" s="42">
        <f>MIN(AY$6,AW233+AX233)</f>
        <v/>
      </c>
      <c r="AZ233" s="42">
        <f>MAX(0,MIN(AW233+AX233-AY233,AV233))</f>
        <v/>
      </c>
      <c r="BA233" s="42">
        <f>ROUND(AW233+AX233-AY233-AZ233,2)</f>
        <v/>
      </c>
      <c r="BB233">
        <f>AV233-AZ233</f>
        <v/>
      </c>
      <c r="BC233" s="42">
        <f>BG232</f>
        <v/>
      </c>
      <c r="BD233" s="42">
        <f>ROUND(BC233*BD$6/12,2)</f>
        <v/>
      </c>
      <c r="BE233" s="42">
        <f>MIN(BE$6,BC233+BD233)</f>
        <v/>
      </c>
      <c r="BF233" s="42">
        <f>MAX(0,MIN(BC233+BD233-BE233,BB233))</f>
        <v/>
      </c>
      <c r="BG233" s="42">
        <f>ROUND(BC233+BD233-BE233-BF233,2)</f>
        <v/>
      </c>
      <c r="BH233">
        <f>BB233-BF233</f>
        <v/>
      </c>
      <c r="BI233" s="42">
        <f>BM232</f>
        <v/>
      </c>
      <c r="BJ233" s="42">
        <f>ROUND(BI233*BJ$6/12,2)</f>
        <v/>
      </c>
      <c r="BK233" s="42">
        <f>MIN(BK$6,BI233+BJ233)</f>
        <v/>
      </c>
      <c r="BL233" s="42">
        <f>MAX(0,MIN(BI233+BJ233-BK233,BH233))</f>
        <v/>
      </c>
      <c r="BM233" s="42">
        <f>ROUND(BI233+BJ233-BK233-BL233,2)</f>
        <v/>
      </c>
      <c r="BN233">
        <f>BH233-BL233</f>
        <v/>
      </c>
    </row>
    <row r="234">
      <c r="A234" s="39" t="n">
        <v>227</v>
      </c>
      <c r="B234" s="40">
        <f>EDATE('My Debts'!$C$6,A234-1)</f>
        <v/>
      </c>
      <c r="C234" s="41">
        <f>K234+Q234+W234+AC234+AI234+AO234+AU234+BA234+BG234+BM234</f>
        <v/>
      </c>
      <c r="D234" s="42">
        <f>I234+O234+U234+AA234+AG234+AM234+AS234+AY234+BE234+BK234+J234+P234+V234+AB234+AH234+AN234+AT234+AZ234+BF234+BL234</f>
        <v/>
      </c>
      <c r="E234" s="42">
        <f>H234+N234+T234+Z234+AF234+AL234+AR234+AX234+BD234+BJ234</f>
        <v/>
      </c>
      <c r="F234" t="n">
        <v>0</v>
      </c>
      <c r="G234" s="42">
        <f>K233</f>
        <v/>
      </c>
      <c r="H234" s="42">
        <f>ROUND(G234*H$6/12,2)</f>
        <v/>
      </c>
      <c r="I234" s="42">
        <f>MIN(I$6,G234+H234)</f>
        <v/>
      </c>
      <c r="J234" s="42">
        <f>MAX(0,MIN(G234+H234-I234,$F234))</f>
        <v/>
      </c>
      <c r="K234" s="42">
        <f>ROUND(G234+H234-I234-J234,2)</f>
        <v/>
      </c>
      <c r="L234">
        <f>$F234-J234</f>
        <v/>
      </c>
      <c r="M234" s="42">
        <f>Q233</f>
        <v/>
      </c>
      <c r="N234" s="42">
        <f>ROUND(M234*N$6/12,2)</f>
        <v/>
      </c>
      <c r="O234" s="42">
        <f>MIN(O$6,M234+N234)</f>
        <v/>
      </c>
      <c r="P234" s="42">
        <f>MAX(0,MIN(M234+N234-O234,L234))</f>
        <v/>
      </c>
      <c r="Q234" s="42">
        <f>ROUND(M234+N234-O234-P234,2)</f>
        <v/>
      </c>
      <c r="R234">
        <f>L234-P234</f>
        <v/>
      </c>
      <c r="S234" s="42">
        <f>W233</f>
        <v/>
      </c>
      <c r="T234" s="42">
        <f>ROUND(S234*T$6/12,2)</f>
        <v/>
      </c>
      <c r="U234" s="42">
        <f>MIN(U$6,S234+T234)</f>
        <v/>
      </c>
      <c r="V234" s="42">
        <f>MAX(0,MIN(S234+T234-U234,R234))</f>
        <v/>
      </c>
      <c r="W234" s="42">
        <f>ROUND(S234+T234-U234-V234,2)</f>
        <v/>
      </c>
      <c r="X234">
        <f>R234-V234</f>
        <v/>
      </c>
      <c r="Y234" s="42">
        <f>AC233</f>
        <v/>
      </c>
      <c r="Z234" s="42">
        <f>ROUND(Y234*Z$6/12,2)</f>
        <v/>
      </c>
      <c r="AA234" s="42">
        <f>MIN(AA$6,Y234+Z234)</f>
        <v/>
      </c>
      <c r="AB234" s="42">
        <f>MAX(0,MIN(Y234+Z234-AA234,X234))</f>
        <v/>
      </c>
      <c r="AC234" s="42">
        <f>ROUND(Y234+Z234-AA234-AB234,2)</f>
        <v/>
      </c>
      <c r="AD234">
        <f>X234-AB234</f>
        <v/>
      </c>
      <c r="AE234" s="42">
        <f>AI233</f>
        <v/>
      </c>
      <c r="AF234" s="42">
        <f>ROUND(AE234*AF$6/12,2)</f>
        <v/>
      </c>
      <c r="AG234" s="42">
        <f>MIN(AG$6,AE234+AF234)</f>
        <v/>
      </c>
      <c r="AH234" s="42">
        <f>MAX(0,MIN(AE234+AF234-AG234,AD234))</f>
        <v/>
      </c>
      <c r="AI234" s="42">
        <f>ROUND(AE234+AF234-AG234-AH234,2)</f>
        <v/>
      </c>
      <c r="AJ234">
        <f>AD234-AH234</f>
        <v/>
      </c>
      <c r="AK234" s="42">
        <f>AO233</f>
        <v/>
      </c>
      <c r="AL234" s="42">
        <f>ROUND(AK234*AL$6/12,2)</f>
        <v/>
      </c>
      <c r="AM234" s="42">
        <f>MIN(AM$6,AK234+AL234)</f>
        <v/>
      </c>
      <c r="AN234" s="42">
        <f>MAX(0,MIN(AK234+AL234-AM234,AJ234))</f>
        <v/>
      </c>
      <c r="AO234" s="42">
        <f>ROUND(AK234+AL234-AM234-AN234,2)</f>
        <v/>
      </c>
      <c r="AP234">
        <f>AJ234-AN234</f>
        <v/>
      </c>
      <c r="AQ234" s="42">
        <f>AU233</f>
        <v/>
      </c>
      <c r="AR234" s="42">
        <f>ROUND(AQ234*AR$6/12,2)</f>
        <v/>
      </c>
      <c r="AS234" s="42">
        <f>MIN(AS$6,AQ234+AR234)</f>
        <v/>
      </c>
      <c r="AT234" s="42">
        <f>MAX(0,MIN(AQ234+AR234-AS234,AP234))</f>
        <v/>
      </c>
      <c r="AU234" s="42">
        <f>ROUND(AQ234+AR234-AS234-AT234,2)</f>
        <v/>
      </c>
      <c r="AV234">
        <f>AP234-AT234</f>
        <v/>
      </c>
      <c r="AW234" s="42">
        <f>BA233</f>
        <v/>
      </c>
      <c r="AX234" s="42">
        <f>ROUND(AW234*AX$6/12,2)</f>
        <v/>
      </c>
      <c r="AY234" s="42">
        <f>MIN(AY$6,AW234+AX234)</f>
        <v/>
      </c>
      <c r="AZ234" s="42">
        <f>MAX(0,MIN(AW234+AX234-AY234,AV234))</f>
        <v/>
      </c>
      <c r="BA234" s="42">
        <f>ROUND(AW234+AX234-AY234-AZ234,2)</f>
        <v/>
      </c>
      <c r="BB234">
        <f>AV234-AZ234</f>
        <v/>
      </c>
      <c r="BC234" s="42">
        <f>BG233</f>
        <v/>
      </c>
      <c r="BD234" s="42">
        <f>ROUND(BC234*BD$6/12,2)</f>
        <v/>
      </c>
      <c r="BE234" s="42">
        <f>MIN(BE$6,BC234+BD234)</f>
        <v/>
      </c>
      <c r="BF234" s="42">
        <f>MAX(0,MIN(BC234+BD234-BE234,BB234))</f>
        <v/>
      </c>
      <c r="BG234" s="42">
        <f>ROUND(BC234+BD234-BE234-BF234,2)</f>
        <v/>
      </c>
      <c r="BH234">
        <f>BB234-BF234</f>
        <v/>
      </c>
      <c r="BI234" s="42">
        <f>BM233</f>
        <v/>
      </c>
      <c r="BJ234" s="42">
        <f>ROUND(BI234*BJ$6/12,2)</f>
        <v/>
      </c>
      <c r="BK234" s="42">
        <f>MIN(BK$6,BI234+BJ234)</f>
        <v/>
      </c>
      <c r="BL234" s="42">
        <f>MAX(0,MIN(BI234+BJ234-BK234,BH234))</f>
        <v/>
      </c>
      <c r="BM234" s="42">
        <f>ROUND(BI234+BJ234-BK234-BL234,2)</f>
        <v/>
      </c>
      <c r="BN234">
        <f>BH234-BL234</f>
        <v/>
      </c>
    </row>
    <row r="235">
      <c r="A235" s="43" t="n">
        <v>228</v>
      </c>
      <c r="B235" s="44">
        <f>EDATE('My Debts'!$C$6,A235-1)</f>
        <v/>
      </c>
      <c r="C235" s="45">
        <f>K235+Q235+W235+AC235+AI235+AO235+AU235+BA235+BG235+BM235</f>
        <v/>
      </c>
      <c r="D235" s="46">
        <f>I235+O235+U235+AA235+AG235+AM235+AS235+AY235+BE235+BK235+J235+P235+V235+AB235+AH235+AN235+AT235+AZ235+BF235+BL235</f>
        <v/>
      </c>
      <c r="E235" s="46">
        <f>H235+N235+T235+Z235+AF235+AL235+AR235+AX235+BD235+BJ235</f>
        <v/>
      </c>
      <c r="F235" t="n">
        <v>0</v>
      </c>
      <c r="G235" s="42">
        <f>K234</f>
        <v/>
      </c>
      <c r="H235" s="42">
        <f>ROUND(G235*H$6/12,2)</f>
        <v/>
      </c>
      <c r="I235" s="42">
        <f>MIN(I$6,G235+H235)</f>
        <v/>
      </c>
      <c r="J235" s="42">
        <f>MAX(0,MIN(G235+H235-I235,$F235))</f>
        <v/>
      </c>
      <c r="K235" s="42">
        <f>ROUND(G235+H235-I235-J235,2)</f>
        <v/>
      </c>
      <c r="L235">
        <f>$F235-J235</f>
        <v/>
      </c>
      <c r="M235" s="42">
        <f>Q234</f>
        <v/>
      </c>
      <c r="N235" s="42">
        <f>ROUND(M235*N$6/12,2)</f>
        <v/>
      </c>
      <c r="O235" s="42">
        <f>MIN(O$6,M235+N235)</f>
        <v/>
      </c>
      <c r="P235" s="42">
        <f>MAX(0,MIN(M235+N235-O235,L235))</f>
        <v/>
      </c>
      <c r="Q235" s="42">
        <f>ROUND(M235+N235-O235-P235,2)</f>
        <v/>
      </c>
      <c r="R235">
        <f>L235-P235</f>
        <v/>
      </c>
      <c r="S235" s="42">
        <f>W234</f>
        <v/>
      </c>
      <c r="T235" s="42">
        <f>ROUND(S235*T$6/12,2)</f>
        <v/>
      </c>
      <c r="U235" s="42">
        <f>MIN(U$6,S235+T235)</f>
        <v/>
      </c>
      <c r="V235" s="42">
        <f>MAX(0,MIN(S235+T235-U235,R235))</f>
        <v/>
      </c>
      <c r="W235" s="42">
        <f>ROUND(S235+T235-U235-V235,2)</f>
        <v/>
      </c>
      <c r="X235">
        <f>R235-V235</f>
        <v/>
      </c>
      <c r="Y235" s="42">
        <f>AC234</f>
        <v/>
      </c>
      <c r="Z235" s="42">
        <f>ROUND(Y235*Z$6/12,2)</f>
        <v/>
      </c>
      <c r="AA235" s="42">
        <f>MIN(AA$6,Y235+Z235)</f>
        <v/>
      </c>
      <c r="AB235" s="42">
        <f>MAX(0,MIN(Y235+Z235-AA235,X235))</f>
        <v/>
      </c>
      <c r="AC235" s="42">
        <f>ROUND(Y235+Z235-AA235-AB235,2)</f>
        <v/>
      </c>
      <c r="AD235">
        <f>X235-AB235</f>
        <v/>
      </c>
      <c r="AE235" s="42">
        <f>AI234</f>
        <v/>
      </c>
      <c r="AF235" s="42">
        <f>ROUND(AE235*AF$6/12,2)</f>
        <v/>
      </c>
      <c r="AG235" s="42">
        <f>MIN(AG$6,AE235+AF235)</f>
        <v/>
      </c>
      <c r="AH235" s="42">
        <f>MAX(0,MIN(AE235+AF235-AG235,AD235))</f>
        <v/>
      </c>
      <c r="AI235" s="42">
        <f>ROUND(AE235+AF235-AG235-AH235,2)</f>
        <v/>
      </c>
      <c r="AJ235">
        <f>AD235-AH235</f>
        <v/>
      </c>
      <c r="AK235" s="42">
        <f>AO234</f>
        <v/>
      </c>
      <c r="AL235" s="42">
        <f>ROUND(AK235*AL$6/12,2)</f>
        <v/>
      </c>
      <c r="AM235" s="42">
        <f>MIN(AM$6,AK235+AL235)</f>
        <v/>
      </c>
      <c r="AN235" s="42">
        <f>MAX(0,MIN(AK235+AL235-AM235,AJ235))</f>
        <v/>
      </c>
      <c r="AO235" s="42">
        <f>ROUND(AK235+AL235-AM235-AN235,2)</f>
        <v/>
      </c>
      <c r="AP235">
        <f>AJ235-AN235</f>
        <v/>
      </c>
      <c r="AQ235" s="42">
        <f>AU234</f>
        <v/>
      </c>
      <c r="AR235" s="42">
        <f>ROUND(AQ235*AR$6/12,2)</f>
        <v/>
      </c>
      <c r="AS235" s="42">
        <f>MIN(AS$6,AQ235+AR235)</f>
        <v/>
      </c>
      <c r="AT235" s="42">
        <f>MAX(0,MIN(AQ235+AR235-AS235,AP235))</f>
        <v/>
      </c>
      <c r="AU235" s="42">
        <f>ROUND(AQ235+AR235-AS235-AT235,2)</f>
        <v/>
      </c>
      <c r="AV235">
        <f>AP235-AT235</f>
        <v/>
      </c>
      <c r="AW235" s="42">
        <f>BA234</f>
        <v/>
      </c>
      <c r="AX235" s="42">
        <f>ROUND(AW235*AX$6/12,2)</f>
        <v/>
      </c>
      <c r="AY235" s="42">
        <f>MIN(AY$6,AW235+AX235)</f>
        <v/>
      </c>
      <c r="AZ235" s="42">
        <f>MAX(0,MIN(AW235+AX235-AY235,AV235))</f>
        <v/>
      </c>
      <c r="BA235" s="42">
        <f>ROUND(AW235+AX235-AY235-AZ235,2)</f>
        <v/>
      </c>
      <c r="BB235">
        <f>AV235-AZ235</f>
        <v/>
      </c>
      <c r="BC235" s="42">
        <f>BG234</f>
        <v/>
      </c>
      <c r="BD235" s="42">
        <f>ROUND(BC235*BD$6/12,2)</f>
        <v/>
      </c>
      <c r="BE235" s="42">
        <f>MIN(BE$6,BC235+BD235)</f>
        <v/>
      </c>
      <c r="BF235" s="42">
        <f>MAX(0,MIN(BC235+BD235-BE235,BB235))</f>
        <v/>
      </c>
      <c r="BG235" s="42">
        <f>ROUND(BC235+BD235-BE235-BF235,2)</f>
        <v/>
      </c>
      <c r="BH235">
        <f>BB235-BF235</f>
        <v/>
      </c>
      <c r="BI235" s="42">
        <f>BM234</f>
        <v/>
      </c>
      <c r="BJ235" s="42">
        <f>ROUND(BI235*BJ$6/12,2)</f>
        <v/>
      </c>
      <c r="BK235" s="42">
        <f>MIN(BK$6,BI235+BJ235)</f>
        <v/>
      </c>
      <c r="BL235" s="42">
        <f>MAX(0,MIN(BI235+BJ235-BK235,BH235))</f>
        <v/>
      </c>
      <c r="BM235" s="42">
        <f>ROUND(BI235+BJ235-BK235-BL235,2)</f>
        <v/>
      </c>
      <c r="BN235">
        <f>BH235-BL235</f>
        <v/>
      </c>
    </row>
    <row r="236">
      <c r="A236" s="39" t="n">
        <v>229</v>
      </c>
      <c r="B236" s="40">
        <f>EDATE('My Debts'!$C$6,A236-1)</f>
        <v/>
      </c>
      <c r="C236" s="41">
        <f>K236+Q236+W236+AC236+AI236+AO236+AU236+BA236+BG236+BM236</f>
        <v/>
      </c>
      <c r="D236" s="42">
        <f>I236+O236+U236+AA236+AG236+AM236+AS236+AY236+BE236+BK236+J236+P236+V236+AB236+AH236+AN236+AT236+AZ236+BF236+BL236</f>
        <v/>
      </c>
      <c r="E236" s="42">
        <f>H236+N236+T236+Z236+AF236+AL236+AR236+AX236+BD236+BJ236</f>
        <v/>
      </c>
      <c r="F236" t="n">
        <v>0</v>
      </c>
      <c r="G236" s="42">
        <f>K235</f>
        <v/>
      </c>
      <c r="H236" s="42">
        <f>ROUND(G236*H$6/12,2)</f>
        <v/>
      </c>
      <c r="I236" s="42">
        <f>MIN(I$6,G236+H236)</f>
        <v/>
      </c>
      <c r="J236" s="42">
        <f>MAX(0,MIN(G236+H236-I236,$F236))</f>
        <v/>
      </c>
      <c r="K236" s="42">
        <f>ROUND(G236+H236-I236-J236,2)</f>
        <v/>
      </c>
      <c r="L236">
        <f>$F236-J236</f>
        <v/>
      </c>
      <c r="M236" s="42">
        <f>Q235</f>
        <v/>
      </c>
      <c r="N236" s="42">
        <f>ROUND(M236*N$6/12,2)</f>
        <v/>
      </c>
      <c r="O236" s="42">
        <f>MIN(O$6,M236+N236)</f>
        <v/>
      </c>
      <c r="P236" s="42">
        <f>MAX(0,MIN(M236+N236-O236,L236))</f>
        <v/>
      </c>
      <c r="Q236" s="42">
        <f>ROUND(M236+N236-O236-P236,2)</f>
        <v/>
      </c>
      <c r="R236">
        <f>L236-P236</f>
        <v/>
      </c>
      <c r="S236" s="42">
        <f>W235</f>
        <v/>
      </c>
      <c r="T236" s="42">
        <f>ROUND(S236*T$6/12,2)</f>
        <v/>
      </c>
      <c r="U236" s="42">
        <f>MIN(U$6,S236+T236)</f>
        <v/>
      </c>
      <c r="V236" s="42">
        <f>MAX(0,MIN(S236+T236-U236,R236))</f>
        <v/>
      </c>
      <c r="W236" s="42">
        <f>ROUND(S236+T236-U236-V236,2)</f>
        <v/>
      </c>
      <c r="X236">
        <f>R236-V236</f>
        <v/>
      </c>
      <c r="Y236" s="42">
        <f>AC235</f>
        <v/>
      </c>
      <c r="Z236" s="42">
        <f>ROUND(Y236*Z$6/12,2)</f>
        <v/>
      </c>
      <c r="AA236" s="42">
        <f>MIN(AA$6,Y236+Z236)</f>
        <v/>
      </c>
      <c r="AB236" s="42">
        <f>MAX(0,MIN(Y236+Z236-AA236,X236))</f>
        <v/>
      </c>
      <c r="AC236" s="42">
        <f>ROUND(Y236+Z236-AA236-AB236,2)</f>
        <v/>
      </c>
      <c r="AD236">
        <f>X236-AB236</f>
        <v/>
      </c>
      <c r="AE236" s="42">
        <f>AI235</f>
        <v/>
      </c>
      <c r="AF236" s="42">
        <f>ROUND(AE236*AF$6/12,2)</f>
        <v/>
      </c>
      <c r="AG236" s="42">
        <f>MIN(AG$6,AE236+AF236)</f>
        <v/>
      </c>
      <c r="AH236" s="42">
        <f>MAX(0,MIN(AE236+AF236-AG236,AD236))</f>
        <v/>
      </c>
      <c r="AI236" s="42">
        <f>ROUND(AE236+AF236-AG236-AH236,2)</f>
        <v/>
      </c>
      <c r="AJ236">
        <f>AD236-AH236</f>
        <v/>
      </c>
      <c r="AK236" s="42">
        <f>AO235</f>
        <v/>
      </c>
      <c r="AL236" s="42">
        <f>ROUND(AK236*AL$6/12,2)</f>
        <v/>
      </c>
      <c r="AM236" s="42">
        <f>MIN(AM$6,AK236+AL236)</f>
        <v/>
      </c>
      <c r="AN236" s="42">
        <f>MAX(0,MIN(AK236+AL236-AM236,AJ236))</f>
        <v/>
      </c>
      <c r="AO236" s="42">
        <f>ROUND(AK236+AL236-AM236-AN236,2)</f>
        <v/>
      </c>
      <c r="AP236">
        <f>AJ236-AN236</f>
        <v/>
      </c>
      <c r="AQ236" s="42">
        <f>AU235</f>
        <v/>
      </c>
      <c r="AR236" s="42">
        <f>ROUND(AQ236*AR$6/12,2)</f>
        <v/>
      </c>
      <c r="AS236" s="42">
        <f>MIN(AS$6,AQ236+AR236)</f>
        <v/>
      </c>
      <c r="AT236" s="42">
        <f>MAX(0,MIN(AQ236+AR236-AS236,AP236))</f>
        <v/>
      </c>
      <c r="AU236" s="42">
        <f>ROUND(AQ236+AR236-AS236-AT236,2)</f>
        <v/>
      </c>
      <c r="AV236">
        <f>AP236-AT236</f>
        <v/>
      </c>
      <c r="AW236" s="42">
        <f>BA235</f>
        <v/>
      </c>
      <c r="AX236" s="42">
        <f>ROUND(AW236*AX$6/12,2)</f>
        <v/>
      </c>
      <c r="AY236" s="42">
        <f>MIN(AY$6,AW236+AX236)</f>
        <v/>
      </c>
      <c r="AZ236" s="42">
        <f>MAX(0,MIN(AW236+AX236-AY236,AV236))</f>
        <v/>
      </c>
      <c r="BA236" s="42">
        <f>ROUND(AW236+AX236-AY236-AZ236,2)</f>
        <v/>
      </c>
      <c r="BB236">
        <f>AV236-AZ236</f>
        <v/>
      </c>
      <c r="BC236" s="42">
        <f>BG235</f>
        <v/>
      </c>
      <c r="BD236" s="42">
        <f>ROUND(BC236*BD$6/12,2)</f>
        <v/>
      </c>
      <c r="BE236" s="42">
        <f>MIN(BE$6,BC236+BD236)</f>
        <v/>
      </c>
      <c r="BF236" s="42">
        <f>MAX(0,MIN(BC236+BD236-BE236,BB236))</f>
        <v/>
      </c>
      <c r="BG236" s="42">
        <f>ROUND(BC236+BD236-BE236-BF236,2)</f>
        <v/>
      </c>
      <c r="BH236">
        <f>BB236-BF236</f>
        <v/>
      </c>
      <c r="BI236" s="42">
        <f>BM235</f>
        <v/>
      </c>
      <c r="BJ236" s="42">
        <f>ROUND(BI236*BJ$6/12,2)</f>
        <v/>
      </c>
      <c r="BK236" s="42">
        <f>MIN(BK$6,BI236+BJ236)</f>
        <v/>
      </c>
      <c r="BL236" s="42">
        <f>MAX(0,MIN(BI236+BJ236-BK236,BH236))</f>
        <v/>
      </c>
      <c r="BM236" s="42">
        <f>ROUND(BI236+BJ236-BK236-BL236,2)</f>
        <v/>
      </c>
      <c r="BN236">
        <f>BH236-BL236</f>
        <v/>
      </c>
    </row>
    <row r="237">
      <c r="A237" s="43" t="n">
        <v>230</v>
      </c>
      <c r="B237" s="44">
        <f>EDATE('My Debts'!$C$6,A237-1)</f>
        <v/>
      </c>
      <c r="C237" s="45">
        <f>K237+Q237+W237+AC237+AI237+AO237+AU237+BA237+BG237+BM237</f>
        <v/>
      </c>
      <c r="D237" s="46">
        <f>I237+O237+U237+AA237+AG237+AM237+AS237+AY237+BE237+BK237+J237+P237+V237+AB237+AH237+AN237+AT237+AZ237+BF237+BL237</f>
        <v/>
      </c>
      <c r="E237" s="46">
        <f>H237+N237+T237+Z237+AF237+AL237+AR237+AX237+BD237+BJ237</f>
        <v/>
      </c>
      <c r="F237" t="n">
        <v>0</v>
      </c>
      <c r="G237" s="42">
        <f>K236</f>
        <v/>
      </c>
      <c r="H237" s="42">
        <f>ROUND(G237*H$6/12,2)</f>
        <v/>
      </c>
      <c r="I237" s="42">
        <f>MIN(I$6,G237+H237)</f>
        <v/>
      </c>
      <c r="J237" s="42">
        <f>MAX(0,MIN(G237+H237-I237,$F237))</f>
        <v/>
      </c>
      <c r="K237" s="42">
        <f>ROUND(G237+H237-I237-J237,2)</f>
        <v/>
      </c>
      <c r="L237">
        <f>$F237-J237</f>
        <v/>
      </c>
      <c r="M237" s="42">
        <f>Q236</f>
        <v/>
      </c>
      <c r="N237" s="42">
        <f>ROUND(M237*N$6/12,2)</f>
        <v/>
      </c>
      <c r="O237" s="42">
        <f>MIN(O$6,M237+N237)</f>
        <v/>
      </c>
      <c r="P237" s="42">
        <f>MAX(0,MIN(M237+N237-O237,L237))</f>
        <v/>
      </c>
      <c r="Q237" s="42">
        <f>ROUND(M237+N237-O237-P237,2)</f>
        <v/>
      </c>
      <c r="R237">
        <f>L237-P237</f>
        <v/>
      </c>
      <c r="S237" s="42">
        <f>W236</f>
        <v/>
      </c>
      <c r="T237" s="42">
        <f>ROUND(S237*T$6/12,2)</f>
        <v/>
      </c>
      <c r="U237" s="42">
        <f>MIN(U$6,S237+T237)</f>
        <v/>
      </c>
      <c r="V237" s="42">
        <f>MAX(0,MIN(S237+T237-U237,R237))</f>
        <v/>
      </c>
      <c r="W237" s="42">
        <f>ROUND(S237+T237-U237-V237,2)</f>
        <v/>
      </c>
      <c r="X237">
        <f>R237-V237</f>
        <v/>
      </c>
      <c r="Y237" s="42">
        <f>AC236</f>
        <v/>
      </c>
      <c r="Z237" s="42">
        <f>ROUND(Y237*Z$6/12,2)</f>
        <v/>
      </c>
      <c r="AA237" s="42">
        <f>MIN(AA$6,Y237+Z237)</f>
        <v/>
      </c>
      <c r="AB237" s="42">
        <f>MAX(0,MIN(Y237+Z237-AA237,X237))</f>
        <v/>
      </c>
      <c r="AC237" s="42">
        <f>ROUND(Y237+Z237-AA237-AB237,2)</f>
        <v/>
      </c>
      <c r="AD237">
        <f>X237-AB237</f>
        <v/>
      </c>
      <c r="AE237" s="42">
        <f>AI236</f>
        <v/>
      </c>
      <c r="AF237" s="42">
        <f>ROUND(AE237*AF$6/12,2)</f>
        <v/>
      </c>
      <c r="AG237" s="42">
        <f>MIN(AG$6,AE237+AF237)</f>
        <v/>
      </c>
      <c r="AH237" s="42">
        <f>MAX(0,MIN(AE237+AF237-AG237,AD237))</f>
        <v/>
      </c>
      <c r="AI237" s="42">
        <f>ROUND(AE237+AF237-AG237-AH237,2)</f>
        <v/>
      </c>
      <c r="AJ237">
        <f>AD237-AH237</f>
        <v/>
      </c>
      <c r="AK237" s="42">
        <f>AO236</f>
        <v/>
      </c>
      <c r="AL237" s="42">
        <f>ROUND(AK237*AL$6/12,2)</f>
        <v/>
      </c>
      <c r="AM237" s="42">
        <f>MIN(AM$6,AK237+AL237)</f>
        <v/>
      </c>
      <c r="AN237" s="42">
        <f>MAX(0,MIN(AK237+AL237-AM237,AJ237))</f>
        <v/>
      </c>
      <c r="AO237" s="42">
        <f>ROUND(AK237+AL237-AM237-AN237,2)</f>
        <v/>
      </c>
      <c r="AP237">
        <f>AJ237-AN237</f>
        <v/>
      </c>
      <c r="AQ237" s="42">
        <f>AU236</f>
        <v/>
      </c>
      <c r="AR237" s="42">
        <f>ROUND(AQ237*AR$6/12,2)</f>
        <v/>
      </c>
      <c r="AS237" s="42">
        <f>MIN(AS$6,AQ237+AR237)</f>
        <v/>
      </c>
      <c r="AT237" s="42">
        <f>MAX(0,MIN(AQ237+AR237-AS237,AP237))</f>
        <v/>
      </c>
      <c r="AU237" s="42">
        <f>ROUND(AQ237+AR237-AS237-AT237,2)</f>
        <v/>
      </c>
      <c r="AV237">
        <f>AP237-AT237</f>
        <v/>
      </c>
      <c r="AW237" s="42">
        <f>BA236</f>
        <v/>
      </c>
      <c r="AX237" s="42">
        <f>ROUND(AW237*AX$6/12,2)</f>
        <v/>
      </c>
      <c r="AY237" s="42">
        <f>MIN(AY$6,AW237+AX237)</f>
        <v/>
      </c>
      <c r="AZ237" s="42">
        <f>MAX(0,MIN(AW237+AX237-AY237,AV237))</f>
        <v/>
      </c>
      <c r="BA237" s="42">
        <f>ROUND(AW237+AX237-AY237-AZ237,2)</f>
        <v/>
      </c>
      <c r="BB237">
        <f>AV237-AZ237</f>
        <v/>
      </c>
      <c r="BC237" s="42">
        <f>BG236</f>
        <v/>
      </c>
      <c r="BD237" s="42">
        <f>ROUND(BC237*BD$6/12,2)</f>
        <v/>
      </c>
      <c r="BE237" s="42">
        <f>MIN(BE$6,BC237+BD237)</f>
        <v/>
      </c>
      <c r="BF237" s="42">
        <f>MAX(0,MIN(BC237+BD237-BE237,BB237))</f>
        <v/>
      </c>
      <c r="BG237" s="42">
        <f>ROUND(BC237+BD237-BE237-BF237,2)</f>
        <v/>
      </c>
      <c r="BH237">
        <f>BB237-BF237</f>
        <v/>
      </c>
      <c r="BI237" s="42">
        <f>BM236</f>
        <v/>
      </c>
      <c r="BJ237" s="42">
        <f>ROUND(BI237*BJ$6/12,2)</f>
        <v/>
      </c>
      <c r="BK237" s="42">
        <f>MIN(BK$6,BI237+BJ237)</f>
        <v/>
      </c>
      <c r="BL237" s="42">
        <f>MAX(0,MIN(BI237+BJ237-BK237,BH237))</f>
        <v/>
      </c>
      <c r="BM237" s="42">
        <f>ROUND(BI237+BJ237-BK237-BL237,2)</f>
        <v/>
      </c>
      <c r="BN237">
        <f>BH237-BL237</f>
        <v/>
      </c>
    </row>
    <row r="238">
      <c r="A238" s="39" t="n">
        <v>231</v>
      </c>
      <c r="B238" s="40">
        <f>EDATE('My Debts'!$C$6,A238-1)</f>
        <v/>
      </c>
      <c r="C238" s="41">
        <f>K238+Q238+W238+AC238+AI238+AO238+AU238+BA238+BG238+BM238</f>
        <v/>
      </c>
      <c r="D238" s="42">
        <f>I238+O238+U238+AA238+AG238+AM238+AS238+AY238+BE238+BK238+J238+P238+V238+AB238+AH238+AN238+AT238+AZ238+BF238+BL238</f>
        <v/>
      </c>
      <c r="E238" s="42">
        <f>H238+N238+T238+Z238+AF238+AL238+AR238+AX238+BD238+BJ238</f>
        <v/>
      </c>
      <c r="F238" t="n">
        <v>0</v>
      </c>
      <c r="G238" s="42">
        <f>K237</f>
        <v/>
      </c>
      <c r="H238" s="42">
        <f>ROUND(G238*H$6/12,2)</f>
        <v/>
      </c>
      <c r="I238" s="42">
        <f>MIN(I$6,G238+H238)</f>
        <v/>
      </c>
      <c r="J238" s="42">
        <f>MAX(0,MIN(G238+H238-I238,$F238))</f>
        <v/>
      </c>
      <c r="K238" s="42">
        <f>ROUND(G238+H238-I238-J238,2)</f>
        <v/>
      </c>
      <c r="L238">
        <f>$F238-J238</f>
        <v/>
      </c>
      <c r="M238" s="42">
        <f>Q237</f>
        <v/>
      </c>
      <c r="N238" s="42">
        <f>ROUND(M238*N$6/12,2)</f>
        <v/>
      </c>
      <c r="O238" s="42">
        <f>MIN(O$6,M238+N238)</f>
        <v/>
      </c>
      <c r="P238" s="42">
        <f>MAX(0,MIN(M238+N238-O238,L238))</f>
        <v/>
      </c>
      <c r="Q238" s="42">
        <f>ROUND(M238+N238-O238-P238,2)</f>
        <v/>
      </c>
      <c r="R238">
        <f>L238-P238</f>
        <v/>
      </c>
      <c r="S238" s="42">
        <f>W237</f>
        <v/>
      </c>
      <c r="T238" s="42">
        <f>ROUND(S238*T$6/12,2)</f>
        <v/>
      </c>
      <c r="U238" s="42">
        <f>MIN(U$6,S238+T238)</f>
        <v/>
      </c>
      <c r="V238" s="42">
        <f>MAX(0,MIN(S238+T238-U238,R238))</f>
        <v/>
      </c>
      <c r="W238" s="42">
        <f>ROUND(S238+T238-U238-V238,2)</f>
        <v/>
      </c>
      <c r="X238">
        <f>R238-V238</f>
        <v/>
      </c>
      <c r="Y238" s="42">
        <f>AC237</f>
        <v/>
      </c>
      <c r="Z238" s="42">
        <f>ROUND(Y238*Z$6/12,2)</f>
        <v/>
      </c>
      <c r="AA238" s="42">
        <f>MIN(AA$6,Y238+Z238)</f>
        <v/>
      </c>
      <c r="AB238" s="42">
        <f>MAX(0,MIN(Y238+Z238-AA238,X238))</f>
        <v/>
      </c>
      <c r="AC238" s="42">
        <f>ROUND(Y238+Z238-AA238-AB238,2)</f>
        <v/>
      </c>
      <c r="AD238">
        <f>X238-AB238</f>
        <v/>
      </c>
      <c r="AE238" s="42">
        <f>AI237</f>
        <v/>
      </c>
      <c r="AF238" s="42">
        <f>ROUND(AE238*AF$6/12,2)</f>
        <v/>
      </c>
      <c r="AG238" s="42">
        <f>MIN(AG$6,AE238+AF238)</f>
        <v/>
      </c>
      <c r="AH238" s="42">
        <f>MAX(0,MIN(AE238+AF238-AG238,AD238))</f>
        <v/>
      </c>
      <c r="AI238" s="42">
        <f>ROUND(AE238+AF238-AG238-AH238,2)</f>
        <v/>
      </c>
      <c r="AJ238">
        <f>AD238-AH238</f>
        <v/>
      </c>
      <c r="AK238" s="42">
        <f>AO237</f>
        <v/>
      </c>
      <c r="AL238" s="42">
        <f>ROUND(AK238*AL$6/12,2)</f>
        <v/>
      </c>
      <c r="AM238" s="42">
        <f>MIN(AM$6,AK238+AL238)</f>
        <v/>
      </c>
      <c r="AN238" s="42">
        <f>MAX(0,MIN(AK238+AL238-AM238,AJ238))</f>
        <v/>
      </c>
      <c r="AO238" s="42">
        <f>ROUND(AK238+AL238-AM238-AN238,2)</f>
        <v/>
      </c>
      <c r="AP238">
        <f>AJ238-AN238</f>
        <v/>
      </c>
      <c r="AQ238" s="42">
        <f>AU237</f>
        <v/>
      </c>
      <c r="AR238" s="42">
        <f>ROUND(AQ238*AR$6/12,2)</f>
        <v/>
      </c>
      <c r="AS238" s="42">
        <f>MIN(AS$6,AQ238+AR238)</f>
        <v/>
      </c>
      <c r="AT238" s="42">
        <f>MAX(0,MIN(AQ238+AR238-AS238,AP238))</f>
        <v/>
      </c>
      <c r="AU238" s="42">
        <f>ROUND(AQ238+AR238-AS238-AT238,2)</f>
        <v/>
      </c>
      <c r="AV238">
        <f>AP238-AT238</f>
        <v/>
      </c>
      <c r="AW238" s="42">
        <f>BA237</f>
        <v/>
      </c>
      <c r="AX238" s="42">
        <f>ROUND(AW238*AX$6/12,2)</f>
        <v/>
      </c>
      <c r="AY238" s="42">
        <f>MIN(AY$6,AW238+AX238)</f>
        <v/>
      </c>
      <c r="AZ238" s="42">
        <f>MAX(0,MIN(AW238+AX238-AY238,AV238))</f>
        <v/>
      </c>
      <c r="BA238" s="42">
        <f>ROUND(AW238+AX238-AY238-AZ238,2)</f>
        <v/>
      </c>
      <c r="BB238">
        <f>AV238-AZ238</f>
        <v/>
      </c>
      <c r="BC238" s="42">
        <f>BG237</f>
        <v/>
      </c>
      <c r="BD238" s="42">
        <f>ROUND(BC238*BD$6/12,2)</f>
        <v/>
      </c>
      <c r="BE238" s="42">
        <f>MIN(BE$6,BC238+BD238)</f>
        <v/>
      </c>
      <c r="BF238" s="42">
        <f>MAX(0,MIN(BC238+BD238-BE238,BB238))</f>
        <v/>
      </c>
      <c r="BG238" s="42">
        <f>ROUND(BC238+BD238-BE238-BF238,2)</f>
        <v/>
      </c>
      <c r="BH238">
        <f>BB238-BF238</f>
        <v/>
      </c>
      <c r="BI238" s="42">
        <f>BM237</f>
        <v/>
      </c>
      <c r="BJ238" s="42">
        <f>ROUND(BI238*BJ$6/12,2)</f>
        <v/>
      </c>
      <c r="BK238" s="42">
        <f>MIN(BK$6,BI238+BJ238)</f>
        <v/>
      </c>
      <c r="BL238" s="42">
        <f>MAX(0,MIN(BI238+BJ238-BK238,BH238))</f>
        <v/>
      </c>
      <c r="BM238" s="42">
        <f>ROUND(BI238+BJ238-BK238-BL238,2)</f>
        <v/>
      </c>
      <c r="BN238">
        <f>BH238-BL238</f>
        <v/>
      </c>
    </row>
    <row r="239">
      <c r="A239" s="43" t="n">
        <v>232</v>
      </c>
      <c r="B239" s="44">
        <f>EDATE('My Debts'!$C$6,A239-1)</f>
        <v/>
      </c>
      <c r="C239" s="45">
        <f>K239+Q239+W239+AC239+AI239+AO239+AU239+BA239+BG239+BM239</f>
        <v/>
      </c>
      <c r="D239" s="46">
        <f>I239+O239+U239+AA239+AG239+AM239+AS239+AY239+BE239+BK239+J239+P239+V239+AB239+AH239+AN239+AT239+AZ239+BF239+BL239</f>
        <v/>
      </c>
      <c r="E239" s="46">
        <f>H239+N239+T239+Z239+AF239+AL239+AR239+AX239+BD239+BJ239</f>
        <v/>
      </c>
      <c r="F239" t="n">
        <v>0</v>
      </c>
      <c r="G239" s="42">
        <f>K238</f>
        <v/>
      </c>
      <c r="H239" s="42">
        <f>ROUND(G239*H$6/12,2)</f>
        <v/>
      </c>
      <c r="I239" s="42">
        <f>MIN(I$6,G239+H239)</f>
        <v/>
      </c>
      <c r="J239" s="42">
        <f>MAX(0,MIN(G239+H239-I239,$F239))</f>
        <v/>
      </c>
      <c r="K239" s="42">
        <f>ROUND(G239+H239-I239-J239,2)</f>
        <v/>
      </c>
      <c r="L239">
        <f>$F239-J239</f>
        <v/>
      </c>
      <c r="M239" s="42">
        <f>Q238</f>
        <v/>
      </c>
      <c r="N239" s="42">
        <f>ROUND(M239*N$6/12,2)</f>
        <v/>
      </c>
      <c r="O239" s="42">
        <f>MIN(O$6,M239+N239)</f>
        <v/>
      </c>
      <c r="P239" s="42">
        <f>MAX(0,MIN(M239+N239-O239,L239))</f>
        <v/>
      </c>
      <c r="Q239" s="42">
        <f>ROUND(M239+N239-O239-P239,2)</f>
        <v/>
      </c>
      <c r="R239">
        <f>L239-P239</f>
        <v/>
      </c>
      <c r="S239" s="42">
        <f>W238</f>
        <v/>
      </c>
      <c r="T239" s="42">
        <f>ROUND(S239*T$6/12,2)</f>
        <v/>
      </c>
      <c r="U239" s="42">
        <f>MIN(U$6,S239+T239)</f>
        <v/>
      </c>
      <c r="V239" s="42">
        <f>MAX(0,MIN(S239+T239-U239,R239))</f>
        <v/>
      </c>
      <c r="W239" s="42">
        <f>ROUND(S239+T239-U239-V239,2)</f>
        <v/>
      </c>
      <c r="X239">
        <f>R239-V239</f>
        <v/>
      </c>
      <c r="Y239" s="42">
        <f>AC238</f>
        <v/>
      </c>
      <c r="Z239" s="42">
        <f>ROUND(Y239*Z$6/12,2)</f>
        <v/>
      </c>
      <c r="AA239" s="42">
        <f>MIN(AA$6,Y239+Z239)</f>
        <v/>
      </c>
      <c r="AB239" s="42">
        <f>MAX(0,MIN(Y239+Z239-AA239,X239))</f>
        <v/>
      </c>
      <c r="AC239" s="42">
        <f>ROUND(Y239+Z239-AA239-AB239,2)</f>
        <v/>
      </c>
      <c r="AD239">
        <f>X239-AB239</f>
        <v/>
      </c>
      <c r="AE239" s="42">
        <f>AI238</f>
        <v/>
      </c>
      <c r="AF239" s="42">
        <f>ROUND(AE239*AF$6/12,2)</f>
        <v/>
      </c>
      <c r="AG239" s="42">
        <f>MIN(AG$6,AE239+AF239)</f>
        <v/>
      </c>
      <c r="AH239" s="42">
        <f>MAX(0,MIN(AE239+AF239-AG239,AD239))</f>
        <v/>
      </c>
      <c r="AI239" s="42">
        <f>ROUND(AE239+AF239-AG239-AH239,2)</f>
        <v/>
      </c>
      <c r="AJ239">
        <f>AD239-AH239</f>
        <v/>
      </c>
      <c r="AK239" s="42">
        <f>AO238</f>
        <v/>
      </c>
      <c r="AL239" s="42">
        <f>ROUND(AK239*AL$6/12,2)</f>
        <v/>
      </c>
      <c r="AM239" s="42">
        <f>MIN(AM$6,AK239+AL239)</f>
        <v/>
      </c>
      <c r="AN239" s="42">
        <f>MAX(0,MIN(AK239+AL239-AM239,AJ239))</f>
        <v/>
      </c>
      <c r="AO239" s="42">
        <f>ROUND(AK239+AL239-AM239-AN239,2)</f>
        <v/>
      </c>
      <c r="AP239">
        <f>AJ239-AN239</f>
        <v/>
      </c>
      <c r="AQ239" s="42">
        <f>AU238</f>
        <v/>
      </c>
      <c r="AR239" s="42">
        <f>ROUND(AQ239*AR$6/12,2)</f>
        <v/>
      </c>
      <c r="AS239" s="42">
        <f>MIN(AS$6,AQ239+AR239)</f>
        <v/>
      </c>
      <c r="AT239" s="42">
        <f>MAX(0,MIN(AQ239+AR239-AS239,AP239))</f>
        <v/>
      </c>
      <c r="AU239" s="42">
        <f>ROUND(AQ239+AR239-AS239-AT239,2)</f>
        <v/>
      </c>
      <c r="AV239">
        <f>AP239-AT239</f>
        <v/>
      </c>
      <c r="AW239" s="42">
        <f>BA238</f>
        <v/>
      </c>
      <c r="AX239" s="42">
        <f>ROUND(AW239*AX$6/12,2)</f>
        <v/>
      </c>
      <c r="AY239" s="42">
        <f>MIN(AY$6,AW239+AX239)</f>
        <v/>
      </c>
      <c r="AZ239" s="42">
        <f>MAX(0,MIN(AW239+AX239-AY239,AV239))</f>
        <v/>
      </c>
      <c r="BA239" s="42">
        <f>ROUND(AW239+AX239-AY239-AZ239,2)</f>
        <v/>
      </c>
      <c r="BB239">
        <f>AV239-AZ239</f>
        <v/>
      </c>
      <c r="BC239" s="42">
        <f>BG238</f>
        <v/>
      </c>
      <c r="BD239" s="42">
        <f>ROUND(BC239*BD$6/12,2)</f>
        <v/>
      </c>
      <c r="BE239" s="42">
        <f>MIN(BE$6,BC239+BD239)</f>
        <v/>
      </c>
      <c r="BF239" s="42">
        <f>MAX(0,MIN(BC239+BD239-BE239,BB239))</f>
        <v/>
      </c>
      <c r="BG239" s="42">
        <f>ROUND(BC239+BD239-BE239-BF239,2)</f>
        <v/>
      </c>
      <c r="BH239">
        <f>BB239-BF239</f>
        <v/>
      </c>
      <c r="BI239" s="42">
        <f>BM238</f>
        <v/>
      </c>
      <c r="BJ239" s="42">
        <f>ROUND(BI239*BJ$6/12,2)</f>
        <v/>
      </c>
      <c r="BK239" s="42">
        <f>MIN(BK$6,BI239+BJ239)</f>
        <v/>
      </c>
      <c r="BL239" s="42">
        <f>MAX(0,MIN(BI239+BJ239-BK239,BH239))</f>
        <v/>
      </c>
      <c r="BM239" s="42">
        <f>ROUND(BI239+BJ239-BK239-BL239,2)</f>
        <v/>
      </c>
      <c r="BN239">
        <f>BH239-BL239</f>
        <v/>
      </c>
    </row>
    <row r="240">
      <c r="A240" s="39" t="n">
        <v>233</v>
      </c>
      <c r="B240" s="40">
        <f>EDATE('My Debts'!$C$6,A240-1)</f>
        <v/>
      </c>
      <c r="C240" s="41">
        <f>K240+Q240+W240+AC240+AI240+AO240+AU240+BA240+BG240+BM240</f>
        <v/>
      </c>
      <c r="D240" s="42">
        <f>I240+O240+U240+AA240+AG240+AM240+AS240+AY240+BE240+BK240+J240+P240+V240+AB240+AH240+AN240+AT240+AZ240+BF240+BL240</f>
        <v/>
      </c>
      <c r="E240" s="42">
        <f>H240+N240+T240+Z240+AF240+AL240+AR240+AX240+BD240+BJ240</f>
        <v/>
      </c>
      <c r="F240" t="n">
        <v>0</v>
      </c>
      <c r="G240" s="42">
        <f>K239</f>
        <v/>
      </c>
      <c r="H240" s="42">
        <f>ROUND(G240*H$6/12,2)</f>
        <v/>
      </c>
      <c r="I240" s="42">
        <f>MIN(I$6,G240+H240)</f>
        <v/>
      </c>
      <c r="J240" s="42">
        <f>MAX(0,MIN(G240+H240-I240,$F240))</f>
        <v/>
      </c>
      <c r="K240" s="42">
        <f>ROUND(G240+H240-I240-J240,2)</f>
        <v/>
      </c>
      <c r="L240">
        <f>$F240-J240</f>
        <v/>
      </c>
      <c r="M240" s="42">
        <f>Q239</f>
        <v/>
      </c>
      <c r="N240" s="42">
        <f>ROUND(M240*N$6/12,2)</f>
        <v/>
      </c>
      <c r="O240" s="42">
        <f>MIN(O$6,M240+N240)</f>
        <v/>
      </c>
      <c r="P240" s="42">
        <f>MAX(0,MIN(M240+N240-O240,L240))</f>
        <v/>
      </c>
      <c r="Q240" s="42">
        <f>ROUND(M240+N240-O240-P240,2)</f>
        <v/>
      </c>
      <c r="R240">
        <f>L240-P240</f>
        <v/>
      </c>
      <c r="S240" s="42">
        <f>W239</f>
        <v/>
      </c>
      <c r="T240" s="42">
        <f>ROUND(S240*T$6/12,2)</f>
        <v/>
      </c>
      <c r="U240" s="42">
        <f>MIN(U$6,S240+T240)</f>
        <v/>
      </c>
      <c r="V240" s="42">
        <f>MAX(0,MIN(S240+T240-U240,R240))</f>
        <v/>
      </c>
      <c r="W240" s="42">
        <f>ROUND(S240+T240-U240-V240,2)</f>
        <v/>
      </c>
      <c r="X240">
        <f>R240-V240</f>
        <v/>
      </c>
      <c r="Y240" s="42">
        <f>AC239</f>
        <v/>
      </c>
      <c r="Z240" s="42">
        <f>ROUND(Y240*Z$6/12,2)</f>
        <v/>
      </c>
      <c r="AA240" s="42">
        <f>MIN(AA$6,Y240+Z240)</f>
        <v/>
      </c>
      <c r="AB240" s="42">
        <f>MAX(0,MIN(Y240+Z240-AA240,X240))</f>
        <v/>
      </c>
      <c r="AC240" s="42">
        <f>ROUND(Y240+Z240-AA240-AB240,2)</f>
        <v/>
      </c>
      <c r="AD240">
        <f>X240-AB240</f>
        <v/>
      </c>
      <c r="AE240" s="42">
        <f>AI239</f>
        <v/>
      </c>
      <c r="AF240" s="42">
        <f>ROUND(AE240*AF$6/12,2)</f>
        <v/>
      </c>
      <c r="AG240" s="42">
        <f>MIN(AG$6,AE240+AF240)</f>
        <v/>
      </c>
      <c r="AH240" s="42">
        <f>MAX(0,MIN(AE240+AF240-AG240,AD240))</f>
        <v/>
      </c>
      <c r="AI240" s="42">
        <f>ROUND(AE240+AF240-AG240-AH240,2)</f>
        <v/>
      </c>
      <c r="AJ240">
        <f>AD240-AH240</f>
        <v/>
      </c>
      <c r="AK240" s="42">
        <f>AO239</f>
        <v/>
      </c>
      <c r="AL240" s="42">
        <f>ROUND(AK240*AL$6/12,2)</f>
        <v/>
      </c>
      <c r="AM240" s="42">
        <f>MIN(AM$6,AK240+AL240)</f>
        <v/>
      </c>
      <c r="AN240" s="42">
        <f>MAX(0,MIN(AK240+AL240-AM240,AJ240))</f>
        <v/>
      </c>
      <c r="AO240" s="42">
        <f>ROUND(AK240+AL240-AM240-AN240,2)</f>
        <v/>
      </c>
      <c r="AP240">
        <f>AJ240-AN240</f>
        <v/>
      </c>
      <c r="AQ240" s="42">
        <f>AU239</f>
        <v/>
      </c>
      <c r="AR240" s="42">
        <f>ROUND(AQ240*AR$6/12,2)</f>
        <v/>
      </c>
      <c r="AS240" s="42">
        <f>MIN(AS$6,AQ240+AR240)</f>
        <v/>
      </c>
      <c r="AT240" s="42">
        <f>MAX(0,MIN(AQ240+AR240-AS240,AP240))</f>
        <v/>
      </c>
      <c r="AU240" s="42">
        <f>ROUND(AQ240+AR240-AS240-AT240,2)</f>
        <v/>
      </c>
      <c r="AV240">
        <f>AP240-AT240</f>
        <v/>
      </c>
      <c r="AW240" s="42">
        <f>BA239</f>
        <v/>
      </c>
      <c r="AX240" s="42">
        <f>ROUND(AW240*AX$6/12,2)</f>
        <v/>
      </c>
      <c r="AY240" s="42">
        <f>MIN(AY$6,AW240+AX240)</f>
        <v/>
      </c>
      <c r="AZ240" s="42">
        <f>MAX(0,MIN(AW240+AX240-AY240,AV240))</f>
        <v/>
      </c>
      <c r="BA240" s="42">
        <f>ROUND(AW240+AX240-AY240-AZ240,2)</f>
        <v/>
      </c>
      <c r="BB240">
        <f>AV240-AZ240</f>
        <v/>
      </c>
      <c r="BC240" s="42">
        <f>BG239</f>
        <v/>
      </c>
      <c r="BD240" s="42">
        <f>ROUND(BC240*BD$6/12,2)</f>
        <v/>
      </c>
      <c r="BE240" s="42">
        <f>MIN(BE$6,BC240+BD240)</f>
        <v/>
      </c>
      <c r="BF240" s="42">
        <f>MAX(0,MIN(BC240+BD240-BE240,BB240))</f>
        <v/>
      </c>
      <c r="BG240" s="42">
        <f>ROUND(BC240+BD240-BE240-BF240,2)</f>
        <v/>
      </c>
      <c r="BH240">
        <f>BB240-BF240</f>
        <v/>
      </c>
      <c r="BI240" s="42">
        <f>BM239</f>
        <v/>
      </c>
      <c r="BJ240" s="42">
        <f>ROUND(BI240*BJ$6/12,2)</f>
        <v/>
      </c>
      <c r="BK240" s="42">
        <f>MIN(BK$6,BI240+BJ240)</f>
        <v/>
      </c>
      <c r="BL240" s="42">
        <f>MAX(0,MIN(BI240+BJ240-BK240,BH240))</f>
        <v/>
      </c>
      <c r="BM240" s="42">
        <f>ROUND(BI240+BJ240-BK240-BL240,2)</f>
        <v/>
      </c>
      <c r="BN240">
        <f>BH240-BL240</f>
        <v/>
      </c>
    </row>
    <row r="241">
      <c r="A241" s="43" t="n">
        <v>234</v>
      </c>
      <c r="B241" s="44">
        <f>EDATE('My Debts'!$C$6,A241-1)</f>
        <v/>
      </c>
      <c r="C241" s="45">
        <f>K241+Q241+W241+AC241+AI241+AO241+AU241+BA241+BG241+BM241</f>
        <v/>
      </c>
      <c r="D241" s="46">
        <f>I241+O241+U241+AA241+AG241+AM241+AS241+AY241+BE241+BK241+J241+P241+V241+AB241+AH241+AN241+AT241+AZ241+BF241+BL241</f>
        <v/>
      </c>
      <c r="E241" s="46">
        <f>H241+N241+T241+Z241+AF241+AL241+AR241+AX241+BD241+BJ241</f>
        <v/>
      </c>
      <c r="F241" t="n">
        <v>0</v>
      </c>
      <c r="G241" s="42">
        <f>K240</f>
        <v/>
      </c>
      <c r="H241" s="42">
        <f>ROUND(G241*H$6/12,2)</f>
        <v/>
      </c>
      <c r="I241" s="42">
        <f>MIN(I$6,G241+H241)</f>
        <v/>
      </c>
      <c r="J241" s="42">
        <f>MAX(0,MIN(G241+H241-I241,$F241))</f>
        <v/>
      </c>
      <c r="K241" s="42">
        <f>ROUND(G241+H241-I241-J241,2)</f>
        <v/>
      </c>
      <c r="L241">
        <f>$F241-J241</f>
        <v/>
      </c>
      <c r="M241" s="42">
        <f>Q240</f>
        <v/>
      </c>
      <c r="N241" s="42">
        <f>ROUND(M241*N$6/12,2)</f>
        <v/>
      </c>
      <c r="O241" s="42">
        <f>MIN(O$6,M241+N241)</f>
        <v/>
      </c>
      <c r="P241" s="42">
        <f>MAX(0,MIN(M241+N241-O241,L241))</f>
        <v/>
      </c>
      <c r="Q241" s="42">
        <f>ROUND(M241+N241-O241-P241,2)</f>
        <v/>
      </c>
      <c r="R241">
        <f>L241-P241</f>
        <v/>
      </c>
      <c r="S241" s="42">
        <f>W240</f>
        <v/>
      </c>
      <c r="T241" s="42">
        <f>ROUND(S241*T$6/12,2)</f>
        <v/>
      </c>
      <c r="U241" s="42">
        <f>MIN(U$6,S241+T241)</f>
        <v/>
      </c>
      <c r="V241" s="42">
        <f>MAX(0,MIN(S241+T241-U241,R241))</f>
        <v/>
      </c>
      <c r="W241" s="42">
        <f>ROUND(S241+T241-U241-V241,2)</f>
        <v/>
      </c>
      <c r="X241">
        <f>R241-V241</f>
        <v/>
      </c>
      <c r="Y241" s="42">
        <f>AC240</f>
        <v/>
      </c>
      <c r="Z241" s="42">
        <f>ROUND(Y241*Z$6/12,2)</f>
        <v/>
      </c>
      <c r="AA241" s="42">
        <f>MIN(AA$6,Y241+Z241)</f>
        <v/>
      </c>
      <c r="AB241" s="42">
        <f>MAX(0,MIN(Y241+Z241-AA241,X241))</f>
        <v/>
      </c>
      <c r="AC241" s="42">
        <f>ROUND(Y241+Z241-AA241-AB241,2)</f>
        <v/>
      </c>
      <c r="AD241">
        <f>X241-AB241</f>
        <v/>
      </c>
      <c r="AE241" s="42">
        <f>AI240</f>
        <v/>
      </c>
      <c r="AF241" s="42">
        <f>ROUND(AE241*AF$6/12,2)</f>
        <v/>
      </c>
      <c r="AG241" s="42">
        <f>MIN(AG$6,AE241+AF241)</f>
        <v/>
      </c>
      <c r="AH241" s="42">
        <f>MAX(0,MIN(AE241+AF241-AG241,AD241))</f>
        <v/>
      </c>
      <c r="AI241" s="42">
        <f>ROUND(AE241+AF241-AG241-AH241,2)</f>
        <v/>
      </c>
      <c r="AJ241">
        <f>AD241-AH241</f>
        <v/>
      </c>
      <c r="AK241" s="42">
        <f>AO240</f>
        <v/>
      </c>
      <c r="AL241" s="42">
        <f>ROUND(AK241*AL$6/12,2)</f>
        <v/>
      </c>
      <c r="AM241" s="42">
        <f>MIN(AM$6,AK241+AL241)</f>
        <v/>
      </c>
      <c r="AN241" s="42">
        <f>MAX(0,MIN(AK241+AL241-AM241,AJ241))</f>
        <v/>
      </c>
      <c r="AO241" s="42">
        <f>ROUND(AK241+AL241-AM241-AN241,2)</f>
        <v/>
      </c>
      <c r="AP241">
        <f>AJ241-AN241</f>
        <v/>
      </c>
      <c r="AQ241" s="42">
        <f>AU240</f>
        <v/>
      </c>
      <c r="AR241" s="42">
        <f>ROUND(AQ241*AR$6/12,2)</f>
        <v/>
      </c>
      <c r="AS241" s="42">
        <f>MIN(AS$6,AQ241+AR241)</f>
        <v/>
      </c>
      <c r="AT241" s="42">
        <f>MAX(0,MIN(AQ241+AR241-AS241,AP241))</f>
        <v/>
      </c>
      <c r="AU241" s="42">
        <f>ROUND(AQ241+AR241-AS241-AT241,2)</f>
        <v/>
      </c>
      <c r="AV241">
        <f>AP241-AT241</f>
        <v/>
      </c>
      <c r="AW241" s="42">
        <f>BA240</f>
        <v/>
      </c>
      <c r="AX241" s="42">
        <f>ROUND(AW241*AX$6/12,2)</f>
        <v/>
      </c>
      <c r="AY241" s="42">
        <f>MIN(AY$6,AW241+AX241)</f>
        <v/>
      </c>
      <c r="AZ241" s="42">
        <f>MAX(0,MIN(AW241+AX241-AY241,AV241))</f>
        <v/>
      </c>
      <c r="BA241" s="42">
        <f>ROUND(AW241+AX241-AY241-AZ241,2)</f>
        <v/>
      </c>
      <c r="BB241">
        <f>AV241-AZ241</f>
        <v/>
      </c>
      <c r="BC241" s="42">
        <f>BG240</f>
        <v/>
      </c>
      <c r="BD241" s="42">
        <f>ROUND(BC241*BD$6/12,2)</f>
        <v/>
      </c>
      <c r="BE241" s="42">
        <f>MIN(BE$6,BC241+BD241)</f>
        <v/>
      </c>
      <c r="BF241" s="42">
        <f>MAX(0,MIN(BC241+BD241-BE241,BB241))</f>
        <v/>
      </c>
      <c r="BG241" s="42">
        <f>ROUND(BC241+BD241-BE241-BF241,2)</f>
        <v/>
      </c>
      <c r="BH241">
        <f>BB241-BF241</f>
        <v/>
      </c>
      <c r="BI241" s="42">
        <f>BM240</f>
        <v/>
      </c>
      <c r="BJ241" s="42">
        <f>ROUND(BI241*BJ$6/12,2)</f>
        <v/>
      </c>
      <c r="BK241" s="42">
        <f>MIN(BK$6,BI241+BJ241)</f>
        <v/>
      </c>
      <c r="BL241" s="42">
        <f>MAX(0,MIN(BI241+BJ241-BK241,BH241))</f>
        <v/>
      </c>
      <c r="BM241" s="42">
        <f>ROUND(BI241+BJ241-BK241-BL241,2)</f>
        <v/>
      </c>
      <c r="BN241">
        <f>BH241-BL241</f>
        <v/>
      </c>
    </row>
    <row r="242">
      <c r="A242" s="39" t="n">
        <v>235</v>
      </c>
      <c r="B242" s="40">
        <f>EDATE('My Debts'!$C$6,A242-1)</f>
        <v/>
      </c>
      <c r="C242" s="41">
        <f>K242+Q242+W242+AC242+AI242+AO242+AU242+BA242+BG242+BM242</f>
        <v/>
      </c>
      <c r="D242" s="42">
        <f>I242+O242+U242+AA242+AG242+AM242+AS242+AY242+BE242+BK242+J242+P242+V242+AB242+AH242+AN242+AT242+AZ242+BF242+BL242</f>
        <v/>
      </c>
      <c r="E242" s="42">
        <f>H242+N242+T242+Z242+AF242+AL242+AR242+AX242+BD242+BJ242</f>
        <v/>
      </c>
      <c r="F242" t="n">
        <v>0</v>
      </c>
      <c r="G242" s="42">
        <f>K241</f>
        <v/>
      </c>
      <c r="H242" s="42">
        <f>ROUND(G242*H$6/12,2)</f>
        <v/>
      </c>
      <c r="I242" s="42">
        <f>MIN(I$6,G242+H242)</f>
        <v/>
      </c>
      <c r="J242" s="42">
        <f>MAX(0,MIN(G242+H242-I242,$F242))</f>
        <v/>
      </c>
      <c r="K242" s="42">
        <f>ROUND(G242+H242-I242-J242,2)</f>
        <v/>
      </c>
      <c r="L242">
        <f>$F242-J242</f>
        <v/>
      </c>
      <c r="M242" s="42">
        <f>Q241</f>
        <v/>
      </c>
      <c r="N242" s="42">
        <f>ROUND(M242*N$6/12,2)</f>
        <v/>
      </c>
      <c r="O242" s="42">
        <f>MIN(O$6,M242+N242)</f>
        <v/>
      </c>
      <c r="P242" s="42">
        <f>MAX(0,MIN(M242+N242-O242,L242))</f>
        <v/>
      </c>
      <c r="Q242" s="42">
        <f>ROUND(M242+N242-O242-P242,2)</f>
        <v/>
      </c>
      <c r="R242">
        <f>L242-P242</f>
        <v/>
      </c>
      <c r="S242" s="42">
        <f>W241</f>
        <v/>
      </c>
      <c r="T242" s="42">
        <f>ROUND(S242*T$6/12,2)</f>
        <v/>
      </c>
      <c r="U242" s="42">
        <f>MIN(U$6,S242+T242)</f>
        <v/>
      </c>
      <c r="V242" s="42">
        <f>MAX(0,MIN(S242+T242-U242,R242))</f>
        <v/>
      </c>
      <c r="W242" s="42">
        <f>ROUND(S242+T242-U242-V242,2)</f>
        <v/>
      </c>
      <c r="X242">
        <f>R242-V242</f>
        <v/>
      </c>
      <c r="Y242" s="42">
        <f>AC241</f>
        <v/>
      </c>
      <c r="Z242" s="42">
        <f>ROUND(Y242*Z$6/12,2)</f>
        <v/>
      </c>
      <c r="AA242" s="42">
        <f>MIN(AA$6,Y242+Z242)</f>
        <v/>
      </c>
      <c r="AB242" s="42">
        <f>MAX(0,MIN(Y242+Z242-AA242,X242))</f>
        <v/>
      </c>
      <c r="AC242" s="42">
        <f>ROUND(Y242+Z242-AA242-AB242,2)</f>
        <v/>
      </c>
      <c r="AD242">
        <f>X242-AB242</f>
        <v/>
      </c>
      <c r="AE242" s="42">
        <f>AI241</f>
        <v/>
      </c>
      <c r="AF242" s="42">
        <f>ROUND(AE242*AF$6/12,2)</f>
        <v/>
      </c>
      <c r="AG242" s="42">
        <f>MIN(AG$6,AE242+AF242)</f>
        <v/>
      </c>
      <c r="AH242" s="42">
        <f>MAX(0,MIN(AE242+AF242-AG242,AD242))</f>
        <v/>
      </c>
      <c r="AI242" s="42">
        <f>ROUND(AE242+AF242-AG242-AH242,2)</f>
        <v/>
      </c>
      <c r="AJ242">
        <f>AD242-AH242</f>
        <v/>
      </c>
      <c r="AK242" s="42">
        <f>AO241</f>
        <v/>
      </c>
      <c r="AL242" s="42">
        <f>ROUND(AK242*AL$6/12,2)</f>
        <v/>
      </c>
      <c r="AM242" s="42">
        <f>MIN(AM$6,AK242+AL242)</f>
        <v/>
      </c>
      <c r="AN242" s="42">
        <f>MAX(0,MIN(AK242+AL242-AM242,AJ242))</f>
        <v/>
      </c>
      <c r="AO242" s="42">
        <f>ROUND(AK242+AL242-AM242-AN242,2)</f>
        <v/>
      </c>
      <c r="AP242">
        <f>AJ242-AN242</f>
        <v/>
      </c>
      <c r="AQ242" s="42">
        <f>AU241</f>
        <v/>
      </c>
      <c r="AR242" s="42">
        <f>ROUND(AQ242*AR$6/12,2)</f>
        <v/>
      </c>
      <c r="AS242" s="42">
        <f>MIN(AS$6,AQ242+AR242)</f>
        <v/>
      </c>
      <c r="AT242" s="42">
        <f>MAX(0,MIN(AQ242+AR242-AS242,AP242))</f>
        <v/>
      </c>
      <c r="AU242" s="42">
        <f>ROUND(AQ242+AR242-AS242-AT242,2)</f>
        <v/>
      </c>
      <c r="AV242">
        <f>AP242-AT242</f>
        <v/>
      </c>
      <c r="AW242" s="42">
        <f>BA241</f>
        <v/>
      </c>
      <c r="AX242" s="42">
        <f>ROUND(AW242*AX$6/12,2)</f>
        <v/>
      </c>
      <c r="AY242" s="42">
        <f>MIN(AY$6,AW242+AX242)</f>
        <v/>
      </c>
      <c r="AZ242" s="42">
        <f>MAX(0,MIN(AW242+AX242-AY242,AV242))</f>
        <v/>
      </c>
      <c r="BA242" s="42">
        <f>ROUND(AW242+AX242-AY242-AZ242,2)</f>
        <v/>
      </c>
      <c r="BB242">
        <f>AV242-AZ242</f>
        <v/>
      </c>
      <c r="BC242" s="42">
        <f>BG241</f>
        <v/>
      </c>
      <c r="BD242" s="42">
        <f>ROUND(BC242*BD$6/12,2)</f>
        <v/>
      </c>
      <c r="BE242" s="42">
        <f>MIN(BE$6,BC242+BD242)</f>
        <v/>
      </c>
      <c r="BF242" s="42">
        <f>MAX(0,MIN(BC242+BD242-BE242,BB242))</f>
        <v/>
      </c>
      <c r="BG242" s="42">
        <f>ROUND(BC242+BD242-BE242-BF242,2)</f>
        <v/>
      </c>
      <c r="BH242">
        <f>BB242-BF242</f>
        <v/>
      </c>
      <c r="BI242" s="42">
        <f>BM241</f>
        <v/>
      </c>
      <c r="BJ242" s="42">
        <f>ROUND(BI242*BJ$6/12,2)</f>
        <v/>
      </c>
      <c r="BK242" s="42">
        <f>MIN(BK$6,BI242+BJ242)</f>
        <v/>
      </c>
      <c r="BL242" s="42">
        <f>MAX(0,MIN(BI242+BJ242-BK242,BH242))</f>
        <v/>
      </c>
      <c r="BM242" s="42">
        <f>ROUND(BI242+BJ242-BK242-BL242,2)</f>
        <v/>
      </c>
      <c r="BN242">
        <f>BH242-BL242</f>
        <v/>
      </c>
    </row>
    <row r="243">
      <c r="A243" s="43" t="n">
        <v>236</v>
      </c>
      <c r="B243" s="44">
        <f>EDATE('My Debts'!$C$6,A243-1)</f>
        <v/>
      </c>
      <c r="C243" s="45">
        <f>K243+Q243+W243+AC243+AI243+AO243+AU243+BA243+BG243+BM243</f>
        <v/>
      </c>
      <c r="D243" s="46">
        <f>I243+O243+U243+AA243+AG243+AM243+AS243+AY243+BE243+BK243+J243+P243+V243+AB243+AH243+AN243+AT243+AZ243+BF243+BL243</f>
        <v/>
      </c>
      <c r="E243" s="46">
        <f>H243+N243+T243+Z243+AF243+AL243+AR243+AX243+BD243+BJ243</f>
        <v/>
      </c>
      <c r="F243" t="n">
        <v>0</v>
      </c>
      <c r="G243" s="42">
        <f>K242</f>
        <v/>
      </c>
      <c r="H243" s="42">
        <f>ROUND(G243*H$6/12,2)</f>
        <v/>
      </c>
      <c r="I243" s="42">
        <f>MIN(I$6,G243+H243)</f>
        <v/>
      </c>
      <c r="J243" s="42">
        <f>MAX(0,MIN(G243+H243-I243,$F243))</f>
        <v/>
      </c>
      <c r="K243" s="42">
        <f>ROUND(G243+H243-I243-J243,2)</f>
        <v/>
      </c>
      <c r="L243">
        <f>$F243-J243</f>
        <v/>
      </c>
      <c r="M243" s="42">
        <f>Q242</f>
        <v/>
      </c>
      <c r="N243" s="42">
        <f>ROUND(M243*N$6/12,2)</f>
        <v/>
      </c>
      <c r="O243" s="42">
        <f>MIN(O$6,M243+N243)</f>
        <v/>
      </c>
      <c r="P243" s="42">
        <f>MAX(0,MIN(M243+N243-O243,L243))</f>
        <v/>
      </c>
      <c r="Q243" s="42">
        <f>ROUND(M243+N243-O243-P243,2)</f>
        <v/>
      </c>
      <c r="R243">
        <f>L243-P243</f>
        <v/>
      </c>
      <c r="S243" s="42">
        <f>W242</f>
        <v/>
      </c>
      <c r="T243" s="42">
        <f>ROUND(S243*T$6/12,2)</f>
        <v/>
      </c>
      <c r="U243" s="42">
        <f>MIN(U$6,S243+T243)</f>
        <v/>
      </c>
      <c r="V243" s="42">
        <f>MAX(0,MIN(S243+T243-U243,R243))</f>
        <v/>
      </c>
      <c r="W243" s="42">
        <f>ROUND(S243+T243-U243-V243,2)</f>
        <v/>
      </c>
      <c r="X243">
        <f>R243-V243</f>
        <v/>
      </c>
      <c r="Y243" s="42">
        <f>AC242</f>
        <v/>
      </c>
      <c r="Z243" s="42">
        <f>ROUND(Y243*Z$6/12,2)</f>
        <v/>
      </c>
      <c r="AA243" s="42">
        <f>MIN(AA$6,Y243+Z243)</f>
        <v/>
      </c>
      <c r="AB243" s="42">
        <f>MAX(0,MIN(Y243+Z243-AA243,X243))</f>
        <v/>
      </c>
      <c r="AC243" s="42">
        <f>ROUND(Y243+Z243-AA243-AB243,2)</f>
        <v/>
      </c>
      <c r="AD243">
        <f>X243-AB243</f>
        <v/>
      </c>
      <c r="AE243" s="42">
        <f>AI242</f>
        <v/>
      </c>
      <c r="AF243" s="42">
        <f>ROUND(AE243*AF$6/12,2)</f>
        <v/>
      </c>
      <c r="AG243" s="42">
        <f>MIN(AG$6,AE243+AF243)</f>
        <v/>
      </c>
      <c r="AH243" s="42">
        <f>MAX(0,MIN(AE243+AF243-AG243,AD243))</f>
        <v/>
      </c>
      <c r="AI243" s="42">
        <f>ROUND(AE243+AF243-AG243-AH243,2)</f>
        <v/>
      </c>
      <c r="AJ243">
        <f>AD243-AH243</f>
        <v/>
      </c>
      <c r="AK243" s="42">
        <f>AO242</f>
        <v/>
      </c>
      <c r="AL243" s="42">
        <f>ROUND(AK243*AL$6/12,2)</f>
        <v/>
      </c>
      <c r="AM243" s="42">
        <f>MIN(AM$6,AK243+AL243)</f>
        <v/>
      </c>
      <c r="AN243" s="42">
        <f>MAX(0,MIN(AK243+AL243-AM243,AJ243))</f>
        <v/>
      </c>
      <c r="AO243" s="42">
        <f>ROUND(AK243+AL243-AM243-AN243,2)</f>
        <v/>
      </c>
      <c r="AP243">
        <f>AJ243-AN243</f>
        <v/>
      </c>
      <c r="AQ243" s="42">
        <f>AU242</f>
        <v/>
      </c>
      <c r="AR243" s="42">
        <f>ROUND(AQ243*AR$6/12,2)</f>
        <v/>
      </c>
      <c r="AS243" s="42">
        <f>MIN(AS$6,AQ243+AR243)</f>
        <v/>
      </c>
      <c r="AT243" s="42">
        <f>MAX(0,MIN(AQ243+AR243-AS243,AP243))</f>
        <v/>
      </c>
      <c r="AU243" s="42">
        <f>ROUND(AQ243+AR243-AS243-AT243,2)</f>
        <v/>
      </c>
      <c r="AV243">
        <f>AP243-AT243</f>
        <v/>
      </c>
      <c r="AW243" s="42">
        <f>BA242</f>
        <v/>
      </c>
      <c r="AX243" s="42">
        <f>ROUND(AW243*AX$6/12,2)</f>
        <v/>
      </c>
      <c r="AY243" s="42">
        <f>MIN(AY$6,AW243+AX243)</f>
        <v/>
      </c>
      <c r="AZ243" s="42">
        <f>MAX(0,MIN(AW243+AX243-AY243,AV243))</f>
        <v/>
      </c>
      <c r="BA243" s="42">
        <f>ROUND(AW243+AX243-AY243-AZ243,2)</f>
        <v/>
      </c>
      <c r="BB243">
        <f>AV243-AZ243</f>
        <v/>
      </c>
      <c r="BC243" s="42">
        <f>BG242</f>
        <v/>
      </c>
      <c r="BD243" s="42">
        <f>ROUND(BC243*BD$6/12,2)</f>
        <v/>
      </c>
      <c r="BE243" s="42">
        <f>MIN(BE$6,BC243+BD243)</f>
        <v/>
      </c>
      <c r="BF243" s="42">
        <f>MAX(0,MIN(BC243+BD243-BE243,BB243))</f>
        <v/>
      </c>
      <c r="BG243" s="42">
        <f>ROUND(BC243+BD243-BE243-BF243,2)</f>
        <v/>
      </c>
      <c r="BH243">
        <f>BB243-BF243</f>
        <v/>
      </c>
      <c r="BI243" s="42">
        <f>BM242</f>
        <v/>
      </c>
      <c r="BJ243" s="42">
        <f>ROUND(BI243*BJ$6/12,2)</f>
        <v/>
      </c>
      <c r="BK243" s="42">
        <f>MIN(BK$6,BI243+BJ243)</f>
        <v/>
      </c>
      <c r="BL243" s="42">
        <f>MAX(0,MIN(BI243+BJ243-BK243,BH243))</f>
        <v/>
      </c>
      <c r="BM243" s="42">
        <f>ROUND(BI243+BJ243-BK243-BL243,2)</f>
        <v/>
      </c>
      <c r="BN243">
        <f>BH243-BL243</f>
        <v/>
      </c>
    </row>
    <row r="244">
      <c r="A244" s="39" t="n">
        <v>237</v>
      </c>
      <c r="B244" s="40">
        <f>EDATE('My Debts'!$C$6,A244-1)</f>
        <v/>
      </c>
      <c r="C244" s="41">
        <f>K244+Q244+W244+AC244+AI244+AO244+AU244+BA244+BG244+BM244</f>
        <v/>
      </c>
      <c r="D244" s="42">
        <f>I244+O244+U244+AA244+AG244+AM244+AS244+AY244+BE244+BK244+J244+P244+V244+AB244+AH244+AN244+AT244+AZ244+BF244+BL244</f>
        <v/>
      </c>
      <c r="E244" s="42">
        <f>H244+N244+T244+Z244+AF244+AL244+AR244+AX244+BD244+BJ244</f>
        <v/>
      </c>
      <c r="F244" t="n">
        <v>0</v>
      </c>
      <c r="G244" s="42">
        <f>K243</f>
        <v/>
      </c>
      <c r="H244" s="42">
        <f>ROUND(G244*H$6/12,2)</f>
        <v/>
      </c>
      <c r="I244" s="42">
        <f>MIN(I$6,G244+H244)</f>
        <v/>
      </c>
      <c r="J244" s="42">
        <f>MAX(0,MIN(G244+H244-I244,$F244))</f>
        <v/>
      </c>
      <c r="K244" s="42">
        <f>ROUND(G244+H244-I244-J244,2)</f>
        <v/>
      </c>
      <c r="L244">
        <f>$F244-J244</f>
        <v/>
      </c>
      <c r="M244" s="42">
        <f>Q243</f>
        <v/>
      </c>
      <c r="N244" s="42">
        <f>ROUND(M244*N$6/12,2)</f>
        <v/>
      </c>
      <c r="O244" s="42">
        <f>MIN(O$6,M244+N244)</f>
        <v/>
      </c>
      <c r="P244" s="42">
        <f>MAX(0,MIN(M244+N244-O244,L244))</f>
        <v/>
      </c>
      <c r="Q244" s="42">
        <f>ROUND(M244+N244-O244-P244,2)</f>
        <v/>
      </c>
      <c r="R244">
        <f>L244-P244</f>
        <v/>
      </c>
      <c r="S244" s="42">
        <f>W243</f>
        <v/>
      </c>
      <c r="T244" s="42">
        <f>ROUND(S244*T$6/12,2)</f>
        <v/>
      </c>
      <c r="U244" s="42">
        <f>MIN(U$6,S244+T244)</f>
        <v/>
      </c>
      <c r="V244" s="42">
        <f>MAX(0,MIN(S244+T244-U244,R244))</f>
        <v/>
      </c>
      <c r="W244" s="42">
        <f>ROUND(S244+T244-U244-V244,2)</f>
        <v/>
      </c>
      <c r="X244">
        <f>R244-V244</f>
        <v/>
      </c>
      <c r="Y244" s="42">
        <f>AC243</f>
        <v/>
      </c>
      <c r="Z244" s="42">
        <f>ROUND(Y244*Z$6/12,2)</f>
        <v/>
      </c>
      <c r="AA244" s="42">
        <f>MIN(AA$6,Y244+Z244)</f>
        <v/>
      </c>
      <c r="AB244" s="42">
        <f>MAX(0,MIN(Y244+Z244-AA244,X244))</f>
        <v/>
      </c>
      <c r="AC244" s="42">
        <f>ROUND(Y244+Z244-AA244-AB244,2)</f>
        <v/>
      </c>
      <c r="AD244">
        <f>X244-AB244</f>
        <v/>
      </c>
      <c r="AE244" s="42">
        <f>AI243</f>
        <v/>
      </c>
      <c r="AF244" s="42">
        <f>ROUND(AE244*AF$6/12,2)</f>
        <v/>
      </c>
      <c r="AG244" s="42">
        <f>MIN(AG$6,AE244+AF244)</f>
        <v/>
      </c>
      <c r="AH244" s="42">
        <f>MAX(0,MIN(AE244+AF244-AG244,AD244))</f>
        <v/>
      </c>
      <c r="AI244" s="42">
        <f>ROUND(AE244+AF244-AG244-AH244,2)</f>
        <v/>
      </c>
      <c r="AJ244">
        <f>AD244-AH244</f>
        <v/>
      </c>
      <c r="AK244" s="42">
        <f>AO243</f>
        <v/>
      </c>
      <c r="AL244" s="42">
        <f>ROUND(AK244*AL$6/12,2)</f>
        <v/>
      </c>
      <c r="AM244" s="42">
        <f>MIN(AM$6,AK244+AL244)</f>
        <v/>
      </c>
      <c r="AN244" s="42">
        <f>MAX(0,MIN(AK244+AL244-AM244,AJ244))</f>
        <v/>
      </c>
      <c r="AO244" s="42">
        <f>ROUND(AK244+AL244-AM244-AN244,2)</f>
        <v/>
      </c>
      <c r="AP244">
        <f>AJ244-AN244</f>
        <v/>
      </c>
      <c r="AQ244" s="42">
        <f>AU243</f>
        <v/>
      </c>
      <c r="AR244" s="42">
        <f>ROUND(AQ244*AR$6/12,2)</f>
        <v/>
      </c>
      <c r="AS244" s="42">
        <f>MIN(AS$6,AQ244+AR244)</f>
        <v/>
      </c>
      <c r="AT244" s="42">
        <f>MAX(0,MIN(AQ244+AR244-AS244,AP244))</f>
        <v/>
      </c>
      <c r="AU244" s="42">
        <f>ROUND(AQ244+AR244-AS244-AT244,2)</f>
        <v/>
      </c>
      <c r="AV244">
        <f>AP244-AT244</f>
        <v/>
      </c>
      <c r="AW244" s="42">
        <f>BA243</f>
        <v/>
      </c>
      <c r="AX244" s="42">
        <f>ROUND(AW244*AX$6/12,2)</f>
        <v/>
      </c>
      <c r="AY244" s="42">
        <f>MIN(AY$6,AW244+AX244)</f>
        <v/>
      </c>
      <c r="AZ244" s="42">
        <f>MAX(0,MIN(AW244+AX244-AY244,AV244))</f>
        <v/>
      </c>
      <c r="BA244" s="42">
        <f>ROUND(AW244+AX244-AY244-AZ244,2)</f>
        <v/>
      </c>
      <c r="BB244">
        <f>AV244-AZ244</f>
        <v/>
      </c>
      <c r="BC244" s="42">
        <f>BG243</f>
        <v/>
      </c>
      <c r="BD244" s="42">
        <f>ROUND(BC244*BD$6/12,2)</f>
        <v/>
      </c>
      <c r="BE244" s="42">
        <f>MIN(BE$6,BC244+BD244)</f>
        <v/>
      </c>
      <c r="BF244" s="42">
        <f>MAX(0,MIN(BC244+BD244-BE244,BB244))</f>
        <v/>
      </c>
      <c r="BG244" s="42">
        <f>ROUND(BC244+BD244-BE244-BF244,2)</f>
        <v/>
      </c>
      <c r="BH244">
        <f>BB244-BF244</f>
        <v/>
      </c>
      <c r="BI244" s="42">
        <f>BM243</f>
        <v/>
      </c>
      <c r="BJ244" s="42">
        <f>ROUND(BI244*BJ$6/12,2)</f>
        <v/>
      </c>
      <c r="BK244" s="42">
        <f>MIN(BK$6,BI244+BJ244)</f>
        <v/>
      </c>
      <c r="BL244" s="42">
        <f>MAX(0,MIN(BI244+BJ244-BK244,BH244))</f>
        <v/>
      </c>
      <c r="BM244" s="42">
        <f>ROUND(BI244+BJ244-BK244-BL244,2)</f>
        <v/>
      </c>
      <c r="BN244">
        <f>BH244-BL244</f>
        <v/>
      </c>
    </row>
    <row r="245">
      <c r="A245" s="43" t="n">
        <v>238</v>
      </c>
      <c r="B245" s="44">
        <f>EDATE('My Debts'!$C$6,A245-1)</f>
        <v/>
      </c>
      <c r="C245" s="45">
        <f>K245+Q245+W245+AC245+AI245+AO245+AU245+BA245+BG245+BM245</f>
        <v/>
      </c>
      <c r="D245" s="46">
        <f>I245+O245+U245+AA245+AG245+AM245+AS245+AY245+BE245+BK245+J245+P245+V245+AB245+AH245+AN245+AT245+AZ245+BF245+BL245</f>
        <v/>
      </c>
      <c r="E245" s="46">
        <f>H245+N245+T245+Z245+AF245+AL245+AR245+AX245+BD245+BJ245</f>
        <v/>
      </c>
      <c r="F245" t="n">
        <v>0</v>
      </c>
      <c r="G245" s="42">
        <f>K244</f>
        <v/>
      </c>
      <c r="H245" s="42">
        <f>ROUND(G245*H$6/12,2)</f>
        <v/>
      </c>
      <c r="I245" s="42">
        <f>MIN(I$6,G245+H245)</f>
        <v/>
      </c>
      <c r="J245" s="42">
        <f>MAX(0,MIN(G245+H245-I245,$F245))</f>
        <v/>
      </c>
      <c r="K245" s="42">
        <f>ROUND(G245+H245-I245-J245,2)</f>
        <v/>
      </c>
      <c r="L245">
        <f>$F245-J245</f>
        <v/>
      </c>
      <c r="M245" s="42">
        <f>Q244</f>
        <v/>
      </c>
      <c r="N245" s="42">
        <f>ROUND(M245*N$6/12,2)</f>
        <v/>
      </c>
      <c r="O245" s="42">
        <f>MIN(O$6,M245+N245)</f>
        <v/>
      </c>
      <c r="P245" s="42">
        <f>MAX(0,MIN(M245+N245-O245,L245))</f>
        <v/>
      </c>
      <c r="Q245" s="42">
        <f>ROUND(M245+N245-O245-P245,2)</f>
        <v/>
      </c>
      <c r="R245">
        <f>L245-P245</f>
        <v/>
      </c>
      <c r="S245" s="42">
        <f>W244</f>
        <v/>
      </c>
      <c r="T245" s="42">
        <f>ROUND(S245*T$6/12,2)</f>
        <v/>
      </c>
      <c r="U245" s="42">
        <f>MIN(U$6,S245+T245)</f>
        <v/>
      </c>
      <c r="V245" s="42">
        <f>MAX(0,MIN(S245+T245-U245,R245))</f>
        <v/>
      </c>
      <c r="W245" s="42">
        <f>ROUND(S245+T245-U245-V245,2)</f>
        <v/>
      </c>
      <c r="X245">
        <f>R245-V245</f>
        <v/>
      </c>
      <c r="Y245" s="42">
        <f>AC244</f>
        <v/>
      </c>
      <c r="Z245" s="42">
        <f>ROUND(Y245*Z$6/12,2)</f>
        <v/>
      </c>
      <c r="AA245" s="42">
        <f>MIN(AA$6,Y245+Z245)</f>
        <v/>
      </c>
      <c r="AB245" s="42">
        <f>MAX(0,MIN(Y245+Z245-AA245,X245))</f>
        <v/>
      </c>
      <c r="AC245" s="42">
        <f>ROUND(Y245+Z245-AA245-AB245,2)</f>
        <v/>
      </c>
      <c r="AD245">
        <f>X245-AB245</f>
        <v/>
      </c>
      <c r="AE245" s="42">
        <f>AI244</f>
        <v/>
      </c>
      <c r="AF245" s="42">
        <f>ROUND(AE245*AF$6/12,2)</f>
        <v/>
      </c>
      <c r="AG245" s="42">
        <f>MIN(AG$6,AE245+AF245)</f>
        <v/>
      </c>
      <c r="AH245" s="42">
        <f>MAX(0,MIN(AE245+AF245-AG245,AD245))</f>
        <v/>
      </c>
      <c r="AI245" s="42">
        <f>ROUND(AE245+AF245-AG245-AH245,2)</f>
        <v/>
      </c>
      <c r="AJ245">
        <f>AD245-AH245</f>
        <v/>
      </c>
      <c r="AK245" s="42">
        <f>AO244</f>
        <v/>
      </c>
      <c r="AL245" s="42">
        <f>ROUND(AK245*AL$6/12,2)</f>
        <v/>
      </c>
      <c r="AM245" s="42">
        <f>MIN(AM$6,AK245+AL245)</f>
        <v/>
      </c>
      <c r="AN245" s="42">
        <f>MAX(0,MIN(AK245+AL245-AM245,AJ245))</f>
        <v/>
      </c>
      <c r="AO245" s="42">
        <f>ROUND(AK245+AL245-AM245-AN245,2)</f>
        <v/>
      </c>
      <c r="AP245">
        <f>AJ245-AN245</f>
        <v/>
      </c>
      <c r="AQ245" s="42">
        <f>AU244</f>
        <v/>
      </c>
      <c r="AR245" s="42">
        <f>ROUND(AQ245*AR$6/12,2)</f>
        <v/>
      </c>
      <c r="AS245" s="42">
        <f>MIN(AS$6,AQ245+AR245)</f>
        <v/>
      </c>
      <c r="AT245" s="42">
        <f>MAX(0,MIN(AQ245+AR245-AS245,AP245))</f>
        <v/>
      </c>
      <c r="AU245" s="42">
        <f>ROUND(AQ245+AR245-AS245-AT245,2)</f>
        <v/>
      </c>
      <c r="AV245">
        <f>AP245-AT245</f>
        <v/>
      </c>
      <c r="AW245" s="42">
        <f>BA244</f>
        <v/>
      </c>
      <c r="AX245" s="42">
        <f>ROUND(AW245*AX$6/12,2)</f>
        <v/>
      </c>
      <c r="AY245" s="42">
        <f>MIN(AY$6,AW245+AX245)</f>
        <v/>
      </c>
      <c r="AZ245" s="42">
        <f>MAX(0,MIN(AW245+AX245-AY245,AV245))</f>
        <v/>
      </c>
      <c r="BA245" s="42">
        <f>ROUND(AW245+AX245-AY245-AZ245,2)</f>
        <v/>
      </c>
      <c r="BB245">
        <f>AV245-AZ245</f>
        <v/>
      </c>
      <c r="BC245" s="42">
        <f>BG244</f>
        <v/>
      </c>
      <c r="BD245" s="42">
        <f>ROUND(BC245*BD$6/12,2)</f>
        <v/>
      </c>
      <c r="BE245" s="42">
        <f>MIN(BE$6,BC245+BD245)</f>
        <v/>
      </c>
      <c r="BF245" s="42">
        <f>MAX(0,MIN(BC245+BD245-BE245,BB245))</f>
        <v/>
      </c>
      <c r="BG245" s="42">
        <f>ROUND(BC245+BD245-BE245-BF245,2)</f>
        <v/>
      </c>
      <c r="BH245">
        <f>BB245-BF245</f>
        <v/>
      </c>
      <c r="BI245" s="42">
        <f>BM244</f>
        <v/>
      </c>
      <c r="BJ245" s="42">
        <f>ROUND(BI245*BJ$6/12,2)</f>
        <v/>
      </c>
      <c r="BK245" s="42">
        <f>MIN(BK$6,BI245+BJ245)</f>
        <v/>
      </c>
      <c r="BL245" s="42">
        <f>MAX(0,MIN(BI245+BJ245-BK245,BH245))</f>
        <v/>
      </c>
      <c r="BM245" s="42">
        <f>ROUND(BI245+BJ245-BK245-BL245,2)</f>
        <v/>
      </c>
      <c r="BN245">
        <f>BH245-BL245</f>
        <v/>
      </c>
    </row>
    <row r="246">
      <c r="A246" s="39" t="n">
        <v>239</v>
      </c>
      <c r="B246" s="40">
        <f>EDATE('My Debts'!$C$6,A246-1)</f>
        <v/>
      </c>
      <c r="C246" s="41">
        <f>K246+Q246+W246+AC246+AI246+AO246+AU246+BA246+BG246+BM246</f>
        <v/>
      </c>
      <c r="D246" s="42">
        <f>I246+O246+U246+AA246+AG246+AM246+AS246+AY246+BE246+BK246+J246+P246+V246+AB246+AH246+AN246+AT246+AZ246+BF246+BL246</f>
        <v/>
      </c>
      <c r="E246" s="42">
        <f>H246+N246+T246+Z246+AF246+AL246+AR246+AX246+BD246+BJ246</f>
        <v/>
      </c>
      <c r="F246" t="n">
        <v>0</v>
      </c>
      <c r="G246" s="42">
        <f>K245</f>
        <v/>
      </c>
      <c r="H246" s="42">
        <f>ROUND(G246*H$6/12,2)</f>
        <v/>
      </c>
      <c r="I246" s="42">
        <f>MIN(I$6,G246+H246)</f>
        <v/>
      </c>
      <c r="J246" s="42">
        <f>MAX(0,MIN(G246+H246-I246,$F246))</f>
        <v/>
      </c>
      <c r="K246" s="42">
        <f>ROUND(G246+H246-I246-J246,2)</f>
        <v/>
      </c>
      <c r="L246">
        <f>$F246-J246</f>
        <v/>
      </c>
      <c r="M246" s="42">
        <f>Q245</f>
        <v/>
      </c>
      <c r="N246" s="42">
        <f>ROUND(M246*N$6/12,2)</f>
        <v/>
      </c>
      <c r="O246" s="42">
        <f>MIN(O$6,M246+N246)</f>
        <v/>
      </c>
      <c r="P246" s="42">
        <f>MAX(0,MIN(M246+N246-O246,L246))</f>
        <v/>
      </c>
      <c r="Q246" s="42">
        <f>ROUND(M246+N246-O246-P246,2)</f>
        <v/>
      </c>
      <c r="R246">
        <f>L246-P246</f>
        <v/>
      </c>
      <c r="S246" s="42">
        <f>W245</f>
        <v/>
      </c>
      <c r="T246" s="42">
        <f>ROUND(S246*T$6/12,2)</f>
        <v/>
      </c>
      <c r="U246" s="42">
        <f>MIN(U$6,S246+T246)</f>
        <v/>
      </c>
      <c r="V246" s="42">
        <f>MAX(0,MIN(S246+T246-U246,R246))</f>
        <v/>
      </c>
      <c r="W246" s="42">
        <f>ROUND(S246+T246-U246-V246,2)</f>
        <v/>
      </c>
      <c r="X246">
        <f>R246-V246</f>
        <v/>
      </c>
      <c r="Y246" s="42">
        <f>AC245</f>
        <v/>
      </c>
      <c r="Z246" s="42">
        <f>ROUND(Y246*Z$6/12,2)</f>
        <v/>
      </c>
      <c r="AA246" s="42">
        <f>MIN(AA$6,Y246+Z246)</f>
        <v/>
      </c>
      <c r="AB246" s="42">
        <f>MAX(0,MIN(Y246+Z246-AA246,X246))</f>
        <v/>
      </c>
      <c r="AC246" s="42">
        <f>ROUND(Y246+Z246-AA246-AB246,2)</f>
        <v/>
      </c>
      <c r="AD246">
        <f>X246-AB246</f>
        <v/>
      </c>
      <c r="AE246" s="42">
        <f>AI245</f>
        <v/>
      </c>
      <c r="AF246" s="42">
        <f>ROUND(AE246*AF$6/12,2)</f>
        <v/>
      </c>
      <c r="AG246" s="42">
        <f>MIN(AG$6,AE246+AF246)</f>
        <v/>
      </c>
      <c r="AH246" s="42">
        <f>MAX(0,MIN(AE246+AF246-AG246,AD246))</f>
        <v/>
      </c>
      <c r="AI246" s="42">
        <f>ROUND(AE246+AF246-AG246-AH246,2)</f>
        <v/>
      </c>
      <c r="AJ246">
        <f>AD246-AH246</f>
        <v/>
      </c>
      <c r="AK246" s="42">
        <f>AO245</f>
        <v/>
      </c>
      <c r="AL246" s="42">
        <f>ROUND(AK246*AL$6/12,2)</f>
        <v/>
      </c>
      <c r="AM246" s="42">
        <f>MIN(AM$6,AK246+AL246)</f>
        <v/>
      </c>
      <c r="AN246" s="42">
        <f>MAX(0,MIN(AK246+AL246-AM246,AJ246))</f>
        <v/>
      </c>
      <c r="AO246" s="42">
        <f>ROUND(AK246+AL246-AM246-AN246,2)</f>
        <v/>
      </c>
      <c r="AP246">
        <f>AJ246-AN246</f>
        <v/>
      </c>
      <c r="AQ246" s="42">
        <f>AU245</f>
        <v/>
      </c>
      <c r="AR246" s="42">
        <f>ROUND(AQ246*AR$6/12,2)</f>
        <v/>
      </c>
      <c r="AS246" s="42">
        <f>MIN(AS$6,AQ246+AR246)</f>
        <v/>
      </c>
      <c r="AT246" s="42">
        <f>MAX(0,MIN(AQ246+AR246-AS246,AP246))</f>
        <v/>
      </c>
      <c r="AU246" s="42">
        <f>ROUND(AQ246+AR246-AS246-AT246,2)</f>
        <v/>
      </c>
      <c r="AV246">
        <f>AP246-AT246</f>
        <v/>
      </c>
      <c r="AW246" s="42">
        <f>BA245</f>
        <v/>
      </c>
      <c r="AX246" s="42">
        <f>ROUND(AW246*AX$6/12,2)</f>
        <v/>
      </c>
      <c r="AY246" s="42">
        <f>MIN(AY$6,AW246+AX246)</f>
        <v/>
      </c>
      <c r="AZ246" s="42">
        <f>MAX(0,MIN(AW246+AX246-AY246,AV246))</f>
        <v/>
      </c>
      <c r="BA246" s="42">
        <f>ROUND(AW246+AX246-AY246-AZ246,2)</f>
        <v/>
      </c>
      <c r="BB246">
        <f>AV246-AZ246</f>
        <v/>
      </c>
      <c r="BC246" s="42">
        <f>BG245</f>
        <v/>
      </c>
      <c r="BD246" s="42">
        <f>ROUND(BC246*BD$6/12,2)</f>
        <v/>
      </c>
      <c r="BE246" s="42">
        <f>MIN(BE$6,BC246+BD246)</f>
        <v/>
      </c>
      <c r="BF246" s="42">
        <f>MAX(0,MIN(BC246+BD246-BE246,BB246))</f>
        <v/>
      </c>
      <c r="BG246" s="42">
        <f>ROUND(BC246+BD246-BE246-BF246,2)</f>
        <v/>
      </c>
      <c r="BH246">
        <f>BB246-BF246</f>
        <v/>
      </c>
      <c r="BI246" s="42">
        <f>BM245</f>
        <v/>
      </c>
      <c r="BJ246" s="42">
        <f>ROUND(BI246*BJ$6/12,2)</f>
        <v/>
      </c>
      <c r="BK246" s="42">
        <f>MIN(BK$6,BI246+BJ246)</f>
        <v/>
      </c>
      <c r="BL246" s="42">
        <f>MAX(0,MIN(BI246+BJ246-BK246,BH246))</f>
        <v/>
      </c>
      <c r="BM246" s="42">
        <f>ROUND(BI246+BJ246-BK246-BL246,2)</f>
        <v/>
      </c>
      <c r="BN246">
        <f>BH246-BL246</f>
        <v/>
      </c>
    </row>
    <row r="247">
      <c r="A247" s="43" t="n">
        <v>240</v>
      </c>
      <c r="B247" s="44">
        <f>EDATE('My Debts'!$C$6,A247-1)</f>
        <v/>
      </c>
      <c r="C247" s="45">
        <f>K247+Q247+W247+AC247+AI247+AO247+AU247+BA247+BG247+BM247</f>
        <v/>
      </c>
      <c r="D247" s="46">
        <f>I247+O247+U247+AA247+AG247+AM247+AS247+AY247+BE247+BK247+J247+P247+V247+AB247+AH247+AN247+AT247+AZ247+BF247+BL247</f>
        <v/>
      </c>
      <c r="E247" s="46">
        <f>H247+N247+T247+Z247+AF247+AL247+AR247+AX247+BD247+BJ247</f>
        <v/>
      </c>
      <c r="F247" t="n">
        <v>0</v>
      </c>
      <c r="G247" s="42">
        <f>K246</f>
        <v/>
      </c>
      <c r="H247" s="42">
        <f>ROUND(G247*H$6/12,2)</f>
        <v/>
      </c>
      <c r="I247" s="42">
        <f>MIN(I$6,G247+H247)</f>
        <v/>
      </c>
      <c r="J247" s="42">
        <f>MAX(0,MIN(G247+H247-I247,$F247))</f>
        <v/>
      </c>
      <c r="K247" s="42">
        <f>ROUND(G247+H247-I247-J247,2)</f>
        <v/>
      </c>
      <c r="L247">
        <f>$F247-J247</f>
        <v/>
      </c>
      <c r="M247" s="42">
        <f>Q246</f>
        <v/>
      </c>
      <c r="N247" s="42">
        <f>ROUND(M247*N$6/12,2)</f>
        <v/>
      </c>
      <c r="O247" s="42">
        <f>MIN(O$6,M247+N247)</f>
        <v/>
      </c>
      <c r="P247" s="42">
        <f>MAX(0,MIN(M247+N247-O247,L247))</f>
        <v/>
      </c>
      <c r="Q247" s="42">
        <f>ROUND(M247+N247-O247-P247,2)</f>
        <v/>
      </c>
      <c r="R247">
        <f>L247-P247</f>
        <v/>
      </c>
      <c r="S247" s="42">
        <f>W246</f>
        <v/>
      </c>
      <c r="T247" s="42">
        <f>ROUND(S247*T$6/12,2)</f>
        <v/>
      </c>
      <c r="U247" s="42">
        <f>MIN(U$6,S247+T247)</f>
        <v/>
      </c>
      <c r="V247" s="42">
        <f>MAX(0,MIN(S247+T247-U247,R247))</f>
        <v/>
      </c>
      <c r="W247" s="42">
        <f>ROUND(S247+T247-U247-V247,2)</f>
        <v/>
      </c>
      <c r="X247">
        <f>R247-V247</f>
        <v/>
      </c>
      <c r="Y247" s="42">
        <f>AC246</f>
        <v/>
      </c>
      <c r="Z247" s="42">
        <f>ROUND(Y247*Z$6/12,2)</f>
        <v/>
      </c>
      <c r="AA247" s="42">
        <f>MIN(AA$6,Y247+Z247)</f>
        <v/>
      </c>
      <c r="AB247" s="42">
        <f>MAX(0,MIN(Y247+Z247-AA247,X247))</f>
        <v/>
      </c>
      <c r="AC247" s="42">
        <f>ROUND(Y247+Z247-AA247-AB247,2)</f>
        <v/>
      </c>
      <c r="AD247">
        <f>X247-AB247</f>
        <v/>
      </c>
      <c r="AE247" s="42">
        <f>AI246</f>
        <v/>
      </c>
      <c r="AF247" s="42">
        <f>ROUND(AE247*AF$6/12,2)</f>
        <v/>
      </c>
      <c r="AG247" s="42">
        <f>MIN(AG$6,AE247+AF247)</f>
        <v/>
      </c>
      <c r="AH247" s="42">
        <f>MAX(0,MIN(AE247+AF247-AG247,AD247))</f>
        <v/>
      </c>
      <c r="AI247" s="42">
        <f>ROUND(AE247+AF247-AG247-AH247,2)</f>
        <v/>
      </c>
      <c r="AJ247">
        <f>AD247-AH247</f>
        <v/>
      </c>
      <c r="AK247" s="42">
        <f>AO246</f>
        <v/>
      </c>
      <c r="AL247" s="42">
        <f>ROUND(AK247*AL$6/12,2)</f>
        <v/>
      </c>
      <c r="AM247" s="42">
        <f>MIN(AM$6,AK247+AL247)</f>
        <v/>
      </c>
      <c r="AN247" s="42">
        <f>MAX(0,MIN(AK247+AL247-AM247,AJ247))</f>
        <v/>
      </c>
      <c r="AO247" s="42">
        <f>ROUND(AK247+AL247-AM247-AN247,2)</f>
        <v/>
      </c>
      <c r="AP247">
        <f>AJ247-AN247</f>
        <v/>
      </c>
      <c r="AQ247" s="42">
        <f>AU246</f>
        <v/>
      </c>
      <c r="AR247" s="42">
        <f>ROUND(AQ247*AR$6/12,2)</f>
        <v/>
      </c>
      <c r="AS247" s="42">
        <f>MIN(AS$6,AQ247+AR247)</f>
        <v/>
      </c>
      <c r="AT247" s="42">
        <f>MAX(0,MIN(AQ247+AR247-AS247,AP247))</f>
        <v/>
      </c>
      <c r="AU247" s="42">
        <f>ROUND(AQ247+AR247-AS247-AT247,2)</f>
        <v/>
      </c>
      <c r="AV247">
        <f>AP247-AT247</f>
        <v/>
      </c>
      <c r="AW247" s="42">
        <f>BA246</f>
        <v/>
      </c>
      <c r="AX247" s="42">
        <f>ROUND(AW247*AX$6/12,2)</f>
        <v/>
      </c>
      <c r="AY247" s="42">
        <f>MIN(AY$6,AW247+AX247)</f>
        <v/>
      </c>
      <c r="AZ247" s="42">
        <f>MAX(0,MIN(AW247+AX247-AY247,AV247))</f>
        <v/>
      </c>
      <c r="BA247" s="42">
        <f>ROUND(AW247+AX247-AY247-AZ247,2)</f>
        <v/>
      </c>
      <c r="BB247">
        <f>AV247-AZ247</f>
        <v/>
      </c>
      <c r="BC247" s="42">
        <f>BG246</f>
        <v/>
      </c>
      <c r="BD247" s="42">
        <f>ROUND(BC247*BD$6/12,2)</f>
        <v/>
      </c>
      <c r="BE247" s="42">
        <f>MIN(BE$6,BC247+BD247)</f>
        <v/>
      </c>
      <c r="BF247" s="42">
        <f>MAX(0,MIN(BC247+BD247-BE247,BB247))</f>
        <v/>
      </c>
      <c r="BG247" s="42">
        <f>ROUND(BC247+BD247-BE247-BF247,2)</f>
        <v/>
      </c>
      <c r="BH247">
        <f>BB247-BF247</f>
        <v/>
      </c>
      <c r="BI247" s="42">
        <f>BM246</f>
        <v/>
      </c>
      <c r="BJ247" s="42">
        <f>ROUND(BI247*BJ$6/12,2)</f>
        <v/>
      </c>
      <c r="BK247" s="42">
        <f>MIN(BK$6,BI247+BJ247)</f>
        <v/>
      </c>
      <c r="BL247" s="42">
        <f>MAX(0,MIN(BI247+BJ247-BK247,BH247))</f>
        <v/>
      </c>
      <c r="BM247" s="42">
        <f>ROUND(BI247+BJ247-BK247-BL247,2)</f>
        <v/>
      </c>
      <c r="BN247">
        <f>BH247-BL247</f>
        <v/>
      </c>
    </row>
    <row r="248">
      <c r="A248" s="39" t="n">
        <v>241</v>
      </c>
      <c r="B248" s="40">
        <f>EDATE('My Debts'!$C$6,A248-1)</f>
        <v/>
      </c>
      <c r="C248" s="41">
        <f>K248+Q248+W248+AC248+AI248+AO248+AU248+BA248+BG248+BM248</f>
        <v/>
      </c>
      <c r="D248" s="42">
        <f>I248+O248+U248+AA248+AG248+AM248+AS248+AY248+BE248+BK248+J248+P248+V248+AB248+AH248+AN248+AT248+AZ248+BF248+BL248</f>
        <v/>
      </c>
      <c r="E248" s="42">
        <f>H248+N248+T248+Z248+AF248+AL248+AR248+AX248+BD248+BJ248</f>
        <v/>
      </c>
      <c r="F248" t="n">
        <v>0</v>
      </c>
      <c r="G248" s="42">
        <f>K247</f>
        <v/>
      </c>
      <c r="H248" s="42">
        <f>ROUND(G248*H$6/12,2)</f>
        <v/>
      </c>
      <c r="I248" s="42">
        <f>MIN(I$6,G248+H248)</f>
        <v/>
      </c>
      <c r="J248" s="42">
        <f>MAX(0,MIN(G248+H248-I248,$F248))</f>
        <v/>
      </c>
      <c r="K248" s="42">
        <f>ROUND(G248+H248-I248-J248,2)</f>
        <v/>
      </c>
      <c r="L248">
        <f>$F248-J248</f>
        <v/>
      </c>
      <c r="M248" s="42">
        <f>Q247</f>
        <v/>
      </c>
      <c r="N248" s="42">
        <f>ROUND(M248*N$6/12,2)</f>
        <v/>
      </c>
      <c r="O248" s="42">
        <f>MIN(O$6,M248+N248)</f>
        <v/>
      </c>
      <c r="P248" s="42">
        <f>MAX(0,MIN(M248+N248-O248,L248))</f>
        <v/>
      </c>
      <c r="Q248" s="42">
        <f>ROUND(M248+N248-O248-P248,2)</f>
        <v/>
      </c>
      <c r="R248">
        <f>L248-P248</f>
        <v/>
      </c>
      <c r="S248" s="42">
        <f>W247</f>
        <v/>
      </c>
      <c r="T248" s="42">
        <f>ROUND(S248*T$6/12,2)</f>
        <v/>
      </c>
      <c r="U248" s="42">
        <f>MIN(U$6,S248+T248)</f>
        <v/>
      </c>
      <c r="V248" s="42">
        <f>MAX(0,MIN(S248+T248-U248,R248))</f>
        <v/>
      </c>
      <c r="W248" s="42">
        <f>ROUND(S248+T248-U248-V248,2)</f>
        <v/>
      </c>
      <c r="X248">
        <f>R248-V248</f>
        <v/>
      </c>
      <c r="Y248" s="42">
        <f>AC247</f>
        <v/>
      </c>
      <c r="Z248" s="42">
        <f>ROUND(Y248*Z$6/12,2)</f>
        <v/>
      </c>
      <c r="AA248" s="42">
        <f>MIN(AA$6,Y248+Z248)</f>
        <v/>
      </c>
      <c r="AB248" s="42">
        <f>MAX(0,MIN(Y248+Z248-AA248,X248))</f>
        <v/>
      </c>
      <c r="AC248" s="42">
        <f>ROUND(Y248+Z248-AA248-AB248,2)</f>
        <v/>
      </c>
      <c r="AD248">
        <f>X248-AB248</f>
        <v/>
      </c>
      <c r="AE248" s="42">
        <f>AI247</f>
        <v/>
      </c>
      <c r="AF248" s="42">
        <f>ROUND(AE248*AF$6/12,2)</f>
        <v/>
      </c>
      <c r="AG248" s="42">
        <f>MIN(AG$6,AE248+AF248)</f>
        <v/>
      </c>
      <c r="AH248" s="42">
        <f>MAX(0,MIN(AE248+AF248-AG248,AD248))</f>
        <v/>
      </c>
      <c r="AI248" s="42">
        <f>ROUND(AE248+AF248-AG248-AH248,2)</f>
        <v/>
      </c>
      <c r="AJ248">
        <f>AD248-AH248</f>
        <v/>
      </c>
      <c r="AK248" s="42">
        <f>AO247</f>
        <v/>
      </c>
      <c r="AL248" s="42">
        <f>ROUND(AK248*AL$6/12,2)</f>
        <v/>
      </c>
      <c r="AM248" s="42">
        <f>MIN(AM$6,AK248+AL248)</f>
        <v/>
      </c>
      <c r="AN248" s="42">
        <f>MAX(0,MIN(AK248+AL248-AM248,AJ248))</f>
        <v/>
      </c>
      <c r="AO248" s="42">
        <f>ROUND(AK248+AL248-AM248-AN248,2)</f>
        <v/>
      </c>
      <c r="AP248">
        <f>AJ248-AN248</f>
        <v/>
      </c>
      <c r="AQ248" s="42">
        <f>AU247</f>
        <v/>
      </c>
      <c r="AR248" s="42">
        <f>ROUND(AQ248*AR$6/12,2)</f>
        <v/>
      </c>
      <c r="AS248" s="42">
        <f>MIN(AS$6,AQ248+AR248)</f>
        <v/>
      </c>
      <c r="AT248" s="42">
        <f>MAX(0,MIN(AQ248+AR248-AS248,AP248))</f>
        <v/>
      </c>
      <c r="AU248" s="42">
        <f>ROUND(AQ248+AR248-AS248-AT248,2)</f>
        <v/>
      </c>
      <c r="AV248">
        <f>AP248-AT248</f>
        <v/>
      </c>
      <c r="AW248" s="42">
        <f>BA247</f>
        <v/>
      </c>
      <c r="AX248" s="42">
        <f>ROUND(AW248*AX$6/12,2)</f>
        <v/>
      </c>
      <c r="AY248" s="42">
        <f>MIN(AY$6,AW248+AX248)</f>
        <v/>
      </c>
      <c r="AZ248" s="42">
        <f>MAX(0,MIN(AW248+AX248-AY248,AV248))</f>
        <v/>
      </c>
      <c r="BA248" s="42">
        <f>ROUND(AW248+AX248-AY248-AZ248,2)</f>
        <v/>
      </c>
      <c r="BB248">
        <f>AV248-AZ248</f>
        <v/>
      </c>
      <c r="BC248" s="42">
        <f>BG247</f>
        <v/>
      </c>
      <c r="BD248" s="42">
        <f>ROUND(BC248*BD$6/12,2)</f>
        <v/>
      </c>
      <c r="BE248" s="42">
        <f>MIN(BE$6,BC248+BD248)</f>
        <v/>
      </c>
      <c r="BF248" s="42">
        <f>MAX(0,MIN(BC248+BD248-BE248,BB248))</f>
        <v/>
      </c>
      <c r="BG248" s="42">
        <f>ROUND(BC248+BD248-BE248-BF248,2)</f>
        <v/>
      </c>
      <c r="BH248">
        <f>BB248-BF248</f>
        <v/>
      </c>
      <c r="BI248" s="42">
        <f>BM247</f>
        <v/>
      </c>
      <c r="BJ248" s="42">
        <f>ROUND(BI248*BJ$6/12,2)</f>
        <v/>
      </c>
      <c r="BK248" s="42">
        <f>MIN(BK$6,BI248+BJ248)</f>
        <v/>
      </c>
      <c r="BL248" s="42">
        <f>MAX(0,MIN(BI248+BJ248-BK248,BH248))</f>
        <v/>
      </c>
      <c r="BM248" s="42">
        <f>ROUND(BI248+BJ248-BK248-BL248,2)</f>
        <v/>
      </c>
      <c r="BN248">
        <f>BH248-BL248</f>
        <v/>
      </c>
    </row>
    <row r="249">
      <c r="A249" s="43" t="n">
        <v>242</v>
      </c>
      <c r="B249" s="44">
        <f>EDATE('My Debts'!$C$6,A249-1)</f>
        <v/>
      </c>
      <c r="C249" s="45">
        <f>K249+Q249+W249+AC249+AI249+AO249+AU249+BA249+BG249+BM249</f>
        <v/>
      </c>
      <c r="D249" s="46">
        <f>I249+O249+U249+AA249+AG249+AM249+AS249+AY249+BE249+BK249+J249+P249+V249+AB249+AH249+AN249+AT249+AZ249+BF249+BL249</f>
        <v/>
      </c>
      <c r="E249" s="46">
        <f>H249+N249+T249+Z249+AF249+AL249+AR249+AX249+BD249+BJ249</f>
        <v/>
      </c>
      <c r="F249" t="n">
        <v>0</v>
      </c>
      <c r="G249" s="42">
        <f>K248</f>
        <v/>
      </c>
      <c r="H249" s="42">
        <f>ROUND(G249*H$6/12,2)</f>
        <v/>
      </c>
      <c r="I249" s="42">
        <f>MIN(I$6,G249+H249)</f>
        <v/>
      </c>
      <c r="J249" s="42">
        <f>MAX(0,MIN(G249+H249-I249,$F249))</f>
        <v/>
      </c>
      <c r="K249" s="42">
        <f>ROUND(G249+H249-I249-J249,2)</f>
        <v/>
      </c>
      <c r="L249">
        <f>$F249-J249</f>
        <v/>
      </c>
      <c r="M249" s="42">
        <f>Q248</f>
        <v/>
      </c>
      <c r="N249" s="42">
        <f>ROUND(M249*N$6/12,2)</f>
        <v/>
      </c>
      <c r="O249" s="42">
        <f>MIN(O$6,M249+N249)</f>
        <v/>
      </c>
      <c r="P249" s="42">
        <f>MAX(0,MIN(M249+N249-O249,L249))</f>
        <v/>
      </c>
      <c r="Q249" s="42">
        <f>ROUND(M249+N249-O249-P249,2)</f>
        <v/>
      </c>
      <c r="R249">
        <f>L249-P249</f>
        <v/>
      </c>
      <c r="S249" s="42">
        <f>W248</f>
        <v/>
      </c>
      <c r="T249" s="42">
        <f>ROUND(S249*T$6/12,2)</f>
        <v/>
      </c>
      <c r="U249" s="42">
        <f>MIN(U$6,S249+T249)</f>
        <v/>
      </c>
      <c r="V249" s="42">
        <f>MAX(0,MIN(S249+T249-U249,R249))</f>
        <v/>
      </c>
      <c r="W249" s="42">
        <f>ROUND(S249+T249-U249-V249,2)</f>
        <v/>
      </c>
      <c r="X249">
        <f>R249-V249</f>
        <v/>
      </c>
      <c r="Y249" s="42">
        <f>AC248</f>
        <v/>
      </c>
      <c r="Z249" s="42">
        <f>ROUND(Y249*Z$6/12,2)</f>
        <v/>
      </c>
      <c r="AA249" s="42">
        <f>MIN(AA$6,Y249+Z249)</f>
        <v/>
      </c>
      <c r="AB249" s="42">
        <f>MAX(0,MIN(Y249+Z249-AA249,X249))</f>
        <v/>
      </c>
      <c r="AC249" s="42">
        <f>ROUND(Y249+Z249-AA249-AB249,2)</f>
        <v/>
      </c>
      <c r="AD249">
        <f>X249-AB249</f>
        <v/>
      </c>
      <c r="AE249" s="42">
        <f>AI248</f>
        <v/>
      </c>
      <c r="AF249" s="42">
        <f>ROUND(AE249*AF$6/12,2)</f>
        <v/>
      </c>
      <c r="AG249" s="42">
        <f>MIN(AG$6,AE249+AF249)</f>
        <v/>
      </c>
      <c r="AH249" s="42">
        <f>MAX(0,MIN(AE249+AF249-AG249,AD249))</f>
        <v/>
      </c>
      <c r="AI249" s="42">
        <f>ROUND(AE249+AF249-AG249-AH249,2)</f>
        <v/>
      </c>
      <c r="AJ249">
        <f>AD249-AH249</f>
        <v/>
      </c>
      <c r="AK249" s="42">
        <f>AO248</f>
        <v/>
      </c>
      <c r="AL249" s="42">
        <f>ROUND(AK249*AL$6/12,2)</f>
        <v/>
      </c>
      <c r="AM249" s="42">
        <f>MIN(AM$6,AK249+AL249)</f>
        <v/>
      </c>
      <c r="AN249" s="42">
        <f>MAX(0,MIN(AK249+AL249-AM249,AJ249))</f>
        <v/>
      </c>
      <c r="AO249" s="42">
        <f>ROUND(AK249+AL249-AM249-AN249,2)</f>
        <v/>
      </c>
      <c r="AP249">
        <f>AJ249-AN249</f>
        <v/>
      </c>
      <c r="AQ249" s="42">
        <f>AU248</f>
        <v/>
      </c>
      <c r="AR249" s="42">
        <f>ROUND(AQ249*AR$6/12,2)</f>
        <v/>
      </c>
      <c r="AS249" s="42">
        <f>MIN(AS$6,AQ249+AR249)</f>
        <v/>
      </c>
      <c r="AT249" s="42">
        <f>MAX(0,MIN(AQ249+AR249-AS249,AP249))</f>
        <v/>
      </c>
      <c r="AU249" s="42">
        <f>ROUND(AQ249+AR249-AS249-AT249,2)</f>
        <v/>
      </c>
      <c r="AV249">
        <f>AP249-AT249</f>
        <v/>
      </c>
      <c r="AW249" s="42">
        <f>BA248</f>
        <v/>
      </c>
      <c r="AX249" s="42">
        <f>ROUND(AW249*AX$6/12,2)</f>
        <v/>
      </c>
      <c r="AY249" s="42">
        <f>MIN(AY$6,AW249+AX249)</f>
        <v/>
      </c>
      <c r="AZ249" s="42">
        <f>MAX(0,MIN(AW249+AX249-AY249,AV249))</f>
        <v/>
      </c>
      <c r="BA249" s="42">
        <f>ROUND(AW249+AX249-AY249-AZ249,2)</f>
        <v/>
      </c>
      <c r="BB249">
        <f>AV249-AZ249</f>
        <v/>
      </c>
      <c r="BC249" s="42">
        <f>BG248</f>
        <v/>
      </c>
      <c r="BD249" s="42">
        <f>ROUND(BC249*BD$6/12,2)</f>
        <v/>
      </c>
      <c r="BE249" s="42">
        <f>MIN(BE$6,BC249+BD249)</f>
        <v/>
      </c>
      <c r="BF249" s="42">
        <f>MAX(0,MIN(BC249+BD249-BE249,BB249))</f>
        <v/>
      </c>
      <c r="BG249" s="42">
        <f>ROUND(BC249+BD249-BE249-BF249,2)</f>
        <v/>
      </c>
      <c r="BH249">
        <f>BB249-BF249</f>
        <v/>
      </c>
      <c r="BI249" s="42">
        <f>BM248</f>
        <v/>
      </c>
      <c r="BJ249" s="42">
        <f>ROUND(BI249*BJ$6/12,2)</f>
        <v/>
      </c>
      <c r="BK249" s="42">
        <f>MIN(BK$6,BI249+BJ249)</f>
        <v/>
      </c>
      <c r="BL249" s="42">
        <f>MAX(0,MIN(BI249+BJ249-BK249,BH249))</f>
        <v/>
      </c>
      <c r="BM249" s="42">
        <f>ROUND(BI249+BJ249-BK249-BL249,2)</f>
        <v/>
      </c>
      <c r="BN249">
        <f>BH249-BL249</f>
        <v/>
      </c>
    </row>
    <row r="250">
      <c r="A250" s="39" t="n">
        <v>243</v>
      </c>
      <c r="B250" s="40">
        <f>EDATE('My Debts'!$C$6,A250-1)</f>
        <v/>
      </c>
      <c r="C250" s="41">
        <f>K250+Q250+W250+AC250+AI250+AO250+AU250+BA250+BG250+BM250</f>
        <v/>
      </c>
      <c r="D250" s="42">
        <f>I250+O250+U250+AA250+AG250+AM250+AS250+AY250+BE250+BK250+J250+P250+V250+AB250+AH250+AN250+AT250+AZ250+BF250+BL250</f>
        <v/>
      </c>
      <c r="E250" s="42">
        <f>H250+N250+T250+Z250+AF250+AL250+AR250+AX250+BD250+BJ250</f>
        <v/>
      </c>
      <c r="F250" t="n">
        <v>0</v>
      </c>
      <c r="G250" s="42">
        <f>K249</f>
        <v/>
      </c>
      <c r="H250" s="42">
        <f>ROUND(G250*H$6/12,2)</f>
        <v/>
      </c>
      <c r="I250" s="42">
        <f>MIN(I$6,G250+H250)</f>
        <v/>
      </c>
      <c r="J250" s="42">
        <f>MAX(0,MIN(G250+H250-I250,$F250))</f>
        <v/>
      </c>
      <c r="K250" s="42">
        <f>ROUND(G250+H250-I250-J250,2)</f>
        <v/>
      </c>
      <c r="L250">
        <f>$F250-J250</f>
        <v/>
      </c>
      <c r="M250" s="42">
        <f>Q249</f>
        <v/>
      </c>
      <c r="N250" s="42">
        <f>ROUND(M250*N$6/12,2)</f>
        <v/>
      </c>
      <c r="O250" s="42">
        <f>MIN(O$6,M250+N250)</f>
        <v/>
      </c>
      <c r="P250" s="42">
        <f>MAX(0,MIN(M250+N250-O250,L250))</f>
        <v/>
      </c>
      <c r="Q250" s="42">
        <f>ROUND(M250+N250-O250-P250,2)</f>
        <v/>
      </c>
      <c r="R250">
        <f>L250-P250</f>
        <v/>
      </c>
      <c r="S250" s="42">
        <f>W249</f>
        <v/>
      </c>
      <c r="T250" s="42">
        <f>ROUND(S250*T$6/12,2)</f>
        <v/>
      </c>
      <c r="U250" s="42">
        <f>MIN(U$6,S250+T250)</f>
        <v/>
      </c>
      <c r="V250" s="42">
        <f>MAX(0,MIN(S250+T250-U250,R250))</f>
        <v/>
      </c>
      <c r="W250" s="42">
        <f>ROUND(S250+T250-U250-V250,2)</f>
        <v/>
      </c>
      <c r="X250">
        <f>R250-V250</f>
        <v/>
      </c>
      <c r="Y250" s="42">
        <f>AC249</f>
        <v/>
      </c>
      <c r="Z250" s="42">
        <f>ROUND(Y250*Z$6/12,2)</f>
        <v/>
      </c>
      <c r="AA250" s="42">
        <f>MIN(AA$6,Y250+Z250)</f>
        <v/>
      </c>
      <c r="AB250" s="42">
        <f>MAX(0,MIN(Y250+Z250-AA250,X250))</f>
        <v/>
      </c>
      <c r="AC250" s="42">
        <f>ROUND(Y250+Z250-AA250-AB250,2)</f>
        <v/>
      </c>
      <c r="AD250">
        <f>X250-AB250</f>
        <v/>
      </c>
      <c r="AE250" s="42">
        <f>AI249</f>
        <v/>
      </c>
      <c r="AF250" s="42">
        <f>ROUND(AE250*AF$6/12,2)</f>
        <v/>
      </c>
      <c r="AG250" s="42">
        <f>MIN(AG$6,AE250+AF250)</f>
        <v/>
      </c>
      <c r="AH250" s="42">
        <f>MAX(0,MIN(AE250+AF250-AG250,AD250))</f>
        <v/>
      </c>
      <c r="AI250" s="42">
        <f>ROUND(AE250+AF250-AG250-AH250,2)</f>
        <v/>
      </c>
      <c r="AJ250">
        <f>AD250-AH250</f>
        <v/>
      </c>
      <c r="AK250" s="42">
        <f>AO249</f>
        <v/>
      </c>
      <c r="AL250" s="42">
        <f>ROUND(AK250*AL$6/12,2)</f>
        <v/>
      </c>
      <c r="AM250" s="42">
        <f>MIN(AM$6,AK250+AL250)</f>
        <v/>
      </c>
      <c r="AN250" s="42">
        <f>MAX(0,MIN(AK250+AL250-AM250,AJ250))</f>
        <v/>
      </c>
      <c r="AO250" s="42">
        <f>ROUND(AK250+AL250-AM250-AN250,2)</f>
        <v/>
      </c>
      <c r="AP250">
        <f>AJ250-AN250</f>
        <v/>
      </c>
      <c r="AQ250" s="42">
        <f>AU249</f>
        <v/>
      </c>
      <c r="AR250" s="42">
        <f>ROUND(AQ250*AR$6/12,2)</f>
        <v/>
      </c>
      <c r="AS250" s="42">
        <f>MIN(AS$6,AQ250+AR250)</f>
        <v/>
      </c>
      <c r="AT250" s="42">
        <f>MAX(0,MIN(AQ250+AR250-AS250,AP250))</f>
        <v/>
      </c>
      <c r="AU250" s="42">
        <f>ROUND(AQ250+AR250-AS250-AT250,2)</f>
        <v/>
      </c>
      <c r="AV250">
        <f>AP250-AT250</f>
        <v/>
      </c>
      <c r="AW250" s="42">
        <f>BA249</f>
        <v/>
      </c>
      <c r="AX250" s="42">
        <f>ROUND(AW250*AX$6/12,2)</f>
        <v/>
      </c>
      <c r="AY250" s="42">
        <f>MIN(AY$6,AW250+AX250)</f>
        <v/>
      </c>
      <c r="AZ250" s="42">
        <f>MAX(0,MIN(AW250+AX250-AY250,AV250))</f>
        <v/>
      </c>
      <c r="BA250" s="42">
        <f>ROUND(AW250+AX250-AY250-AZ250,2)</f>
        <v/>
      </c>
      <c r="BB250">
        <f>AV250-AZ250</f>
        <v/>
      </c>
      <c r="BC250" s="42">
        <f>BG249</f>
        <v/>
      </c>
      <c r="BD250" s="42">
        <f>ROUND(BC250*BD$6/12,2)</f>
        <v/>
      </c>
      <c r="BE250" s="42">
        <f>MIN(BE$6,BC250+BD250)</f>
        <v/>
      </c>
      <c r="BF250" s="42">
        <f>MAX(0,MIN(BC250+BD250-BE250,BB250))</f>
        <v/>
      </c>
      <c r="BG250" s="42">
        <f>ROUND(BC250+BD250-BE250-BF250,2)</f>
        <v/>
      </c>
      <c r="BH250">
        <f>BB250-BF250</f>
        <v/>
      </c>
      <c r="BI250" s="42">
        <f>BM249</f>
        <v/>
      </c>
      <c r="BJ250" s="42">
        <f>ROUND(BI250*BJ$6/12,2)</f>
        <v/>
      </c>
      <c r="BK250" s="42">
        <f>MIN(BK$6,BI250+BJ250)</f>
        <v/>
      </c>
      <c r="BL250" s="42">
        <f>MAX(0,MIN(BI250+BJ250-BK250,BH250))</f>
        <v/>
      </c>
      <c r="BM250" s="42">
        <f>ROUND(BI250+BJ250-BK250-BL250,2)</f>
        <v/>
      </c>
      <c r="BN250">
        <f>BH250-BL250</f>
        <v/>
      </c>
    </row>
    <row r="251">
      <c r="A251" s="43" t="n">
        <v>244</v>
      </c>
      <c r="B251" s="44">
        <f>EDATE('My Debts'!$C$6,A251-1)</f>
        <v/>
      </c>
      <c r="C251" s="45">
        <f>K251+Q251+W251+AC251+AI251+AO251+AU251+BA251+BG251+BM251</f>
        <v/>
      </c>
      <c r="D251" s="46">
        <f>I251+O251+U251+AA251+AG251+AM251+AS251+AY251+BE251+BK251+J251+P251+V251+AB251+AH251+AN251+AT251+AZ251+BF251+BL251</f>
        <v/>
      </c>
      <c r="E251" s="46">
        <f>H251+N251+T251+Z251+AF251+AL251+AR251+AX251+BD251+BJ251</f>
        <v/>
      </c>
      <c r="F251" t="n">
        <v>0</v>
      </c>
      <c r="G251" s="42">
        <f>K250</f>
        <v/>
      </c>
      <c r="H251" s="42">
        <f>ROUND(G251*H$6/12,2)</f>
        <v/>
      </c>
      <c r="I251" s="42">
        <f>MIN(I$6,G251+H251)</f>
        <v/>
      </c>
      <c r="J251" s="42">
        <f>MAX(0,MIN(G251+H251-I251,$F251))</f>
        <v/>
      </c>
      <c r="K251" s="42">
        <f>ROUND(G251+H251-I251-J251,2)</f>
        <v/>
      </c>
      <c r="L251">
        <f>$F251-J251</f>
        <v/>
      </c>
      <c r="M251" s="42">
        <f>Q250</f>
        <v/>
      </c>
      <c r="N251" s="42">
        <f>ROUND(M251*N$6/12,2)</f>
        <v/>
      </c>
      <c r="O251" s="42">
        <f>MIN(O$6,M251+N251)</f>
        <v/>
      </c>
      <c r="P251" s="42">
        <f>MAX(0,MIN(M251+N251-O251,L251))</f>
        <v/>
      </c>
      <c r="Q251" s="42">
        <f>ROUND(M251+N251-O251-P251,2)</f>
        <v/>
      </c>
      <c r="R251">
        <f>L251-P251</f>
        <v/>
      </c>
      <c r="S251" s="42">
        <f>W250</f>
        <v/>
      </c>
      <c r="T251" s="42">
        <f>ROUND(S251*T$6/12,2)</f>
        <v/>
      </c>
      <c r="U251" s="42">
        <f>MIN(U$6,S251+T251)</f>
        <v/>
      </c>
      <c r="V251" s="42">
        <f>MAX(0,MIN(S251+T251-U251,R251))</f>
        <v/>
      </c>
      <c r="W251" s="42">
        <f>ROUND(S251+T251-U251-V251,2)</f>
        <v/>
      </c>
      <c r="X251">
        <f>R251-V251</f>
        <v/>
      </c>
      <c r="Y251" s="42">
        <f>AC250</f>
        <v/>
      </c>
      <c r="Z251" s="42">
        <f>ROUND(Y251*Z$6/12,2)</f>
        <v/>
      </c>
      <c r="AA251" s="42">
        <f>MIN(AA$6,Y251+Z251)</f>
        <v/>
      </c>
      <c r="AB251" s="42">
        <f>MAX(0,MIN(Y251+Z251-AA251,X251))</f>
        <v/>
      </c>
      <c r="AC251" s="42">
        <f>ROUND(Y251+Z251-AA251-AB251,2)</f>
        <v/>
      </c>
      <c r="AD251">
        <f>X251-AB251</f>
        <v/>
      </c>
      <c r="AE251" s="42">
        <f>AI250</f>
        <v/>
      </c>
      <c r="AF251" s="42">
        <f>ROUND(AE251*AF$6/12,2)</f>
        <v/>
      </c>
      <c r="AG251" s="42">
        <f>MIN(AG$6,AE251+AF251)</f>
        <v/>
      </c>
      <c r="AH251" s="42">
        <f>MAX(0,MIN(AE251+AF251-AG251,AD251))</f>
        <v/>
      </c>
      <c r="AI251" s="42">
        <f>ROUND(AE251+AF251-AG251-AH251,2)</f>
        <v/>
      </c>
      <c r="AJ251">
        <f>AD251-AH251</f>
        <v/>
      </c>
      <c r="AK251" s="42">
        <f>AO250</f>
        <v/>
      </c>
      <c r="AL251" s="42">
        <f>ROUND(AK251*AL$6/12,2)</f>
        <v/>
      </c>
      <c r="AM251" s="42">
        <f>MIN(AM$6,AK251+AL251)</f>
        <v/>
      </c>
      <c r="AN251" s="42">
        <f>MAX(0,MIN(AK251+AL251-AM251,AJ251))</f>
        <v/>
      </c>
      <c r="AO251" s="42">
        <f>ROUND(AK251+AL251-AM251-AN251,2)</f>
        <v/>
      </c>
      <c r="AP251">
        <f>AJ251-AN251</f>
        <v/>
      </c>
      <c r="AQ251" s="42">
        <f>AU250</f>
        <v/>
      </c>
      <c r="AR251" s="42">
        <f>ROUND(AQ251*AR$6/12,2)</f>
        <v/>
      </c>
      <c r="AS251" s="42">
        <f>MIN(AS$6,AQ251+AR251)</f>
        <v/>
      </c>
      <c r="AT251" s="42">
        <f>MAX(0,MIN(AQ251+AR251-AS251,AP251))</f>
        <v/>
      </c>
      <c r="AU251" s="42">
        <f>ROUND(AQ251+AR251-AS251-AT251,2)</f>
        <v/>
      </c>
      <c r="AV251">
        <f>AP251-AT251</f>
        <v/>
      </c>
      <c r="AW251" s="42">
        <f>BA250</f>
        <v/>
      </c>
      <c r="AX251" s="42">
        <f>ROUND(AW251*AX$6/12,2)</f>
        <v/>
      </c>
      <c r="AY251" s="42">
        <f>MIN(AY$6,AW251+AX251)</f>
        <v/>
      </c>
      <c r="AZ251" s="42">
        <f>MAX(0,MIN(AW251+AX251-AY251,AV251))</f>
        <v/>
      </c>
      <c r="BA251" s="42">
        <f>ROUND(AW251+AX251-AY251-AZ251,2)</f>
        <v/>
      </c>
      <c r="BB251">
        <f>AV251-AZ251</f>
        <v/>
      </c>
      <c r="BC251" s="42">
        <f>BG250</f>
        <v/>
      </c>
      <c r="BD251" s="42">
        <f>ROUND(BC251*BD$6/12,2)</f>
        <v/>
      </c>
      <c r="BE251" s="42">
        <f>MIN(BE$6,BC251+BD251)</f>
        <v/>
      </c>
      <c r="BF251" s="42">
        <f>MAX(0,MIN(BC251+BD251-BE251,BB251))</f>
        <v/>
      </c>
      <c r="BG251" s="42">
        <f>ROUND(BC251+BD251-BE251-BF251,2)</f>
        <v/>
      </c>
      <c r="BH251">
        <f>BB251-BF251</f>
        <v/>
      </c>
      <c r="BI251" s="42">
        <f>BM250</f>
        <v/>
      </c>
      <c r="BJ251" s="42">
        <f>ROUND(BI251*BJ$6/12,2)</f>
        <v/>
      </c>
      <c r="BK251" s="42">
        <f>MIN(BK$6,BI251+BJ251)</f>
        <v/>
      </c>
      <c r="BL251" s="42">
        <f>MAX(0,MIN(BI251+BJ251-BK251,BH251))</f>
        <v/>
      </c>
      <c r="BM251" s="42">
        <f>ROUND(BI251+BJ251-BK251-BL251,2)</f>
        <v/>
      </c>
      <c r="BN251">
        <f>BH251-BL251</f>
        <v/>
      </c>
    </row>
    <row r="252">
      <c r="A252" s="39" t="n">
        <v>245</v>
      </c>
      <c r="B252" s="40">
        <f>EDATE('My Debts'!$C$6,A252-1)</f>
        <v/>
      </c>
      <c r="C252" s="41">
        <f>K252+Q252+W252+AC252+AI252+AO252+AU252+BA252+BG252+BM252</f>
        <v/>
      </c>
      <c r="D252" s="42">
        <f>I252+O252+U252+AA252+AG252+AM252+AS252+AY252+BE252+BK252+J252+P252+V252+AB252+AH252+AN252+AT252+AZ252+BF252+BL252</f>
        <v/>
      </c>
      <c r="E252" s="42">
        <f>H252+N252+T252+Z252+AF252+AL252+AR252+AX252+BD252+BJ252</f>
        <v/>
      </c>
      <c r="F252" t="n">
        <v>0</v>
      </c>
      <c r="G252" s="42">
        <f>K251</f>
        <v/>
      </c>
      <c r="H252" s="42">
        <f>ROUND(G252*H$6/12,2)</f>
        <v/>
      </c>
      <c r="I252" s="42">
        <f>MIN(I$6,G252+H252)</f>
        <v/>
      </c>
      <c r="J252" s="42">
        <f>MAX(0,MIN(G252+H252-I252,$F252))</f>
        <v/>
      </c>
      <c r="K252" s="42">
        <f>ROUND(G252+H252-I252-J252,2)</f>
        <v/>
      </c>
      <c r="L252">
        <f>$F252-J252</f>
        <v/>
      </c>
      <c r="M252" s="42">
        <f>Q251</f>
        <v/>
      </c>
      <c r="N252" s="42">
        <f>ROUND(M252*N$6/12,2)</f>
        <v/>
      </c>
      <c r="O252" s="42">
        <f>MIN(O$6,M252+N252)</f>
        <v/>
      </c>
      <c r="P252" s="42">
        <f>MAX(0,MIN(M252+N252-O252,L252))</f>
        <v/>
      </c>
      <c r="Q252" s="42">
        <f>ROUND(M252+N252-O252-P252,2)</f>
        <v/>
      </c>
      <c r="R252">
        <f>L252-P252</f>
        <v/>
      </c>
      <c r="S252" s="42">
        <f>W251</f>
        <v/>
      </c>
      <c r="T252" s="42">
        <f>ROUND(S252*T$6/12,2)</f>
        <v/>
      </c>
      <c r="U252" s="42">
        <f>MIN(U$6,S252+T252)</f>
        <v/>
      </c>
      <c r="V252" s="42">
        <f>MAX(0,MIN(S252+T252-U252,R252))</f>
        <v/>
      </c>
      <c r="W252" s="42">
        <f>ROUND(S252+T252-U252-V252,2)</f>
        <v/>
      </c>
      <c r="X252">
        <f>R252-V252</f>
        <v/>
      </c>
      <c r="Y252" s="42">
        <f>AC251</f>
        <v/>
      </c>
      <c r="Z252" s="42">
        <f>ROUND(Y252*Z$6/12,2)</f>
        <v/>
      </c>
      <c r="AA252" s="42">
        <f>MIN(AA$6,Y252+Z252)</f>
        <v/>
      </c>
      <c r="AB252" s="42">
        <f>MAX(0,MIN(Y252+Z252-AA252,X252))</f>
        <v/>
      </c>
      <c r="AC252" s="42">
        <f>ROUND(Y252+Z252-AA252-AB252,2)</f>
        <v/>
      </c>
      <c r="AD252">
        <f>X252-AB252</f>
        <v/>
      </c>
      <c r="AE252" s="42">
        <f>AI251</f>
        <v/>
      </c>
      <c r="AF252" s="42">
        <f>ROUND(AE252*AF$6/12,2)</f>
        <v/>
      </c>
      <c r="AG252" s="42">
        <f>MIN(AG$6,AE252+AF252)</f>
        <v/>
      </c>
      <c r="AH252" s="42">
        <f>MAX(0,MIN(AE252+AF252-AG252,AD252))</f>
        <v/>
      </c>
      <c r="AI252" s="42">
        <f>ROUND(AE252+AF252-AG252-AH252,2)</f>
        <v/>
      </c>
      <c r="AJ252">
        <f>AD252-AH252</f>
        <v/>
      </c>
      <c r="AK252" s="42">
        <f>AO251</f>
        <v/>
      </c>
      <c r="AL252" s="42">
        <f>ROUND(AK252*AL$6/12,2)</f>
        <v/>
      </c>
      <c r="AM252" s="42">
        <f>MIN(AM$6,AK252+AL252)</f>
        <v/>
      </c>
      <c r="AN252" s="42">
        <f>MAX(0,MIN(AK252+AL252-AM252,AJ252))</f>
        <v/>
      </c>
      <c r="AO252" s="42">
        <f>ROUND(AK252+AL252-AM252-AN252,2)</f>
        <v/>
      </c>
      <c r="AP252">
        <f>AJ252-AN252</f>
        <v/>
      </c>
      <c r="AQ252" s="42">
        <f>AU251</f>
        <v/>
      </c>
      <c r="AR252" s="42">
        <f>ROUND(AQ252*AR$6/12,2)</f>
        <v/>
      </c>
      <c r="AS252" s="42">
        <f>MIN(AS$6,AQ252+AR252)</f>
        <v/>
      </c>
      <c r="AT252" s="42">
        <f>MAX(0,MIN(AQ252+AR252-AS252,AP252))</f>
        <v/>
      </c>
      <c r="AU252" s="42">
        <f>ROUND(AQ252+AR252-AS252-AT252,2)</f>
        <v/>
      </c>
      <c r="AV252">
        <f>AP252-AT252</f>
        <v/>
      </c>
      <c r="AW252" s="42">
        <f>BA251</f>
        <v/>
      </c>
      <c r="AX252" s="42">
        <f>ROUND(AW252*AX$6/12,2)</f>
        <v/>
      </c>
      <c r="AY252" s="42">
        <f>MIN(AY$6,AW252+AX252)</f>
        <v/>
      </c>
      <c r="AZ252" s="42">
        <f>MAX(0,MIN(AW252+AX252-AY252,AV252))</f>
        <v/>
      </c>
      <c r="BA252" s="42">
        <f>ROUND(AW252+AX252-AY252-AZ252,2)</f>
        <v/>
      </c>
      <c r="BB252">
        <f>AV252-AZ252</f>
        <v/>
      </c>
      <c r="BC252" s="42">
        <f>BG251</f>
        <v/>
      </c>
      <c r="BD252" s="42">
        <f>ROUND(BC252*BD$6/12,2)</f>
        <v/>
      </c>
      <c r="BE252" s="42">
        <f>MIN(BE$6,BC252+BD252)</f>
        <v/>
      </c>
      <c r="BF252" s="42">
        <f>MAX(0,MIN(BC252+BD252-BE252,BB252))</f>
        <v/>
      </c>
      <c r="BG252" s="42">
        <f>ROUND(BC252+BD252-BE252-BF252,2)</f>
        <v/>
      </c>
      <c r="BH252">
        <f>BB252-BF252</f>
        <v/>
      </c>
      <c r="BI252" s="42">
        <f>BM251</f>
        <v/>
      </c>
      <c r="BJ252" s="42">
        <f>ROUND(BI252*BJ$6/12,2)</f>
        <v/>
      </c>
      <c r="BK252" s="42">
        <f>MIN(BK$6,BI252+BJ252)</f>
        <v/>
      </c>
      <c r="BL252" s="42">
        <f>MAX(0,MIN(BI252+BJ252-BK252,BH252))</f>
        <v/>
      </c>
      <c r="BM252" s="42">
        <f>ROUND(BI252+BJ252-BK252-BL252,2)</f>
        <v/>
      </c>
      <c r="BN252">
        <f>BH252-BL252</f>
        <v/>
      </c>
    </row>
    <row r="253">
      <c r="A253" s="43" t="n">
        <v>246</v>
      </c>
      <c r="B253" s="44">
        <f>EDATE('My Debts'!$C$6,A253-1)</f>
        <v/>
      </c>
      <c r="C253" s="45">
        <f>K253+Q253+W253+AC253+AI253+AO253+AU253+BA253+BG253+BM253</f>
        <v/>
      </c>
      <c r="D253" s="46">
        <f>I253+O253+U253+AA253+AG253+AM253+AS253+AY253+BE253+BK253+J253+P253+V253+AB253+AH253+AN253+AT253+AZ253+BF253+BL253</f>
        <v/>
      </c>
      <c r="E253" s="46">
        <f>H253+N253+T253+Z253+AF253+AL253+AR253+AX253+BD253+BJ253</f>
        <v/>
      </c>
      <c r="F253" t="n">
        <v>0</v>
      </c>
      <c r="G253" s="42">
        <f>K252</f>
        <v/>
      </c>
      <c r="H253" s="42">
        <f>ROUND(G253*H$6/12,2)</f>
        <v/>
      </c>
      <c r="I253" s="42">
        <f>MIN(I$6,G253+H253)</f>
        <v/>
      </c>
      <c r="J253" s="42">
        <f>MAX(0,MIN(G253+H253-I253,$F253))</f>
        <v/>
      </c>
      <c r="K253" s="42">
        <f>ROUND(G253+H253-I253-J253,2)</f>
        <v/>
      </c>
      <c r="L253">
        <f>$F253-J253</f>
        <v/>
      </c>
      <c r="M253" s="42">
        <f>Q252</f>
        <v/>
      </c>
      <c r="N253" s="42">
        <f>ROUND(M253*N$6/12,2)</f>
        <v/>
      </c>
      <c r="O253" s="42">
        <f>MIN(O$6,M253+N253)</f>
        <v/>
      </c>
      <c r="P253" s="42">
        <f>MAX(0,MIN(M253+N253-O253,L253))</f>
        <v/>
      </c>
      <c r="Q253" s="42">
        <f>ROUND(M253+N253-O253-P253,2)</f>
        <v/>
      </c>
      <c r="R253">
        <f>L253-P253</f>
        <v/>
      </c>
      <c r="S253" s="42">
        <f>W252</f>
        <v/>
      </c>
      <c r="T253" s="42">
        <f>ROUND(S253*T$6/12,2)</f>
        <v/>
      </c>
      <c r="U253" s="42">
        <f>MIN(U$6,S253+T253)</f>
        <v/>
      </c>
      <c r="V253" s="42">
        <f>MAX(0,MIN(S253+T253-U253,R253))</f>
        <v/>
      </c>
      <c r="W253" s="42">
        <f>ROUND(S253+T253-U253-V253,2)</f>
        <v/>
      </c>
      <c r="X253">
        <f>R253-V253</f>
        <v/>
      </c>
      <c r="Y253" s="42">
        <f>AC252</f>
        <v/>
      </c>
      <c r="Z253" s="42">
        <f>ROUND(Y253*Z$6/12,2)</f>
        <v/>
      </c>
      <c r="AA253" s="42">
        <f>MIN(AA$6,Y253+Z253)</f>
        <v/>
      </c>
      <c r="AB253" s="42">
        <f>MAX(0,MIN(Y253+Z253-AA253,X253))</f>
        <v/>
      </c>
      <c r="AC253" s="42">
        <f>ROUND(Y253+Z253-AA253-AB253,2)</f>
        <v/>
      </c>
      <c r="AD253">
        <f>X253-AB253</f>
        <v/>
      </c>
      <c r="AE253" s="42">
        <f>AI252</f>
        <v/>
      </c>
      <c r="AF253" s="42">
        <f>ROUND(AE253*AF$6/12,2)</f>
        <v/>
      </c>
      <c r="AG253" s="42">
        <f>MIN(AG$6,AE253+AF253)</f>
        <v/>
      </c>
      <c r="AH253" s="42">
        <f>MAX(0,MIN(AE253+AF253-AG253,AD253))</f>
        <v/>
      </c>
      <c r="AI253" s="42">
        <f>ROUND(AE253+AF253-AG253-AH253,2)</f>
        <v/>
      </c>
      <c r="AJ253">
        <f>AD253-AH253</f>
        <v/>
      </c>
      <c r="AK253" s="42">
        <f>AO252</f>
        <v/>
      </c>
      <c r="AL253" s="42">
        <f>ROUND(AK253*AL$6/12,2)</f>
        <v/>
      </c>
      <c r="AM253" s="42">
        <f>MIN(AM$6,AK253+AL253)</f>
        <v/>
      </c>
      <c r="AN253" s="42">
        <f>MAX(0,MIN(AK253+AL253-AM253,AJ253))</f>
        <v/>
      </c>
      <c r="AO253" s="42">
        <f>ROUND(AK253+AL253-AM253-AN253,2)</f>
        <v/>
      </c>
      <c r="AP253">
        <f>AJ253-AN253</f>
        <v/>
      </c>
      <c r="AQ253" s="42">
        <f>AU252</f>
        <v/>
      </c>
      <c r="AR253" s="42">
        <f>ROUND(AQ253*AR$6/12,2)</f>
        <v/>
      </c>
      <c r="AS253" s="42">
        <f>MIN(AS$6,AQ253+AR253)</f>
        <v/>
      </c>
      <c r="AT253" s="42">
        <f>MAX(0,MIN(AQ253+AR253-AS253,AP253))</f>
        <v/>
      </c>
      <c r="AU253" s="42">
        <f>ROUND(AQ253+AR253-AS253-AT253,2)</f>
        <v/>
      </c>
      <c r="AV253">
        <f>AP253-AT253</f>
        <v/>
      </c>
      <c r="AW253" s="42">
        <f>BA252</f>
        <v/>
      </c>
      <c r="AX253" s="42">
        <f>ROUND(AW253*AX$6/12,2)</f>
        <v/>
      </c>
      <c r="AY253" s="42">
        <f>MIN(AY$6,AW253+AX253)</f>
        <v/>
      </c>
      <c r="AZ253" s="42">
        <f>MAX(0,MIN(AW253+AX253-AY253,AV253))</f>
        <v/>
      </c>
      <c r="BA253" s="42">
        <f>ROUND(AW253+AX253-AY253-AZ253,2)</f>
        <v/>
      </c>
      <c r="BB253">
        <f>AV253-AZ253</f>
        <v/>
      </c>
      <c r="BC253" s="42">
        <f>BG252</f>
        <v/>
      </c>
      <c r="BD253" s="42">
        <f>ROUND(BC253*BD$6/12,2)</f>
        <v/>
      </c>
      <c r="BE253" s="42">
        <f>MIN(BE$6,BC253+BD253)</f>
        <v/>
      </c>
      <c r="BF253" s="42">
        <f>MAX(0,MIN(BC253+BD253-BE253,BB253))</f>
        <v/>
      </c>
      <c r="BG253" s="42">
        <f>ROUND(BC253+BD253-BE253-BF253,2)</f>
        <v/>
      </c>
      <c r="BH253">
        <f>BB253-BF253</f>
        <v/>
      </c>
      <c r="BI253" s="42">
        <f>BM252</f>
        <v/>
      </c>
      <c r="BJ253" s="42">
        <f>ROUND(BI253*BJ$6/12,2)</f>
        <v/>
      </c>
      <c r="BK253" s="42">
        <f>MIN(BK$6,BI253+BJ253)</f>
        <v/>
      </c>
      <c r="BL253" s="42">
        <f>MAX(0,MIN(BI253+BJ253-BK253,BH253))</f>
        <v/>
      </c>
      <c r="BM253" s="42">
        <f>ROUND(BI253+BJ253-BK253-BL253,2)</f>
        <v/>
      </c>
      <c r="BN253">
        <f>BH253-BL253</f>
        <v/>
      </c>
    </row>
    <row r="254">
      <c r="A254" s="39" t="n">
        <v>247</v>
      </c>
      <c r="B254" s="40">
        <f>EDATE('My Debts'!$C$6,A254-1)</f>
        <v/>
      </c>
      <c r="C254" s="41">
        <f>K254+Q254+W254+AC254+AI254+AO254+AU254+BA254+BG254+BM254</f>
        <v/>
      </c>
      <c r="D254" s="42">
        <f>I254+O254+U254+AA254+AG254+AM254+AS254+AY254+BE254+BK254+J254+P254+V254+AB254+AH254+AN254+AT254+AZ254+BF254+BL254</f>
        <v/>
      </c>
      <c r="E254" s="42">
        <f>H254+N254+T254+Z254+AF254+AL254+AR254+AX254+BD254+BJ254</f>
        <v/>
      </c>
      <c r="F254" t="n">
        <v>0</v>
      </c>
      <c r="G254" s="42">
        <f>K253</f>
        <v/>
      </c>
      <c r="H254" s="42">
        <f>ROUND(G254*H$6/12,2)</f>
        <v/>
      </c>
      <c r="I254" s="42">
        <f>MIN(I$6,G254+H254)</f>
        <v/>
      </c>
      <c r="J254" s="42">
        <f>MAX(0,MIN(G254+H254-I254,$F254))</f>
        <v/>
      </c>
      <c r="K254" s="42">
        <f>ROUND(G254+H254-I254-J254,2)</f>
        <v/>
      </c>
      <c r="L254">
        <f>$F254-J254</f>
        <v/>
      </c>
      <c r="M254" s="42">
        <f>Q253</f>
        <v/>
      </c>
      <c r="N254" s="42">
        <f>ROUND(M254*N$6/12,2)</f>
        <v/>
      </c>
      <c r="O254" s="42">
        <f>MIN(O$6,M254+N254)</f>
        <v/>
      </c>
      <c r="P254" s="42">
        <f>MAX(0,MIN(M254+N254-O254,L254))</f>
        <v/>
      </c>
      <c r="Q254" s="42">
        <f>ROUND(M254+N254-O254-P254,2)</f>
        <v/>
      </c>
      <c r="R254">
        <f>L254-P254</f>
        <v/>
      </c>
      <c r="S254" s="42">
        <f>W253</f>
        <v/>
      </c>
      <c r="T254" s="42">
        <f>ROUND(S254*T$6/12,2)</f>
        <v/>
      </c>
      <c r="U254" s="42">
        <f>MIN(U$6,S254+T254)</f>
        <v/>
      </c>
      <c r="V254" s="42">
        <f>MAX(0,MIN(S254+T254-U254,R254))</f>
        <v/>
      </c>
      <c r="W254" s="42">
        <f>ROUND(S254+T254-U254-V254,2)</f>
        <v/>
      </c>
      <c r="X254">
        <f>R254-V254</f>
        <v/>
      </c>
      <c r="Y254" s="42">
        <f>AC253</f>
        <v/>
      </c>
      <c r="Z254" s="42">
        <f>ROUND(Y254*Z$6/12,2)</f>
        <v/>
      </c>
      <c r="AA254" s="42">
        <f>MIN(AA$6,Y254+Z254)</f>
        <v/>
      </c>
      <c r="AB254" s="42">
        <f>MAX(0,MIN(Y254+Z254-AA254,X254))</f>
        <v/>
      </c>
      <c r="AC254" s="42">
        <f>ROUND(Y254+Z254-AA254-AB254,2)</f>
        <v/>
      </c>
      <c r="AD254">
        <f>X254-AB254</f>
        <v/>
      </c>
      <c r="AE254" s="42">
        <f>AI253</f>
        <v/>
      </c>
      <c r="AF254" s="42">
        <f>ROUND(AE254*AF$6/12,2)</f>
        <v/>
      </c>
      <c r="AG254" s="42">
        <f>MIN(AG$6,AE254+AF254)</f>
        <v/>
      </c>
      <c r="AH254" s="42">
        <f>MAX(0,MIN(AE254+AF254-AG254,AD254))</f>
        <v/>
      </c>
      <c r="AI254" s="42">
        <f>ROUND(AE254+AF254-AG254-AH254,2)</f>
        <v/>
      </c>
      <c r="AJ254">
        <f>AD254-AH254</f>
        <v/>
      </c>
      <c r="AK254" s="42">
        <f>AO253</f>
        <v/>
      </c>
      <c r="AL254" s="42">
        <f>ROUND(AK254*AL$6/12,2)</f>
        <v/>
      </c>
      <c r="AM254" s="42">
        <f>MIN(AM$6,AK254+AL254)</f>
        <v/>
      </c>
      <c r="AN254" s="42">
        <f>MAX(0,MIN(AK254+AL254-AM254,AJ254))</f>
        <v/>
      </c>
      <c r="AO254" s="42">
        <f>ROUND(AK254+AL254-AM254-AN254,2)</f>
        <v/>
      </c>
      <c r="AP254">
        <f>AJ254-AN254</f>
        <v/>
      </c>
      <c r="AQ254" s="42">
        <f>AU253</f>
        <v/>
      </c>
      <c r="AR254" s="42">
        <f>ROUND(AQ254*AR$6/12,2)</f>
        <v/>
      </c>
      <c r="AS254" s="42">
        <f>MIN(AS$6,AQ254+AR254)</f>
        <v/>
      </c>
      <c r="AT254" s="42">
        <f>MAX(0,MIN(AQ254+AR254-AS254,AP254))</f>
        <v/>
      </c>
      <c r="AU254" s="42">
        <f>ROUND(AQ254+AR254-AS254-AT254,2)</f>
        <v/>
      </c>
      <c r="AV254">
        <f>AP254-AT254</f>
        <v/>
      </c>
      <c r="AW254" s="42">
        <f>BA253</f>
        <v/>
      </c>
      <c r="AX254" s="42">
        <f>ROUND(AW254*AX$6/12,2)</f>
        <v/>
      </c>
      <c r="AY254" s="42">
        <f>MIN(AY$6,AW254+AX254)</f>
        <v/>
      </c>
      <c r="AZ254" s="42">
        <f>MAX(0,MIN(AW254+AX254-AY254,AV254))</f>
        <v/>
      </c>
      <c r="BA254" s="42">
        <f>ROUND(AW254+AX254-AY254-AZ254,2)</f>
        <v/>
      </c>
      <c r="BB254">
        <f>AV254-AZ254</f>
        <v/>
      </c>
      <c r="BC254" s="42">
        <f>BG253</f>
        <v/>
      </c>
      <c r="BD254" s="42">
        <f>ROUND(BC254*BD$6/12,2)</f>
        <v/>
      </c>
      <c r="BE254" s="42">
        <f>MIN(BE$6,BC254+BD254)</f>
        <v/>
      </c>
      <c r="BF254" s="42">
        <f>MAX(0,MIN(BC254+BD254-BE254,BB254))</f>
        <v/>
      </c>
      <c r="BG254" s="42">
        <f>ROUND(BC254+BD254-BE254-BF254,2)</f>
        <v/>
      </c>
      <c r="BH254">
        <f>BB254-BF254</f>
        <v/>
      </c>
      <c r="BI254" s="42">
        <f>BM253</f>
        <v/>
      </c>
      <c r="BJ254" s="42">
        <f>ROUND(BI254*BJ$6/12,2)</f>
        <v/>
      </c>
      <c r="BK254" s="42">
        <f>MIN(BK$6,BI254+BJ254)</f>
        <v/>
      </c>
      <c r="BL254" s="42">
        <f>MAX(0,MIN(BI254+BJ254-BK254,BH254))</f>
        <v/>
      </c>
      <c r="BM254" s="42">
        <f>ROUND(BI254+BJ254-BK254-BL254,2)</f>
        <v/>
      </c>
      <c r="BN254">
        <f>BH254-BL254</f>
        <v/>
      </c>
    </row>
    <row r="255">
      <c r="A255" s="43" t="n">
        <v>248</v>
      </c>
      <c r="B255" s="44">
        <f>EDATE('My Debts'!$C$6,A255-1)</f>
        <v/>
      </c>
      <c r="C255" s="45">
        <f>K255+Q255+W255+AC255+AI255+AO255+AU255+BA255+BG255+BM255</f>
        <v/>
      </c>
      <c r="D255" s="46">
        <f>I255+O255+U255+AA255+AG255+AM255+AS255+AY255+BE255+BK255+J255+P255+V255+AB255+AH255+AN255+AT255+AZ255+BF255+BL255</f>
        <v/>
      </c>
      <c r="E255" s="46">
        <f>H255+N255+T255+Z255+AF255+AL255+AR255+AX255+BD255+BJ255</f>
        <v/>
      </c>
      <c r="F255" t="n">
        <v>0</v>
      </c>
      <c r="G255" s="42">
        <f>K254</f>
        <v/>
      </c>
      <c r="H255" s="42">
        <f>ROUND(G255*H$6/12,2)</f>
        <v/>
      </c>
      <c r="I255" s="42">
        <f>MIN(I$6,G255+H255)</f>
        <v/>
      </c>
      <c r="J255" s="42">
        <f>MAX(0,MIN(G255+H255-I255,$F255))</f>
        <v/>
      </c>
      <c r="K255" s="42">
        <f>ROUND(G255+H255-I255-J255,2)</f>
        <v/>
      </c>
      <c r="L255">
        <f>$F255-J255</f>
        <v/>
      </c>
      <c r="M255" s="42">
        <f>Q254</f>
        <v/>
      </c>
      <c r="N255" s="42">
        <f>ROUND(M255*N$6/12,2)</f>
        <v/>
      </c>
      <c r="O255" s="42">
        <f>MIN(O$6,M255+N255)</f>
        <v/>
      </c>
      <c r="P255" s="42">
        <f>MAX(0,MIN(M255+N255-O255,L255))</f>
        <v/>
      </c>
      <c r="Q255" s="42">
        <f>ROUND(M255+N255-O255-P255,2)</f>
        <v/>
      </c>
      <c r="R255">
        <f>L255-P255</f>
        <v/>
      </c>
      <c r="S255" s="42">
        <f>W254</f>
        <v/>
      </c>
      <c r="T255" s="42">
        <f>ROUND(S255*T$6/12,2)</f>
        <v/>
      </c>
      <c r="U255" s="42">
        <f>MIN(U$6,S255+T255)</f>
        <v/>
      </c>
      <c r="V255" s="42">
        <f>MAX(0,MIN(S255+T255-U255,R255))</f>
        <v/>
      </c>
      <c r="W255" s="42">
        <f>ROUND(S255+T255-U255-V255,2)</f>
        <v/>
      </c>
      <c r="X255">
        <f>R255-V255</f>
        <v/>
      </c>
      <c r="Y255" s="42">
        <f>AC254</f>
        <v/>
      </c>
      <c r="Z255" s="42">
        <f>ROUND(Y255*Z$6/12,2)</f>
        <v/>
      </c>
      <c r="AA255" s="42">
        <f>MIN(AA$6,Y255+Z255)</f>
        <v/>
      </c>
      <c r="AB255" s="42">
        <f>MAX(0,MIN(Y255+Z255-AA255,X255))</f>
        <v/>
      </c>
      <c r="AC255" s="42">
        <f>ROUND(Y255+Z255-AA255-AB255,2)</f>
        <v/>
      </c>
      <c r="AD255">
        <f>X255-AB255</f>
        <v/>
      </c>
      <c r="AE255" s="42">
        <f>AI254</f>
        <v/>
      </c>
      <c r="AF255" s="42">
        <f>ROUND(AE255*AF$6/12,2)</f>
        <v/>
      </c>
      <c r="AG255" s="42">
        <f>MIN(AG$6,AE255+AF255)</f>
        <v/>
      </c>
      <c r="AH255" s="42">
        <f>MAX(0,MIN(AE255+AF255-AG255,AD255))</f>
        <v/>
      </c>
      <c r="AI255" s="42">
        <f>ROUND(AE255+AF255-AG255-AH255,2)</f>
        <v/>
      </c>
      <c r="AJ255">
        <f>AD255-AH255</f>
        <v/>
      </c>
      <c r="AK255" s="42">
        <f>AO254</f>
        <v/>
      </c>
      <c r="AL255" s="42">
        <f>ROUND(AK255*AL$6/12,2)</f>
        <v/>
      </c>
      <c r="AM255" s="42">
        <f>MIN(AM$6,AK255+AL255)</f>
        <v/>
      </c>
      <c r="AN255" s="42">
        <f>MAX(0,MIN(AK255+AL255-AM255,AJ255))</f>
        <v/>
      </c>
      <c r="AO255" s="42">
        <f>ROUND(AK255+AL255-AM255-AN255,2)</f>
        <v/>
      </c>
      <c r="AP255">
        <f>AJ255-AN255</f>
        <v/>
      </c>
      <c r="AQ255" s="42">
        <f>AU254</f>
        <v/>
      </c>
      <c r="AR255" s="42">
        <f>ROUND(AQ255*AR$6/12,2)</f>
        <v/>
      </c>
      <c r="AS255" s="42">
        <f>MIN(AS$6,AQ255+AR255)</f>
        <v/>
      </c>
      <c r="AT255" s="42">
        <f>MAX(0,MIN(AQ255+AR255-AS255,AP255))</f>
        <v/>
      </c>
      <c r="AU255" s="42">
        <f>ROUND(AQ255+AR255-AS255-AT255,2)</f>
        <v/>
      </c>
      <c r="AV255">
        <f>AP255-AT255</f>
        <v/>
      </c>
      <c r="AW255" s="42">
        <f>BA254</f>
        <v/>
      </c>
      <c r="AX255" s="42">
        <f>ROUND(AW255*AX$6/12,2)</f>
        <v/>
      </c>
      <c r="AY255" s="42">
        <f>MIN(AY$6,AW255+AX255)</f>
        <v/>
      </c>
      <c r="AZ255" s="42">
        <f>MAX(0,MIN(AW255+AX255-AY255,AV255))</f>
        <v/>
      </c>
      <c r="BA255" s="42">
        <f>ROUND(AW255+AX255-AY255-AZ255,2)</f>
        <v/>
      </c>
      <c r="BB255">
        <f>AV255-AZ255</f>
        <v/>
      </c>
      <c r="BC255" s="42">
        <f>BG254</f>
        <v/>
      </c>
      <c r="BD255" s="42">
        <f>ROUND(BC255*BD$6/12,2)</f>
        <v/>
      </c>
      <c r="BE255" s="42">
        <f>MIN(BE$6,BC255+BD255)</f>
        <v/>
      </c>
      <c r="BF255" s="42">
        <f>MAX(0,MIN(BC255+BD255-BE255,BB255))</f>
        <v/>
      </c>
      <c r="BG255" s="42">
        <f>ROUND(BC255+BD255-BE255-BF255,2)</f>
        <v/>
      </c>
      <c r="BH255">
        <f>BB255-BF255</f>
        <v/>
      </c>
      <c r="BI255" s="42">
        <f>BM254</f>
        <v/>
      </c>
      <c r="BJ255" s="42">
        <f>ROUND(BI255*BJ$6/12,2)</f>
        <v/>
      </c>
      <c r="BK255" s="42">
        <f>MIN(BK$6,BI255+BJ255)</f>
        <v/>
      </c>
      <c r="BL255" s="42">
        <f>MAX(0,MIN(BI255+BJ255-BK255,BH255))</f>
        <v/>
      </c>
      <c r="BM255" s="42">
        <f>ROUND(BI255+BJ255-BK255-BL255,2)</f>
        <v/>
      </c>
      <c r="BN255">
        <f>BH255-BL255</f>
        <v/>
      </c>
    </row>
    <row r="256">
      <c r="A256" s="39" t="n">
        <v>249</v>
      </c>
      <c r="B256" s="40">
        <f>EDATE('My Debts'!$C$6,A256-1)</f>
        <v/>
      </c>
      <c r="C256" s="41">
        <f>K256+Q256+W256+AC256+AI256+AO256+AU256+BA256+BG256+BM256</f>
        <v/>
      </c>
      <c r="D256" s="42">
        <f>I256+O256+U256+AA256+AG256+AM256+AS256+AY256+BE256+BK256+J256+P256+V256+AB256+AH256+AN256+AT256+AZ256+BF256+BL256</f>
        <v/>
      </c>
      <c r="E256" s="42">
        <f>H256+N256+T256+Z256+AF256+AL256+AR256+AX256+BD256+BJ256</f>
        <v/>
      </c>
      <c r="F256" t="n">
        <v>0</v>
      </c>
      <c r="G256" s="42">
        <f>K255</f>
        <v/>
      </c>
      <c r="H256" s="42">
        <f>ROUND(G256*H$6/12,2)</f>
        <v/>
      </c>
      <c r="I256" s="42">
        <f>MIN(I$6,G256+H256)</f>
        <v/>
      </c>
      <c r="J256" s="42">
        <f>MAX(0,MIN(G256+H256-I256,$F256))</f>
        <v/>
      </c>
      <c r="K256" s="42">
        <f>ROUND(G256+H256-I256-J256,2)</f>
        <v/>
      </c>
      <c r="L256">
        <f>$F256-J256</f>
        <v/>
      </c>
      <c r="M256" s="42">
        <f>Q255</f>
        <v/>
      </c>
      <c r="N256" s="42">
        <f>ROUND(M256*N$6/12,2)</f>
        <v/>
      </c>
      <c r="O256" s="42">
        <f>MIN(O$6,M256+N256)</f>
        <v/>
      </c>
      <c r="P256" s="42">
        <f>MAX(0,MIN(M256+N256-O256,L256))</f>
        <v/>
      </c>
      <c r="Q256" s="42">
        <f>ROUND(M256+N256-O256-P256,2)</f>
        <v/>
      </c>
      <c r="R256">
        <f>L256-P256</f>
        <v/>
      </c>
      <c r="S256" s="42">
        <f>W255</f>
        <v/>
      </c>
      <c r="T256" s="42">
        <f>ROUND(S256*T$6/12,2)</f>
        <v/>
      </c>
      <c r="U256" s="42">
        <f>MIN(U$6,S256+T256)</f>
        <v/>
      </c>
      <c r="V256" s="42">
        <f>MAX(0,MIN(S256+T256-U256,R256))</f>
        <v/>
      </c>
      <c r="W256" s="42">
        <f>ROUND(S256+T256-U256-V256,2)</f>
        <v/>
      </c>
      <c r="X256">
        <f>R256-V256</f>
        <v/>
      </c>
      <c r="Y256" s="42">
        <f>AC255</f>
        <v/>
      </c>
      <c r="Z256" s="42">
        <f>ROUND(Y256*Z$6/12,2)</f>
        <v/>
      </c>
      <c r="AA256" s="42">
        <f>MIN(AA$6,Y256+Z256)</f>
        <v/>
      </c>
      <c r="AB256" s="42">
        <f>MAX(0,MIN(Y256+Z256-AA256,X256))</f>
        <v/>
      </c>
      <c r="AC256" s="42">
        <f>ROUND(Y256+Z256-AA256-AB256,2)</f>
        <v/>
      </c>
      <c r="AD256">
        <f>X256-AB256</f>
        <v/>
      </c>
      <c r="AE256" s="42">
        <f>AI255</f>
        <v/>
      </c>
      <c r="AF256" s="42">
        <f>ROUND(AE256*AF$6/12,2)</f>
        <v/>
      </c>
      <c r="AG256" s="42">
        <f>MIN(AG$6,AE256+AF256)</f>
        <v/>
      </c>
      <c r="AH256" s="42">
        <f>MAX(0,MIN(AE256+AF256-AG256,AD256))</f>
        <v/>
      </c>
      <c r="AI256" s="42">
        <f>ROUND(AE256+AF256-AG256-AH256,2)</f>
        <v/>
      </c>
      <c r="AJ256">
        <f>AD256-AH256</f>
        <v/>
      </c>
      <c r="AK256" s="42">
        <f>AO255</f>
        <v/>
      </c>
      <c r="AL256" s="42">
        <f>ROUND(AK256*AL$6/12,2)</f>
        <v/>
      </c>
      <c r="AM256" s="42">
        <f>MIN(AM$6,AK256+AL256)</f>
        <v/>
      </c>
      <c r="AN256" s="42">
        <f>MAX(0,MIN(AK256+AL256-AM256,AJ256))</f>
        <v/>
      </c>
      <c r="AO256" s="42">
        <f>ROUND(AK256+AL256-AM256-AN256,2)</f>
        <v/>
      </c>
      <c r="AP256">
        <f>AJ256-AN256</f>
        <v/>
      </c>
      <c r="AQ256" s="42">
        <f>AU255</f>
        <v/>
      </c>
      <c r="AR256" s="42">
        <f>ROUND(AQ256*AR$6/12,2)</f>
        <v/>
      </c>
      <c r="AS256" s="42">
        <f>MIN(AS$6,AQ256+AR256)</f>
        <v/>
      </c>
      <c r="AT256" s="42">
        <f>MAX(0,MIN(AQ256+AR256-AS256,AP256))</f>
        <v/>
      </c>
      <c r="AU256" s="42">
        <f>ROUND(AQ256+AR256-AS256-AT256,2)</f>
        <v/>
      </c>
      <c r="AV256">
        <f>AP256-AT256</f>
        <v/>
      </c>
      <c r="AW256" s="42">
        <f>BA255</f>
        <v/>
      </c>
      <c r="AX256" s="42">
        <f>ROUND(AW256*AX$6/12,2)</f>
        <v/>
      </c>
      <c r="AY256" s="42">
        <f>MIN(AY$6,AW256+AX256)</f>
        <v/>
      </c>
      <c r="AZ256" s="42">
        <f>MAX(0,MIN(AW256+AX256-AY256,AV256))</f>
        <v/>
      </c>
      <c r="BA256" s="42">
        <f>ROUND(AW256+AX256-AY256-AZ256,2)</f>
        <v/>
      </c>
      <c r="BB256">
        <f>AV256-AZ256</f>
        <v/>
      </c>
      <c r="BC256" s="42">
        <f>BG255</f>
        <v/>
      </c>
      <c r="BD256" s="42">
        <f>ROUND(BC256*BD$6/12,2)</f>
        <v/>
      </c>
      <c r="BE256" s="42">
        <f>MIN(BE$6,BC256+BD256)</f>
        <v/>
      </c>
      <c r="BF256" s="42">
        <f>MAX(0,MIN(BC256+BD256-BE256,BB256))</f>
        <v/>
      </c>
      <c r="BG256" s="42">
        <f>ROUND(BC256+BD256-BE256-BF256,2)</f>
        <v/>
      </c>
      <c r="BH256">
        <f>BB256-BF256</f>
        <v/>
      </c>
      <c r="BI256" s="42">
        <f>BM255</f>
        <v/>
      </c>
      <c r="BJ256" s="42">
        <f>ROUND(BI256*BJ$6/12,2)</f>
        <v/>
      </c>
      <c r="BK256" s="42">
        <f>MIN(BK$6,BI256+BJ256)</f>
        <v/>
      </c>
      <c r="BL256" s="42">
        <f>MAX(0,MIN(BI256+BJ256-BK256,BH256))</f>
        <v/>
      </c>
      <c r="BM256" s="42">
        <f>ROUND(BI256+BJ256-BK256-BL256,2)</f>
        <v/>
      </c>
      <c r="BN256">
        <f>BH256-BL256</f>
        <v/>
      </c>
    </row>
    <row r="257">
      <c r="A257" s="43" t="n">
        <v>250</v>
      </c>
      <c r="B257" s="44">
        <f>EDATE('My Debts'!$C$6,A257-1)</f>
        <v/>
      </c>
      <c r="C257" s="45">
        <f>K257+Q257+W257+AC257+AI257+AO257+AU257+BA257+BG257+BM257</f>
        <v/>
      </c>
      <c r="D257" s="46">
        <f>I257+O257+U257+AA257+AG257+AM257+AS257+AY257+BE257+BK257+J257+P257+V257+AB257+AH257+AN257+AT257+AZ257+BF257+BL257</f>
        <v/>
      </c>
      <c r="E257" s="46">
        <f>H257+N257+T257+Z257+AF257+AL257+AR257+AX257+BD257+BJ257</f>
        <v/>
      </c>
      <c r="F257" t="n">
        <v>0</v>
      </c>
      <c r="G257" s="42">
        <f>K256</f>
        <v/>
      </c>
      <c r="H257" s="42">
        <f>ROUND(G257*H$6/12,2)</f>
        <v/>
      </c>
      <c r="I257" s="42">
        <f>MIN(I$6,G257+H257)</f>
        <v/>
      </c>
      <c r="J257" s="42">
        <f>MAX(0,MIN(G257+H257-I257,$F257))</f>
        <v/>
      </c>
      <c r="K257" s="42">
        <f>ROUND(G257+H257-I257-J257,2)</f>
        <v/>
      </c>
      <c r="L257">
        <f>$F257-J257</f>
        <v/>
      </c>
      <c r="M257" s="42">
        <f>Q256</f>
        <v/>
      </c>
      <c r="N257" s="42">
        <f>ROUND(M257*N$6/12,2)</f>
        <v/>
      </c>
      <c r="O257" s="42">
        <f>MIN(O$6,M257+N257)</f>
        <v/>
      </c>
      <c r="P257" s="42">
        <f>MAX(0,MIN(M257+N257-O257,L257))</f>
        <v/>
      </c>
      <c r="Q257" s="42">
        <f>ROUND(M257+N257-O257-P257,2)</f>
        <v/>
      </c>
      <c r="R257">
        <f>L257-P257</f>
        <v/>
      </c>
      <c r="S257" s="42">
        <f>W256</f>
        <v/>
      </c>
      <c r="T257" s="42">
        <f>ROUND(S257*T$6/12,2)</f>
        <v/>
      </c>
      <c r="U257" s="42">
        <f>MIN(U$6,S257+T257)</f>
        <v/>
      </c>
      <c r="V257" s="42">
        <f>MAX(0,MIN(S257+T257-U257,R257))</f>
        <v/>
      </c>
      <c r="W257" s="42">
        <f>ROUND(S257+T257-U257-V257,2)</f>
        <v/>
      </c>
      <c r="X257">
        <f>R257-V257</f>
        <v/>
      </c>
      <c r="Y257" s="42">
        <f>AC256</f>
        <v/>
      </c>
      <c r="Z257" s="42">
        <f>ROUND(Y257*Z$6/12,2)</f>
        <v/>
      </c>
      <c r="AA257" s="42">
        <f>MIN(AA$6,Y257+Z257)</f>
        <v/>
      </c>
      <c r="AB257" s="42">
        <f>MAX(0,MIN(Y257+Z257-AA257,X257))</f>
        <v/>
      </c>
      <c r="AC257" s="42">
        <f>ROUND(Y257+Z257-AA257-AB257,2)</f>
        <v/>
      </c>
      <c r="AD257">
        <f>X257-AB257</f>
        <v/>
      </c>
      <c r="AE257" s="42">
        <f>AI256</f>
        <v/>
      </c>
      <c r="AF257" s="42">
        <f>ROUND(AE257*AF$6/12,2)</f>
        <v/>
      </c>
      <c r="AG257" s="42">
        <f>MIN(AG$6,AE257+AF257)</f>
        <v/>
      </c>
      <c r="AH257" s="42">
        <f>MAX(0,MIN(AE257+AF257-AG257,AD257))</f>
        <v/>
      </c>
      <c r="AI257" s="42">
        <f>ROUND(AE257+AF257-AG257-AH257,2)</f>
        <v/>
      </c>
      <c r="AJ257">
        <f>AD257-AH257</f>
        <v/>
      </c>
      <c r="AK257" s="42">
        <f>AO256</f>
        <v/>
      </c>
      <c r="AL257" s="42">
        <f>ROUND(AK257*AL$6/12,2)</f>
        <v/>
      </c>
      <c r="AM257" s="42">
        <f>MIN(AM$6,AK257+AL257)</f>
        <v/>
      </c>
      <c r="AN257" s="42">
        <f>MAX(0,MIN(AK257+AL257-AM257,AJ257))</f>
        <v/>
      </c>
      <c r="AO257" s="42">
        <f>ROUND(AK257+AL257-AM257-AN257,2)</f>
        <v/>
      </c>
      <c r="AP257">
        <f>AJ257-AN257</f>
        <v/>
      </c>
      <c r="AQ257" s="42">
        <f>AU256</f>
        <v/>
      </c>
      <c r="AR257" s="42">
        <f>ROUND(AQ257*AR$6/12,2)</f>
        <v/>
      </c>
      <c r="AS257" s="42">
        <f>MIN(AS$6,AQ257+AR257)</f>
        <v/>
      </c>
      <c r="AT257" s="42">
        <f>MAX(0,MIN(AQ257+AR257-AS257,AP257))</f>
        <v/>
      </c>
      <c r="AU257" s="42">
        <f>ROUND(AQ257+AR257-AS257-AT257,2)</f>
        <v/>
      </c>
      <c r="AV257">
        <f>AP257-AT257</f>
        <v/>
      </c>
      <c r="AW257" s="42">
        <f>BA256</f>
        <v/>
      </c>
      <c r="AX257" s="42">
        <f>ROUND(AW257*AX$6/12,2)</f>
        <v/>
      </c>
      <c r="AY257" s="42">
        <f>MIN(AY$6,AW257+AX257)</f>
        <v/>
      </c>
      <c r="AZ257" s="42">
        <f>MAX(0,MIN(AW257+AX257-AY257,AV257))</f>
        <v/>
      </c>
      <c r="BA257" s="42">
        <f>ROUND(AW257+AX257-AY257-AZ257,2)</f>
        <v/>
      </c>
      <c r="BB257">
        <f>AV257-AZ257</f>
        <v/>
      </c>
      <c r="BC257" s="42">
        <f>BG256</f>
        <v/>
      </c>
      <c r="BD257" s="42">
        <f>ROUND(BC257*BD$6/12,2)</f>
        <v/>
      </c>
      <c r="BE257" s="42">
        <f>MIN(BE$6,BC257+BD257)</f>
        <v/>
      </c>
      <c r="BF257" s="42">
        <f>MAX(0,MIN(BC257+BD257-BE257,BB257))</f>
        <v/>
      </c>
      <c r="BG257" s="42">
        <f>ROUND(BC257+BD257-BE257-BF257,2)</f>
        <v/>
      </c>
      <c r="BH257">
        <f>BB257-BF257</f>
        <v/>
      </c>
      <c r="BI257" s="42">
        <f>BM256</f>
        <v/>
      </c>
      <c r="BJ257" s="42">
        <f>ROUND(BI257*BJ$6/12,2)</f>
        <v/>
      </c>
      <c r="BK257" s="42">
        <f>MIN(BK$6,BI257+BJ257)</f>
        <v/>
      </c>
      <c r="BL257" s="42">
        <f>MAX(0,MIN(BI257+BJ257-BK257,BH257))</f>
        <v/>
      </c>
      <c r="BM257" s="42">
        <f>ROUND(BI257+BJ257-BK257-BL257,2)</f>
        <v/>
      </c>
      <c r="BN257">
        <f>BH257-BL257</f>
        <v/>
      </c>
    </row>
    <row r="258">
      <c r="A258" s="39" t="n">
        <v>251</v>
      </c>
      <c r="B258" s="40">
        <f>EDATE('My Debts'!$C$6,A258-1)</f>
        <v/>
      </c>
      <c r="C258" s="41">
        <f>K258+Q258+W258+AC258+AI258+AO258+AU258+BA258+BG258+BM258</f>
        <v/>
      </c>
      <c r="D258" s="42">
        <f>I258+O258+U258+AA258+AG258+AM258+AS258+AY258+BE258+BK258+J258+P258+V258+AB258+AH258+AN258+AT258+AZ258+BF258+BL258</f>
        <v/>
      </c>
      <c r="E258" s="42">
        <f>H258+N258+T258+Z258+AF258+AL258+AR258+AX258+BD258+BJ258</f>
        <v/>
      </c>
      <c r="F258" t="n">
        <v>0</v>
      </c>
      <c r="G258" s="42">
        <f>K257</f>
        <v/>
      </c>
      <c r="H258" s="42">
        <f>ROUND(G258*H$6/12,2)</f>
        <v/>
      </c>
      <c r="I258" s="42">
        <f>MIN(I$6,G258+H258)</f>
        <v/>
      </c>
      <c r="J258" s="42">
        <f>MAX(0,MIN(G258+H258-I258,$F258))</f>
        <v/>
      </c>
      <c r="K258" s="42">
        <f>ROUND(G258+H258-I258-J258,2)</f>
        <v/>
      </c>
      <c r="L258">
        <f>$F258-J258</f>
        <v/>
      </c>
      <c r="M258" s="42">
        <f>Q257</f>
        <v/>
      </c>
      <c r="N258" s="42">
        <f>ROUND(M258*N$6/12,2)</f>
        <v/>
      </c>
      <c r="O258" s="42">
        <f>MIN(O$6,M258+N258)</f>
        <v/>
      </c>
      <c r="P258" s="42">
        <f>MAX(0,MIN(M258+N258-O258,L258))</f>
        <v/>
      </c>
      <c r="Q258" s="42">
        <f>ROUND(M258+N258-O258-P258,2)</f>
        <v/>
      </c>
      <c r="R258">
        <f>L258-P258</f>
        <v/>
      </c>
      <c r="S258" s="42">
        <f>W257</f>
        <v/>
      </c>
      <c r="T258" s="42">
        <f>ROUND(S258*T$6/12,2)</f>
        <v/>
      </c>
      <c r="U258" s="42">
        <f>MIN(U$6,S258+T258)</f>
        <v/>
      </c>
      <c r="V258" s="42">
        <f>MAX(0,MIN(S258+T258-U258,R258))</f>
        <v/>
      </c>
      <c r="W258" s="42">
        <f>ROUND(S258+T258-U258-V258,2)</f>
        <v/>
      </c>
      <c r="X258">
        <f>R258-V258</f>
        <v/>
      </c>
      <c r="Y258" s="42">
        <f>AC257</f>
        <v/>
      </c>
      <c r="Z258" s="42">
        <f>ROUND(Y258*Z$6/12,2)</f>
        <v/>
      </c>
      <c r="AA258" s="42">
        <f>MIN(AA$6,Y258+Z258)</f>
        <v/>
      </c>
      <c r="AB258" s="42">
        <f>MAX(0,MIN(Y258+Z258-AA258,X258))</f>
        <v/>
      </c>
      <c r="AC258" s="42">
        <f>ROUND(Y258+Z258-AA258-AB258,2)</f>
        <v/>
      </c>
      <c r="AD258">
        <f>X258-AB258</f>
        <v/>
      </c>
      <c r="AE258" s="42">
        <f>AI257</f>
        <v/>
      </c>
      <c r="AF258" s="42">
        <f>ROUND(AE258*AF$6/12,2)</f>
        <v/>
      </c>
      <c r="AG258" s="42">
        <f>MIN(AG$6,AE258+AF258)</f>
        <v/>
      </c>
      <c r="AH258" s="42">
        <f>MAX(0,MIN(AE258+AF258-AG258,AD258))</f>
        <v/>
      </c>
      <c r="AI258" s="42">
        <f>ROUND(AE258+AF258-AG258-AH258,2)</f>
        <v/>
      </c>
      <c r="AJ258">
        <f>AD258-AH258</f>
        <v/>
      </c>
      <c r="AK258" s="42">
        <f>AO257</f>
        <v/>
      </c>
      <c r="AL258" s="42">
        <f>ROUND(AK258*AL$6/12,2)</f>
        <v/>
      </c>
      <c r="AM258" s="42">
        <f>MIN(AM$6,AK258+AL258)</f>
        <v/>
      </c>
      <c r="AN258" s="42">
        <f>MAX(0,MIN(AK258+AL258-AM258,AJ258))</f>
        <v/>
      </c>
      <c r="AO258" s="42">
        <f>ROUND(AK258+AL258-AM258-AN258,2)</f>
        <v/>
      </c>
      <c r="AP258">
        <f>AJ258-AN258</f>
        <v/>
      </c>
      <c r="AQ258" s="42">
        <f>AU257</f>
        <v/>
      </c>
      <c r="AR258" s="42">
        <f>ROUND(AQ258*AR$6/12,2)</f>
        <v/>
      </c>
      <c r="AS258" s="42">
        <f>MIN(AS$6,AQ258+AR258)</f>
        <v/>
      </c>
      <c r="AT258" s="42">
        <f>MAX(0,MIN(AQ258+AR258-AS258,AP258))</f>
        <v/>
      </c>
      <c r="AU258" s="42">
        <f>ROUND(AQ258+AR258-AS258-AT258,2)</f>
        <v/>
      </c>
      <c r="AV258">
        <f>AP258-AT258</f>
        <v/>
      </c>
      <c r="AW258" s="42">
        <f>BA257</f>
        <v/>
      </c>
      <c r="AX258" s="42">
        <f>ROUND(AW258*AX$6/12,2)</f>
        <v/>
      </c>
      <c r="AY258" s="42">
        <f>MIN(AY$6,AW258+AX258)</f>
        <v/>
      </c>
      <c r="AZ258" s="42">
        <f>MAX(0,MIN(AW258+AX258-AY258,AV258))</f>
        <v/>
      </c>
      <c r="BA258" s="42">
        <f>ROUND(AW258+AX258-AY258-AZ258,2)</f>
        <v/>
      </c>
      <c r="BB258">
        <f>AV258-AZ258</f>
        <v/>
      </c>
      <c r="BC258" s="42">
        <f>BG257</f>
        <v/>
      </c>
      <c r="BD258" s="42">
        <f>ROUND(BC258*BD$6/12,2)</f>
        <v/>
      </c>
      <c r="BE258" s="42">
        <f>MIN(BE$6,BC258+BD258)</f>
        <v/>
      </c>
      <c r="BF258" s="42">
        <f>MAX(0,MIN(BC258+BD258-BE258,BB258))</f>
        <v/>
      </c>
      <c r="BG258" s="42">
        <f>ROUND(BC258+BD258-BE258-BF258,2)</f>
        <v/>
      </c>
      <c r="BH258">
        <f>BB258-BF258</f>
        <v/>
      </c>
      <c r="BI258" s="42">
        <f>BM257</f>
        <v/>
      </c>
      <c r="BJ258" s="42">
        <f>ROUND(BI258*BJ$6/12,2)</f>
        <v/>
      </c>
      <c r="BK258" s="42">
        <f>MIN(BK$6,BI258+BJ258)</f>
        <v/>
      </c>
      <c r="BL258" s="42">
        <f>MAX(0,MIN(BI258+BJ258-BK258,BH258))</f>
        <v/>
      </c>
      <c r="BM258" s="42">
        <f>ROUND(BI258+BJ258-BK258-BL258,2)</f>
        <v/>
      </c>
      <c r="BN258">
        <f>BH258-BL258</f>
        <v/>
      </c>
    </row>
    <row r="259">
      <c r="A259" s="43" t="n">
        <v>252</v>
      </c>
      <c r="B259" s="44">
        <f>EDATE('My Debts'!$C$6,A259-1)</f>
        <v/>
      </c>
      <c r="C259" s="45">
        <f>K259+Q259+W259+AC259+AI259+AO259+AU259+BA259+BG259+BM259</f>
        <v/>
      </c>
      <c r="D259" s="46">
        <f>I259+O259+U259+AA259+AG259+AM259+AS259+AY259+BE259+BK259+J259+P259+V259+AB259+AH259+AN259+AT259+AZ259+BF259+BL259</f>
        <v/>
      </c>
      <c r="E259" s="46">
        <f>H259+N259+T259+Z259+AF259+AL259+AR259+AX259+BD259+BJ259</f>
        <v/>
      </c>
      <c r="F259" t="n">
        <v>0</v>
      </c>
      <c r="G259" s="42">
        <f>K258</f>
        <v/>
      </c>
      <c r="H259" s="42">
        <f>ROUND(G259*H$6/12,2)</f>
        <v/>
      </c>
      <c r="I259" s="42">
        <f>MIN(I$6,G259+H259)</f>
        <v/>
      </c>
      <c r="J259" s="42">
        <f>MAX(0,MIN(G259+H259-I259,$F259))</f>
        <v/>
      </c>
      <c r="K259" s="42">
        <f>ROUND(G259+H259-I259-J259,2)</f>
        <v/>
      </c>
      <c r="L259">
        <f>$F259-J259</f>
        <v/>
      </c>
      <c r="M259" s="42">
        <f>Q258</f>
        <v/>
      </c>
      <c r="N259" s="42">
        <f>ROUND(M259*N$6/12,2)</f>
        <v/>
      </c>
      <c r="O259" s="42">
        <f>MIN(O$6,M259+N259)</f>
        <v/>
      </c>
      <c r="P259" s="42">
        <f>MAX(0,MIN(M259+N259-O259,L259))</f>
        <v/>
      </c>
      <c r="Q259" s="42">
        <f>ROUND(M259+N259-O259-P259,2)</f>
        <v/>
      </c>
      <c r="R259">
        <f>L259-P259</f>
        <v/>
      </c>
      <c r="S259" s="42">
        <f>W258</f>
        <v/>
      </c>
      <c r="T259" s="42">
        <f>ROUND(S259*T$6/12,2)</f>
        <v/>
      </c>
      <c r="U259" s="42">
        <f>MIN(U$6,S259+T259)</f>
        <v/>
      </c>
      <c r="V259" s="42">
        <f>MAX(0,MIN(S259+T259-U259,R259))</f>
        <v/>
      </c>
      <c r="W259" s="42">
        <f>ROUND(S259+T259-U259-V259,2)</f>
        <v/>
      </c>
      <c r="X259">
        <f>R259-V259</f>
        <v/>
      </c>
      <c r="Y259" s="42">
        <f>AC258</f>
        <v/>
      </c>
      <c r="Z259" s="42">
        <f>ROUND(Y259*Z$6/12,2)</f>
        <v/>
      </c>
      <c r="AA259" s="42">
        <f>MIN(AA$6,Y259+Z259)</f>
        <v/>
      </c>
      <c r="AB259" s="42">
        <f>MAX(0,MIN(Y259+Z259-AA259,X259))</f>
        <v/>
      </c>
      <c r="AC259" s="42">
        <f>ROUND(Y259+Z259-AA259-AB259,2)</f>
        <v/>
      </c>
      <c r="AD259">
        <f>X259-AB259</f>
        <v/>
      </c>
      <c r="AE259" s="42">
        <f>AI258</f>
        <v/>
      </c>
      <c r="AF259" s="42">
        <f>ROUND(AE259*AF$6/12,2)</f>
        <v/>
      </c>
      <c r="AG259" s="42">
        <f>MIN(AG$6,AE259+AF259)</f>
        <v/>
      </c>
      <c r="AH259" s="42">
        <f>MAX(0,MIN(AE259+AF259-AG259,AD259))</f>
        <v/>
      </c>
      <c r="AI259" s="42">
        <f>ROUND(AE259+AF259-AG259-AH259,2)</f>
        <v/>
      </c>
      <c r="AJ259">
        <f>AD259-AH259</f>
        <v/>
      </c>
      <c r="AK259" s="42">
        <f>AO258</f>
        <v/>
      </c>
      <c r="AL259" s="42">
        <f>ROUND(AK259*AL$6/12,2)</f>
        <v/>
      </c>
      <c r="AM259" s="42">
        <f>MIN(AM$6,AK259+AL259)</f>
        <v/>
      </c>
      <c r="AN259" s="42">
        <f>MAX(0,MIN(AK259+AL259-AM259,AJ259))</f>
        <v/>
      </c>
      <c r="AO259" s="42">
        <f>ROUND(AK259+AL259-AM259-AN259,2)</f>
        <v/>
      </c>
      <c r="AP259">
        <f>AJ259-AN259</f>
        <v/>
      </c>
      <c r="AQ259" s="42">
        <f>AU258</f>
        <v/>
      </c>
      <c r="AR259" s="42">
        <f>ROUND(AQ259*AR$6/12,2)</f>
        <v/>
      </c>
      <c r="AS259" s="42">
        <f>MIN(AS$6,AQ259+AR259)</f>
        <v/>
      </c>
      <c r="AT259" s="42">
        <f>MAX(0,MIN(AQ259+AR259-AS259,AP259))</f>
        <v/>
      </c>
      <c r="AU259" s="42">
        <f>ROUND(AQ259+AR259-AS259-AT259,2)</f>
        <v/>
      </c>
      <c r="AV259">
        <f>AP259-AT259</f>
        <v/>
      </c>
      <c r="AW259" s="42">
        <f>BA258</f>
        <v/>
      </c>
      <c r="AX259" s="42">
        <f>ROUND(AW259*AX$6/12,2)</f>
        <v/>
      </c>
      <c r="AY259" s="42">
        <f>MIN(AY$6,AW259+AX259)</f>
        <v/>
      </c>
      <c r="AZ259" s="42">
        <f>MAX(0,MIN(AW259+AX259-AY259,AV259))</f>
        <v/>
      </c>
      <c r="BA259" s="42">
        <f>ROUND(AW259+AX259-AY259-AZ259,2)</f>
        <v/>
      </c>
      <c r="BB259">
        <f>AV259-AZ259</f>
        <v/>
      </c>
      <c r="BC259" s="42">
        <f>BG258</f>
        <v/>
      </c>
      <c r="BD259" s="42">
        <f>ROUND(BC259*BD$6/12,2)</f>
        <v/>
      </c>
      <c r="BE259" s="42">
        <f>MIN(BE$6,BC259+BD259)</f>
        <v/>
      </c>
      <c r="BF259" s="42">
        <f>MAX(0,MIN(BC259+BD259-BE259,BB259))</f>
        <v/>
      </c>
      <c r="BG259" s="42">
        <f>ROUND(BC259+BD259-BE259-BF259,2)</f>
        <v/>
      </c>
      <c r="BH259">
        <f>BB259-BF259</f>
        <v/>
      </c>
      <c r="BI259" s="42">
        <f>BM258</f>
        <v/>
      </c>
      <c r="BJ259" s="42">
        <f>ROUND(BI259*BJ$6/12,2)</f>
        <v/>
      </c>
      <c r="BK259" s="42">
        <f>MIN(BK$6,BI259+BJ259)</f>
        <v/>
      </c>
      <c r="BL259" s="42">
        <f>MAX(0,MIN(BI259+BJ259-BK259,BH259))</f>
        <v/>
      </c>
      <c r="BM259" s="42">
        <f>ROUND(BI259+BJ259-BK259-BL259,2)</f>
        <v/>
      </c>
      <c r="BN259">
        <f>BH259-BL259</f>
        <v/>
      </c>
    </row>
    <row r="260">
      <c r="A260" s="39" t="n">
        <v>253</v>
      </c>
      <c r="B260" s="40">
        <f>EDATE('My Debts'!$C$6,A260-1)</f>
        <v/>
      </c>
      <c r="C260" s="41">
        <f>K260+Q260+W260+AC260+AI260+AO260+AU260+BA260+BG260+BM260</f>
        <v/>
      </c>
      <c r="D260" s="42">
        <f>I260+O260+U260+AA260+AG260+AM260+AS260+AY260+BE260+BK260+J260+P260+V260+AB260+AH260+AN260+AT260+AZ260+BF260+BL260</f>
        <v/>
      </c>
      <c r="E260" s="42">
        <f>H260+N260+T260+Z260+AF260+AL260+AR260+AX260+BD260+BJ260</f>
        <v/>
      </c>
      <c r="F260" t="n">
        <v>0</v>
      </c>
      <c r="G260" s="42">
        <f>K259</f>
        <v/>
      </c>
      <c r="H260" s="42">
        <f>ROUND(G260*H$6/12,2)</f>
        <v/>
      </c>
      <c r="I260" s="42">
        <f>MIN(I$6,G260+H260)</f>
        <v/>
      </c>
      <c r="J260" s="42">
        <f>MAX(0,MIN(G260+H260-I260,$F260))</f>
        <v/>
      </c>
      <c r="K260" s="42">
        <f>ROUND(G260+H260-I260-J260,2)</f>
        <v/>
      </c>
      <c r="L260">
        <f>$F260-J260</f>
        <v/>
      </c>
      <c r="M260" s="42">
        <f>Q259</f>
        <v/>
      </c>
      <c r="N260" s="42">
        <f>ROUND(M260*N$6/12,2)</f>
        <v/>
      </c>
      <c r="O260" s="42">
        <f>MIN(O$6,M260+N260)</f>
        <v/>
      </c>
      <c r="P260" s="42">
        <f>MAX(0,MIN(M260+N260-O260,L260))</f>
        <v/>
      </c>
      <c r="Q260" s="42">
        <f>ROUND(M260+N260-O260-P260,2)</f>
        <v/>
      </c>
      <c r="R260">
        <f>L260-P260</f>
        <v/>
      </c>
      <c r="S260" s="42">
        <f>W259</f>
        <v/>
      </c>
      <c r="T260" s="42">
        <f>ROUND(S260*T$6/12,2)</f>
        <v/>
      </c>
      <c r="U260" s="42">
        <f>MIN(U$6,S260+T260)</f>
        <v/>
      </c>
      <c r="V260" s="42">
        <f>MAX(0,MIN(S260+T260-U260,R260))</f>
        <v/>
      </c>
      <c r="W260" s="42">
        <f>ROUND(S260+T260-U260-V260,2)</f>
        <v/>
      </c>
      <c r="X260">
        <f>R260-V260</f>
        <v/>
      </c>
      <c r="Y260" s="42">
        <f>AC259</f>
        <v/>
      </c>
      <c r="Z260" s="42">
        <f>ROUND(Y260*Z$6/12,2)</f>
        <v/>
      </c>
      <c r="AA260" s="42">
        <f>MIN(AA$6,Y260+Z260)</f>
        <v/>
      </c>
      <c r="AB260" s="42">
        <f>MAX(0,MIN(Y260+Z260-AA260,X260))</f>
        <v/>
      </c>
      <c r="AC260" s="42">
        <f>ROUND(Y260+Z260-AA260-AB260,2)</f>
        <v/>
      </c>
      <c r="AD260">
        <f>X260-AB260</f>
        <v/>
      </c>
      <c r="AE260" s="42">
        <f>AI259</f>
        <v/>
      </c>
      <c r="AF260" s="42">
        <f>ROUND(AE260*AF$6/12,2)</f>
        <v/>
      </c>
      <c r="AG260" s="42">
        <f>MIN(AG$6,AE260+AF260)</f>
        <v/>
      </c>
      <c r="AH260" s="42">
        <f>MAX(0,MIN(AE260+AF260-AG260,AD260))</f>
        <v/>
      </c>
      <c r="AI260" s="42">
        <f>ROUND(AE260+AF260-AG260-AH260,2)</f>
        <v/>
      </c>
      <c r="AJ260">
        <f>AD260-AH260</f>
        <v/>
      </c>
      <c r="AK260" s="42">
        <f>AO259</f>
        <v/>
      </c>
      <c r="AL260" s="42">
        <f>ROUND(AK260*AL$6/12,2)</f>
        <v/>
      </c>
      <c r="AM260" s="42">
        <f>MIN(AM$6,AK260+AL260)</f>
        <v/>
      </c>
      <c r="AN260" s="42">
        <f>MAX(0,MIN(AK260+AL260-AM260,AJ260))</f>
        <v/>
      </c>
      <c r="AO260" s="42">
        <f>ROUND(AK260+AL260-AM260-AN260,2)</f>
        <v/>
      </c>
      <c r="AP260">
        <f>AJ260-AN260</f>
        <v/>
      </c>
      <c r="AQ260" s="42">
        <f>AU259</f>
        <v/>
      </c>
      <c r="AR260" s="42">
        <f>ROUND(AQ260*AR$6/12,2)</f>
        <v/>
      </c>
      <c r="AS260" s="42">
        <f>MIN(AS$6,AQ260+AR260)</f>
        <v/>
      </c>
      <c r="AT260" s="42">
        <f>MAX(0,MIN(AQ260+AR260-AS260,AP260))</f>
        <v/>
      </c>
      <c r="AU260" s="42">
        <f>ROUND(AQ260+AR260-AS260-AT260,2)</f>
        <v/>
      </c>
      <c r="AV260">
        <f>AP260-AT260</f>
        <v/>
      </c>
      <c r="AW260" s="42">
        <f>BA259</f>
        <v/>
      </c>
      <c r="AX260" s="42">
        <f>ROUND(AW260*AX$6/12,2)</f>
        <v/>
      </c>
      <c r="AY260" s="42">
        <f>MIN(AY$6,AW260+AX260)</f>
        <v/>
      </c>
      <c r="AZ260" s="42">
        <f>MAX(0,MIN(AW260+AX260-AY260,AV260))</f>
        <v/>
      </c>
      <c r="BA260" s="42">
        <f>ROUND(AW260+AX260-AY260-AZ260,2)</f>
        <v/>
      </c>
      <c r="BB260">
        <f>AV260-AZ260</f>
        <v/>
      </c>
      <c r="BC260" s="42">
        <f>BG259</f>
        <v/>
      </c>
      <c r="BD260" s="42">
        <f>ROUND(BC260*BD$6/12,2)</f>
        <v/>
      </c>
      <c r="BE260" s="42">
        <f>MIN(BE$6,BC260+BD260)</f>
        <v/>
      </c>
      <c r="BF260" s="42">
        <f>MAX(0,MIN(BC260+BD260-BE260,BB260))</f>
        <v/>
      </c>
      <c r="BG260" s="42">
        <f>ROUND(BC260+BD260-BE260-BF260,2)</f>
        <v/>
      </c>
      <c r="BH260">
        <f>BB260-BF260</f>
        <v/>
      </c>
      <c r="BI260" s="42">
        <f>BM259</f>
        <v/>
      </c>
      <c r="BJ260" s="42">
        <f>ROUND(BI260*BJ$6/12,2)</f>
        <v/>
      </c>
      <c r="BK260" s="42">
        <f>MIN(BK$6,BI260+BJ260)</f>
        <v/>
      </c>
      <c r="BL260" s="42">
        <f>MAX(0,MIN(BI260+BJ260-BK260,BH260))</f>
        <v/>
      </c>
      <c r="BM260" s="42">
        <f>ROUND(BI260+BJ260-BK260-BL260,2)</f>
        <v/>
      </c>
      <c r="BN260">
        <f>BH260-BL260</f>
        <v/>
      </c>
    </row>
    <row r="261">
      <c r="A261" s="43" t="n">
        <v>254</v>
      </c>
      <c r="B261" s="44">
        <f>EDATE('My Debts'!$C$6,A261-1)</f>
        <v/>
      </c>
      <c r="C261" s="45">
        <f>K261+Q261+W261+AC261+AI261+AO261+AU261+BA261+BG261+BM261</f>
        <v/>
      </c>
      <c r="D261" s="46">
        <f>I261+O261+U261+AA261+AG261+AM261+AS261+AY261+BE261+BK261+J261+P261+V261+AB261+AH261+AN261+AT261+AZ261+BF261+BL261</f>
        <v/>
      </c>
      <c r="E261" s="46">
        <f>H261+N261+T261+Z261+AF261+AL261+AR261+AX261+BD261+BJ261</f>
        <v/>
      </c>
      <c r="F261" t="n">
        <v>0</v>
      </c>
      <c r="G261" s="42">
        <f>K260</f>
        <v/>
      </c>
      <c r="H261" s="42">
        <f>ROUND(G261*H$6/12,2)</f>
        <v/>
      </c>
      <c r="I261" s="42">
        <f>MIN(I$6,G261+H261)</f>
        <v/>
      </c>
      <c r="J261" s="42">
        <f>MAX(0,MIN(G261+H261-I261,$F261))</f>
        <v/>
      </c>
      <c r="K261" s="42">
        <f>ROUND(G261+H261-I261-J261,2)</f>
        <v/>
      </c>
      <c r="L261">
        <f>$F261-J261</f>
        <v/>
      </c>
      <c r="M261" s="42">
        <f>Q260</f>
        <v/>
      </c>
      <c r="N261" s="42">
        <f>ROUND(M261*N$6/12,2)</f>
        <v/>
      </c>
      <c r="O261" s="42">
        <f>MIN(O$6,M261+N261)</f>
        <v/>
      </c>
      <c r="P261" s="42">
        <f>MAX(0,MIN(M261+N261-O261,L261))</f>
        <v/>
      </c>
      <c r="Q261" s="42">
        <f>ROUND(M261+N261-O261-P261,2)</f>
        <v/>
      </c>
      <c r="R261">
        <f>L261-P261</f>
        <v/>
      </c>
      <c r="S261" s="42">
        <f>W260</f>
        <v/>
      </c>
      <c r="T261" s="42">
        <f>ROUND(S261*T$6/12,2)</f>
        <v/>
      </c>
      <c r="U261" s="42">
        <f>MIN(U$6,S261+T261)</f>
        <v/>
      </c>
      <c r="V261" s="42">
        <f>MAX(0,MIN(S261+T261-U261,R261))</f>
        <v/>
      </c>
      <c r="W261" s="42">
        <f>ROUND(S261+T261-U261-V261,2)</f>
        <v/>
      </c>
      <c r="X261">
        <f>R261-V261</f>
        <v/>
      </c>
      <c r="Y261" s="42">
        <f>AC260</f>
        <v/>
      </c>
      <c r="Z261" s="42">
        <f>ROUND(Y261*Z$6/12,2)</f>
        <v/>
      </c>
      <c r="AA261" s="42">
        <f>MIN(AA$6,Y261+Z261)</f>
        <v/>
      </c>
      <c r="AB261" s="42">
        <f>MAX(0,MIN(Y261+Z261-AA261,X261))</f>
        <v/>
      </c>
      <c r="AC261" s="42">
        <f>ROUND(Y261+Z261-AA261-AB261,2)</f>
        <v/>
      </c>
      <c r="AD261">
        <f>X261-AB261</f>
        <v/>
      </c>
      <c r="AE261" s="42">
        <f>AI260</f>
        <v/>
      </c>
      <c r="AF261" s="42">
        <f>ROUND(AE261*AF$6/12,2)</f>
        <v/>
      </c>
      <c r="AG261" s="42">
        <f>MIN(AG$6,AE261+AF261)</f>
        <v/>
      </c>
      <c r="AH261" s="42">
        <f>MAX(0,MIN(AE261+AF261-AG261,AD261))</f>
        <v/>
      </c>
      <c r="AI261" s="42">
        <f>ROUND(AE261+AF261-AG261-AH261,2)</f>
        <v/>
      </c>
      <c r="AJ261">
        <f>AD261-AH261</f>
        <v/>
      </c>
      <c r="AK261" s="42">
        <f>AO260</f>
        <v/>
      </c>
      <c r="AL261" s="42">
        <f>ROUND(AK261*AL$6/12,2)</f>
        <v/>
      </c>
      <c r="AM261" s="42">
        <f>MIN(AM$6,AK261+AL261)</f>
        <v/>
      </c>
      <c r="AN261" s="42">
        <f>MAX(0,MIN(AK261+AL261-AM261,AJ261))</f>
        <v/>
      </c>
      <c r="AO261" s="42">
        <f>ROUND(AK261+AL261-AM261-AN261,2)</f>
        <v/>
      </c>
      <c r="AP261">
        <f>AJ261-AN261</f>
        <v/>
      </c>
      <c r="AQ261" s="42">
        <f>AU260</f>
        <v/>
      </c>
      <c r="AR261" s="42">
        <f>ROUND(AQ261*AR$6/12,2)</f>
        <v/>
      </c>
      <c r="AS261" s="42">
        <f>MIN(AS$6,AQ261+AR261)</f>
        <v/>
      </c>
      <c r="AT261" s="42">
        <f>MAX(0,MIN(AQ261+AR261-AS261,AP261))</f>
        <v/>
      </c>
      <c r="AU261" s="42">
        <f>ROUND(AQ261+AR261-AS261-AT261,2)</f>
        <v/>
      </c>
      <c r="AV261">
        <f>AP261-AT261</f>
        <v/>
      </c>
      <c r="AW261" s="42">
        <f>BA260</f>
        <v/>
      </c>
      <c r="AX261" s="42">
        <f>ROUND(AW261*AX$6/12,2)</f>
        <v/>
      </c>
      <c r="AY261" s="42">
        <f>MIN(AY$6,AW261+AX261)</f>
        <v/>
      </c>
      <c r="AZ261" s="42">
        <f>MAX(0,MIN(AW261+AX261-AY261,AV261))</f>
        <v/>
      </c>
      <c r="BA261" s="42">
        <f>ROUND(AW261+AX261-AY261-AZ261,2)</f>
        <v/>
      </c>
      <c r="BB261">
        <f>AV261-AZ261</f>
        <v/>
      </c>
      <c r="BC261" s="42">
        <f>BG260</f>
        <v/>
      </c>
      <c r="BD261" s="42">
        <f>ROUND(BC261*BD$6/12,2)</f>
        <v/>
      </c>
      <c r="BE261" s="42">
        <f>MIN(BE$6,BC261+BD261)</f>
        <v/>
      </c>
      <c r="BF261" s="42">
        <f>MAX(0,MIN(BC261+BD261-BE261,BB261))</f>
        <v/>
      </c>
      <c r="BG261" s="42">
        <f>ROUND(BC261+BD261-BE261-BF261,2)</f>
        <v/>
      </c>
      <c r="BH261">
        <f>BB261-BF261</f>
        <v/>
      </c>
      <c r="BI261" s="42">
        <f>BM260</f>
        <v/>
      </c>
      <c r="BJ261" s="42">
        <f>ROUND(BI261*BJ$6/12,2)</f>
        <v/>
      </c>
      <c r="BK261" s="42">
        <f>MIN(BK$6,BI261+BJ261)</f>
        <v/>
      </c>
      <c r="BL261" s="42">
        <f>MAX(0,MIN(BI261+BJ261-BK261,BH261))</f>
        <v/>
      </c>
      <c r="BM261" s="42">
        <f>ROUND(BI261+BJ261-BK261-BL261,2)</f>
        <v/>
      </c>
      <c r="BN261">
        <f>BH261-BL261</f>
        <v/>
      </c>
    </row>
    <row r="262">
      <c r="A262" s="39" t="n">
        <v>255</v>
      </c>
      <c r="B262" s="40">
        <f>EDATE('My Debts'!$C$6,A262-1)</f>
        <v/>
      </c>
      <c r="C262" s="41">
        <f>K262+Q262+W262+AC262+AI262+AO262+AU262+BA262+BG262+BM262</f>
        <v/>
      </c>
      <c r="D262" s="42">
        <f>I262+O262+U262+AA262+AG262+AM262+AS262+AY262+BE262+BK262+J262+P262+V262+AB262+AH262+AN262+AT262+AZ262+BF262+BL262</f>
        <v/>
      </c>
      <c r="E262" s="42">
        <f>H262+N262+T262+Z262+AF262+AL262+AR262+AX262+BD262+BJ262</f>
        <v/>
      </c>
      <c r="F262" t="n">
        <v>0</v>
      </c>
      <c r="G262" s="42">
        <f>K261</f>
        <v/>
      </c>
      <c r="H262" s="42">
        <f>ROUND(G262*H$6/12,2)</f>
        <v/>
      </c>
      <c r="I262" s="42">
        <f>MIN(I$6,G262+H262)</f>
        <v/>
      </c>
      <c r="J262" s="42">
        <f>MAX(0,MIN(G262+H262-I262,$F262))</f>
        <v/>
      </c>
      <c r="K262" s="42">
        <f>ROUND(G262+H262-I262-J262,2)</f>
        <v/>
      </c>
      <c r="L262">
        <f>$F262-J262</f>
        <v/>
      </c>
      <c r="M262" s="42">
        <f>Q261</f>
        <v/>
      </c>
      <c r="N262" s="42">
        <f>ROUND(M262*N$6/12,2)</f>
        <v/>
      </c>
      <c r="O262" s="42">
        <f>MIN(O$6,M262+N262)</f>
        <v/>
      </c>
      <c r="P262" s="42">
        <f>MAX(0,MIN(M262+N262-O262,L262))</f>
        <v/>
      </c>
      <c r="Q262" s="42">
        <f>ROUND(M262+N262-O262-P262,2)</f>
        <v/>
      </c>
      <c r="R262">
        <f>L262-P262</f>
        <v/>
      </c>
      <c r="S262" s="42">
        <f>W261</f>
        <v/>
      </c>
      <c r="T262" s="42">
        <f>ROUND(S262*T$6/12,2)</f>
        <v/>
      </c>
      <c r="U262" s="42">
        <f>MIN(U$6,S262+T262)</f>
        <v/>
      </c>
      <c r="V262" s="42">
        <f>MAX(0,MIN(S262+T262-U262,R262))</f>
        <v/>
      </c>
      <c r="W262" s="42">
        <f>ROUND(S262+T262-U262-V262,2)</f>
        <v/>
      </c>
      <c r="X262">
        <f>R262-V262</f>
        <v/>
      </c>
      <c r="Y262" s="42">
        <f>AC261</f>
        <v/>
      </c>
      <c r="Z262" s="42">
        <f>ROUND(Y262*Z$6/12,2)</f>
        <v/>
      </c>
      <c r="AA262" s="42">
        <f>MIN(AA$6,Y262+Z262)</f>
        <v/>
      </c>
      <c r="AB262" s="42">
        <f>MAX(0,MIN(Y262+Z262-AA262,X262))</f>
        <v/>
      </c>
      <c r="AC262" s="42">
        <f>ROUND(Y262+Z262-AA262-AB262,2)</f>
        <v/>
      </c>
      <c r="AD262">
        <f>X262-AB262</f>
        <v/>
      </c>
      <c r="AE262" s="42">
        <f>AI261</f>
        <v/>
      </c>
      <c r="AF262" s="42">
        <f>ROUND(AE262*AF$6/12,2)</f>
        <v/>
      </c>
      <c r="AG262" s="42">
        <f>MIN(AG$6,AE262+AF262)</f>
        <v/>
      </c>
      <c r="AH262" s="42">
        <f>MAX(0,MIN(AE262+AF262-AG262,AD262))</f>
        <v/>
      </c>
      <c r="AI262" s="42">
        <f>ROUND(AE262+AF262-AG262-AH262,2)</f>
        <v/>
      </c>
      <c r="AJ262">
        <f>AD262-AH262</f>
        <v/>
      </c>
      <c r="AK262" s="42">
        <f>AO261</f>
        <v/>
      </c>
      <c r="AL262" s="42">
        <f>ROUND(AK262*AL$6/12,2)</f>
        <v/>
      </c>
      <c r="AM262" s="42">
        <f>MIN(AM$6,AK262+AL262)</f>
        <v/>
      </c>
      <c r="AN262" s="42">
        <f>MAX(0,MIN(AK262+AL262-AM262,AJ262))</f>
        <v/>
      </c>
      <c r="AO262" s="42">
        <f>ROUND(AK262+AL262-AM262-AN262,2)</f>
        <v/>
      </c>
      <c r="AP262">
        <f>AJ262-AN262</f>
        <v/>
      </c>
      <c r="AQ262" s="42">
        <f>AU261</f>
        <v/>
      </c>
      <c r="AR262" s="42">
        <f>ROUND(AQ262*AR$6/12,2)</f>
        <v/>
      </c>
      <c r="AS262" s="42">
        <f>MIN(AS$6,AQ262+AR262)</f>
        <v/>
      </c>
      <c r="AT262" s="42">
        <f>MAX(0,MIN(AQ262+AR262-AS262,AP262))</f>
        <v/>
      </c>
      <c r="AU262" s="42">
        <f>ROUND(AQ262+AR262-AS262-AT262,2)</f>
        <v/>
      </c>
      <c r="AV262">
        <f>AP262-AT262</f>
        <v/>
      </c>
      <c r="AW262" s="42">
        <f>BA261</f>
        <v/>
      </c>
      <c r="AX262" s="42">
        <f>ROUND(AW262*AX$6/12,2)</f>
        <v/>
      </c>
      <c r="AY262" s="42">
        <f>MIN(AY$6,AW262+AX262)</f>
        <v/>
      </c>
      <c r="AZ262" s="42">
        <f>MAX(0,MIN(AW262+AX262-AY262,AV262))</f>
        <v/>
      </c>
      <c r="BA262" s="42">
        <f>ROUND(AW262+AX262-AY262-AZ262,2)</f>
        <v/>
      </c>
      <c r="BB262">
        <f>AV262-AZ262</f>
        <v/>
      </c>
      <c r="BC262" s="42">
        <f>BG261</f>
        <v/>
      </c>
      <c r="BD262" s="42">
        <f>ROUND(BC262*BD$6/12,2)</f>
        <v/>
      </c>
      <c r="BE262" s="42">
        <f>MIN(BE$6,BC262+BD262)</f>
        <v/>
      </c>
      <c r="BF262" s="42">
        <f>MAX(0,MIN(BC262+BD262-BE262,BB262))</f>
        <v/>
      </c>
      <c r="BG262" s="42">
        <f>ROUND(BC262+BD262-BE262-BF262,2)</f>
        <v/>
      </c>
      <c r="BH262">
        <f>BB262-BF262</f>
        <v/>
      </c>
      <c r="BI262" s="42">
        <f>BM261</f>
        <v/>
      </c>
      <c r="BJ262" s="42">
        <f>ROUND(BI262*BJ$6/12,2)</f>
        <v/>
      </c>
      <c r="BK262" s="42">
        <f>MIN(BK$6,BI262+BJ262)</f>
        <v/>
      </c>
      <c r="BL262" s="42">
        <f>MAX(0,MIN(BI262+BJ262-BK262,BH262))</f>
        <v/>
      </c>
      <c r="BM262" s="42">
        <f>ROUND(BI262+BJ262-BK262-BL262,2)</f>
        <v/>
      </c>
      <c r="BN262">
        <f>BH262-BL262</f>
        <v/>
      </c>
    </row>
    <row r="263">
      <c r="A263" s="43" t="n">
        <v>256</v>
      </c>
      <c r="B263" s="44">
        <f>EDATE('My Debts'!$C$6,A263-1)</f>
        <v/>
      </c>
      <c r="C263" s="45">
        <f>K263+Q263+W263+AC263+AI263+AO263+AU263+BA263+BG263+BM263</f>
        <v/>
      </c>
      <c r="D263" s="46">
        <f>I263+O263+U263+AA263+AG263+AM263+AS263+AY263+BE263+BK263+J263+P263+V263+AB263+AH263+AN263+AT263+AZ263+BF263+BL263</f>
        <v/>
      </c>
      <c r="E263" s="46">
        <f>H263+N263+T263+Z263+AF263+AL263+AR263+AX263+BD263+BJ263</f>
        <v/>
      </c>
      <c r="F263" t="n">
        <v>0</v>
      </c>
      <c r="G263" s="42">
        <f>K262</f>
        <v/>
      </c>
      <c r="H263" s="42">
        <f>ROUND(G263*H$6/12,2)</f>
        <v/>
      </c>
      <c r="I263" s="42">
        <f>MIN(I$6,G263+H263)</f>
        <v/>
      </c>
      <c r="J263" s="42">
        <f>MAX(0,MIN(G263+H263-I263,$F263))</f>
        <v/>
      </c>
      <c r="K263" s="42">
        <f>ROUND(G263+H263-I263-J263,2)</f>
        <v/>
      </c>
      <c r="L263">
        <f>$F263-J263</f>
        <v/>
      </c>
      <c r="M263" s="42">
        <f>Q262</f>
        <v/>
      </c>
      <c r="N263" s="42">
        <f>ROUND(M263*N$6/12,2)</f>
        <v/>
      </c>
      <c r="O263" s="42">
        <f>MIN(O$6,M263+N263)</f>
        <v/>
      </c>
      <c r="P263" s="42">
        <f>MAX(0,MIN(M263+N263-O263,L263))</f>
        <v/>
      </c>
      <c r="Q263" s="42">
        <f>ROUND(M263+N263-O263-P263,2)</f>
        <v/>
      </c>
      <c r="R263">
        <f>L263-P263</f>
        <v/>
      </c>
      <c r="S263" s="42">
        <f>W262</f>
        <v/>
      </c>
      <c r="T263" s="42">
        <f>ROUND(S263*T$6/12,2)</f>
        <v/>
      </c>
      <c r="U263" s="42">
        <f>MIN(U$6,S263+T263)</f>
        <v/>
      </c>
      <c r="V263" s="42">
        <f>MAX(0,MIN(S263+T263-U263,R263))</f>
        <v/>
      </c>
      <c r="W263" s="42">
        <f>ROUND(S263+T263-U263-V263,2)</f>
        <v/>
      </c>
      <c r="X263">
        <f>R263-V263</f>
        <v/>
      </c>
      <c r="Y263" s="42">
        <f>AC262</f>
        <v/>
      </c>
      <c r="Z263" s="42">
        <f>ROUND(Y263*Z$6/12,2)</f>
        <v/>
      </c>
      <c r="AA263" s="42">
        <f>MIN(AA$6,Y263+Z263)</f>
        <v/>
      </c>
      <c r="AB263" s="42">
        <f>MAX(0,MIN(Y263+Z263-AA263,X263))</f>
        <v/>
      </c>
      <c r="AC263" s="42">
        <f>ROUND(Y263+Z263-AA263-AB263,2)</f>
        <v/>
      </c>
      <c r="AD263">
        <f>X263-AB263</f>
        <v/>
      </c>
      <c r="AE263" s="42">
        <f>AI262</f>
        <v/>
      </c>
      <c r="AF263" s="42">
        <f>ROUND(AE263*AF$6/12,2)</f>
        <v/>
      </c>
      <c r="AG263" s="42">
        <f>MIN(AG$6,AE263+AF263)</f>
        <v/>
      </c>
      <c r="AH263" s="42">
        <f>MAX(0,MIN(AE263+AF263-AG263,AD263))</f>
        <v/>
      </c>
      <c r="AI263" s="42">
        <f>ROUND(AE263+AF263-AG263-AH263,2)</f>
        <v/>
      </c>
      <c r="AJ263">
        <f>AD263-AH263</f>
        <v/>
      </c>
      <c r="AK263" s="42">
        <f>AO262</f>
        <v/>
      </c>
      <c r="AL263" s="42">
        <f>ROUND(AK263*AL$6/12,2)</f>
        <v/>
      </c>
      <c r="AM263" s="42">
        <f>MIN(AM$6,AK263+AL263)</f>
        <v/>
      </c>
      <c r="AN263" s="42">
        <f>MAX(0,MIN(AK263+AL263-AM263,AJ263))</f>
        <v/>
      </c>
      <c r="AO263" s="42">
        <f>ROUND(AK263+AL263-AM263-AN263,2)</f>
        <v/>
      </c>
      <c r="AP263">
        <f>AJ263-AN263</f>
        <v/>
      </c>
      <c r="AQ263" s="42">
        <f>AU262</f>
        <v/>
      </c>
      <c r="AR263" s="42">
        <f>ROUND(AQ263*AR$6/12,2)</f>
        <v/>
      </c>
      <c r="AS263" s="42">
        <f>MIN(AS$6,AQ263+AR263)</f>
        <v/>
      </c>
      <c r="AT263" s="42">
        <f>MAX(0,MIN(AQ263+AR263-AS263,AP263))</f>
        <v/>
      </c>
      <c r="AU263" s="42">
        <f>ROUND(AQ263+AR263-AS263-AT263,2)</f>
        <v/>
      </c>
      <c r="AV263">
        <f>AP263-AT263</f>
        <v/>
      </c>
      <c r="AW263" s="42">
        <f>BA262</f>
        <v/>
      </c>
      <c r="AX263" s="42">
        <f>ROUND(AW263*AX$6/12,2)</f>
        <v/>
      </c>
      <c r="AY263" s="42">
        <f>MIN(AY$6,AW263+AX263)</f>
        <v/>
      </c>
      <c r="AZ263" s="42">
        <f>MAX(0,MIN(AW263+AX263-AY263,AV263))</f>
        <v/>
      </c>
      <c r="BA263" s="42">
        <f>ROUND(AW263+AX263-AY263-AZ263,2)</f>
        <v/>
      </c>
      <c r="BB263">
        <f>AV263-AZ263</f>
        <v/>
      </c>
      <c r="BC263" s="42">
        <f>BG262</f>
        <v/>
      </c>
      <c r="BD263" s="42">
        <f>ROUND(BC263*BD$6/12,2)</f>
        <v/>
      </c>
      <c r="BE263" s="42">
        <f>MIN(BE$6,BC263+BD263)</f>
        <v/>
      </c>
      <c r="BF263" s="42">
        <f>MAX(0,MIN(BC263+BD263-BE263,BB263))</f>
        <v/>
      </c>
      <c r="BG263" s="42">
        <f>ROUND(BC263+BD263-BE263-BF263,2)</f>
        <v/>
      </c>
      <c r="BH263">
        <f>BB263-BF263</f>
        <v/>
      </c>
      <c r="BI263" s="42">
        <f>BM262</f>
        <v/>
      </c>
      <c r="BJ263" s="42">
        <f>ROUND(BI263*BJ$6/12,2)</f>
        <v/>
      </c>
      <c r="BK263" s="42">
        <f>MIN(BK$6,BI263+BJ263)</f>
        <v/>
      </c>
      <c r="BL263" s="42">
        <f>MAX(0,MIN(BI263+BJ263-BK263,BH263))</f>
        <v/>
      </c>
      <c r="BM263" s="42">
        <f>ROUND(BI263+BJ263-BK263-BL263,2)</f>
        <v/>
      </c>
      <c r="BN263">
        <f>BH263-BL263</f>
        <v/>
      </c>
    </row>
    <row r="264">
      <c r="A264" s="39" t="n">
        <v>257</v>
      </c>
      <c r="B264" s="40">
        <f>EDATE('My Debts'!$C$6,A264-1)</f>
        <v/>
      </c>
      <c r="C264" s="41">
        <f>K264+Q264+W264+AC264+AI264+AO264+AU264+BA264+BG264+BM264</f>
        <v/>
      </c>
      <c r="D264" s="42">
        <f>I264+O264+U264+AA264+AG264+AM264+AS264+AY264+BE264+BK264+J264+P264+V264+AB264+AH264+AN264+AT264+AZ264+BF264+BL264</f>
        <v/>
      </c>
      <c r="E264" s="42">
        <f>H264+N264+T264+Z264+AF264+AL264+AR264+AX264+BD264+BJ264</f>
        <v/>
      </c>
      <c r="F264" t="n">
        <v>0</v>
      </c>
      <c r="G264" s="42">
        <f>K263</f>
        <v/>
      </c>
      <c r="H264" s="42">
        <f>ROUND(G264*H$6/12,2)</f>
        <v/>
      </c>
      <c r="I264" s="42">
        <f>MIN(I$6,G264+H264)</f>
        <v/>
      </c>
      <c r="J264" s="42">
        <f>MAX(0,MIN(G264+H264-I264,$F264))</f>
        <v/>
      </c>
      <c r="K264" s="42">
        <f>ROUND(G264+H264-I264-J264,2)</f>
        <v/>
      </c>
      <c r="L264">
        <f>$F264-J264</f>
        <v/>
      </c>
      <c r="M264" s="42">
        <f>Q263</f>
        <v/>
      </c>
      <c r="N264" s="42">
        <f>ROUND(M264*N$6/12,2)</f>
        <v/>
      </c>
      <c r="O264" s="42">
        <f>MIN(O$6,M264+N264)</f>
        <v/>
      </c>
      <c r="P264" s="42">
        <f>MAX(0,MIN(M264+N264-O264,L264))</f>
        <v/>
      </c>
      <c r="Q264" s="42">
        <f>ROUND(M264+N264-O264-P264,2)</f>
        <v/>
      </c>
      <c r="R264">
        <f>L264-P264</f>
        <v/>
      </c>
      <c r="S264" s="42">
        <f>W263</f>
        <v/>
      </c>
      <c r="T264" s="42">
        <f>ROUND(S264*T$6/12,2)</f>
        <v/>
      </c>
      <c r="U264" s="42">
        <f>MIN(U$6,S264+T264)</f>
        <v/>
      </c>
      <c r="V264" s="42">
        <f>MAX(0,MIN(S264+T264-U264,R264))</f>
        <v/>
      </c>
      <c r="W264" s="42">
        <f>ROUND(S264+T264-U264-V264,2)</f>
        <v/>
      </c>
      <c r="X264">
        <f>R264-V264</f>
        <v/>
      </c>
      <c r="Y264" s="42">
        <f>AC263</f>
        <v/>
      </c>
      <c r="Z264" s="42">
        <f>ROUND(Y264*Z$6/12,2)</f>
        <v/>
      </c>
      <c r="AA264" s="42">
        <f>MIN(AA$6,Y264+Z264)</f>
        <v/>
      </c>
      <c r="AB264" s="42">
        <f>MAX(0,MIN(Y264+Z264-AA264,X264))</f>
        <v/>
      </c>
      <c r="AC264" s="42">
        <f>ROUND(Y264+Z264-AA264-AB264,2)</f>
        <v/>
      </c>
      <c r="AD264">
        <f>X264-AB264</f>
        <v/>
      </c>
      <c r="AE264" s="42">
        <f>AI263</f>
        <v/>
      </c>
      <c r="AF264" s="42">
        <f>ROUND(AE264*AF$6/12,2)</f>
        <v/>
      </c>
      <c r="AG264" s="42">
        <f>MIN(AG$6,AE264+AF264)</f>
        <v/>
      </c>
      <c r="AH264" s="42">
        <f>MAX(0,MIN(AE264+AF264-AG264,AD264))</f>
        <v/>
      </c>
      <c r="AI264" s="42">
        <f>ROUND(AE264+AF264-AG264-AH264,2)</f>
        <v/>
      </c>
      <c r="AJ264">
        <f>AD264-AH264</f>
        <v/>
      </c>
      <c r="AK264" s="42">
        <f>AO263</f>
        <v/>
      </c>
      <c r="AL264" s="42">
        <f>ROUND(AK264*AL$6/12,2)</f>
        <v/>
      </c>
      <c r="AM264" s="42">
        <f>MIN(AM$6,AK264+AL264)</f>
        <v/>
      </c>
      <c r="AN264" s="42">
        <f>MAX(0,MIN(AK264+AL264-AM264,AJ264))</f>
        <v/>
      </c>
      <c r="AO264" s="42">
        <f>ROUND(AK264+AL264-AM264-AN264,2)</f>
        <v/>
      </c>
      <c r="AP264">
        <f>AJ264-AN264</f>
        <v/>
      </c>
      <c r="AQ264" s="42">
        <f>AU263</f>
        <v/>
      </c>
      <c r="AR264" s="42">
        <f>ROUND(AQ264*AR$6/12,2)</f>
        <v/>
      </c>
      <c r="AS264" s="42">
        <f>MIN(AS$6,AQ264+AR264)</f>
        <v/>
      </c>
      <c r="AT264" s="42">
        <f>MAX(0,MIN(AQ264+AR264-AS264,AP264))</f>
        <v/>
      </c>
      <c r="AU264" s="42">
        <f>ROUND(AQ264+AR264-AS264-AT264,2)</f>
        <v/>
      </c>
      <c r="AV264">
        <f>AP264-AT264</f>
        <v/>
      </c>
      <c r="AW264" s="42">
        <f>BA263</f>
        <v/>
      </c>
      <c r="AX264" s="42">
        <f>ROUND(AW264*AX$6/12,2)</f>
        <v/>
      </c>
      <c r="AY264" s="42">
        <f>MIN(AY$6,AW264+AX264)</f>
        <v/>
      </c>
      <c r="AZ264" s="42">
        <f>MAX(0,MIN(AW264+AX264-AY264,AV264))</f>
        <v/>
      </c>
      <c r="BA264" s="42">
        <f>ROUND(AW264+AX264-AY264-AZ264,2)</f>
        <v/>
      </c>
      <c r="BB264">
        <f>AV264-AZ264</f>
        <v/>
      </c>
      <c r="BC264" s="42">
        <f>BG263</f>
        <v/>
      </c>
      <c r="BD264" s="42">
        <f>ROUND(BC264*BD$6/12,2)</f>
        <v/>
      </c>
      <c r="BE264" s="42">
        <f>MIN(BE$6,BC264+BD264)</f>
        <v/>
      </c>
      <c r="BF264" s="42">
        <f>MAX(0,MIN(BC264+BD264-BE264,BB264))</f>
        <v/>
      </c>
      <c r="BG264" s="42">
        <f>ROUND(BC264+BD264-BE264-BF264,2)</f>
        <v/>
      </c>
      <c r="BH264">
        <f>BB264-BF264</f>
        <v/>
      </c>
      <c r="BI264" s="42">
        <f>BM263</f>
        <v/>
      </c>
      <c r="BJ264" s="42">
        <f>ROUND(BI264*BJ$6/12,2)</f>
        <v/>
      </c>
      <c r="BK264" s="42">
        <f>MIN(BK$6,BI264+BJ264)</f>
        <v/>
      </c>
      <c r="BL264" s="42">
        <f>MAX(0,MIN(BI264+BJ264-BK264,BH264))</f>
        <v/>
      </c>
      <c r="BM264" s="42">
        <f>ROUND(BI264+BJ264-BK264-BL264,2)</f>
        <v/>
      </c>
      <c r="BN264">
        <f>BH264-BL264</f>
        <v/>
      </c>
    </row>
    <row r="265">
      <c r="A265" s="43" t="n">
        <v>258</v>
      </c>
      <c r="B265" s="44">
        <f>EDATE('My Debts'!$C$6,A265-1)</f>
        <v/>
      </c>
      <c r="C265" s="45">
        <f>K265+Q265+W265+AC265+AI265+AO265+AU265+BA265+BG265+BM265</f>
        <v/>
      </c>
      <c r="D265" s="46">
        <f>I265+O265+U265+AA265+AG265+AM265+AS265+AY265+BE265+BK265+J265+P265+V265+AB265+AH265+AN265+AT265+AZ265+BF265+BL265</f>
        <v/>
      </c>
      <c r="E265" s="46">
        <f>H265+N265+T265+Z265+AF265+AL265+AR265+AX265+BD265+BJ265</f>
        <v/>
      </c>
      <c r="F265" t="n">
        <v>0</v>
      </c>
      <c r="G265" s="42">
        <f>K264</f>
        <v/>
      </c>
      <c r="H265" s="42">
        <f>ROUND(G265*H$6/12,2)</f>
        <v/>
      </c>
      <c r="I265" s="42">
        <f>MIN(I$6,G265+H265)</f>
        <v/>
      </c>
      <c r="J265" s="42">
        <f>MAX(0,MIN(G265+H265-I265,$F265))</f>
        <v/>
      </c>
      <c r="K265" s="42">
        <f>ROUND(G265+H265-I265-J265,2)</f>
        <v/>
      </c>
      <c r="L265">
        <f>$F265-J265</f>
        <v/>
      </c>
      <c r="M265" s="42">
        <f>Q264</f>
        <v/>
      </c>
      <c r="N265" s="42">
        <f>ROUND(M265*N$6/12,2)</f>
        <v/>
      </c>
      <c r="O265" s="42">
        <f>MIN(O$6,M265+N265)</f>
        <v/>
      </c>
      <c r="P265" s="42">
        <f>MAX(0,MIN(M265+N265-O265,L265))</f>
        <v/>
      </c>
      <c r="Q265" s="42">
        <f>ROUND(M265+N265-O265-P265,2)</f>
        <v/>
      </c>
      <c r="R265">
        <f>L265-P265</f>
        <v/>
      </c>
      <c r="S265" s="42">
        <f>W264</f>
        <v/>
      </c>
      <c r="T265" s="42">
        <f>ROUND(S265*T$6/12,2)</f>
        <v/>
      </c>
      <c r="U265" s="42">
        <f>MIN(U$6,S265+T265)</f>
        <v/>
      </c>
      <c r="V265" s="42">
        <f>MAX(0,MIN(S265+T265-U265,R265))</f>
        <v/>
      </c>
      <c r="W265" s="42">
        <f>ROUND(S265+T265-U265-V265,2)</f>
        <v/>
      </c>
      <c r="X265">
        <f>R265-V265</f>
        <v/>
      </c>
      <c r="Y265" s="42">
        <f>AC264</f>
        <v/>
      </c>
      <c r="Z265" s="42">
        <f>ROUND(Y265*Z$6/12,2)</f>
        <v/>
      </c>
      <c r="AA265" s="42">
        <f>MIN(AA$6,Y265+Z265)</f>
        <v/>
      </c>
      <c r="AB265" s="42">
        <f>MAX(0,MIN(Y265+Z265-AA265,X265))</f>
        <v/>
      </c>
      <c r="AC265" s="42">
        <f>ROUND(Y265+Z265-AA265-AB265,2)</f>
        <v/>
      </c>
      <c r="AD265">
        <f>X265-AB265</f>
        <v/>
      </c>
      <c r="AE265" s="42">
        <f>AI264</f>
        <v/>
      </c>
      <c r="AF265" s="42">
        <f>ROUND(AE265*AF$6/12,2)</f>
        <v/>
      </c>
      <c r="AG265" s="42">
        <f>MIN(AG$6,AE265+AF265)</f>
        <v/>
      </c>
      <c r="AH265" s="42">
        <f>MAX(0,MIN(AE265+AF265-AG265,AD265))</f>
        <v/>
      </c>
      <c r="AI265" s="42">
        <f>ROUND(AE265+AF265-AG265-AH265,2)</f>
        <v/>
      </c>
      <c r="AJ265">
        <f>AD265-AH265</f>
        <v/>
      </c>
      <c r="AK265" s="42">
        <f>AO264</f>
        <v/>
      </c>
      <c r="AL265" s="42">
        <f>ROUND(AK265*AL$6/12,2)</f>
        <v/>
      </c>
      <c r="AM265" s="42">
        <f>MIN(AM$6,AK265+AL265)</f>
        <v/>
      </c>
      <c r="AN265" s="42">
        <f>MAX(0,MIN(AK265+AL265-AM265,AJ265))</f>
        <v/>
      </c>
      <c r="AO265" s="42">
        <f>ROUND(AK265+AL265-AM265-AN265,2)</f>
        <v/>
      </c>
      <c r="AP265">
        <f>AJ265-AN265</f>
        <v/>
      </c>
      <c r="AQ265" s="42">
        <f>AU264</f>
        <v/>
      </c>
      <c r="AR265" s="42">
        <f>ROUND(AQ265*AR$6/12,2)</f>
        <v/>
      </c>
      <c r="AS265" s="42">
        <f>MIN(AS$6,AQ265+AR265)</f>
        <v/>
      </c>
      <c r="AT265" s="42">
        <f>MAX(0,MIN(AQ265+AR265-AS265,AP265))</f>
        <v/>
      </c>
      <c r="AU265" s="42">
        <f>ROUND(AQ265+AR265-AS265-AT265,2)</f>
        <v/>
      </c>
      <c r="AV265">
        <f>AP265-AT265</f>
        <v/>
      </c>
      <c r="AW265" s="42">
        <f>BA264</f>
        <v/>
      </c>
      <c r="AX265" s="42">
        <f>ROUND(AW265*AX$6/12,2)</f>
        <v/>
      </c>
      <c r="AY265" s="42">
        <f>MIN(AY$6,AW265+AX265)</f>
        <v/>
      </c>
      <c r="AZ265" s="42">
        <f>MAX(0,MIN(AW265+AX265-AY265,AV265))</f>
        <v/>
      </c>
      <c r="BA265" s="42">
        <f>ROUND(AW265+AX265-AY265-AZ265,2)</f>
        <v/>
      </c>
      <c r="BB265">
        <f>AV265-AZ265</f>
        <v/>
      </c>
      <c r="BC265" s="42">
        <f>BG264</f>
        <v/>
      </c>
      <c r="BD265" s="42">
        <f>ROUND(BC265*BD$6/12,2)</f>
        <v/>
      </c>
      <c r="BE265" s="42">
        <f>MIN(BE$6,BC265+BD265)</f>
        <v/>
      </c>
      <c r="BF265" s="42">
        <f>MAX(0,MIN(BC265+BD265-BE265,BB265))</f>
        <v/>
      </c>
      <c r="BG265" s="42">
        <f>ROUND(BC265+BD265-BE265-BF265,2)</f>
        <v/>
      </c>
      <c r="BH265">
        <f>BB265-BF265</f>
        <v/>
      </c>
      <c r="BI265" s="42">
        <f>BM264</f>
        <v/>
      </c>
      <c r="BJ265" s="42">
        <f>ROUND(BI265*BJ$6/12,2)</f>
        <v/>
      </c>
      <c r="BK265" s="42">
        <f>MIN(BK$6,BI265+BJ265)</f>
        <v/>
      </c>
      <c r="BL265" s="42">
        <f>MAX(0,MIN(BI265+BJ265-BK265,BH265))</f>
        <v/>
      </c>
      <c r="BM265" s="42">
        <f>ROUND(BI265+BJ265-BK265-BL265,2)</f>
        <v/>
      </c>
      <c r="BN265">
        <f>BH265-BL265</f>
        <v/>
      </c>
    </row>
    <row r="266">
      <c r="A266" s="39" t="n">
        <v>259</v>
      </c>
      <c r="B266" s="40">
        <f>EDATE('My Debts'!$C$6,A266-1)</f>
        <v/>
      </c>
      <c r="C266" s="41">
        <f>K266+Q266+W266+AC266+AI266+AO266+AU266+BA266+BG266+BM266</f>
        <v/>
      </c>
      <c r="D266" s="42">
        <f>I266+O266+U266+AA266+AG266+AM266+AS266+AY266+BE266+BK266+J266+P266+V266+AB266+AH266+AN266+AT266+AZ266+BF266+BL266</f>
        <v/>
      </c>
      <c r="E266" s="42">
        <f>H266+N266+T266+Z266+AF266+AL266+AR266+AX266+BD266+BJ266</f>
        <v/>
      </c>
      <c r="F266" t="n">
        <v>0</v>
      </c>
      <c r="G266" s="42">
        <f>K265</f>
        <v/>
      </c>
      <c r="H266" s="42">
        <f>ROUND(G266*H$6/12,2)</f>
        <v/>
      </c>
      <c r="I266" s="42">
        <f>MIN(I$6,G266+H266)</f>
        <v/>
      </c>
      <c r="J266" s="42">
        <f>MAX(0,MIN(G266+H266-I266,$F266))</f>
        <v/>
      </c>
      <c r="K266" s="42">
        <f>ROUND(G266+H266-I266-J266,2)</f>
        <v/>
      </c>
      <c r="L266">
        <f>$F266-J266</f>
        <v/>
      </c>
      <c r="M266" s="42">
        <f>Q265</f>
        <v/>
      </c>
      <c r="N266" s="42">
        <f>ROUND(M266*N$6/12,2)</f>
        <v/>
      </c>
      <c r="O266" s="42">
        <f>MIN(O$6,M266+N266)</f>
        <v/>
      </c>
      <c r="P266" s="42">
        <f>MAX(0,MIN(M266+N266-O266,L266))</f>
        <v/>
      </c>
      <c r="Q266" s="42">
        <f>ROUND(M266+N266-O266-P266,2)</f>
        <v/>
      </c>
      <c r="R266">
        <f>L266-P266</f>
        <v/>
      </c>
      <c r="S266" s="42">
        <f>W265</f>
        <v/>
      </c>
      <c r="T266" s="42">
        <f>ROUND(S266*T$6/12,2)</f>
        <v/>
      </c>
      <c r="U266" s="42">
        <f>MIN(U$6,S266+T266)</f>
        <v/>
      </c>
      <c r="V266" s="42">
        <f>MAX(0,MIN(S266+T266-U266,R266))</f>
        <v/>
      </c>
      <c r="W266" s="42">
        <f>ROUND(S266+T266-U266-V266,2)</f>
        <v/>
      </c>
      <c r="X266">
        <f>R266-V266</f>
        <v/>
      </c>
      <c r="Y266" s="42">
        <f>AC265</f>
        <v/>
      </c>
      <c r="Z266" s="42">
        <f>ROUND(Y266*Z$6/12,2)</f>
        <v/>
      </c>
      <c r="AA266" s="42">
        <f>MIN(AA$6,Y266+Z266)</f>
        <v/>
      </c>
      <c r="AB266" s="42">
        <f>MAX(0,MIN(Y266+Z266-AA266,X266))</f>
        <v/>
      </c>
      <c r="AC266" s="42">
        <f>ROUND(Y266+Z266-AA266-AB266,2)</f>
        <v/>
      </c>
      <c r="AD266">
        <f>X266-AB266</f>
        <v/>
      </c>
      <c r="AE266" s="42">
        <f>AI265</f>
        <v/>
      </c>
      <c r="AF266" s="42">
        <f>ROUND(AE266*AF$6/12,2)</f>
        <v/>
      </c>
      <c r="AG266" s="42">
        <f>MIN(AG$6,AE266+AF266)</f>
        <v/>
      </c>
      <c r="AH266" s="42">
        <f>MAX(0,MIN(AE266+AF266-AG266,AD266))</f>
        <v/>
      </c>
      <c r="AI266" s="42">
        <f>ROUND(AE266+AF266-AG266-AH266,2)</f>
        <v/>
      </c>
      <c r="AJ266">
        <f>AD266-AH266</f>
        <v/>
      </c>
      <c r="AK266" s="42">
        <f>AO265</f>
        <v/>
      </c>
      <c r="AL266" s="42">
        <f>ROUND(AK266*AL$6/12,2)</f>
        <v/>
      </c>
      <c r="AM266" s="42">
        <f>MIN(AM$6,AK266+AL266)</f>
        <v/>
      </c>
      <c r="AN266" s="42">
        <f>MAX(0,MIN(AK266+AL266-AM266,AJ266))</f>
        <v/>
      </c>
      <c r="AO266" s="42">
        <f>ROUND(AK266+AL266-AM266-AN266,2)</f>
        <v/>
      </c>
      <c r="AP266">
        <f>AJ266-AN266</f>
        <v/>
      </c>
      <c r="AQ266" s="42">
        <f>AU265</f>
        <v/>
      </c>
      <c r="AR266" s="42">
        <f>ROUND(AQ266*AR$6/12,2)</f>
        <v/>
      </c>
      <c r="AS266" s="42">
        <f>MIN(AS$6,AQ266+AR266)</f>
        <v/>
      </c>
      <c r="AT266" s="42">
        <f>MAX(0,MIN(AQ266+AR266-AS266,AP266))</f>
        <v/>
      </c>
      <c r="AU266" s="42">
        <f>ROUND(AQ266+AR266-AS266-AT266,2)</f>
        <v/>
      </c>
      <c r="AV266">
        <f>AP266-AT266</f>
        <v/>
      </c>
      <c r="AW266" s="42">
        <f>BA265</f>
        <v/>
      </c>
      <c r="AX266" s="42">
        <f>ROUND(AW266*AX$6/12,2)</f>
        <v/>
      </c>
      <c r="AY266" s="42">
        <f>MIN(AY$6,AW266+AX266)</f>
        <v/>
      </c>
      <c r="AZ266" s="42">
        <f>MAX(0,MIN(AW266+AX266-AY266,AV266))</f>
        <v/>
      </c>
      <c r="BA266" s="42">
        <f>ROUND(AW266+AX266-AY266-AZ266,2)</f>
        <v/>
      </c>
      <c r="BB266">
        <f>AV266-AZ266</f>
        <v/>
      </c>
      <c r="BC266" s="42">
        <f>BG265</f>
        <v/>
      </c>
      <c r="BD266" s="42">
        <f>ROUND(BC266*BD$6/12,2)</f>
        <v/>
      </c>
      <c r="BE266" s="42">
        <f>MIN(BE$6,BC266+BD266)</f>
        <v/>
      </c>
      <c r="BF266" s="42">
        <f>MAX(0,MIN(BC266+BD266-BE266,BB266))</f>
        <v/>
      </c>
      <c r="BG266" s="42">
        <f>ROUND(BC266+BD266-BE266-BF266,2)</f>
        <v/>
      </c>
      <c r="BH266">
        <f>BB266-BF266</f>
        <v/>
      </c>
      <c r="BI266" s="42">
        <f>BM265</f>
        <v/>
      </c>
      <c r="BJ266" s="42">
        <f>ROUND(BI266*BJ$6/12,2)</f>
        <v/>
      </c>
      <c r="BK266" s="42">
        <f>MIN(BK$6,BI266+BJ266)</f>
        <v/>
      </c>
      <c r="BL266" s="42">
        <f>MAX(0,MIN(BI266+BJ266-BK266,BH266))</f>
        <v/>
      </c>
      <c r="BM266" s="42">
        <f>ROUND(BI266+BJ266-BK266-BL266,2)</f>
        <v/>
      </c>
      <c r="BN266">
        <f>BH266-BL266</f>
        <v/>
      </c>
    </row>
    <row r="267">
      <c r="A267" s="43" t="n">
        <v>260</v>
      </c>
      <c r="B267" s="44">
        <f>EDATE('My Debts'!$C$6,A267-1)</f>
        <v/>
      </c>
      <c r="C267" s="45">
        <f>K267+Q267+W267+AC267+AI267+AO267+AU267+BA267+BG267+BM267</f>
        <v/>
      </c>
      <c r="D267" s="46">
        <f>I267+O267+U267+AA267+AG267+AM267+AS267+AY267+BE267+BK267+J267+P267+V267+AB267+AH267+AN267+AT267+AZ267+BF267+BL267</f>
        <v/>
      </c>
      <c r="E267" s="46">
        <f>H267+N267+T267+Z267+AF267+AL267+AR267+AX267+BD267+BJ267</f>
        <v/>
      </c>
      <c r="F267" t="n">
        <v>0</v>
      </c>
      <c r="G267" s="42">
        <f>K266</f>
        <v/>
      </c>
      <c r="H267" s="42">
        <f>ROUND(G267*H$6/12,2)</f>
        <v/>
      </c>
      <c r="I267" s="42">
        <f>MIN(I$6,G267+H267)</f>
        <v/>
      </c>
      <c r="J267" s="42">
        <f>MAX(0,MIN(G267+H267-I267,$F267))</f>
        <v/>
      </c>
      <c r="K267" s="42">
        <f>ROUND(G267+H267-I267-J267,2)</f>
        <v/>
      </c>
      <c r="L267">
        <f>$F267-J267</f>
        <v/>
      </c>
      <c r="M267" s="42">
        <f>Q266</f>
        <v/>
      </c>
      <c r="N267" s="42">
        <f>ROUND(M267*N$6/12,2)</f>
        <v/>
      </c>
      <c r="O267" s="42">
        <f>MIN(O$6,M267+N267)</f>
        <v/>
      </c>
      <c r="P267" s="42">
        <f>MAX(0,MIN(M267+N267-O267,L267))</f>
        <v/>
      </c>
      <c r="Q267" s="42">
        <f>ROUND(M267+N267-O267-P267,2)</f>
        <v/>
      </c>
      <c r="R267">
        <f>L267-P267</f>
        <v/>
      </c>
      <c r="S267" s="42">
        <f>W266</f>
        <v/>
      </c>
      <c r="T267" s="42">
        <f>ROUND(S267*T$6/12,2)</f>
        <v/>
      </c>
      <c r="U267" s="42">
        <f>MIN(U$6,S267+T267)</f>
        <v/>
      </c>
      <c r="V267" s="42">
        <f>MAX(0,MIN(S267+T267-U267,R267))</f>
        <v/>
      </c>
      <c r="W267" s="42">
        <f>ROUND(S267+T267-U267-V267,2)</f>
        <v/>
      </c>
      <c r="X267">
        <f>R267-V267</f>
        <v/>
      </c>
      <c r="Y267" s="42">
        <f>AC266</f>
        <v/>
      </c>
      <c r="Z267" s="42">
        <f>ROUND(Y267*Z$6/12,2)</f>
        <v/>
      </c>
      <c r="AA267" s="42">
        <f>MIN(AA$6,Y267+Z267)</f>
        <v/>
      </c>
      <c r="AB267" s="42">
        <f>MAX(0,MIN(Y267+Z267-AA267,X267))</f>
        <v/>
      </c>
      <c r="AC267" s="42">
        <f>ROUND(Y267+Z267-AA267-AB267,2)</f>
        <v/>
      </c>
      <c r="AD267">
        <f>X267-AB267</f>
        <v/>
      </c>
      <c r="AE267" s="42">
        <f>AI266</f>
        <v/>
      </c>
      <c r="AF267" s="42">
        <f>ROUND(AE267*AF$6/12,2)</f>
        <v/>
      </c>
      <c r="AG267" s="42">
        <f>MIN(AG$6,AE267+AF267)</f>
        <v/>
      </c>
      <c r="AH267" s="42">
        <f>MAX(0,MIN(AE267+AF267-AG267,AD267))</f>
        <v/>
      </c>
      <c r="AI267" s="42">
        <f>ROUND(AE267+AF267-AG267-AH267,2)</f>
        <v/>
      </c>
      <c r="AJ267">
        <f>AD267-AH267</f>
        <v/>
      </c>
      <c r="AK267" s="42">
        <f>AO266</f>
        <v/>
      </c>
      <c r="AL267" s="42">
        <f>ROUND(AK267*AL$6/12,2)</f>
        <v/>
      </c>
      <c r="AM267" s="42">
        <f>MIN(AM$6,AK267+AL267)</f>
        <v/>
      </c>
      <c r="AN267" s="42">
        <f>MAX(0,MIN(AK267+AL267-AM267,AJ267))</f>
        <v/>
      </c>
      <c r="AO267" s="42">
        <f>ROUND(AK267+AL267-AM267-AN267,2)</f>
        <v/>
      </c>
      <c r="AP267">
        <f>AJ267-AN267</f>
        <v/>
      </c>
      <c r="AQ267" s="42">
        <f>AU266</f>
        <v/>
      </c>
      <c r="AR267" s="42">
        <f>ROUND(AQ267*AR$6/12,2)</f>
        <v/>
      </c>
      <c r="AS267" s="42">
        <f>MIN(AS$6,AQ267+AR267)</f>
        <v/>
      </c>
      <c r="AT267" s="42">
        <f>MAX(0,MIN(AQ267+AR267-AS267,AP267))</f>
        <v/>
      </c>
      <c r="AU267" s="42">
        <f>ROUND(AQ267+AR267-AS267-AT267,2)</f>
        <v/>
      </c>
      <c r="AV267">
        <f>AP267-AT267</f>
        <v/>
      </c>
      <c r="AW267" s="42">
        <f>BA266</f>
        <v/>
      </c>
      <c r="AX267" s="42">
        <f>ROUND(AW267*AX$6/12,2)</f>
        <v/>
      </c>
      <c r="AY267" s="42">
        <f>MIN(AY$6,AW267+AX267)</f>
        <v/>
      </c>
      <c r="AZ267" s="42">
        <f>MAX(0,MIN(AW267+AX267-AY267,AV267))</f>
        <v/>
      </c>
      <c r="BA267" s="42">
        <f>ROUND(AW267+AX267-AY267-AZ267,2)</f>
        <v/>
      </c>
      <c r="BB267">
        <f>AV267-AZ267</f>
        <v/>
      </c>
      <c r="BC267" s="42">
        <f>BG266</f>
        <v/>
      </c>
      <c r="BD267" s="42">
        <f>ROUND(BC267*BD$6/12,2)</f>
        <v/>
      </c>
      <c r="BE267" s="42">
        <f>MIN(BE$6,BC267+BD267)</f>
        <v/>
      </c>
      <c r="BF267" s="42">
        <f>MAX(0,MIN(BC267+BD267-BE267,BB267))</f>
        <v/>
      </c>
      <c r="BG267" s="42">
        <f>ROUND(BC267+BD267-BE267-BF267,2)</f>
        <v/>
      </c>
      <c r="BH267">
        <f>BB267-BF267</f>
        <v/>
      </c>
      <c r="BI267" s="42">
        <f>BM266</f>
        <v/>
      </c>
      <c r="BJ267" s="42">
        <f>ROUND(BI267*BJ$6/12,2)</f>
        <v/>
      </c>
      <c r="BK267" s="42">
        <f>MIN(BK$6,BI267+BJ267)</f>
        <v/>
      </c>
      <c r="BL267" s="42">
        <f>MAX(0,MIN(BI267+BJ267-BK267,BH267))</f>
        <v/>
      </c>
      <c r="BM267" s="42">
        <f>ROUND(BI267+BJ267-BK267-BL267,2)</f>
        <v/>
      </c>
      <c r="BN267">
        <f>BH267-BL267</f>
        <v/>
      </c>
    </row>
    <row r="268">
      <c r="A268" s="39" t="n">
        <v>261</v>
      </c>
      <c r="B268" s="40">
        <f>EDATE('My Debts'!$C$6,A268-1)</f>
        <v/>
      </c>
      <c r="C268" s="41">
        <f>K268+Q268+W268+AC268+AI268+AO268+AU268+BA268+BG268+BM268</f>
        <v/>
      </c>
      <c r="D268" s="42">
        <f>I268+O268+U268+AA268+AG268+AM268+AS268+AY268+BE268+BK268+J268+P268+V268+AB268+AH268+AN268+AT268+AZ268+BF268+BL268</f>
        <v/>
      </c>
      <c r="E268" s="42">
        <f>H268+N268+T268+Z268+AF268+AL268+AR268+AX268+BD268+BJ268</f>
        <v/>
      </c>
      <c r="F268" t="n">
        <v>0</v>
      </c>
      <c r="G268" s="42">
        <f>K267</f>
        <v/>
      </c>
      <c r="H268" s="42">
        <f>ROUND(G268*H$6/12,2)</f>
        <v/>
      </c>
      <c r="I268" s="42">
        <f>MIN(I$6,G268+H268)</f>
        <v/>
      </c>
      <c r="J268" s="42">
        <f>MAX(0,MIN(G268+H268-I268,$F268))</f>
        <v/>
      </c>
      <c r="K268" s="42">
        <f>ROUND(G268+H268-I268-J268,2)</f>
        <v/>
      </c>
      <c r="L268">
        <f>$F268-J268</f>
        <v/>
      </c>
      <c r="M268" s="42">
        <f>Q267</f>
        <v/>
      </c>
      <c r="N268" s="42">
        <f>ROUND(M268*N$6/12,2)</f>
        <v/>
      </c>
      <c r="O268" s="42">
        <f>MIN(O$6,M268+N268)</f>
        <v/>
      </c>
      <c r="P268" s="42">
        <f>MAX(0,MIN(M268+N268-O268,L268))</f>
        <v/>
      </c>
      <c r="Q268" s="42">
        <f>ROUND(M268+N268-O268-P268,2)</f>
        <v/>
      </c>
      <c r="R268">
        <f>L268-P268</f>
        <v/>
      </c>
      <c r="S268" s="42">
        <f>W267</f>
        <v/>
      </c>
      <c r="T268" s="42">
        <f>ROUND(S268*T$6/12,2)</f>
        <v/>
      </c>
      <c r="U268" s="42">
        <f>MIN(U$6,S268+T268)</f>
        <v/>
      </c>
      <c r="V268" s="42">
        <f>MAX(0,MIN(S268+T268-U268,R268))</f>
        <v/>
      </c>
      <c r="W268" s="42">
        <f>ROUND(S268+T268-U268-V268,2)</f>
        <v/>
      </c>
      <c r="X268">
        <f>R268-V268</f>
        <v/>
      </c>
      <c r="Y268" s="42">
        <f>AC267</f>
        <v/>
      </c>
      <c r="Z268" s="42">
        <f>ROUND(Y268*Z$6/12,2)</f>
        <v/>
      </c>
      <c r="AA268" s="42">
        <f>MIN(AA$6,Y268+Z268)</f>
        <v/>
      </c>
      <c r="AB268" s="42">
        <f>MAX(0,MIN(Y268+Z268-AA268,X268))</f>
        <v/>
      </c>
      <c r="AC268" s="42">
        <f>ROUND(Y268+Z268-AA268-AB268,2)</f>
        <v/>
      </c>
      <c r="AD268">
        <f>X268-AB268</f>
        <v/>
      </c>
      <c r="AE268" s="42">
        <f>AI267</f>
        <v/>
      </c>
      <c r="AF268" s="42">
        <f>ROUND(AE268*AF$6/12,2)</f>
        <v/>
      </c>
      <c r="AG268" s="42">
        <f>MIN(AG$6,AE268+AF268)</f>
        <v/>
      </c>
      <c r="AH268" s="42">
        <f>MAX(0,MIN(AE268+AF268-AG268,AD268))</f>
        <v/>
      </c>
      <c r="AI268" s="42">
        <f>ROUND(AE268+AF268-AG268-AH268,2)</f>
        <v/>
      </c>
      <c r="AJ268">
        <f>AD268-AH268</f>
        <v/>
      </c>
      <c r="AK268" s="42">
        <f>AO267</f>
        <v/>
      </c>
      <c r="AL268" s="42">
        <f>ROUND(AK268*AL$6/12,2)</f>
        <v/>
      </c>
      <c r="AM268" s="42">
        <f>MIN(AM$6,AK268+AL268)</f>
        <v/>
      </c>
      <c r="AN268" s="42">
        <f>MAX(0,MIN(AK268+AL268-AM268,AJ268))</f>
        <v/>
      </c>
      <c r="AO268" s="42">
        <f>ROUND(AK268+AL268-AM268-AN268,2)</f>
        <v/>
      </c>
      <c r="AP268">
        <f>AJ268-AN268</f>
        <v/>
      </c>
      <c r="AQ268" s="42">
        <f>AU267</f>
        <v/>
      </c>
      <c r="AR268" s="42">
        <f>ROUND(AQ268*AR$6/12,2)</f>
        <v/>
      </c>
      <c r="AS268" s="42">
        <f>MIN(AS$6,AQ268+AR268)</f>
        <v/>
      </c>
      <c r="AT268" s="42">
        <f>MAX(0,MIN(AQ268+AR268-AS268,AP268))</f>
        <v/>
      </c>
      <c r="AU268" s="42">
        <f>ROUND(AQ268+AR268-AS268-AT268,2)</f>
        <v/>
      </c>
      <c r="AV268">
        <f>AP268-AT268</f>
        <v/>
      </c>
      <c r="AW268" s="42">
        <f>BA267</f>
        <v/>
      </c>
      <c r="AX268" s="42">
        <f>ROUND(AW268*AX$6/12,2)</f>
        <v/>
      </c>
      <c r="AY268" s="42">
        <f>MIN(AY$6,AW268+AX268)</f>
        <v/>
      </c>
      <c r="AZ268" s="42">
        <f>MAX(0,MIN(AW268+AX268-AY268,AV268))</f>
        <v/>
      </c>
      <c r="BA268" s="42">
        <f>ROUND(AW268+AX268-AY268-AZ268,2)</f>
        <v/>
      </c>
      <c r="BB268">
        <f>AV268-AZ268</f>
        <v/>
      </c>
      <c r="BC268" s="42">
        <f>BG267</f>
        <v/>
      </c>
      <c r="BD268" s="42">
        <f>ROUND(BC268*BD$6/12,2)</f>
        <v/>
      </c>
      <c r="BE268" s="42">
        <f>MIN(BE$6,BC268+BD268)</f>
        <v/>
      </c>
      <c r="BF268" s="42">
        <f>MAX(0,MIN(BC268+BD268-BE268,BB268))</f>
        <v/>
      </c>
      <c r="BG268" s="42">
        <f>ROUND(BC268+BD268-BE268-BF268,2)</f>
        <v/>
      </c>
      <c r="BH268">
        <f>BB268-BF268</f>
        <v/>
      </c>
      <c r="BI268" s="42">
        <f>BM267</f>
        <v/>
      </c>
      <c r="BJ268" s="42">
        <f>ROUND(BI268*BJ$6/12,2)</f>
        <v/>
      </c>
      <c r="BK268" s="42">
        <f>MIN(BK$6,BI268+BJ268)</f>
        <v/>
      </c>
      <c r="BL268" s="42">
        <f>MAX(0,MIN(BI268+BJ268-BK268,BH268))</f>
        <v/>
      </c>
      <c r="BM268" s="42">
        <f>ROUND(BI268+BJ268-BK268-BL268,2)</f>
        <v/>
      </c>
      <c r="BN268">
        <f>BH268-BL268</f>
        <v/>
      </c>
    </row>
    <row r="269">
      <c r="A269" s="43" t="n">
        <v>262</v>
      </c>
      <c r="B269" s="44">
        <f>EDATE('My Debts'!$C$6,A269-1)</f>
        <v/>
      </c>
      <c r="C269" s="45">
        <f>K269+Q269+W269+AC269+AI269+AO269+AU269+BA269+BG269+BM269</f>
        <v/>
      </c>
      <c r="D269" s="46">
        <f>I269+O269+U269+AA269+AG269+AM269+AS269+AY269+BE269+BK269+J269+P269+V269+AB269+AH269+AN269+AT269+AZ269+BF269+BL269</f>
        <v/>
      </c>
      <c r="E269" s="46">
        <f>H269+N269+T269+Z269+AF269+AL269+AR269+AX269+BD269+BJ269</f>
        <v/>
      </c>
      <c r="F269" t="n">
        <v>0</v>
      </c>
      <c r="G269" s="42">
        <f>K268</f>
        <v/>
      </c>
      <c r="H269" s="42">
        <f>ROUND(G269*H$6/12,2)</f>
        <v/>
      </c>
      <c r="I269" s="42">
        <f>MIN(I$6,G269+H269)</f>
        <v/>
      </c>
      <c r="J269" s="42">
        <f>MAX(0,MIN(G269+H269-I269,$F269))</f>
        <v/>
      </c>
      <c r="K269" s="42">
        <f>ROUND(G269+H269-I269-J269,2)</f>
        <v/>
      </c>
      <c r="L269">
        <f>$F269-J269</f>
        <v/>
      </c>
      <c r="M269" s="42">
        <f>Q268</f>
        <v/>
      </c>
      <c r="N269" s="42">
        <f>ROUND(M269*N$6/12,2)</f>
        <v/>
      </c>
      <c r="O269" s="42">
        <f>MIN(O$6,M269+N269)</f>
        <v/>
      </c>
      <c r="P269" s="42">
        <f>MAX(0,MIN(M269+N269-O269,L269))</f>
        <v/>
      </c>
      <c r="Q269" s="42">
        <f>ROUND(M269+N269-O269-P269,2)</f>
        <v/>
      </c>
      <c r="R269">
        <f>L269-P269</f>
        <v/>
      </c>
      <c r="S269" s="42">
        <f>W268</f>
        <v/>
      </c>
      <c r="T269" s="42">
        <f>ROUND(S269*T$6/12,2)</f>
        <v/>
      </c>
      <c r="U269" s="42">
        <f>MIN(U$6,S269+T269)</f>
        <v/>
      </c>
      <c r="V269" s="42">
        <f>MAX(0,MIN(S269+T269-U269,R269))</f>
        <v/>
      </c>
      <c r="W269" s="42">
        <f>ROUND(S269+T269-U269-V269,2)</f>
        <v/>
      </c>
      <c r="X269">
        <f>R269-V269</f>
        <v/>
      </c>
      <c r="Y269" s="42">
        <f>AC268</f>
        <v/>
      </c>
      <c r="Z269" s="42">
        <f>ROUND(Y269*Z$6/12,2)</f>
        <v/>
      </c>
      <c r="AA269" s="42">
        <f>MIN(AA$6,Y269+Z269)</f>
        <v/>
      </c>
      <c r="AB269" s="42">
        <f>MAX(0,MIN(Y269+Z269-AA269,X269))</f>
        <v/>
      </c>
      <c r="AC269" s="42">
        <f>ROUND(Y269+Z269-AA269-AB269,2)</f>
        <v/>
      </c>
      <c r="AD269">
        <f>X269-AB269</f>
        <v/>
      </c>
      <c r="AE269" s="42">
        <f>AI268</f>
        <v/>
      </c>
      <c r="AF269" s="42">
        <f>ROUND(AE269*AF$6/12,2)</f>
        <v/>
      </c>
      <c r="AG269" s="42">
        <f>MIN(AG$6,AE269+AF269)</f>
        <v/>
      </c>
      <c r="AH269" s="42">
        <f>MAX(0,MIN(AE269+AF269-AG269,AD269))</f>
        <v/>
      </c>
      <c r="AI269" s="42">
        <f>ROUND(AE269+AF269-AG269-AH269,2)</f>
        <v/>
      </c>
      <c r="AJ269">
        <f>AD269-AH269</f>
        <v/>
      </c>
      <c r="AK269" s="42">
        <f>AO268</f>
        <v/>
      </c>
      <c r="AL269" s="42">
        <f>ROUND(AK269*AL$6/12,2)</f>
        <v/>
      </c>
      <c r="AM269" s="42">
        <f>MIN(AM$6,AK269+AL269)</f>
        <v/>
      </c>
      <c r="AN269" s="42">
        <f>MAX(0,MIN(AK269+AL269-AM269,AJ269))</f>
        <v/>
      </c>
      <c r="AO269" s="42">
        <f>ROUND(AK269+AL269-AM269-AN269,2)</f>
        <v/>
      </c>
      <c r="AP269">
        <f>AJ269-AN269</f>
        <v/>
      </c>
      <c r="AQ269" s="42">
        <f>AU268</f>
        <v/>
      </c>
      <c r="AR269" s="42">
        <f>ROUND(AQ269*AR$6/12,2)</f>
        <v/>
      </c>
      <c r="AS269" s="42">
        <f>MIN(AS$6,AQ269+AR269)</f>
        <v/>
      </c>
      <c r="AT269" s="42">
        <f>MAX(0,MIN(AQ269+AR269-AS269,AP269))</f>
        <v/>
      </c>
      <c r="AU269" s="42">
        <f>ROUND(AQ269+AR269-AS269-AT269,2)</f>
        <v/>
      </c>
      <c r="AV269">
        <f>AP269-AT269</f>
        <v/>
      </c>
      <c r="AW269" s="42">
        <f>BA268</f>
        <v/>
      </c>
      <c r="AX269" s="42">
        <f>ROUND(AW269*AX$6/12,2)</f>
        <v/>
      </c>
      <c r="AY269" s="42">
        <f>MIN(AY$6,AW269+AX269)</f>
        <v/>
      </c>
      <c r="AZ269" s="42">
        <f>MAX(0,MIN(AW269+AX269-AY269,AV269))</f>
        <v/>
      </c>
      <c r="BA269" s="42">
        <f>ROUND(AW269+AX269-AY269-AZ269,2)</f>
        <v/>
      </c>
      <c r="BB269">
        <f>AV269-AZ269</f>
        <v/>
      </c>
      <c r="BC269" s="42">
        <f>BG268</f>
        <v/>
      </c>
      <c r="BD269" s="42">
        <f>ROUND(BC269*BD$6/12,2)</f>
        <v/>
      </c>
      <c r="BE269" s="42">
        <f>MIN(BE$6,BC269+BD269)</f>
        <v/>
      </c>
      <c r="BF269" s="42">
        <f>MAX(0,MIN(BC269+BD269-BE269,BB269))</f>
        <v/>
      </c>
      <c r="BG269" s="42">
        <f>ROUND(BC269+BD269-BE269-BF269,2)</f>
        <v/>
      </c>
      <c r="BH269">
        <f>BB269-BF269</f>
        <v/>
      </c>
      <c r="BI269" s="42">
        <f>BM268</f>
        <v/>
      </c>
      <c r="BJ269" s="42">
        <f>ROUND(BI269*BJ$6/12,2)</f>
        <v/>
      </c>
      <c r="BK269" s="42">
        <f>MIN(BK$6,BI269+BJ269)</f>
        <v/>
      </c>
      <c r="BL269" s="42">
        <f>MAX(0,MIN(BI269+BJ269-BK269,BH269))</f>
        <v/>
      </c>
      <c r="BM269" s="42">
        <f>ROUND(BI269+BJ269-BK269-BL269,2)</f>
        <v/>
      </c>
      <c r="BN269">
        <f>BH269-BL269</f>
        <v/>
      </c>
    </row>
    <row r="270">
      <c r="A270" s="39" t="n">
        <v>263</v>
      </c>
      <c r="B270" s="40">
        <f>EDATE('My Debts'!$C$6,A270-1)</f>
        <v/>
      </c>
      <c r="C270" s="41">
        <f>K270+Q270+W270+AC270+AI270+AO270+AU270+BA270+BG270+BM270</f>
        <v/>
      </c>
      <c r="D270" s="42">
        <f>I270+O270+U270+AA270+AG270+AM270+AS270+AY270+BE270+BK270+J270+P270+V270+AB270+AH270+AN270+AT270+AZ270+BF270+BL270</f>
        <v/>
      </c>
      <c r="E270" s="42">
        <f>H270+N270+T270+Z270+AF270+AL270+AR270+AX270+BD270+BJ270</f>
        <v/>
      </c>
      <c r="F270" t="n">
        <v>0</v>
      </c>
      <c r="G270" s="42">
        <f>K269</f>
        <v/>
      </c>
      <c r="H270" s="42">
        <f>ROUND(G270*H$6/12,2)</f>
        <v/>
      </c>
      <c r="I270" s="42">
        <f>MIN(I$6,G270+H270)</f>
        <v/>
      </c>
      <c r="J270" s="42">
        <f>MAX(0,MIN(G270+H270-I270,$F270))</f>
        <v/>
      </c>
      <c r="K270" s="42">
        <f>ROUND(G270+H270-I270-J270,2)</f>
        <v/>
      </c>
      <c r="L270">
        <f>$F270-J270</f>
        <v/>
      </c>
      <c r="M270" s="42">
        <f>Q269</f>
        <v/>
      </c>
      <c r="N270" s="42">
        <f>ROUND(M270*N$6/12,2)</f>
        <v/>
      </c>
      <c r="O270" s="42">
        <f>MIN(O$6,M270+N270)</f>
        <v/>
      </c>
      <c r="P270" s="42">
        <f>MAX(0,MIN(M270+N270-O270,L270))</f>
        <v/>
      </c>
      <c r="Q270" s="42">
        <f>ROUND(M270+N270-O270-P270,2)</f>
        <v/>
      </c>
      <c r="R270">
        <f>L270-P270</f>
        <v/>
      </c>
      <c r="S270" s="42">
        <f>W269</f>
        <v/>
      </c>
      <c r="T270" s="42">
        <f>ROUND(S270*T$6/12,2)</f>
        <v/>
      </c>
      <c r="U270" s="42">
        <f>MIN(U$6,S270+T270)</f>
        <v/>
      </c>
      <c r="V270" s="42">
        <f>MAX(0,MIN(S270+T270-U270,R270))</f>
        <v/>
      </c>
      <c r="W270" s="42">
        <f>ROUND(S270+T270-U270-V270,2)</f>
        <v/>
      </c>
      <c r="X270">
        <f>R270-V270</f>
        <v/>
      </c>
      <c r="Y270" s="42">
        <f>AC269</f>
        <v/>
      </c>
      <c r="Z270" s="42">
        <f>ROUND(Y270*Z$6/12,2)</f>
        <v/>
      </c>
      <c r="AA270" s="42">
        <f>MIN(AA$6,Y270+Z270)</f>
        <v/>
      </c>
      <c r="AB270" s="42">
        <f>MAX(0,MIN(Y270+Z270-AA270,X270))</f>
        <v/>
      </c>
      <c r="AC270" s="42">
        <f>ROUND(Y270+Z270-AA270-AB270,2)</f>
        <v/>
      </c>
      <c r="AD270">
        <f>X270-AB270</f>
        <v/>
      </c>
      <c r="AE270" s="42">
        <f>AI269</f>
        <v/>
      </c>
      <c r="AF270" s="42">
        <f>ROUND(AE270*AF$6/12,2)</f>
        <v/>
      </c>
      <c r="AG270" s="42">
        <f>MIN(AG$6,AE270+AF270)</f>
        <v/>
      </c>
      <c r="AH270" s="42">
        <f>MAX(0,MIN(AE270+AF270-AG270,AD270))</f>
        <v/>
      </c>
      <c r="AI270" s="42">
        <f>ROUND(AE270+AF270-AG270-AH270,2)</f>
        <v/>
      </c>
      <c r="AJ270">
        <f>AD270-AH270</f>
        <v/>
      </c>
      <c r="AK270" s="42">
        <f>AO269</f>
        <v/>
      </c>
      <c r="AL270" s="42">
        <f>ROUND(AK270*AL$6/12,2)</f>
        <v/>
      </c>
      <c r="AM270" s="42">
        <f>MIN(AM$6,AK270+AL270)</f>
        <v/>
      </c>
      <c r="AN270" s="42">
        <f>MAX(0,MIN(AK270+AL270-AM270,AJ270))</f>
        <v/>
      </c>
      <c r="AO270" s="42">
        <f>ROUND(AK270+AL270-AM270-AN270,2)</f>
        <v/>
      </c>
      <c r="AP270">
        <f>AJ270-AN270</f>
        <v/>
      </c>
      <c r="AQ270" s="42">
        <f>AU269</f>
        <v/>
      </c>
      <c r="AR270" s="42">
        <f>ROUND(AQ270*AR$6/12,2)</f>
        <v/>
      </c>
      <c r="AS270" s="42">
        <f>MIN(AS$6,AQ270+AR270)</f>
        <v/>
      </c>
      <c r="AT270" s="42">
        <f>MAX(0,MIN(AQ270+AR270-AS270,AP270))</f>
        <v/>
      </c>
      <c r="AU270" s="42">
        <f>ROUND(AQ270+AR270-AS270-AT270,2)</f>
        <v/>
      </c>
      <c r="AV270">
        <f>AP270-AT270</f>
        <v/>
      </c>
      <c r="AW270" s="42">
        <f>BA269</f>
        <v/>
      </c>
      <c r="AX270" s="42">
        <f>ROUND(AW270*AX$6/12,2)</f>
        <v/>
      </c>
      <c r="AY270" s="42">
        <f>MIN(AY$6,AW270+AX270)</f>
        <v/>
      </c>
      <c r="AZ270" s="42">
        <f>MAX(0,MIN(AW270+AX270-AY270,AV270))</f>
        <v/>
      </c>
      <c r="BA270" s="42">
        <f>ROUND(AW270+AX270-AY270-AZ270,2)</f>
        <v/>
      </c>
      <c r="BB270">
        <f>AV270-AZ270</f>
        <v/>
      </c>
      <c r="BC270" s="42">
        <f>BG269</f>
        <v/>
      </c>
      <c r="BD270" s="42">
        <f>ROUND(BC270*BD$6/12,2)</f>
        <v/>
      </c>
      <c r="BE270" s="42">
        <f>MIN(BE$6,BC270+BD270)</f>
        <v/>
      </c>
      <c r="BF270" s="42">
        <f>MAX(0,MIN(BC270+BD270-BE270,BB270))</f>
        <v/>
      </c>
      <c r="BG270" s="42">
        <f>ROUND(BC270+BD270-BE270-BF270,2)</f>
        <v/>
      </c>
      <c r="BH270">
        <f>BB270-BF270</f>
        <v/>
      </c>
      <c r="BI270" s="42">
        <f>BM269</f>
        <v/>
      </c>
      <c r="BJ270" s="42">
        <f>ROUND(BI270*BJ$6/12,2)</f>
        <v/>
      </c>
      <c r="BK270" s="42">
        <f>MIN(BK$6,BI270+BJ270)</f>
        <v/>
      </c>
      <c r="BL270" s="42">
        <f>MAX(0,MIN(BI270+BJ270-BK270,BH270))</f>
        <v/>
      </c>
      <c r="BM270" s="42">
        <f>ROUND(BI270+BJ270-BK270-BL270,2)</f>
        <v/>
      </c>
      <c r="BN270">
        <f>BH270-BL270</f>
        <v/>
      </c>
    </row>
    <row r="271">
      <c r="A271" s="43" t="n">
        <v>264</v>
      </c>
      <c r="B271" s="44">
        <f>EDATE('My Debts'!$C$6,A271-1)</f>
        <v/>
      </c>
      <c r="C271" s="45">
        <f>K271+Q271+W271+AC271+AI271+AO271+AU271+BA271+BG271+BM271</f>
        <v/>
      </c>
      <c r="D271" s="46">
        <f>I271+O271+U271+AA271+AG271+AM271+AS271+AY271+BE271+BK271+J271+P271+V271+AB271+AH271+AN271+AT271+AZ271+BF271+BL271</f>
        <v/>
      </c>
      <c r="E271" s="46">
        <f>H271+N271+T271+Z271+AF271+AL271+AR271+AX271+BD271+BJ271</f>
        <v/>
      </c>
      <c r="F271" t="n">
        <v>0</v>
      </c>
      <c r="G271" s="42">
        <f>K270</f>
        <v/>
      </c>
      <c r="H271" s="42">
        <f>ROUND(G271*H$6/12,2)</f>
        <v/>
      </c>
      <c r="I271" s="42">
        <f>MIN(I$6,G271+H271)</f>
        <v/>
      </c>
      <c r="J271" s="42">
        <f>MAX(0,MIN(G271+H271-I271,$F271))</f>
        <v/>
      </c>
      <c r="K271" s="42">
        <f>ROUND(G271+H271-I271-J271,2)</f>
        <v/>
      </c>
      <c r="L271">
        <f>$F271-J271</f>
        <v/>
      </c>
      <c r="M271" s="42">
        <f>Q270</f>
        <v/>
      </c>
      <c r="N271" s="42">
        <f>ROUND(M271*N$6/12,2)</f>
        <v/>
      </c>
      <c r="O271" s="42">
        <f>MIN(O$6,M271+N271)</f>
        <v/>
      </c>
      <c r="P271" s="42">
        <f>MAX(0,MIN(M271+N271-O271,L271))</f>
        <v/>
      </c>
      <c r="Q271" s="42">
        <f>ROUND(M271+N271-O271-P271,2)</f>
        <v/>
      </c>
      <c r="R271">
        <f>L271-P271</f>
        <v/>
      </c>
      <c r="S271" s="42">
        <f>W270</f>
        <v/>
      </c>
      <c r="T271" s="42">
        <f>ROUND(S271*T$6/12,2)</f>
        <v/>
      </c>
      <c r="U271" s="42">
        <f>MIN(U$6,S271+T271)</f>
        <v/>
      </c>
      <c r="V271" s="42">
        <f>MAX(0,MIN(S271+T271-U271,R271))</f>
        <v/>
      </c>
      <c r="W271" s="42">
        <f>ROUND(S271+T271-U271-V271,2)</f>
        <v/>
      </c>
      <c r="X271">
        <f>R271-V271</f>
        <v/>
      </c>
      <c r="Y271" s="42">
        <f>AC270</f>
        <v/>
      </c>
      <c r="Z271" s="42">
        <f>ROUND(Y271*Z$6/12,2)</f>
        <v/>
      </c>
      <c r="AA271" s="42">
        <f>MIN(AA$6,Y271+Z271)</f>
        <v/>
      </c>
      <c r="AB271" s="42">
        <f>MAX(0,MIN(Y271+Z271-AA271,X271))</f>
        <v/>
      </c>
      <c r="AC271" s="42">
        <f>ROUND(Y271+Z271-AA271-AB271,2)</f>
        <v/>
      </c>
      <c r="AD271">
        <f>X271-AB271</f>
        <v/>
      </c>
      <c r="AE271" s="42">
        <f>AI270</f>
        <v/>
      </c>
      <c r="AF271" s="42">
        <f>ROUND(AE271*AF$6/12,2)</f>
        <v/>
      </c>
      <c r="AG271" s="42">
        <f>MIN(AG$6,AE271+AF271)</f>
        <v/>
      </c>
      <c r="AH271" s="42">
        <f>MAX(0,MIN(AE271+AF271-AG271,AD271))</f>
        <v/>
      </c>
      <c r="AI271" s="42">
        <f>ROUND(AE271+AF271-AG271-AH271,2)</f>
        <v/>
      </c>
      <c r="AJ271">
        <f>AD271-AH271</f>
        <v/>
      </c>
      <c r="AK271" s="42">
        <f>AO270</f>
        <v/>
      </c>
      <c r="AL271" s="42">
        <f>ROUND(AK271*AL$6/12,2)</f>
        <v/>
      </c>
      <c r="AM271" s="42">
        <f>MIN(AM$6,AK271+AL271)</f>
        <v/>
      </c>
      <c r="AN271" s="42">
        <f>MAX(0,MIN(AK271+AL271-AM271,AJ271))</f>
        <v/>
      </c>
      <c r="AO271" s="42">
        <f>ROUND(AK271+AL271-AM271-AN271,2)</f>
        <v/>
      </c>
      <c r="AP271">
        <f>AJ271-AN271</f>
        <v/>
      </c>
      <c r="AQ271" s="42">
        <f>AU270</f>
        <v/>
      </c>
      <c r="AR271" s="42">
        <f>ROUND(AQ271*AR$6/12,2)</f>
        <v/>
      </c>
      <c r="AS271" s="42">
        <f>MIN(AS$6,AQ271+AR271)</f>
        <v/>
      </c>
      <c r="AT271" s="42">
        <f>MAX(0,MIN(AQ271+AR271-AS271,AP271))</f>
        <v/>
      </c>
      <c r="AU271" s="42">
        <f>ROUND(AQ271+AR271-AS271-AT271,2)</f>
        <v/>
      </c>
      <c r="AV271">
        <f>AP271-AT271</f>
        <v/>
      </c>
      <c r="AW271" s="42">
        <f>BA270</f>
        <v/>
      </c>
      <c r="AX271" s="42">
        <f>ROUND(AW271*AX$6/12,2)</f>
        <v/>
      </c>
      <c r="AY271" s="42">
        <f>MIN(AY$6,AW271+AX271)</f>
        <v/>
      </c>
      <c r="AZ271" s="42">
        <f>MAX(0,MIN(AW271+AX271-AY271,AV271))</f>
        <v/>
      </c>
      <c r="BA271" s="42">
        <f>ROUND(AW271+AX271-AY271-AZ271,2)</f>
        <v/>
      </c>
      <c r="BB271">
        <f>AV271-AZ271</f>
        <v/>
      </c>
      <c r="BC271" s="42">
        <f>BG270</f>
        <v/>
      </c>
      <c r="BD271" s="42">
        <f>ROUND(BC271*BD$6/12,2)</f>
        <v/>
      </c>
      <c r="BE271" s="42">
        <f>MIN(BE$6,BC271+BD271)</f>
        <v/>
      </c>
      <c r="BF271" s="42">
        <f>MAX(0,MIN(BC271+BD271-BE271,BB271))</f>
        <v/>
      </c>
      <c r="BG271" s="42">
        <f>ROUND(BC271+BD271-BE271-BF271,2)</f>
        <v/>
      </c>
      <c r="BH271">
        <f>BB271-BF271</f>
        <v/>
      </c>
      <c r="BI271" s="42">
        <f>BM270</f>
        <v/>
      </c>
      <c r="BJ271" s="42">
        <f>ROUND(BI271*BJ$6/12,2)</f>
        <v/>
      </c>
      <c r="BK271" s="42">
        <f>MIN(BK$6,BI271+BJ271)</f>
        <v/>
      </c>
      <c r="BL271" s="42">
        <f>MAX(0,MIN(BI271+BJ271-BK271,BH271))</f>
        <v/>
      </c>
      <c r="BM271" s="42">
        <f>ROUND(BI271+BJ271-BK271-BL271,2)</f>
        <v/>
      </c>
      <c r="BN271">
        <f>BH271-BL271</f>
        <v/>
      </c>
    </row>
    <row r="272">
      <c r="A272" s="39" t="n">
        <v>265</v>
      </c>
      <c r="B272" s="40">
        <f>EDATE('My Debts'!$C$6,A272-1)</f>
        <v/>
      </c>
      <c r="C272" s="41">
        <f>K272+Q272+W272+AC272+AI272+AO272+AU272+BA272+BG272+BM272</f>
        <v/>
      </c>
      <c r="D272" s="42">
        <f>I272+O272+U272+AA272+AG272+AM272+AS272+AY272+BE272+BK272+J272+P272+V272+AB272+AH272+AN272+AT272+AZ272+BF272+BL272</f>
        <v/>
      </c>
      <c r="E272" s="42">
        <f>H272+N272+T272+Z272+AF272+AL272+AR272+AX272+BD272+BJ272</f>
        <v/>
      </c>
      <c r="F272" t="n">
        <v>0</v>
      </c>
      <c r="G272" s="42">
        <f>K271</f>
        <v/>
      </c>
      <c r="H272" s="42">
        <f>ROUND(G272*H$6/12,2)</f>
        <v/>
      </c>
      <c r="I272" s="42">
        <f>MIN(I$6,G272+H272)</f>
        <v/>
      </c>
      <c r="J272" s="42">
        <f>MAX(0,MIN(G272+H272-I272,$F272))</f>
        <v/>
      </c>
      <c r="K272" s="42">
        <f>ROUND(G272+H272-I272-J272,2)</f>
        <v/>
      </c>
      <c r="L272">
        <f>$F272-J272</f>
        <v/>
      </c>
      <c r="M272" s="42">
        <f>Q271</f>
        <v/>
      </c>
      <c r="N272" s="42">
        <f>ROUND(M272*N$6/12,2)</f>
        <v/>
      </c>
      <c r="O272" s="42">
        <f>MIN(O$6,M272+N272)</f>
        <v/>
      </c>
      <c r="P272" s="42">
        <f>MAX(0,MIN(M272+N272-O272,L272))</f>
        <v/>
      </c>
      <c r="Q272" s="42">
        <f>ROUND(M272+N272-O272-P272,2)</f>
        <v/>
      </c>
      <c r="R272">
        <f>L272-P272</f>
        <v/>
      </c>
      <c r="S272" s="42">
        <f>W271</f>
        <v/>
      </c>
      <c r="T272" s="42">
        <f>ROUND(S272*T$6/12,2)</f>
        <v/>
      </c>
      <c r="U272" s="42">
        <f>MIN(U$6,S272+T272)</f>
        <v/>
      </c>
      <c r="V272" s="42">
        <f>MAX(0,MIN(S272+T272-U272,R272))</f>
        <v/>
      </c>
      <c r="W272" s="42">
        <f>ROUND(S272+T272-U272-V272,2)</f>
        <v/>
      </c>
      <c r="X272">
        <f>R272-V272</f>
        <v/>
      </c>
      <c r="Y272" s="42">
        <f>AC271</f>
        <v/>
      </c>
      <c r="Z272" s="42">
        <f>ROUND(Y272*Z$6/12,2)</f>
        <v/>
      </c>
      <c r="AA272" s="42">
        <f>MIN(AA$6,Y272+Z272)</f>
        <v/>
      </c>
      <c r="AB272" s="42">
        <f>MAX(0,MIN(Y272+Z272-AA272,X272))</f>
        <v/>
      </c>
      <c r="AC272" s="42">
        <f>ROUND(Y272+Z272-AA272-AB272,2)</f>
        <v/>
      </c>
      <c r="AD272">
        <f>X272-AB272</f>
        <v/>
      </c>
      <c r="AE272" s="42">
        <f>AI271</f>
        <v/>
      </c>
      <c r="AF272" s="42">
        <f>ROUND(AE272*AF$6/12,2)</f>
        <v/>
      </c>
      <c r="AG272" s="42">
        <f>MIN(AG$6,AE272+AF272)</f>
        <v/>
      </c>
      <c r="AH272" s="42">
        <f>MAX(0,MIN(AE272+AF272-AG272,AD272))</f>
        <v/>
      </c>
      <c r="AI272" s="42">
        <f>ROUND(AE272+AF272-AG272-AH272,2)</f>
        <v/>
      </c>
      <c r="AJ272">
        <f>AD272-AH272</f>
        <v/>
      </c>
      <c r="AK272" s="42">
        <f>AO271</f>
        <v/>
      </c>
      <c r="AL272" s="42">
        <f>ROUND(AK272*AL$6/12,2)</f>
        <v/>
      </c>
      <c r="AM272" s="42">
        <f>MIN(AM$6,AK272+AL272)</f>
        <v/>
      </c>
      <c r="AN272" s="42">
        <f>MAX(0,MIN(AK272+AL272-AM272,AJ272))</f>
        <v/>
      </c>
      <c r="AO272" s="42">
        <f>ROUND(AK272+AL272-AM272-AN272,2)</f>
        <v/>
      </c>
      <c r="AP272">
        <f>AJ272-AN272</f>
        <v/>
      </c>
      <c r="AQ272" s="42">
        <f>AU271</f>
        <v/>
      </c>
      <c r="AR272" s="42">
        <f>ROUND(AQ272*AR$6/12,2)</f>
        <v/>
      </c>
      <c r="AS272" s="42">
        <f>MIN(AS$6,AQ272+AR272)</f>
        <v/>
      </c>
      <c r="AT272" s="42">
        <f>MAX(0,MIN(AQ272+AR272-AS272,AP272))</f>
        <v/>
      </c>
      <c r="AU272" s="42">
        <f>ROUND(AQ272+AR272-AS272-AT272,2)</f>
        <v/>
      </c>
      <c r="AV272">
        <f>AP272-AT272</f>
        <v/>
      </c>
      <c r="AW272" s="42">
        <f>BA271</f>
        <v/>
      </c>
      <c r="AX272" s="42">
        <f>ROUND(AW272*AX$6/12,2)</f>
        <v/>
      </c>
      <c r="AY272" s="42">
        <f>MIN(AY$6,AW272+AX272)</f>
        <v/>
      </c>
      <c r="AZ272" s="42">
        <f>MAX(0,MIN(AW272+AX272-AY272,AV272))</f>
        <v/>
      </c>
      <c r="BA272" s="42">
        <f>ROUND(AW272+AX272-AY272-AZ272,2)</f>
        <v/>
      </c>
      <c r="BB272">
        <f>AV272-AZ272</f>
        <v/>
      </c>
      <c r="BC272" s="42">
        <f>BG271</f>
        <v/>
      </c>
      <c r="BD272" s="42">
        <f>ROUND(BC272*BD$6/12,2)</f>
        <v/>
      </c>
      <c r="BE272" s="42">
        <f>MIN(BE$6,BC272+BD272)</f>
        <v/>
      </c>
      <c r="BF272" s="42">
        <f>MAX(0,MIN(BC272+BD272-BE272,BB272))</f>
        <v/>
      </c>
      <c r="BG272" s="42">
        <f>ROUND(BC272+BD272-BE272-BF272,2)</f>
        <v/>
      </c>
      <c r="BH272">
        <f>BB272-BF272</f>
        <v/>
      </c>
      <c r="BI272" s="42">
        <f>BM271</f>
        <v/>
      </c>
      <c r="BJ272" s="42">
        <f>ROUND(BI272*BJ$6/12,2)</f>
        <v/>
      </c>
      <c r="BK272" s="42">
        <f>MIN(BK$6,BI272+BJ272)</f>
        <v/>
      </c>
      <c r="BL272" s="42">
        <f>MAX(0,MIN(BI272+BJ272-BK272,BH272))</f>
        <v/>
      </c>
      <c r="BM272" s="42">
        <f>ROUND(BI272+BJ272-BK272-BL272,2)</f>
        <v/>
      </c>
      <c r="BN272">
        <f>BH272-BL272</f>
        <v/>
      </c>
    </row>
    <row r="273">
      <c r="A273" s="43" t="n">
        <v>266</v>
      </c>
      <c r="B273" s="44">
        <f>EDATE('My Debts'!$C$6,A273-1)</f>
        <v/>
      </c>
      <c r="C273" s="45">
        <f>K273+Q273+W273+AC273+AI273+AO273+AU273+BA273+BG273+BM273</f>
        <v/>
      </c>
      <c r="D273" s="46">
        <f>I273+O273+U273+AA273+AG273+AM273+AS273+AY273+BE273+BK273+J273+P273+V273+AB273+AH273+AN273+AT273+AZ273+BF273+BL273</f>
        <v/>
      </c>
      <c r="E273" s="46">
        <f>H273+N273+T273+Z273+AF273+AL273+AR273+AX273+BD273+BJ273</f>
        <v/>
      </c>
      <c r="F273" t="n">
        <v>0</v>
      </c>
      <c r="G273" s="42">
        <f>K272</f>
        <v/>
      </c>
      <c r="H273" s="42">
        <f>ROUND(G273*H$6/12,2)</f>
        <v/>
      </c>
      <c r="I273" s="42">
        <f>MIN(I$6,G273+H273)</f>
        <v/>
      </c>
      <c r="J273" s="42">
        <f>MAX(0,MIN(G273+H273-I273,$F273))</f>
        <v/>
      </c>
      <c r="K273" s="42">
        <f>ROUND(G273+H273-I273-J273,2)</f>
        <v/>
      </c>
      <c r="L273">
        <f>$F273-J273</f>
        <v/>
      </c>
      <c r="M273" s="42">
        <f>Q272</f>
        <v/>
      </c>
      <c r="N273" s="42">
        <f>ROUND(M273*N$6/12,2)</f>
        <v/>
      </c>
      <c r="O273" s="42">
        <f>MIN(O$6,M273+N273)</f>
        <v/>
      </c>
      <c r="P273" s="42">
        <f>MAX(0,MIN(M273+N273-O273,L273))</f>
        <v/>
      </c>
      <c r="Q273" s="42">
        <f>ROUND(M273+N273-O273-P273,2)</f>
        <v/>
      </c>
      <c r="R273">
        <f>L273-P273</f>
        <v/>
      </c>
      <c r="S273" s="42">
        <f>W272</f>
        <v/>
      </c>
      <c r="T273" s="42">
        <f>ROUND(S273*T$6/12,2)</f>
        <v/>
      </c>
      <c r="U273" s="42">
        <f>MIN(U$6,S273+T273)</f>
        <v/>
      </c>
      <c r="V273" s="42">
        <f>MAX(0,MIN(S273+T273-U273,R273))</f>
        <v/>
      </c>
      <c r="W273" s="42">
        <f>ROUND(S273+T273-U273-V273,2)</f>
        <v/>
      </c>
      <c r="X273">
        <f>R273-V273</f>
        <v/>
      </c>
      <c r="Y273" s="42">
        <f>AC272</f>
        <v/>
      </c>
      <c r="Z273" s="42">
        <f>ROUND(Y273*Z$6/12,2)</f>
        <v/>
      </c>
      <c r="AA273" s="42">
        <f>MIN(AA$6,Y273+Z273)</f>
        <v/>
      </c>
      <c r="AB273" s="42">
        <f>MAX(0,MIN(Y273+Z273-AA273,X273))</f>
        <v/>
      </c>
      <c r="AC273" s="42">
        <f>ROUND(Y273+Z273-AA273-AB273,2)</f>
        <v/>
      </c>
      <c r="AD273">
        <f>X273-AB273</f>
        <v/>
      </c>
      <c r="AE273" s="42">
        <f>AI272</f>
        <v/>
      </c>
      <c r="AF273" s="42">
        <f>ROUND(AE273*AF$6/12,2)</f>
        <v/>
      </c>
      <c r="AG273" s="42">
        <f>MIN(AG$6,AE273+AF273)</f>
        <v/>
      </c>
      <c r="AH273" s="42">
        <f>MAX(0,MIN(AE273+AF273-AG273,AD273))</f>
        <v/>
      </c>
      <c r="AI273" s="42">
        <f>ROUND(AE273+AF273-AG273-AH273,2)</f>
        <v/>
      </c>
      <c r="AJ273">
        <f>AD273-AH273</f>
        <v/>
      </c>
      <c r="AK273" s="42">
        <f>AO272</f>
        <v/>
      </c>
      <c r="AL273" s="42">
        <f>ROUND(AK273*AL$6/12,2)</f>
        <v/>
      </c>
      <c r="AM273" s="42">
        <f>MIN(AM$6,AK273+AL273)</f>
        <v/>
      </c>
      <c r="AN273" s="42">
        <f>MAX(0,MIN(AK273+AL273-AM273,AJ273))</f>
        <v/>
      </c>
      <c r="AO273" s="42">
        <f>ROUND(AK273+AL273-AM273-AN273,2)</f>
        <v/>
      </c>
      <c r="AP273">
        <f>AJ273-AN273</f>
        <v/>
      </c>
      <c r="AQ273" s="42">
        <f>AU272</f>
        <v/>
      </c>
      <c r="AR273" s="42">
        <f>ROUND(AQ273*AR$6/12,2)</f>
        <v/>
      </c>
      <c r="AS273" s="42">
        <f>MIN(AS$6,AQ273+AR273)</f>
        <v/>
      </c>
      <c r="AT273" s="42">
        <f>MAX(0,MIN(AQ273+AR273-AS273,AP273))</f>
        <v/>
      </c>
      <c r="AU273" s="42">
        <f>ROUND(AQ273+AR273-AS273-AT273,2)</f>
        <v/>
      </c>
      <c r="AV273">
        <f>AP273-AT273</f>
        <v/>
      </c>
      <c r="AW273" s="42">
        <f>BA272</f>
        <v/>
      </c>
      <c r="AX273" s="42">
        <f>ROUND(AW273*AX$6/12,2)</f>
        <v/>
      </c>
      <c r="AY273" s="42">
        <f>MIN(AY$6,AW273+AX273)</f>
        <v/>
      </c>
      <c r="AZ273" s="42">
        <f>MAX(0,MIN(AW273+AX273-AY273,AV273))</f>
        <v/>
      </c>
      <c r="BA273" s="42">
        <f>ROUND(AW273+AX273-AY273-AZ273,2)</f>
        <v/>
      </c>
      <c r="BB273">
        <f>AV273-AZ273</f>
        <v/>
      </c>
      <c r="BC273" s="42">
        <f>BG272</f>
        <v/>
      </c>
      <c r="BD273" s="42">
        <f>ROUND(BC273*BD$6/12,2)</f>
        <v/>
      </c>
      <c r="BE273" s="42">
        <f>MIN(BE$6,BC273+BD273)</f>
        <v/>
      </c>
      <c r="BF273" s="42">
        <f>MAX(0,MIN(BC273+BD273-BE273,BB273))</f>
        <v/>
      </c>
      <c r="BG273" s="42">
        <f>ROUND(BC273+BD273-BE273-BF273,2)</f>
        <v/>
      </c>
      <c r="BH273">
        <f>BB273-BF273</f>
        <v/>
      </c>
      <c r="BI273" s="42">
        <f>BM272</f>
        <v/>
      </c>
      <c r="BJ273" s="42">
        <f>ROUND(BI273*BJ$6/12,2)</f>
        <v/>
      </c>
      <c r="BK273" s="42">
        <f>MIN(BK$6,BI273+BJ273)</f>
        <v/>
      </c>
      <c r="BL273" s="42">
        <f>MAX(0,MIN(BI273+BJ273-BK273,BH273))</f>
        <v/>
      </c>
      <c r="BM273" s="42">
        <f>ROUND(BI273+BJ273-BK273-BL273,2)</f>
        <v/>
      </c>
      <c r="BN273">
        <f>BH273-BL273</f>
        <v/>
      </c>
    </row>
    <row r="274">
      <c r="A274" s="39" t="n">
        <v>267</v>
      </c>
      <c r="B274" s="40">
        <f>EDATE('My Debts'!$C$6,A274-1)</f>
        <v/>
      </c>
      <c r="C274" s="41">
        <f>K274+Q274+W274+AC274+AI274+AO274+AU274+BA274+BG274+BM274</f>
        <v/>
      </c>
      <c r="D274" s="42">
        <f>I274+O274+U274+AA274+AG274+AM274+AS274+AY274+BE274+BK274+J274+P274+V274+AB274+AH274+AN274+AT274+AZ274+BF274+BL274</f>
        <v/>
      </c>
      <c r="E274" s="42">
        <f>H274+N274+T274+Z274+AF274+AL274+AR274+AX274+BD274+BJ274</f>
        <v/>
      </c>
      <c r="F274" t="n">
        <v>0</v>
      </c>
      <c r="G274" s="42">
        <f>K273</f>
        <v/>
      </c>
      <c r="H274" s="42">
        <f>ROUND(G274*H$6/12,2)</f>
        <v/>
      </c>
      <c r="I274" s="42">
        <f>MIN(I$6,G274+H274)</f>
        <v/>
      </c>
      <c r="J274" s="42">
        <f>MAX(0,MIN(G274+H274-I274,$F274))</f>
        <v/>
      </c>
      <c r="K274" s="42">
        <f>ROUND(G274+H274-I274-J274,2)</f>
        <v/>
      </c>
      <c r="L274">
        <f>$F274-J274</f>
        <v/>
      </c>
      <c r="M274" s="42">
        <f>Q273</f>
        <v/>
      </c>
      <c r="N274" s="42">
        <f>ROUND(M274*N$6/12,2)</f>
        <v/>
      </c>
      <c r="O274" s="42">
        <f>MIN(O$6,M274+N274)</f>
        <v/>
      </c>
      <c r="P274" s="42">
        <f>MAX(0,MIN(M274+N274-O274,L274))</f>
        <v/>
      </c>
      <c r="Q274" s="42">
        <f>ROUND(M274+N274-O274-P274,2)</f>
        <v/>
      </c>
      <c r="R274">
        <f>L274-P274</f>
        <v/>
      </c>
      <c r="S274" s="42">
        <f>W273</f>
        <v/>
      </c>
      <c r="T274" s="42">
        <f>ROUND(S274*T$6/12,2)</f>
        <v/>
      </c>
      <c r="U274" s="42">
        <f>MIN(U$6,S274+T274)</f>
        <v/>
      </c>
      <c r="V274" s="42">
        <f>MAX(0,MIN(S274+T274-U274,R274))</f>
        <v/>
      </c>
      <c r="W274" s="42">
        <f>ROUND(S274+T274-U274-V274,2)</f>
        <v/>
      </c>
      <c r="X274">
        <f>R274-V274</f>
        <v/>
      </c>
      <c r="Y274" s="42">
        <f>AC273</f>
        <v/>
      </c>
      <c r="Z274" s="42">
        <f>ROUND(Y274*Z$6/12,2)</f>
        <v/>
      </c>
      <c r="AA274" s="42">
        <f>MIN(AA$6,Y274+Z274)</f>
        <v/>
      </c>
      <c r="AB274" s="42">
        <f>MAX(0,MIN(Y274+Z274-AA274,X274))</f>
        <v/>
      </c>
      <c r="AC274" s="42">
        <f>ROUND(Y274+Z274-AA274-AB274,2)</f>
        <v/>
      </c>
      <c r="AD274">
        <f>X274-AB274</f>
        <v/>
      </c>
      <c r="AE274" s="42">
        <f>AI273</f>
        <v/>
      </c>
      <c r="AF274" s="42">
        <f>ROUND(AE274*AF$6/12,2)</f>
        <v/>
      </c>
      <c r="AG274" s="42">
        <f>MIN(AG$6,AE274+AF274)</f>
        <v/>
      </c>
      <c r="AH274" s="42">
        <f>MAX(0,MIN(AE274+AF274-AG274,AD274))</f>
        <v/>
      </c>
      <c r="AI274" s="42">
        <f>ROUND(AE274+AF274-AG274-AH274,2)</f>
        <v/>
      </c>
      <c r="AJ274">
        <f>AD274-AH274</f>
        <v/>
      </c>
      <c r="AK274" s="42">
        <f>AO273</f>
        <v/>
      </c>
      <c r="AL274" s="42">
        <f>ROUND(AK274*AL$6/12,2)</f>
        <v/>
      </c>
      <c r="AM274" s="42">
        <f>MIN(AM$6,AK274+AL274)</f>
        <v/>
      </c>
      <c r="AN274" s="42">
        <f>MAX(0,MIN(AK274+AL274-AM274,AJ274))</f>
        <v/>
      </c>
      <c r="AO274" s="42">
        <f>ROUND(AK274+AL274-AM274-AN274,2)</f>
        <v/>
      </c>
      <c r="AP274">
        <f>AJ274-AN274</f>
        <v/>
      </c>
      <c r="AQ274" s="42">
        <f>AU273</f>
        <v/>
      </c>
      <c r="AR274" s="42">
        <f>ROUND(AQ274*AR$6/12,2)</f>
        <v/>
      </c>
      <c r="AS274" s="42">
        <f>MIN(AS$6,AQ274+AR274)</f>
        <v/>
      </c>
      <c r="AT274" s="42">
        <f>MAX(0,MIN(AQ274+AR274-AS274,AP274))</f>
        <v/>
      </c>
      <c r="AU274" s="42">
        <f>ROUND(AQ274+AR274-AS274-AT274,2)</f>
        <v/>
      </c>
      <c r="AV274">
        <f>AP274-AT274</f>
        <v/>
      </c>
      <c r="AW274" s="42">
        <f>BA273</f>
        <v/>
      </c>
      <c r="AX274" s="42">
        <f>ROUND(AW274*AX$6/12,2)</f>
        <v/>
      </c>
      <c r="AY274" s="42">
        <f>MIN(AY$6,AW274+AX274)</f>
        <v/>
      </c>
      <c r="AZ274" s="42">
        <f>MAX(0,MIN(AW274+AX274-AY274,AV274))</f>
        <v/>
      </c>
      <c r="BA274" s="42">
        <f>ROUND(AW274+AX274-AY274-AZ274,2)</f>
        <v/>
      </c>
      <c r="BB274">
        <f>AV274-AZ274</f>
        <v/>
      </c>
      <c r="BC274" s="42">
        <f>BG273</f>
        <v/>
      </c>
      <c r="BD274" s="42">
        <f>ROUND(BC274*BD$6/12,2)</f>
        <v/>
      </c>
      <c r="BE274" s="42">
        <f>MIN(BE$6,BC274+BD274)</f>
        <v/>
      </c>
      <c r="BF274" s="42">
        <f>MAX(0,MIN(BC274+BD274-BE274,BB274))</f>
        <v/>
      </c>
      <c r="BG274" s="42">
        <f>ROUND(BC274+BD274-BE274-BF274,2)</f>
        <v/>
      </c>
      <c r="BH274">
        <f>BB274-BF274</f>
        <v/>
      </c>
      <c r="BI274" s="42">
        <f>BM273</f>
        <v/>
      </c>
      <c r="BJ274" s="42">
        <f>ROUND(BI274*BJ$6/12,2)</f>
        <v/>
      </c>
      <c r="BK274" s="42">
        <f>MIN(BK$6,BI274+BJ274)</f>
        <v/>
      </c>
      <c r="BL274" s="42">
        <f>MAX(0,MIN(BI274+BJ274-BK274,BH274))</f>
        <v/>
      </c>
      <c r="BM274" s="42">
        <f>ROUND(BI274+BJ274-BK274-BL274,2)</f>
        <v/>
      </c>
      <c r="BN274">
        <f>BH274-BL274</f>
        <v/>
      </c>
    </row>
    <row r="275">
      <c r="A275" s="43" t="n">
        <v>268</v>
      </c>
      <c r="B275" s="44">
        <f>EDATE('My Debts'!$C$6,A275-1)</f>
        <v/>
      </c>
      <c r="C275" s="45">
        <f>K275+Q275+W275+AC275+AI275+AO275+AU275+BA275+BG275+BM275</f>
        <v/>
      </c>
      <c r="D275" s="46">
        <f>I275+O275+U275+AA275+AG275+AM275+AS275+AY275+BE275+BK275+J275+P275+V275+AB275+AH275+AN275+AT275+AZ275+BF275+BL275</f>
        <v/>
      </c>
      <c r="E275" s="46">
        <f>H275+N275+T275+Z275+AF275+AL275+AR275+AX275+BD275+BJ275</f>
        <v/>
      </c>
      <c r="F275" t="n">
        <v>0</v>
      </c>
      <c r="G275" s="42">
        <f>K274</f>
        <v/>
      </c>
      <c r="H275" s="42">
        <f>ROUND(G275*H$6/12,2)</f>
        <v/>
      </c>
      <c r="I275" s="42">
        <f>MIN(I$6,G275+H275)</f>
        <v/>
      </c>
      <c r="J275" s="42">
        <f>MAX(0,MIN(G275+H275-I275,$F275))</f>
        <v/>
      </c>
      <c r="K275" s="42">
        <f>ROUND(G275+H275-I275-J275,2)</f>
        <v/>
      </c>
      <c r="L275">
        <f>$F275-J275</f>
        <v/>
      </c>
      <c r="M275" s="42">
        <f>Q274</f>
        <v/>
      </c>
      <c r="N275" s="42">
        <f>ROUND(M275*N$6/12,2)</f>
        <v/>
      </c>
      <c r="O275" s="42">
        <f>MIN(O$6,M275+N275)</f>
        <v/>
      </c>
      <c r="P275" s="42">
        <f>MAX(0,MIN(M275+N275-O275,L275))</f>
        <v/>
      </c>
      <c r="Q275" s="42">
        <f>ROUND(M275+N275-O275-P275,2)</f>
        <v/>
      </c>
      <c r="R275">
        <f>L275-P275</f>
        <v/>
      </c>
      <c r="S275" s="42">
        <f>W274</f>
        <v/>
      </c>
      <c r="T275" s="42">
        <f>ROUND(S275*T$6/12,2)</f>
        <v/>
      </c>
      <c r="U275" s="42">
        <f>MIN(U$6,S275+T275)</f>
        <v/>
      </c>
      <c r="V275" s="42">
        <f>MAX(0,MIN(S275+T275-U275,R275))</f>
        <v/>
      </c>
      <c r="W275" s="42">
        <f>ROUND(S275+T275-U275-V275,2)</f>
        <v/>
      </c>
      <c r="X275">
        <f>R275-V275</f>
        <v/>
      </c>
      <c r="Y275" s="42">
        <f>AC274</f>
        <v/>
      </c>
      <c r="Z275" s="42">
        <f>ROUND(Y275*Z$6/12,2)</f>
        <v/>
      </c>
      <c r="AA275" s="42">
        <f>MIN(AA$6,Y275+Z275)</f>
        <v/>
      </c>
      <c r="AB275" s="42">
        <f>MAX(0,MIN(Y275+Z275-AA275,X275))</f>
        <v/>
      </c>
      <c r="AC275" s="42">
        <f>ROUND(Y275+Z275-AA275-AB275,2)</f>
        <v/>
      </c>
      <c r="AD275">
        <f>X275-AB275</f>
        <v/>
      </c>
      <c r="AE275" s="42">
        <f>AI274</f>
        <v/>
      </c>
      <c r="AF275" s="42">
        <f>ROUND(AE275*AF$6/12,2)</f>
        <v/>
      </c>
      <c r="AG275" s="42">
        <f>MIN(AG$6,AE275+AF275)</f>
        <v/>
      </c>
      <c r="AH275" s="42">
        <f>MAX(0,MIN(AE275+AF275-AG275,AD275))</f>
        <v/>
      </c>
      <c r="AI275" s="42">
        <f>ROUND(AE275+AF275-AG275-AH275,2)</f>
        <v/>
      </c>
      <c r="AJ275">
        <f>AD275-AH275</f>
        <v/>
      </c>
      <c r="AK275" s="42">
        <f>AO274</f>
        <v/>
      </c>
      <c r="AL275" s="42">
        <f>ROUND(AK275*AL$6/12,2)</f>
        <v/>
      </c>
      <c r="AM275" s="42">
        <f>MIN(AM$6,AK275+AL275)</f>
        <v/>
      </c>
      <c r="AN275" s="42">
        <f>MAX(0,MIN(AK275+AL275-AM275,AJ275))</f>
        <v/>
      </c>
      <c r="AO275" s="42">
        <f>ROUND(AK275+AL275-AM275-AN275,2)</f>
        <v/>
      </c>
      <c r="AP275">
        <f>AJ275-AN275</f>
        <v/>
      </c>
      <c r="AQ275" s="42">
        <f>AU274</f>
        <v/>
      </c>
      <c r="AR275" s="42">
        <f>ROUND(AQ275*AR$6/12,2)</f>
        <v/>
      </c>
      <c r="AS275" s="42">
        <f>MIN(AS$6,AQ275+AR275)</f>
        <v/>
      </c>
      <c r="AT275" s="42">
        <f>MAX(0,MIN(AQ275+AR275-AS275,AP275))</f>
        <v/>
      </c>
      <c r="AU275" s="42">
        <f>ROUND(AQ275+AR275-AS275-AT275,2)</f>
        <v/>
      </c>
      <c r="AV275">
        <f>AP275-AT275</f>
        <v/>
      </c>
      <c r="AW275" s="42">
        <f>BA274</f>
        <v/>
      </c>
      <c r="AX275" s="42">
        <f>ROUND(AW275*AX$6/12,2)</f>
        <v/>
      </c>
      <c r="AY275" s="42">
        <f>MIN(AY$6,AW275+AX275)</f>
        <v/>
      </c>
      <c r="AZ275" s="42">
        <f>MAX(0,MIN(AW275+AX275-AY275,AV275))</f>
        <v/>
      </c>
      <c r="BA275" s="42">
        <f>ROUND(AW275+AX275-AY275-AZ275,2)</f>
        <v/>
      </c>
      <c r="BB275">
        <f>AV275-AZ275</f>
        <v/>
      </c>
      <c r="BC275" s="42">
        <f>BG274</f>
        <v/>
      </c>
      <c r="BD275" s="42">
        <f>ROUND(BC275*BD$6/12,2)</f>
        <v/>
      </c>
      <c r="BE275" s="42">
        <f>MIN(BE$6,BC275+BD275)</f>
        <v/>
      </c>
      <c r="BF275" s="42">
        <f>MAX(0,MIN(BC275+BD275-BE275,BB275))</f>
        <v/>
      </c>
      <c r="BG275" s="42">
        <f>ROUND(BC275+BD275-BE275-BF275,2)</f>
        <v/>
      </c>
      <c r="BH275">
        <f>BB275-BF275</f>
        <v/>
      </c>
      <c r="BI275" s="42">
        <f>BM274</f>
        <v/>
      </c>
      <c r="BJ275" s="42">
        <f>ROUND(BI275*BJ$6/12,2)</f>
        <v/>
      </c>
      <c r="BK275" s="42">
        <f>MIN(BK$6,BI275+BJ275)</f>
        <v/>
      </c>
      <c r="BL275" s="42">
        <f>MAX(0,MIN(BI275+BJ275-BK275,BH275))</f>
        <v/>
      </c>
      <c r="BM275" s="42">
        <f>ROUND(BI275+BJ275-BK275-BL275,2)</f>
        <v/>
      </c>
      <c r="BN275">
        <f>BH275-BL275</f>
        <v/>
      </c>
    </row>
    <row r="276">
      <c r="A276" s="39" t="n">
        <v>269</v>
      </c>
      <c r="B276" s="40">
        <f>EDATE('My Debts'!$C$6,A276-1)</f>
        <v/>
      </c>
      <c r="C276" s="41">
        <f>K276+Q276+W276+AC276+AI276+AO276+AU276+BA276+BG276+BM276</f>
        <v/>
      </c>
      <c r="D276" s="42">
        <f>I276+O276+U276+AA276+AG276+AM276+AS276+AY276+BE276+BK276+J276+P276+V276+AB276+AH276+AN276+AT276+AZ276+BF276+BL276</f>
        <v/>
      </c>
      <c r="E276" s="42">
        <f>H276+N276+T276+Z276+AF276+AL276+AR276+AX276+BD276+BJ276</f>
        <v/>
      </c>
      <c r="F276" t="n">
        <v>0</v>
      </c>
      <c r="G276" s="42">
        <f>K275</f>
        <v/>
      </c>
      <c r="H276" s="42">
        <f>ROUND(G276*H$6/12,2)</f>
        <v/>
      </c>
      <c r="I276" s="42">
        <f>MIN(I$6,G276+H276)</f>
        <v/>
      </c>
      <c r="J276" s="42">
        <f>MAX(0,MIN(G276+H276-I276,$F276))</f>
        <v/>
      </c>
      <c r="K276" s="42">
        <f>ROUND(G276+H276-I276-J276,2)</f>
        <v/>
      </c>
      <c r="L276">
        <f>$F276-J276</f>
        <v/>
      </c>
      <c r="M276" s="42">
        <f>Q275</f>
        <v/>
      </c>
      <c r="N276" s="42">
        <f>ROUND(M276*N$6/12,2)</f>
        <v/>
      </c>
      <c r="O276" s="42">
        <f>MIN(O$6,M276+N276)</f>
        <v/>
      </c>
      <c r="P276" s="42">
        <f>MAX(0,MIN(M276+N276-O276,L276))</f>
        <v/>
      </c>
      <c r="Q276" s="42">
        <f>ROUND(M276+N276-O276-P276,2)</f>
        <v/>
      </c>
      <c r="R276">
        <f>L276-P276</f>
        <v/>
      </c>
      <c r="S276" s="42">
        <f>W275</f>
        <v/>
      </c>
      <c r="T276" s="42">
        <f>ROUND(S276*T$6/12,2)</f>
        <v/>
      </c>
      <c r="U276" s="42">
        <f>MIN(U$6,S276+T276)</f>
        <v/>
      </c>
      <c r="V276" s="42">
        <f>MAX(0,MIN(S276+T276-U276,R276))</f>
        <v/>
      </c>
      <c r="W276" s="42">
        <f>ROUND(S276+T276-U276-V276,2)</f>
        <v/>
      </c>
      <c r="X276">
        <f>R276-V276</f>
        <v/>
      </c>
      <c r="Y276" s="42">
        <f>AC275</f>
        <v/>
      </c>
      <c r="Z276" s="42">
        <f>ROUND(Y276*Z$6/12,2)</f>
        <v/>
      </c>
      <c r="AA276" s="42">
        <f>MIN(AA$6,Y276+Z276)</f>
        <v/>
      </c>
      <c r="AB276" s="42">
        <f>MAX(0,MIN(Y276+Z276-AA276,X276))</f>
        <v/>
      </c>
      <c r="AC276" s="42">
        <f>ROUND(Y276+Z276-AA276-AB276,2)</f>
        <v/>
      </c>
      <c r="AD276">
        <f>X276-AB276</f>
        <v/>
      </c>
      <c r="AE276" s="42">
        <f>AI275</f>
        <v/>
      </c>
      <c r="AF276" s="42">
        <f>ROUND(AE276*AF$6/12,2)</f>
        <v/>
      </c>
      <c r="AG276" s="42">
        <f>MIN(AG$6,AE276+AF276)</f>
        <v/>
      </c>
      <c r="AH276" s="42">
        <f>MAX(0,MIN(AE276+AF276-AG276,AD276))</f>
        <v/>
      </c>
      <c r="AI276" s="42">
        <f>ROUND(AE276+AF276-AG276-AH276,2)</f>
        <v/>
      </c>
      <c r="AJ276">
        <f>AD276-AH276</f>
        <v/>
      </c>
      <c r="AK276" s="42">
        <f>AO275</f>
        <v/>
      </c>
      <c r="AL276" s="42">
        <f>ROUND(AK276*AL$6/12,2)</f>
        <v/>
      </c>
      <c r="AM276" s="42">
        <f>MIN(AM$6,AK276+AL276)</f>
        <v/>
      </c>
      <c r="AN276" s="42">
        <f>MAX(0,MIN(AK276+AL276-AM276,AJ276))</f>
        <v/>
      </c>
      <c r="AO276" s="42">
        <f>ROUND(AK276+AL276-AM276-AN276,2)</f>
        <v/>
      </c>
      <c r="AP276">
        <f>AJ276-AN276</f>
        <v/>
      </c>
      <c r="AQ276" s="42">
        <f>AU275</f>
        <v/>
      </c>
      <c r="AR276" s="42">
        <f>ROUND(AQ276*AR$6/12,2)</f>
        <v/>
      </c>
      <c r="AS276" s="42">
        <f>MIN(AS$6,AQ276+AR276)</f>
        <v/>
      </c>
      <c r="AT276" s="42">
        <f>MAX(0,MIN(AQ276+AR276-AS276,AP276))</f>
        <v/>
      </c>
      <c r="AU276" s="42">
        <f>ROUND(AQ276+AR276-AS276-AT276,2)</f>
        <v/>
      </c>
      <c r="AV276">
        <f>AP276-AT276</f>
        <v/>
      </c>
      <c r="AW276" s="42">
        <f>BA275</f>
        <v/>
      </c>
      <c r="AX276" s="42">
        <f>ROUND(AW276*AX$6/12,2)</f>
        <v/>
      </c>
      <c r="AY276" s="42">
        <f>MIN(AY$6,AW276+AX276)</f>
        <v/>
      </c>
      <c r="AZ276" s="42">
        <f>MAX(0,MIN(AW276+AX276-AY276,AV276))</f>
        <v/>
      </c>
      <c r="BA276" s="42">
        <f>ROUND(AW276+AX276-AY276-AZ276,2)</f>
        <v/>
      </c>
      <c r="BB276">
        <f>AV276-AZ276</f>
        <v/>
      </c>
      <c r="BC276" s="42">
        <f>BG275</f>
        <v/>
      </c>
      <c r="BD276" s="42">
        <f>ROUND(BC276*BD$6/12,2)</f>
        <v/>
      </c>
      <c r="BE276" s="42">
        <f>MIN(BE$6,BC276+BD276)</f>
        <v/>
      </c>
      <c r="BF276" s="42">
        <f>MAX(0,MIN(BC276+BD276-BE276,BB276))</f>
        <v/>
      </c>
      <c r="BG276" s="42">
        <f>ROUND(BC276+BD276-BE276-BF276,2)</f>
        <v/>
      </c>
      <c r="BH276">
        <f>BB276-BF276</f>
        <v/>
      </c>
      <c r="BI276" s="42">
        <f>BM275</f>
        <v/>
      </c>
      <c r="BJ276" s="42">
        <f>ROUND(BI276*BJ$6/12,2)</f>
        <v/>
      </c>
      <c r="BK276" s="42">
        <f>MIN(BK$6,BI276+BJ276)</f>
        <v/>
      </c>
      <c r="BL276" s="42">
        <f>MAX(0,MIN(BI276+BJ276-BK276,BH276))</f>
        <v/>
      </c>
      <c r="BM276" s="42">
        <f>ROUND(BI276+BJ276-BK276-BL276,2)</f>
        <v/>
      </c>
      <c r="BN276">
        <f>BH276-BL276</f>
        <v/>
      </c>
    </row>
    <row r="277">
      <c r="A277" s="43" t="n">
        <v>270</v>
      </c>
      <c r="B277" s="44">
        <f>EDATE('My Debts'!$C$6,A277-1)</f>
        <v/>
      </c>
      <c r="C277" s="45">
        <f>K277+Q277+W277+AC277+AI277+AO277+AU277+BA277+BG277+BM277</f>
        <v/>
      </c>
      <c r="D277" s="46">
        <f>I277+O277+U277+AA277+AG277+AM277+AS277+AY277+BE277+BK277+J277+P277+V277+AB277+AH277+AN277+AT277+AZ277+BF277+BL277</f>
        <v/>
      </c>
      <c r="E277" s="46">
        <f>H277+N277+T277+Z277+AF277+AL277+AR277+AX277+BD277+BJ277</f>
        <v/>
      </c>
      <c r="F277" t="n">
        <v>0</v>
      </c>
      <c r="G277" s="42">
        <f>K276</f>
        <v/>
      </c>
      <c r="H277" s="42">
        <f>ROUND(G277*H$6/12,2)</f>
        <v/>
      </c>
      <c r="I277" s="42">
        <f>MIN(I$6,G277+H277)</f>
        <v/>
      </c>
      <c r="J277" s="42">
        <f>MAX(0,MIN(G277+H277-I277,$F277))</f>
        <v/>
      </c>
      <c r="K277" s="42">
        <f>ROUND(G277+H277-I277-J277,2)</f>
        <v/>
      </c>
      <c r="L277">
        <f>$F277-J277</f>
        <v/>
      </c>
      <c r="M277" s="42">
        <f>Q276</f>
        <v/>
      </c>
      <c r="N277" s="42">
        <f>ROUND(M277*N$6/12,2)</f>
        <v/>
      </c>
      <c r="O277" s="42">
        <f>MIN(O$6,M277+N277)</f>
        <v/>
      </c>
      <c r="P277" s="42">
        <f>MAX(0,MIN(M277+N277-O277,L277))</f>
        <v/>
      </c>
      <c r="Q277" s="42">
        <f>ROUND(M277+N277-O277-P277,2)</f>
        <v/>
      </c>
      <c r="R277">
        <f>L277-P277</f>
        <v/>
      </c>
      <c r="S277" s="42">
        <f>W276</f>
        <v/>
      </c>
      <c r="T277" s="42">
        <f>ROUND(S277*T$6/12,2)</f>
        <v/>
      </c>
      <c r="U277" s="42">
        <f>MIN(U$6,S277+T277)</f>
        <v/>
      </c>
      <c r="V277" s="42">
        <f>MAX(0,MIN(S277+T277-U277,R277))</f>
        <v/>
      </c>
      <c r="W277" s="42">
        <f>ROUND(S277+T277-U277-V277,2)</f>
        <v/>
      </c>
      <c r="X277">
        <f>R277-V277</f>
        <v/>
      </c>
      <c r="Y277" s="42">
        <f>AC276</f>
        <v/>
      </c>
      <c r="Z277" s="42">
        <f>ROUND(Y277*Z$6/12,2)</f>
        <v/>
      </c>
      <c r="AA277" s="42">
        <f>MIN(AA$6,Y277+Z277)</f>
        <v/>
      </c>
      <c r="AB277" s="42">
        <f>MAX(0,MIN(Y277+Z277-AA277,X277))</f>
        <v/>
      </c>
      <c r="AC277" s="42">
        <f>ROUND(Y277+Z277-AA277-AB277,2)</f>
        <v/>
      </c>
      <c r="AD277">
        <f>X277-AB277</f>
        <v/>
      </c>
      <c r="AE277" s="42">
        <f>AI276</f>
        <v/>
      </c>
      <c r="AF277" s="42">
        <f>ROUND(AE277*AF$6/12,2)</f>
        <v/>
      </c>
      <c r="AG277" s="42">
        <f>MIN(AG$6,AE277+AF277)</f>
        <v/>
      </c>
      <c r="AH277" s="42">
        <f>MAX(0,MIN(AE277+AF277-AG277,AD277))</f>
        <v/>
      </c>
      <c r="AI277" s="42">
        <f>ROUND(AE277+AF277-AG277-AH277,2)</f>
        <v/>
      </c>
      <c r="AJ277">
        <f>AD277-AH277</f>
        <v/>
      </c>
      <c r="AK277" s="42">
        <f>AO276</f>
        <v/>
      </c>
      <c r="AL277" s="42">
        <f>ROUND(AK277*AL$6/12,2)</f>
        <v/>
      </c>
      <c r="AM277" s="42">
        <f>MIN(AM$6,AK277+AL277)</f>
        <v/>
      </c>
      <c r="AN277" s="42">
        <f>MAX(0,MIN(AK277+AL277-AM277,AJ277))</f>
        <v/>
      </c>
      <c r="AO277" s="42">
        <f>ROUND(AK277+AL277-AM277-AN277,2)</f>
        <v/>
      </c>
      <c r="AP277">
        <f>AJ277-AN277</f>
        <v/>
      </c>
      <c r="AQ277" s="42">
        <f>AU276</f>
        <v/>
      </c>
      <c r="AR277" s="42">
        <f>ROUND(AQ277*AR$6/12,2)</f>
        <v/>
      </c>
      <c r="AS277" s="42">
        <f>MIN(AS$6,AQ277+AR277)</f>
        <v/>
      </c>
      <c r="AT277" s="42">
        <f>MAX(0,MIN(AQ277+AR277-AS277,AP277))</f>
        <v/>
      </c>
      <c r="AU277" s="42">
        <f>ROUND(AQ277+AR277-AS277-AT277,2)</f>
        <v/>
      </c>
      <c r="AV277">
        <f>AP277-AT277</f>
        <v/>
      </c>
      <c r="AW277" s="42">
        <f>BA276</f>
        <v/>
      </c>
      <c r="AX277" s="42">
        <f>ROUND(AW277*AX$6/12,2)</f>
        <v/>
      </c>
      <c r="AY277" s="42">
        <f>MIN(AY$6,AW277+AX277)</f>
        <v/>
      </c>
      <c r="AZ277" s="42">
        <f>MAX(0,MIN(AW277+AX277-AY277,AV277))</f>
        <v/>
      </c>
      <c r="BA277" s="42">
        <f>ROUND(AW277+AX277-AY277-AZ277,2)</f>
        <v/>
      </c>
      <c r="BB277">
        <f>AV277-AZ277</f>
        <v/>
      </c>
      <c r="BC277" s="42">
        <f>BG276</f>
        <v/>
      </c>
      <c r="BD277" s="42">
        <f>ROUND(BC277*BD$6/12,2)</f>
        <v/>
      </c>
      <c r="BE277" s="42">
        <f>MIN(BE$6,BC277+BD277)</f>
        <v/>
      </c>
      <c r="BF277" s="42">
        <f>MAX(0,MIN(BC277+BD277-BE277,BB277))</f>
        <v/>
      </c>
      <c r="BG277" s="42">
        <f>ROUND(BC277+BD277-BE277-BF277,2)</f>
        <v/>
      </c>
      <c r="BH277">
        <f>BB277-BF277</f>
        <v/>
      </c>
      <c r="BI277" s="42">
        <f>BM276</f>
        <v/>
      </c>
      <c r="BJ277" s="42">
        <f>ROUND(BI277*BJ$6/12,2)</f>
        <v/>
      </c>
      <c r="BK277" s="42">
        <f>MIN(BK$6,BI277+BJ277)</f>
        <v/>
      </c>
      <c r="BL277" s="42">
        <f>MAX(0,MIN(BI277+BJ277-BK277,BH277))</f>
        <v/>
      </c>
      <c r="BM277" s="42">
        <f>ROUND(BI277+BJ277-BK277-BL277,2)</f>
        <v/>
      </c>
      <c r="BN277">
        <f>BH277-BL277</f>
        <v/>
      </c>
    </row>
    <row r="278">
      <c r="A278" s="39" t="n">
        <v>271</v>
      </c>
      <c r="B278" s="40">
        <f>EDATE('My Debts'!$C$6,A278-1)</f>
        <v/>
      </c>
      <c r="C278" s="41">
        <f>K278+Q278+W278+AC278+AI278+AO278+AU278+BA278+BG278+BM278</f>
        <v/>
      </c>
      <c r="D278" s="42">
        <f>I278+O278+U278+AA278+AG278+AM278+AS278+AY278+BE278+BK278+J278+P278+V278+AB278+AH278+AN278+AT278+AZ278+BF278+BL278</f>
        <v/>
      </c>
      <c r="E278" s="42">
        <f>H278+N278+T278+Z278+AF278+AL278+AR278+AX278+BD278+BJ278</f>
        <v/>
      </c>
      <c r="F278" t="n">
        <v>0</v>
      </c>
      <c r="G278" s="42">
        <f>K277</f>
        <v/>
      </c>
      <c r="H278" s="42">
        <f>ROUND(G278*H$6/12,2)</f>
        <v/>
      </c>
      <c r="I278" s="42">
        <f>MIN(I$6,G278+H278)</f>
        <v/>
      </c>
      <c r="J278" s="42">
        <f>MAX(0,MIN(G278+H278-I278,$F278))</f>
        <v/>
      </c>
      <c r="K278" s="42">
        <f>ROUND(G278+H278-I278-J278,2)</f>
        <v/>
      </c>
      <c r="L278">
        <f>$F278-J278</f>
        <v/>
      </c>
      <c r="M278" s="42">
        <f>Q277</f>
        <v/>
      </c>
      <c r="N278" s="42">
        <f>ROUND(M278*N$6/12,2)</f>
        <v/>
      </c>
      <c r="O278" s="42">
        <f>MIN(O$6,M278+N278)</f>
        <v/>
      </c>
      <c r="P278" s="42">
        <f>MAX(0,MIN(M278+N278-O278,L278))</f>
        <v/>
      </c>
      <c r="Q278" s="42">
        <f>ROUND(M278+N278-O278-P278,2)</f>
        <v/>
      </c>
      <c r="R278">
        <f>L278-P278</f>
        <v/>
      </c>
      <c r="S278" s="42">
        <f>W277</f>
        <v/>
      </c>
      <c r="T278" s="42">
        <f>ROUND(S278*T$6/12,2)</f>
        <v/>
      </c>
      <c r="U278" s="42">
        <f>MIN(U$6,S278+T278)</f>
        <v/>
      </c>
      <c r="V278" s="42">
        <f>MAX(0,MIN(S278+T278-U278,R278))</f>
        <v/>
      </c>
      <c r="W278" s="42">
        <f>ROUND(S278+T278-U278-V278,2)</f>
        <v/>
      </c>
      <c r="X278">
        <f>R278-V278</f>
        <v/>
      </c>
      <c r="Y278" s="42">
        <f>AC277</f>
        <v/>
      </c>
      <c r="Z278" s="42">
        <f>ROUND(Y278*Z$6/12,2)</f>
        <v/>
      </c>
      <c r="AA278" s="42">
        <f>MIN(AA$6,Y278+Z278)</f>
        <v/>
      </c>
      <c r="AB278" s="42">
        <f>MAX(0,MIN(Y278+Z278-AA278,X278))</f>
        <v/>
      </c>
      <c r="AC278" s="42">
        <f>ROUND(Y278+Z278-AA278-AB278,2)</f>
        <v/>
      </c>
      <c r="AD278">
        <f>X278-AB278</f>
        <v/>
      </c>
      <c r="AE278" s="42">
        <f>AI277</f>
        <v/>
      </c>
      <c r="AF278" s="42">
        <f>ROUND(AE278*AF$6/12,2)</f>
        <v/>
      </c>
      <c r="AG278" s="42">
        <f>MIN(AG$6,AE278+AF278)</f>
        <v/>
      </c>
      <c r="AH278" s="42">
        <f>MAX(0,MIN(AE278+AF278-AG278,AD278))</f>
        <v/>
      </c>
      <c r="AI278" s="42">
        <f>ROUND(AE278+AF278-AG278-AH278,2)</f>
        <v/>
      </c>
      <c r="AJ278">
        <f>AD278-AH278</f>
        <v/>
      </c>
      <c r="AK278" s="42">
        <f>AO277</f>
        <v/>
      </c>
      <c r="AL278" s="42">
        <f>ROUND(AK278*AL$6/12,2)</f>
        <v/>
      </c>
      <c r="AM278" s="42">
        <f>MIN(AM$6,AK278+AL278)</f>
        <v/>
      </c>
      <c r="AN278" s="42">
        <f>MAX(0,MIN(AK278+AL278-AM278,AJ278))</f>
        <v/>
      </c>
      <c r="AO278" s="42">
        <f>ROUND(AK278+AL278-AM278-AN278,2)</f>
        <v/>
      </c>
      <c r="AP278">
        <f>AJ278-AN278</f>
        <v/>
      </c>
      <c r="AQ278" s="42">
        <f>AU277</f>
        <v/>
      </c>
      <c r="AR278" s="42">
        <f>ROUND(AQ278*AR$6/12,2)</f>
        <v/>
      </c>
      <c r="AS278" s="42">
        <f>MIN(AS$6,AQ278+AR278)</f>
        <v/>
      </c>
      <c r="AT278" s="42">
        <f>MAX(0,MIN(AQ278+AR278-AS278,AP278))</f>
        <v/>
      </c>
      <c r="AU278" s="42">
        <f>ROUND(AQ278+AR278-AS278-AT278,2)</f>
        <v/>
      </c>
      <c r="AV278">
        <f>AP278-AT278</f>
        <v/>
      </c>
      <c r="AW278" s="42">
        <f>BA277</f>
        <v/>
      </c>
      <c r="AX278" s="42">
        <f>ROUND(AW278*AX$6/12,2)</f>
        <v/>
      </c>
      <c r="AY278" s="42">
        <f>MIN(AY$6,AW278+AX278)</f>
        <v/>
      </c>
      <c r="AZ278" s="42">
        <f>MAX(0,MIN(AW278+AX278-AY278,AV278))</f>
        <v/>
      </c>
      <c r="BA278" s="42">
        <f>ROUND(AW278+AX278-AY278-AZ278,2)</f>
        <v/>
      </c>
      <c r="BB278">
        <f>AV278-AZ278</f>
        <v/>
      </c>
      <c r="BC278" s="42">
        <f>BG277</f>
        <v/>
      </c>
      <c r="BD278" s="42">
        <f>ROUND(BC278*BD$6/12,2)</f>
        <v/>
      </c>
      <c r="BE278" s="42">
        <f>MIN(BE$6,BC278+BD278)</f>
        <v/>
      </c>
      <c r="BF278" s="42">
        <f>MAX(0,MIN(BC278+BD278-BE278,BB278))</f>
        <v/>
      </c>
      <c r="BG278" s="42">
        <f>ROUND(BC278+BD278-BE278-BF278,2)</f>
        <v/>
      </c>
      <c r="BH278">
        <f>BB278-BF278</f>
        <v/>
      </c>
      <c r="BI278" s="42">
        <f>BM277</f>
        <v/>
      </c>
      <c r="BJ278" s="42">
        <f>ROUND(BI278*BJ$6/12,2)</f>
        <v/>
      </c>
      <c r="BK278" s="42">
        <f>MIN(BK$6,BI278+BJ278)</f>
        <v/>
      </c>
      <c r="BL278" s="42">
        <f>MAX(0,MIN(BI278+BJ278-BK278,BH278))</f>
        <v/>
      </c>
      <c r="BM278" s="42">
        <f>ROUND(BI278+BJ278-BK278-BL278,2)</f>
        <v/>
      </c>
      <c r="BN278">
        <f>BH278-BL278</f>
        <v/>
      </c>
    </row>
    <row r="279">
      <c r="A279" s="43" t="n">
        <v>272</v>
      </c>
      <c r="B279" s="44">
        <f>EDATE('My Debts'!$C$6,A279-1)</f>
        <v/>
      </c>
      <c r="C279" s="45">
        <f>K279+Q279+W279+AC279+AI279+AO279+AU279+BA279+BG279+BM279</f>
        <v/>
      </c>
      <c r="D279" s="46">
        <f>I279+O279+U279+AA279+AG279+AM279+AS279+AY279+BE279+BK279+J279+P279+V279+AB279+AH279+AN279+AT279+AZ279+BF279+BL279</f>
        <v/>
      </c>
      <c r="E279" s="46">
        <f>H279+N279+T279+Z279+AF279+AL279+AR279+AX279+BD279+BJ279</f>
        <v/>
      </c>
      <c r="F279" t="n">
        <v>0</v>
      </c>
      <c r="G279" s="42">
        <f>K278</f>
        <v/>
      </c>
      <c r="H279" s="42">
        <f>ROUND(G279*H$6/12,2)</f>
        <v/>
      </c>
      <c r="I279" s="42">
        <f>MIN(I$6,G279+H279)</f>
        <v/>
      </c>
      <c r="J279" s="42">
        <f>MAX(0,MIN(G279+H279-I279,$F279))</f>
        <v/>
      </c>
      <c r="K279" s="42">
        <f>ROUND(G279+H279-I279-J279,2)</f>
        <v/>
      </c>
      <c r="L279">
        <f>$F279-J279</f>
        <v/>
      </c>
      <c r="M279" s="42">
        <f>Q278</f>
        <v/>
      </c>
      <c r="N279" s="42">
        <f>ROUND(M279*N$6/12,2)</f>
        <v/>
      </c>
      <c r="O279" s="42">
        <f>MIN(O$6,M279+N279)</f>
        <v/>
      </c>
      <c r="P279" s="42">
        <f>MAX(0,MIN(M279+N279-O279,L279))</f>
        <v/>
      </c>
      <c r="Q279" s="42">
        <f>ROUND(M279+N279-O279-P279,2)</f>
        <v/>
      </c>
      <c r="R279">
        <f>L279-P279</f>
        <v/>
      </c>
      <c r="S279" s="42">
        <f>W278</f>
        <v/>
      </c>
      <c r="T279" s="42">
        <f>ROUND(S279*T$6/12,2)</f>
        <v/>
      </c>
      <c r="U279" s="42">
        <f>MIN(U$6,S279+T279)</f>
        <v/>
      </c>
      <c r="V279" s="42">
        <f>MAX(0,MIN(S279+T279-U279,R279))</f>
        <v/>
      </c>
      <c r="W279" s="42">
        <f>ROUND(S279+T279-U279-V279,2)</f>
        <v/>
      </c>
      <c r="X279">
        <f>R279-V279</f>
        <v/>
      </c>
      <c r="Y279" s="42">
        <f>AC278</f>
        <v/>
      </c>
      <c r="Z279" s="42">
        <f>ROUND(Y279*Z$6/12,2)</f>
        <v/>
      </c>
      <c r="AA279" s="42">
        <f>MIN(AA$6,Y279+Z279)</f>
        <v/>
      </c>
      <c r="AB279" s="42">
        <f>MAX(0,MIN(Y279+Z279-AA279,X279))</f>
        <v/>
      </c>
      <c r="AC279" s="42">
        <f>ROUND(Y279+Z279-AA279-AB279,2)</f>
        <v/>
      </c>
      <c r="AD279">
        <f>X279-AB279</f>
        <v/>
      </c>
      <c r="AE279" s="42">
        <f>AI278</f>
        <v/>
      </c>
      <c r="AF279" s="42">
        <f>ROUND(AE279*AF$6/12,2)</f>
        <v/>
      </c>
      <c r="AG279" s="42">
        <f>MIN(AG$6,AE279+AF279)</f>
        <v/>
      </c>
      <c r="AH279" s="42">
        <f>MAX(0,MIN(AE279+AF279-AG279,AD279))</f>
        <v/>
      </c>
      <c r="AI279" s="42">
        <f>ROUND(AE279+AF279-AG279-AH279,2)</f>
        <v/>
      </c>
      <c r="AJ279">
        <f>AD279-AH279</f>
        <v/>
      </c>
      <c r="AK279" s="42">
        <f>AO278</f>
        <v/>
      </c>
      <c r="AL279" s="42">
        <f>ROUND(AK279*AL$6/12,2)</f>
        <v/>
      </c>
      <c r="AM279" s="42">
        <f>MIN(AM$6,AK279+AL279)</f>
        <v/>
      </c>
      <c r="AN279" s="42">
        <f>MAX(0,MIN(AK279+AL279-AM279,AJ279))</f>
        <v/>
      </c>
      <c r="AO279" s="42">
        <f>ROUND(AK279+AL279-AM279-AN279,2)</f>
        <v/>
      </c>
      <c r="AP279">
        <f>AJ279-AN279</f>
        <v/>
      </c>
      <c r="AQ279" s="42">
        <f>AU278</f>
        <v/>
      </c>
      <c r="AR279" s="42">
        <f>ROUND(AQ279*AR$6/12,2)</f>
        <v/>
      </c>
      <c r="AS279" s="42">
        <f>MIN(AS$6,AQ279+AR279)</f>
        <v/>
      </c>
      <c r="AT279" s="42">
        <f>MAX(0,MIN(AQ279+AR279-AS279,AP279))</f>
        <v/>
      </c>
      <c r="AU279" s="42">
        <f>ROUND(AQ279+AR279-AS279-AT279,2)</f>
        <v/>
      </c>
      <c r="AV279">
        <f>AP279-AT279</f>
        <v/>
      </c>
      <c r="AW279" s="42">
        <f>BA278</f>
        <v/>
      </c>
      <c r="AX279" s="42">
        <f>ROUND(AW279*AX$6/12,2)</f>
        <v/>
      </c>
      <c r="AY279" s="42">
        <f>MIN(AY$6,AW279+AX279)</f>
        <v/>
      </c>
      <c r="AZ279" s="42">
        <f>MAX(0,MIN(AW279+AX279-AY279,AV279))</f>
        <v/>
      </c>
      <c r="BA279" s="42">
        <f>ROUND(AW279+AX279-AY279-AZ279,2)</f>
        <v/>
      </c>
      <c r="BB279">
        <f>AV279-AZ279</f>
        <v/>
      </c>
      <c r="BC279" s="42">
        <f>BG278</f>
        <v/>
      </c>
      <c r="BD279" s="42">
        <f>ROUND(BC279*BD$6/12,2)</f>
        <v/>
      </c>
      <c r="BE279" s="42">
        <f>MIN(BE$6,BC279+BD279)</f>
        <v/>
      </c>
      <c r="BF279" s="42">
        <f>MAX(0,MIN(BC279+BD279-BE279,BB279))</f>
        <v/>
      </c>
      <c r="BG279" s="42">
        <f>ROUND(BC279+BD279-BE279-BF279,2)</f>
        <v/>
      </c>
      <c r="BH279">
        <f>BB279-BF279</f>
        <v/>
      </c>
      <c r="BI279" s="42">
        <f>BM278</f>
        <v/>
      </c>
      <c r="BJ279" s="42">
        <f>ROUND(BI279*BJ$6/12,2)</f>
        <v/>
      </c>
      <c r="BK279" s="42">
        <f>MIN(BK$6,BI279+BJ279)</f>
        <v/>
      </c>
      <c r="BL279" s="42">
        <f>MAX(0,MIN(BI279+BJ279-BK279,BH279))</f>
        <v/>
      </c>
      <c r="BM279" s="42">
        <f>ROUND(BI279+BJ279-BK279-BL279,2)</f>
        <v/>
      </c>
      <c r="BN279">
        <f>BH279-BL279</f>
        <v/>
      </c>
    </row>
    <row r="280">
      <c r="A280" s="39" t="n">
        <v>273</v>
      </c>
      <c r="B280" s="40">
        <f>EDATE('My Debts'!$C$6,A280-1)</f>
        <v/>
      </c>
      <c r="C280" s="41">
        <f>K280+Q280+W280+AC280+AI280+AO280+AU280+BA280+BG280+BM280</f>
        <v/>
      </c>
      <c r="D280" s="42">
        <f>I280+O280+U280+AA280+AG280+AM280+AS280+AY280+BE280+BK280+J280+P280+V280+AB280+AH280+AN280+AT280+AZ280+BF280+BL280</f>
        <v/>
      </c>
      <c r="E280" s="42">
        <f>H280+N280+T280+Z280+AF280+AL280+AR280+AX280+BD280+BJ280</f>
        <v/>
      </c>
      <c r="F280" t="n">
        <v>0</v>
      </c>
      <c r="G280" s="42">
        <f>K279</f>
        <v/>
      </c>
      <c r="H280" s="42">
        <f>ROUND(G280*H$6/12,2)</f>
        <v/>
      </c>
      <c r="I280" s="42">
        <f>MIN(I$6,G280+H280)</f>
        <v/>
      </c>
      <c r="J280" s="42">
        <f>MAX(0,MIN(G280+H280-I280,$F280))</f>
        <v/>
      </c>
      <c r="K280" s="42">
        <f>ROUND(G280+H280-I280-J280,2)</f>
        <v/>
      </c>
      <c r="L280">
        <f>$F280-J280</f>
        <v/>
      </c>
      <c r="M280" s="42">
        <f>Q279</f>
        <v/>
      </c>
      <c r="N280" s="42">
        <f>ROUND(M280*N$6/12,2)</f>
        <v/>
      </c>
      <c r="O280" s="42">
        <f>MIN(O$6,M280+N280)</f>
        <v/>
      </c>
      <c r="P280" s="42">
        <f>MAX(0,MIN(M280+N280-O280,L280))</f>
        <v/>
      </c>
      <c r="Q280" s="42">
        <f>ROUND(M280+N280-O280-P280,2)</f>
        <v/>
      </c>
      <c r="R280">
        <f>L280-P280</f>
        <v/>
      </c>
      <c r="S280" s="42">
        <f>W279</f>
        <v/>
      </c>
      <c r="T280" s="42">
        <f>ROUND(S280*T$6/12,2)</f>
        <v/>
      </c>
      <c r="U280" s="42">
        <f>MIN(U$6,S280+T280)</f>
        <v/>
      </c>
      <c r="V280" s="42">
        <f>MAX(0,MIN(S280+T280-U280,R280))</f>
        <v/>
      </c>
      <c r="W280" s="42">
        <f>ROUND(S280+T280-U280-V280,2)</f>
        <v/>
      </c>
      <c r="X280">
        <f>R280-V280</f>
        <v/>
      </c>
      <c r="Y280" s="42">
        <f>AC279</f>
        <v/>
      </c>
      <c r="Z280" s="42">
        <f>ROUND(Y280*Z$6/12,2)</f>
        <v/>
      </c>
      <c r="AA280" s="42">
        <f>MIN(AA$6,Y280+Z280)</f>
        <v/>
      </c>
      <c r="AB280" s="42">
        <f>MAX(0,MIN(Y280+Z280-AA280,X280))</f>
        <v/>
      </c>
      <c r="AC280" s="42">
        <f>ROUND(Y280+Z280-AA280-AB280,2)</f>
        <v/>
      </c>
      <c r="AD280">
        <f>X280-AB280</f>
        <v/>
      </c>
      <c r="AE280" s="42">
        <f>AI279</f>
        <v/>
      </c>
      <c r="AF280" s="42">
        <f>ROUND(AE280*AF$6/12,2)</f>
        <v/>
      </c>
      <c r="AG280" s="42">
        <f>MIN(AG$6,AE280+AF280)</f>
        <v/>
      </c>
      <c r="AH280" s="42">
        <f>MAX(0,MIN(AE280+AF280-AG280,AD280))</f>
        <v/>
      </c>
      <c r="AI280" s="42">
        <f>ROUND(AE280+AF280-AG280-AH280,2)</f>
        <v/>
      </c>
      <c r="AJ280">
        <f>AD280-AH280</f>
        <v/>
      </c>
      <c r="AK280" s="42">
        <f>AO279</f>
        <v/>
      </c>
      <c r="AL280" s="42">
        <f>ROUND(AK280*AL$6/12,2)</f>
        <v/>
      </c>
      <c r="AM280" s="42">
        <f>MIN(AM$6,AK280+AL280)</f>
        <v/>
      </c>
      <c r="AN280" s="42">
        <f>MAX(0,MIN(AK280+AL280-AM280,AJ280))</f>
        <v/>
      </c>
      <c r="AO280" s="42">
        <f>ROUND(AK280+AL280-AM280-AN280,2)</f>
        <v/>
      </c>
      <c r="AP280">
        <f>AJ280-AN280</f>
        <v/>
      </c>
      <c r="AQ280" s="42">
        <f>AU279</f>
        <v/>
      </c>
      <c r="AR280" s="42">
        <f>ROUND(AQ280*AR$6/12,2)</f>
        <v/>
      </c>
      <c r="AS280" s="42">
        <f>MIN(AS$6,AQ280+AR280)</f>
        <v/>
      </c>
      <c r="AT280" s="42">
        <f>MAX(0,MIN(AQ280+AR280-AS280,AP280))</f>
        <v/>
      </c>
      <c r="AU280" s="42">
        <f>ROUND(AQ280+AR280-AS280-AT280,2)</f>
        <v/>
      </c>
      <c r="AV280">
        <f>AP280-AT280</f>
        <v/>
      </c>
      <c r="AW280" s="42">
        <f>BA279</f>
        <v/>
      </c>
      <c r="AX280" s="42">
        <f>ROUND(AW280*AX$6/12,2)</f>
        <v/>
      </c>
      <c r="AY280" s="42">
        <f>MIN(AY$6,AW280+AX280)</f>
        <v/>
      </c>
      <c r="AZ280" s="42">
        <f>MAX(0,MIN(AW280+AX280-AY280,AV280))</f>
        <v/>
      </c>
      <c r="BA280" s="42">
        <f>ROUND(AW280+AX280-AY280-AZ280,2)</f>
        <v/>
      </c>
      <c r="BB280">
        <f>AV280-AZ280</f>
        <v/>
      </c>
      <c r="BC280" s="42">
        <f>BG279</f>
        <v/>
      </c>
      <c r="BD280" s="42">
        <f>ROUND(BC280*BD$6/12,2)</f>
        <v/>
      </c>
      <c r="BE280" s="42">
        <f>MIN(BE$6,BC280+BD280)</f>
        <v/>
      </c>
      <c r="BF280" s="42">
        <f>MAX(0,MIN(BC280+BD280-BE280,BB280))</f>
        <v/>
      </c>
      <c r="BG280" s="42">
        <f>ROUND(BC280+BD280-BE280-BF280,2)</f>
        <v/>
      </c>
      <c r="BH280">
        <f>BB280-BF280</f>
        <v/>
      </c>
      <c r="BI280" s="42">
        <f>BM279</f>
        <v/>
      </c>
      <c r="BJ280" s="42">
        <f>ROUND(BI280*BJ$6/12,2)</f>
        <v/>
      </c>
      <c r="BK280" s="42">
        <f>MIN(BK$6,BI280+BJ280)</f>
        <v/>
      </c>
      <c r="BL280" s="42">
        <f>MAX(0,MIN(BI280+BJ280-BK280,BH280))</f>
        <v/>
      </c>
      <c r="BM280" s="42">
        <f>ROUND(BI280+BJ280-BK280-BL280,2)</f>
        <v/>
      </c>
      <c r="BN280">
        <f>BH280-BL280</f>
        <v/>
      </c>
    </row>
    <row r="281">
      <c r="A281" s="43" t="n">
        <v>274</v>
      </c>
      <c r="B281" s="44">
        <f>EDATE('My Debts'!$C$6,A281-1)</f>
        <v/>
      </c>
      <c r="C281" s="45">
        <f>K281+Q281+W281+AC281+AI281+AO281+AU281+BA281+BG281+BM281</f>
        <v/>
      </c>
      <c r="D281" s="46">
        <f>I281+O281+U281+AA281+AG281+AM281+AS281+AY281+BE281+BK281+J281+P281+V281+AB281+AH281+AN281+AT281+AZ281+BF281+BL281</f>
        <v/>
      </c>
      <c r="E281" s="46">
        <f>H281+N281+T281+Z281+AF281+AL281+AR281+AX281+BD281+BJ281</f>
        <v/>
      </c>
      <c r="F281" t="n">
        <v>0</v>
      </c>
      <c r="G281" s="42">
        <f>K280</f>
        <v/>
      </c>
      <c r="H281" s="42">
        <f>ROUND(G281*H$6/12,2)</f>
        <v/>
      </c>
      <c r="I281" s="42">
        <f>MIN(I$6,G281+H281)</f>
        <v/>
      </c>
      <c r="J281" s="42">
        <f>MAX(0,MIN(G281+H281-I281,$F281))</f>
        <v/>
      </c>
      <c r="K281" s="42">
        <f>ROUND(G281+H281-I281-J281,2)</f>
        <v/>
      </c>
      <c r="L281">
        <f>$F281-J281</f>
        <v/>
      </c>
      <c r="M281" s="42">
        <f>Q280</f>
        <v/>
      </c>
      <c r="N281" s="42">
        <f>ROUND(M281*N$6/12,2)</f>
        <v/>
      </c>
      <c r="O281" s="42">
        <f>MIN(O$6,M281+N281)</f>
        <v/>
      </c>
      <c r="P281" s="42">
        <f>MAX(0,MIN(M281+N281-O281,L281))</f>
        <v/>
      </c>
      <c r="Q281" s="42">
        <f>ROUND(M281+N281-O281-P281,2)</f>
        <v/>
      </c>
      <c r="R281">
        <f>L281-P281</f>
        <v/>
      </c>
      <c r="S281" s="42">
        <f>W280</f>
        <v/>
      </c>
      <c r="T281" s="42">
        <f>ROUND(S281*T$6/12,2)</f>
        <v/>
      </c>
      <c r="U281" s="42">
        <f>MIN(U$6,S281+T281)</f>
        <v/>
      </c>
      <c r="V281" s="42">
        <f>MAX(0,MIN(S281+T281-U281,R281))</f>
        <v/>
      </c>
      <c r="W281" s="42">
        <f>ROUND(S281+T281-U281-V281,2)</f>
        <v/>
      </c>
      <c r="X281">
        <f>R281-V281</f>
        <v/>
      </c>
      <c r="Y281" s="42">
        <f>AC280</f>
        <v/>
      </c>
      <c r="Z281" s="42">
        <f>ROUND(Y281*Z$6/12,2)</f>
        <v/>
      </c>
      <c r="AA281" s="42">
        <f>MIN(AA$6,Y281+Z281)</f>
        <v/>
      </c>
      <c r="AB281" s="42">
        <f>MAX(0,MIN(Y281+Z281-AA281,X281))</f>
        <v/>
      </c>
      <c r="AC281" s="42">
        <f>ROUND(Y281+Z281-AA281-AB281,2)</f>
        <v/>
      </c>
      <c r="AD281">
        <f>X281-AB281</f>
        <v/>
      </c>
      <c r="AE281" s="42">
        <f>AI280</f>
        <v/>
      </c>
      <c r="AF281" s="42">
        <f>ROUND(AE281*AF$6/12,2)</f>
        <v/>
      </c>
      <c r="AG281" s="42">
        <f>MIN(AG$6,AE281+AF281)</f>
        <v/>
      </c>
      <c r="AH281" s="42">
        <f>MAX(0,MIN(AE281+AF281-AG281,AD281))</f>
        <v/>
      </c>
      <c r="AI281" s="42">
        <f>ROUND(AE281+AF281-AG281-AH281,2)</f>
        <v/>
      </c>
      <c r="AJ281">
        <f>AD281-AH281</f>
        <v/>
      </c>
      <c r="AK281" s="42">
        <f>AO280</f>
        <v/>
      </c>
      <c r="AL281" s="42">
        <f>ROUND(AK281*AL$6/12,2)</f>
        <v/>
      </c>
      <c r="AM281" s="42">
        <f>MIN(AM$6,AK281+AL281)</f>
        <v/>
      </c>
      <c r="AN281" s="42">
        <f>MAX(0,MIN(AK281+AL281-AM281,AJ281))</f>
        <v/>
      </c>
      <c r="AO281" s="42">
        <f>ROUND(AK281+AL281-AM281-AN281,2)</f>
        <v/>
      </c>
      <c r="AP281">
        <f>AJ281-AN281</f>
        <v/>
      </c>
      <c r="AQ281" s="42">
        <f>AU280</f>
        <v/>
      </c>
      <c r="AR281" s="42">
        <f>ROUND(AQ281*AR$6/12,2)</f>
        <v/>
      </c>
      <c r="AS281" s="42">
        <f>MIN(AS$6,AQ281+AR281)</f>
        <v/>
      </c>
      <c r="AT281" s="42">
        <f>MAX(0,MIN(AQ281+AR281-AS281,AP281))</f>
        <v/>
      </c>
      <c r="AU281" s="42">
        <f>ROUND(AQ281+AR281-AS281-AT281,2)</f>
        <v/>
      </c>
      <c r="AV281">
        <f>AP281-AT281</f>
        <v/>
      </c>
      <c r="AW281" s="42">
        <f>BA280</f>
        <v/>
      </c>
      <c r="AX281" s="42">
        <f>ROUND(AW281*AX$6/12,2)</f>
        <v/>
      </c>
      <c r="AY281" s="42">
        <f>MIN(AY$6,AW281+AX281)</f>
        <v/>
      </c>
      <c r="AZ281" s="42">
        <f>MAX(0,MIN(AW281+AX281-AY281,AV281))</f>
        <v/>
      </c>
      <c r="BA281" s="42">
        <f>ROUND(AW281+AX281-AY281-AZ281,2)</f>
        <v/>
      </c>
      <c r="BB281">
        <f>AV281-AZ281</f>
        <v/>
      </c>
      <c r="BC281" s="42">
        <f>BG280</f>
        <v/>
      </c>
      <c r="BD281" s="42">
        <f>ROUND(BC281*BD$6/12,2)</f>
        <v/>
      </c>
      <c r="BE281" s="42">
        <f>MIN(BE$6,BC281+BD281)</f>
        <v/>
      </c>
      <c r="BF281" s="42">
        <f>MAX(0,MIN(BC281+BD281-BE281,BB281))</f>
        <v/>
      </c>
      <c r="BG281" s="42">
        <f>ROUND(BC281+BD281-BE281-BF281,2)</f>
        <v/>
      </c>
      <c r="BH281">
        <f>BB281-BF281</f>
        <v/>
      </c>
      <c r="BI281" s="42">
        <f>BM280</f>
        <v/>
      </c>
      <c r="BJ281" s="42">
        <f>ROUND(BI281*BJ$6/12,2)</f>
        <v/>
      </c>
      <c r="BK281" s="42">
        <f>MIN(BK$6,BI281+BJ281)</f>
        <v/>
      </c>
      <c r="BL281" s="42">
        <f>MAX(0,MIN(BI281+BJ281-BK281,BH281))</f>
        <v/>
      </c>
      <c r="BM281" s="42">
        <f>ROUND(BI281+BJ281-BK281-BL281,2)</f>
        <v/>
      </c>
      <c r="BN281">
        <f>BH281-BL281</f>
        <v/>
      </c>
    </row>
    <row r="282">
      <c r="A282" s="39" t="n">
        <v>275</v>
      </c>
      <c r="B282" s="40">
        <f>EDATE('My Debts'!$C$6,A282-1)</f>
        <v/>
      </c>
      <c r="C282" s="41">
        <f>K282+Q282+W282+AC282+AI282+AO282+AU282+BA282+BG282+BM282</f>
        <v/>
      </c>
      <c r="D282" s="42">
        <f>I282+O282+U282+AA282+AG282+AM282+AS282+AY282+BE282+BK282+J282+P282+V282+AB282+AH282+AN282+AT282+AZ282+BF282+BL282</f>
        <v/>
      </c>
      <c r="E282" s="42">
        <f>H282+N282+T282+Z282+AF282+AL282+AR282+AX282+BD282+BJ282</f>
        <v/>
      </c>
      <c r="F282" t="n">
        <v>0</v>
      </c>
      <c r="G282" s="42">
        <f>K281</f>
        <v/>
      </c>
      <c r="H282" s="42">
        <f>ROUND(G282*H$6/12,2)</f>
        <v/>
      </c>
      <c r="I282" s="42">
        <f>MIN(I$6,G282+H282)</f>
        <v/>
      </c>
      <c r="J282" s="42">
        <f>MAX(0,MIN(G282+H282-I282,$F282))</f>
        <v/>
      </c>
      <c r="K282" s="42">
        <f>ROUND(G282+H282-I282-J282,2)</f>
        <v/>
      </c>
      <c r="L282">
        <f>$F282-J282</f>
        <v/>
      </c>
      <c r="M282" s="42">
        <f>Q281</f>
        <v/>
      </c>
      <c r="N282" s="42">
        <f>ROUND(M282*N$6/12,2)</f>
        <v/>
      </c>
      <c r="O282" s="42">
        <f>MIN(O$6,M282+N282)</f>
        <v/>
      </c>
      <c r="P282" s="42">
        <f>MAX(0,MIN(M282+N282-O282,L282))</f>
        <v/>
      </c>
      <c r="Q282" s="42">
        <f>ROUND(M282+N282-O282-P282,2)</f>
        <v/>
      </c>
      <c r="R282">
        <f>L282-P282</f>
        <v/>
      </c>
      <c r="S282" s="42">
        <f>W281</f>
        <v/>
      </c>
      <c r="T282" s="42">
        <f>ROUND(S282*T$6/12,2)</f>
        <v/>
      </c>
      <c r="U282" s="42">
        <f>MIN(U$6,S282+T282)</f>
        <v/>
      </c>
      <c r="V282" s="42">
        <f>MAX(0,MIN(S282+T282-U282,R282))</f>
        <v/>
      </c>
      <c r="W282" s="42">
        <f>ROUND(S282+T282-U282-V282,2)</f>
        <v/>
      </c>
      <c r="X282">
        <f>R282-V282</f>
        <v/>
      </c>
      <c r="Y282" s="42">
        <f>AC281</f>
        <v/>
      </c>
      <c r="Z282" s="42">
        <f>ROUND(Y282*Z$6/12,2)</f>
        <v/>
      </c>
      <c r="AA282" s="42">
        <f>MIN(AA$6,Y282+Z282)</f>
        <v/>
      </c>
      <c r="AB282" s="42">
        <f>MAX(0,MIN(Y282+Z282-AA282,X282))</f>
        <v/>
      </c>
      <c r="AC282" s="42">
        <f>ROUND(Y282+Z282-AA282-AB282,2)</f>
        <v/>
      </c>
      <c r="AD282">
        <f>X282-AB282</f>
        <v/>
      </c>
      <c r="AE282" s="42">
        <f>AI281</f>
        <v/>
      </c>
      <c r="AF282" s="42">
        <f>ROUND(AE282*AF$6/12,2)</f>
        <v/>
      </c>
      <c r="AG282" s="42">
        <f>MIN(AG$6,AE282+AF282)</f>
        <v/>
      </c>
      <c r="AH282" s="42">
        <f>MAX(0,MIN(AE282+AF282-AG282,AD282))</f>
        <v/>
      </c>
      <c r="AI282" s="42">
        <f>ROUND(AE282+AF282-AG282-AH282,2)</f>
        <v/>
      </c>
      <c r="AJ282">
        <f>AD282-AH282</f>
        <v/>
      </c>
      <c r="AK282" s="42">
        <f>AO281</f>
        <v/>
      </c>
      <c r="AL282" s="42">
        <f>ROUND(AK282*AL$6/12,2)</f>
        <v/>
      </c>
      <c r="AM282" s="42">
        <f>MIN(AM$6,AK282+AL282)</f>
        <v/>
      </c>
      <c r="AN282" s="42">
        <f>MAX(0,MIN(AK282+AL282-AM282,AJ282))</f>
        <v/>
      </c>
      <c r="AO282" s="42">
        <f>ROUND(AK282+AL282-AM282-AN282,2)</f>
        <v/>
      </c>
      <c r="AP282">
        <f>AJ282-AN282</f>
        <v/>
      </c>
      <c r="AQ282" s="42">
        <f>AU281</f>
        <v/>
      </c>
      <c r="AR282" s="42">
        <f>ROUND(AQ282*AR$6/12,2)</f>
        <v/>
      </c>
      <c r="AS282" s="42">
        <f>MIN(AS$6,AQ282+AR282)</f>
        <v/>
      </c>
      <c r="AT282" s="42">
        <f>MAX(0,MIN(AQ282+AR282-AS282,AP282))</f>
        <v/>
      </c>
      <c r="AU282" s="42">
        <f>ROUND(AQ282+AR282-AS282-AT282,2)</f>
        <v/>
      </c>
      <c r="AV282">
        <f>AP282-AT282</f>
        <v/>
      </c>
      <c r="AW282" s="42">
        <f>BA281</f>
        <v/>
      </c>
      <c r="AX282" s="42">
        <f>ROUND(AW282*AX$6/12,2)</f>
        <v/>
      </c>
      <c r="AY282" s="42">
        <f>MIN(AY$6,AW282+AX282)</f>
        <v/>
      </c>
      <c r="AZ282" s="42">
        <f>MAX(0,MIN(AW282+AX282-AY282,AV282))</f>
        <v/>
      </c>
      <c r="BA282" s="42">
        <f>ROUND(AW282+AX282-AY282-AZ282,2)</f>
        <v/>
      </c>
      <c r="BB282">
        <f>AV282-AZ282</f>
        <v/>
      </c>
      <c r="BC282" s="42">
        <f>BG281</f>
        <v/>
      </c>
      <c r="BD282" s="42">
        <f>ROUND(BC282*BD$6/12,2)</f>
        <v/>
      </c>
      <c r="BE282" s="42">
        <f>MIN(BE$6,BC282+BD282)</f>
        <v/>
      </c>
      <c r="BF282" s="42">
        <f>MAX(0,MIN(BC282+BD282-BE282,BB282))</f>
        <v/>
      </c>
      <c r="BG282" s="42">
        <f>ROUND(BC282+BD282-BE282-BF282,2)</f>
        <v/>
      </c>
      <c r="BH282">
        <f>BB282-BF282</f>
        <v/>
      </c>
      <c r="BI282" s="42">
        <f>BM281</f>
        <v/>
      </c>
      <c r="BJ282" s="42">
        <f>ROUND(BI282*BJ$6/12,2)</f>
        <v/>
      </c>
      <c r="BK282" s="42">
        <f>MIN(BK$6,BI282+BJ282)</f>
        <v/>
      </c>
      <c r="BL282" s="42">
        <f>MAX(0,MIN(BI282+BJ282-BK282,BH282))</f>
        <v/>
      </c>
      <c r="BM282" s="42">
        <f>ROUND(BI282+BJ282-BK282-BL282,2)</f>
        <v/>
      </c>
      <c r="BN282">
        <f>BH282-BL282</f>
        <v/>
      </c>
    </row>
    <row r="283">
      <c r="A283" s="43" t="n">
        <v>276</v>
      </c>
      <c r="B283" s="44">
        <f>EDATE('My Debts'!$C$6,A283-1)</f>
        <v/>
      </c>
      <c r="C283" s="45">
        <f>K283+Q283+W283+AC283+AI283+AO283+AU283+BA283+BG283+BM283</f>
        <v/>
      </c>
      <c r="D283" s="46">
        <f>I283+O283+U283+AA283+AG283+AM283+AS283+AY283+BE283+BK283+J283+P283+V283+AB283+AH283+AN283+AT283+AZ283+BF283+BL283</f>
        <v/>
      </c>
      <c r="E283" s="46">
        <f>H283+N283+T283+Z283+AF283+AL283+AR283+AX283+BD283+BJ283</f>
        <v/>
      </c>
      <c r="F283" t="n">
        <v>0</v>
      </c>
      <c r="G283" s="42">
        <f>K282</f>
        <v/>
      </c>
      <c r="H283" s="42">
        <f>ROUND(G283*H$6/12,2)</f>
        <v/>
      </c>
      <c r="I283" s="42">
        <f>MIN(I$6,G283+H283)</f>
        <v/>
      </c>
      <c r="J283" s="42">
        <f>MAX(0,MIN(G283+H283-I283,$F283))</f>
        <v/>
      </c>
      <c r="K283" s="42">
        <f>ROUND(G283+H283-I283-J283,2)</f>
        <v/>
      </c>
      <c r="L283">
        <f>$F283-J283</f>
        <v/>
      </c>
      <c r="M283" s="42">
        <f>Q282</f>
        <v/>
      </c>
      <c r="N283" s="42">
        <f>ROUND(M283*N$6/12,2)</f>
        <v/>
      </c>
      <c r="O283" s="42">
        <f>MIN(O$6,M283+N283)</f>
        <v/>
      </c>
      <c r="P283" s="42">
        <f>MAX(0,MIN(M283+N283-O283,L283))</f>
        <v/>
      </c>
      <c r="Q283" s="42">
        <f>ROUND(M283+N283-O283-P283,2)</f>
        <v/>
      </c>
      <c r="R283">
        <f>L283-P283</f>
        <v/>
      </c>
      <c r="S283" s="42">
        <f>W282</f>
        <v/>
      </c>
      <c r="T283" s="42">
        <f>ROUND(S283*T$6/12,2)</f>
        <v/>
      </c>
      <c r="U283" s="42">
        <f>MIN(U$6,S283+T283)</f>
        <v/>
      </c>
      <c r="V283" s="42">
        <f>MAX(0,MIN(S283+T283-U283,R283))</f>
        <v/>
      </c>
      <c r="W283" s="42">
        <f>ROUND(S283+T283-U283-V283,2)</f>
        <v/>
      </c>
      <c r="X283">
        <f>R283-V283</f>
        <v/>
      </c>
      <c r="Y283" s="42">
        <f>AC282</f>
        <v/>
      </c>
      <c r="Z283" s="42">
        <f>ROUND(Y283*Z$6/12,2)</f>
        <v/>
      </c>
      <c r="AA283" s="42">
        <f>MIN(AA$6,Y283+Z283)</f>
        <v/>
      </c>
      <c r="AB283" s="42">
        <f>MAX(0,MIN(Y283+Z283-AA283,X283))</f>
        <v/>
      </c>
      <c r="AC283" s="42">
        <f>ROUND(Y283+Z283-AA283-AB283,2)</f>
        <v/>
      </c>
      <c r="AD283">
        <f>X283-AB283</f>
        <v/>
      </c>
      <c r="AE283" s="42">
        <f>AI282</f>
        <v/>
      </c>
      <c r="AF283" s="42">
        <f>ROUND(AE283*AF$6/12,2)</f>
        <v/>
      </c>
      <c r="AG283" s="42">
        <f>MIN(AG$6,AE283+AF283)</f>
        <v/>
      </c>
      <c r="AH283" s="42">
        <f>MAX(0,MIN(AE283+AF283-AG283,AD283))</f>
        <v/>
      </c>
      <c r="AI283" s="42">
        <f>ROUND(AE283+AF283-AG283-AH283,2)</f>
        <v/>
      </c>
      <c r="AJ283">
        <f>AD283-AH283</f>
        <v/>
      </c>
      <c r="AK283" s="42">
        <f>AO282</f>
        <v/>
      </c>
      <c r="AL283" s="42">
        <f>ROUND(AK283*AL$6/12,2)</f>
        <v/>
      </c>
      <c r="AM283" s="42">
        <f>MIN(AM$6,AK283+AL283)</f>
        <v/>
      </c>
      <c r="AN283" s="42">
        <f>MAX(0,MIN(AK283+AL283-AM283,AJ283))</f>
        <v/>
      </c>
      <c r="AO283" s="42">
        <f>ROUND(AK283+AL283-AM283-AN283,2)</f>
        <v/>
      </c>
      <c r="AP283">
        <f>AJ283-AN283</f>
        <v/>
      </c>
      <c r="AQ283" s="42">
        <f>AU282</f>
        <v/>
      </c>
      <c r="AR283" s="42">
        <f>ROUND(AQ283*AR$6/12,2)</f>
        <v/>
      </c>
      <c r="AS283" s="42">
        <f>MIN(AS$6,AQ283+AR283)</f>
        <v/>
      </c>
      <c r="AT283" s="42">
        <f>MAX(0,MIN(AQ283+AR283-AS283,AP283))</f>
        <v/>
      </c>
      <c r="AU283" s="42">
        <f>ROUND(AQ283+AR283-AS283-AT283,2)</f>
        <v/>
      </c>
      <c r="AV283">
        <f>AP283-AT283</f>
        <v/>
      </c>
      <c r="AW283" s="42">
        <f>BA282</f>
        <v/>
      </c>
      <c r="AX283" s="42">
        <f>ROUND(AW283*AX$6/12,2)</f>
        <v/>
      </c>
      <c r="AY283" s="42">
        <f>MIN(AY$6,AW283+AX283)</f>
        <v/>
      </c>
      <c r="AZ283" s="42">
        <f>MAX(0,MIN(AW283+AX283-AY283,AV283))</f>
        <v/>
      </c>
      <c r="BA283" s="42">
        <f>ROUND(AW283+AX283-AY283-AZ283,2)</f>
        <v/>
      </c>
      <c r="BB283">
        <f>AV283-AZ283</f>
        <v/>
      </c>
      <c r="BC283" s="42">
        <f>BG282</f>
        <v/>
      </c>
      <c r="BD283" s="42">
        <f>ROUND(BC283*BD$6/12,2)</f>
        <v/>
      </c>
      <c r="BE283" s="42">
        <f>MIN(BE$6,BC283+BD283)</f>
        <v/>
      </c>
      <c r="BF283" s="42">
        <f>MAX(0,MIN(BC283+BD283-BE283,BB283))</f>
        <v/>
      </c>
      <c r="BG283" s="42">
        <f>ROUND(BC283+BD283-BE283-BF283,2)</f>
        <v/>
      </c>
      <c r="BH283">
        <f>BB283-BF283</f>
        <v/>
      </c>
      <c r="BI283" s="42">
        <f>BM282</f>
        <v/>
      </c>
      <c r="BJ283" s="42">
        <f>ROUND(BI283*BJ$6/12,2)</f>
        <v/>
      </c>
      <c r="BK283" s="42">
        <f>MIN(BK$6,BI283+BJ283)</f>
        <v/>
      </c>
      <c r="BL283" s="42">
        <f>MAX(0,MIN(BI283+BJ283-BK283,BH283))</f>
        <v/>
      </c>
      <c r="BM283" s="42">
        <f>ROUND(BI283+BJ283-BK283-BL283,2)</f>
        <v/>
      </c>
      <c r="BN283">
        <f>BH283-BL283</f>
        <v/>
      </c>
    </row>
    <row r="284">
      <c r="A284" s="39" t="n">
        <v>277</v>
      </c>
      <c r="B284" s="40">
        <f>EDATE('My Debts'!$C$6,A284-1)</f>
        <v/>
      </c>
      <c r="C284" s="41">
        <f>K284+Q284+W284+AC284+AI284+AO284+AU284+BA284+BG284+BM284</f>
        <v/>
      </c>
      <c r="D284" s="42">
        <f>I284+O284+U284+AA284+AG284+AM284+AS284+AY284+BE284+BK284+J284+P284+V284+AB284+AH284+AN284+AT284+AZ284+BF284+BL284</f>
        <v/>
      </c>
      <c r="E284" s="42">
        <f>H284+N284+T284+Z284+AF284+AL284+AR284+AX284+BD284+BJ284</f>
        <v/>
      </c>
      <c r="F284" t="n">
        <v>0</v>
      </c>
      <c r="G284" s="42">
        <f>K283</f>
        <v/>
      </c>
      <c r="H284" s="42">
        <f>ROUND(G284*H$6/12,2)</f>
        <v/>
      </c>
      <c r="I284" s="42">
        <f>MIN(I$6,G284+H284)</f>
        <v/>
      </c>
      <c r="J284" s="42">
        <f>MAX(0,MIN(G284+H284-I284,$F284))</f>
        <v/>
      </c>
      <c r="K284" s="42">
        <f>ROUND(G284+H284-I284-J284,2)</f>
        <v/>
      </c>
      <c r="L284">
        <f>$F284-J284</f>
        <v/>
      </c>
      <c r="M284" s="42">
        <f>Q283</f>
        <v/>
      </c>
      <c r="N284" s="42">
        <f>ROUND(M284*N$6/12,2)</f>
        <v/>
      </c>
      <c r="O284" s="42">
        <f>MIN(O$6,M284+N284)</f>
        <v/>
      </c>
      <c r="P284" s="42">
        <f>MAX(0,MIN(M284+N284-O284,L284))</f>
        <v/>
      </c>
      <c r="Q284" s="42">
        <f>ROUND(M284+N284-O284-P284,2)</f>
        <v/>
      </c>
      <c r="R284">
        <f>L284-P284</f>
        <v/>
      </c>
      <c r="S284" s="42">
        <f>W283</f>
        <v/>
      </c>
      <c r="T284" s="42">
        <f>ROUND(S284*T$6/12,2)</f>
        <v/>
      </c>
      <c r="U284" s="42">
        <f>MIN(U$6,S284+T284)</f>
        <v/>
      </c>
      <c r="V284" s="42">
        <f>MAX(0,MIN(S284+T284-U284,R284))</f>
        <v/>
      </c>
      <c r="W284" s="42">
        <f>ROUND(S284+T284-U284-V284,2)</f>
        <v/>
      </c>
      <c r="X284">
        <f>R284-V284</f>
        <v/>
      </c>
      <c r="Y284" s="42">
        <f>AC283</f>
        <v/>
      </c>
      <c r="Z284" s="42">
        <f>ROUND(Y284*Z$6/12,2)</f>
        <v/>
      </c>
      <c r="AA284" s="42">
        <f>MIN(AA$6,Y284+Z284)</f>
        <v/>
      </c>
      <c r="AB284" s="42">
        <f>MAX(0,MIN(Y284+Z284-AA284,X284))</f>
        <v/>
      </c>
      <c r="AC284" s="42">
        <f>ROUND(Y284+Z284-AA284-AB284,2)</f>
        <v/>
      </c>
      <c r="AD284">
        <f>X284-AB284</f>
        <v/>
      </c>
      <c r="AE284" s="42">
        <f>AI283</f>
        <v/>
      </c>
      <c r="AF284" s="42">
        <f>ROUND(AE284*AF$6/12,2)</f>
        <v/>
      </c>
      <c r="AG284" s="42">
        <f>MIN(AG$6,AE284+AF284)</f>
        <v/>
      </c>
      <c r="AH284" s="42">
        <f>MAX(0,MIN(AE284+AF284-AG284,AD284))</f>
        <v/>
      </c>
      <c r="AI284" s="42">
        <f>ROUND(AE284+AF284-AG284-AH284,2)</f>
        <v/>
      </c>
      <c r="AJ284">
        <f>AD284-AH284</f>
        <v/>
      </c>
      <c r="AK284" s="42">
        <f>AO283</f>
        <v/>
      </c>
      <c r="AL284" s="42">
        <f>ROUND(AK284*AL$6/12,2)</f>
        <v/>
      </c>
      <c r="AM284" s="42">
        <f>MIN(AM$6,AK284+AL284)</f>
        <v/>
      </c>
      <c r="AN284" s="42">
        <f>MAX(0,MIN(AK284+AL284-AM284,AJ284))</f>
        <v/>
      </c>
      <c r="AO284" s="42">
        <f>ROUND(AK284+AL284-AM284-AN284,2)</f>
        <v/>
      </c>
      <c r="AP284">
        <f>AJ284-AN284</f>
        <v/>
      </c>
      <c r="AQ284" s="42">
        <f>AU283</f>
        <v/>
      </c>
      <c r="AR284" s="42">
        <f>ROUND(AQ284*AR$6/12,2)</f>
        <v/>
      </c>
      <c r="AS284" s="42">
        <f>MIN(AS$6,AQ284+AR284)</f>
        <v/>
      </c>
      <c r="AT284" s="42">
        <f>MAX(0,MIN(AQ284+AR284-AS284,AP284))</f>
        <v/>
      </c>
      <c r="AU284" s="42">
        <f>ROUND(AQ284+AR284-AS284-AT284,2)</f>
        <v/>
      </c>
      <c r="AV284">
        <f>AP284-AT284</f>
        <v/>
      </c>
      <c r="AW284" s="42">
        <f>BA283</f>
        <v/>
      </c>
      <c r="AX284" s="42">
        <f>ROUND(AW284*AX$6/12,2)</f>
        <v/>
      </c>
      <c r="AY284" s="42">
        <f>MIN(AY$6,AW284+AX284)</f>
        <v/>
      </c>
      <c r="AZ284" s="42">
        <f>MAX(0,MIN(AW284+AX284-AY284,AV284))</f>
        <v/>
      </c>
      <c r="BA284" s="42">
        <f>ROUND(AW284+AX284-AY284-AZ284,2)</f>
        <v/>
      </c>
      <c r="BB284">
        <f>AV284-AZ284</f>
        <v/>
      </c>
      <c r="BC284" s="42">
        <f>BG283</f>
        <v/>
      </c>
      <c r="BD284" s="42">
        <f>ROUND(BC284*BD$6/12,2)</f>
        <v/>
      </c>
      <c r="BE284" s="42">
        <f>MIN(BE$6,BC284+BD284)</f>
        <v/>
      </c>
      <c r="BF284" s="42">
        <f>MAX(0,MIN(BC284+BD284-BE284,BB284))</f>
        <v/>
      </c>
      <c r="BG284" s="42">
        <f>ROUND(BC284+BD284-BE284-BF284,2)</f>
        <v/>
      </c>
      <c r="BH284">
        <f>BB284-BF284</f>
        <v/>
      </c>
      <c r="BI284" s="42">
        <f>BM283</f>
        <v/>
      </c>
      <c r="BJ284" s="42">
        <f>ROUND(BI284*BJ$6/12,2)</f>
        <v/>
      </c>
      <c r="BK284" s="42">
        <f>MIN(BK$6,BI284+BJ284)</f>
        <v/>
      </c>
      <c r="BL284" s="42">
        <f>MAX(0,MIN(BI284+BJ284-BK284,BH284))</f>
        <v/>
      </c>
      <c r="BM284" s="42">
        <f>ROUND(BI284+BJ284-BK284-BL284,2)</f>
        <v/>
      </c>
      <c r="BN284">
        <f>BH284-BL284</f>
        <v/>
      </c>
    </row>
    <row r="285">
      <c r="A285" s="43" t="n">
        <v>278</v>
      </c>
      <c r="B285" s="44">
        <f>EDATE('My Debts'!$C$6,A285-1)</f>
        <v/>
      </c>
      <c r="C285" s="45">
        <f>K285+Q285+W285+AC285+AI285+AO285+AU285+BA285+BG285+BM285</f>
        <v/>
      </c>
      <c r="D285" s="46">
        <f>I285+O285+U285+AA285+AG285+AM285+AS285+AY285+BE285+BK285+J285+P285+V285+AB285+AH285+AN285+AT285+AZ285+BF285+BL285</f>
        <v/>
      </c>
      <c r="E285" s="46">
        <f>H285+N285+T285+Z285+AF285+AL285+AR285+AX285+BD285+BJ285</f>
        <v/>
      </c>
      <c r="F285" t="n">
        <v>0</v>
      </c>
      <c r="G285" s="42">
        <f>K284</f>
        <v/>
      </c>
      <c r="H285" s="42">
        <f>ROUND(G285*H$6/12,2)</f>
        <v/>
      </c>
      <c r="I285" s="42">
        <f>MIN(I$6,G285+H285)</f>
        <v/>
      </c>
      <c r="J285" s="42">
        <f>MAX(0,MIN(G285+H285-I285,$F285))</f>
        <v/>
      </c>
      <c r="K285" s="42">
        <f>ROUND(G285+H285-I285-J285,2)</f>
        <v/>
      </c>
      <c r="L285">
        <f>$F285-J285</f>
        <v/>
      </c>
      <c r="M285" s="42">
        <f>Q284</f>
        <v/>
      </c>
      <c r="N285" s="42">
        <f>ROUND(M285*N$6/12,2)</f>
        <v/>
      </c>
      <c r="O285" s="42">
        <f>MIN(O$6,M285+N285)</f>
        <v/>
      </c>
      <c r="P285" s="42">
        <f>MAX(0,MIN(M285+N285-O285,L285))</f>
        <v/>
      </c>
      <c r="Q285" s="42">
        <f>ROUND(M285+N285-O285-P285,2)</f>
        <v/>
      </c>
      <c r="R285">
        <f>L285-P285</f>
        <v/>
      </c>
      <c r="S285" s="42">
        <f>W284</f>
        <v/>
      </c>
      <c r="T285" s="42">
        <f>ROUND(S285*T$6/12,2)</f>
        <v/>
      </c>
      <c r="U285" s="42">
        <f>MIN(U$6,S285+T285)</f>
        <v/>
      </c>
      <c r="V285" s="42">
        <f>MAX(0,MIN(S285+T285-U285,R285))</f>
        <v/>
      </c>
      <c r="W285" s="42">
        <f>ROUND(S285+T285-U285-V285,2)</f>
        <v/>
      </c>
      <c r="X285">
        <f>R285-V285</f>
        <v/>
      </c>
      <c r="Y285" s="42">
        <f>AC284</f>
        <v/>
      </c>
      <c r="Z285" s="42">
        <f>ROUND(Y285*Z$6/12,2)</f>
        <v/>
      </c>
      <c r="AA285" s="42">
        <f>MIN(AA$6,Y285+Z285)</f>
        <v/>
      </c>
      <c r="AB285" s="42">
        <f>MAX(0,MIN(Y285+Z285-AA285,X285))</f>
        <v/>
      </c>
      <c r="AC285" s="42">
        <f>ROUND(Y285+Z285-AA285-AB285,2)</f>
        <v/>
      </c>
      <c r="AD285">
        <f>X285-AB285</f>
        <v/>
      </c>
      <c r="AE285" s="42">
        <f>AI284</f>
        <v/>
      </c>
      <c r="AF285" s="42">
        <f>ROUND(AE285*AF$6/12,2)</f>
        <v/>
      </c>
      <c r="AG285" s="42">
        <f>MIN(AG$6,AE285+AF285)</f>
        <v/>
      </c>
      <c r="AH285" s="42">
        <f>MAX(0,MIN(AE285+AF285-AG285,AD285))</f>
        <v/>
      </c>
      <c r="AI285" s="42">
        <f>ROUND(AE285+AF285-AG285-AH285,2)</f>
        <v/>
      </c>
      <c r="AJ285">
        <f>AD285-AH285</f>
        <v/>
      </c>
      <c r="AK285" s="42">
        <f>AO284</f>
        <v/>
      </c>
      <c r="AL285" s="42">
        <f>ROUND(AK285*AL$6/12,2)</f>
        <v/>
      </c>
      <c r="AM285" s="42">
        <f>MIN(AM$6,AK285+AL285)</f>
        <v/>
      </c>
      <c r="AN285" s="42">
        <f>MAX(0,MIN(AK285+AL285-AM285,AJ285))</f>
        <v/>
      </c>
      <c r="AO285" s="42">
        <f>ROUND(AK285+AL285-AM285-AN285,2)</f>
        <v/>
      </c>
      <c r="AP285">
        <f>AJ285-AN285</f>
        <v/>
      </c>
      <c r="AQ285" s="42">
        <f>AU284</f>
        <v/>
      </c>
      <c r="AR285" s="42">
        <f>ROUND(AQ285*AR$6/12,2)</f>
        <v/>
      </c>
      <c r="AS285" s="42">
        <f>MIN(AS$6,AQ285+AR285)</f>
        <v/>
      </c>
      <c r="AT285" s="42">
        <f>MAX(0,MIN(AQ285+AR285-AS285,AP285))</f>
        <v/>
      </c>
      <c r="AU285" s="42">
        <f>ROUND(AQ285+AR285-AS285-AT285,2)</f>
        <v/>
      </c>
      <c r="AV285">
        <f>AP285-AT285</f>
        <v/>
      </c>
      <c r="AW285" s="42">
        <f>BA284</f>
        <v/>
      </c>
      <c r="AX285" s="42">
        <f>ROUND(AW285*AX$6/12,2)</f>
        <v/>
      </c>
      <c r="AY285" s="42">
        <f>MIN(AY$6,AW285+AX285)</f>
        <v/>
      </c>
      <c r="AZ285" s="42">
        <f>MAX(0,MIN(AW285+AX285-AY285,AV285))</f>
        <v/>
      </c>
      <c r="BA285" s="42">
        <f>ROUND(AW285+AX285-AY285-AZ285,2)</f>
        <v/>
      </c>
      <c r="BB285">
        <f>AV285-AZ285</f>
        <v/>
      </c>
      <c r="BC285" s="42">
        <f>BG284</f>
        <v/>
      </c>
      <c r="BD285" s="42">
        <f>ROUND(BC285*BD$6/12,2)</f>
        <v/>
      </c>
      <c r="BE285" s="42">
        <f>MIN(BE$6,BC285+BD285)</f>
        <v/>
      </c>
      <c r="BF285" s="42">
        <f>MAX(0,MIN(BC285+BD285-BE285,BB285))</f>
        <v/>
      </c>
      <c r="BG285" s="42">
        <f>ROUND(BC285+BD285-BE285-BF285,2)</f>
        <v/>
      </c>
      <c r="BH285">
        <f>BB285-BF285</f>
        <v/>
      </c>
      <c r="BI285" s="42">
        <f>BM284</f>
        <v/>
      </c>
      <c r="BJ285" s="42">
        <f>ROUND(BI285*BJ$6/12,2)</f>
        <v/>
      </c>
      <c r="BK285" s="42">
        <f>MIN(BK$6,BI285+BJ285)</f>
        <v/>
      </c>
      <c r="BL285" s="42">
        <f>MAX(0,MIN(BI285+BJ285-BK285,BH285))</f>
        <v/>
      </c>
      <c r="BM285" s="42">
        <f>ROUND(BI285+BJ285-BK285-BL285,2)</f>
        <v/>
      </c>
      <c r="BN285">
        <f>BH285-BL285</f>
        <v/>
      </c>
    </row>
    <row r="286">
      <c r="A286" s="39" t="n">
        <v>279</v>
      </c>
      <c r="B286" s="40">
        <f>EDATE('My Debts'!$C$6,A286-1)</f>
        <v/>
      </c>
      <c r="C286" s="41">
        <f>K286+Q286+W286+AC286+AI286+AO286+AU286+BA286+BG286+BM286</f>
        <v/>
      </c>
      <c r="D286" s="42">
        <f>I286+O286+U286+AA286+AG286+AM286+AS286+AY286+BE286+BK286+J286+P286+V286+AB286+AH286+AN286+AT286+AZ286+BF286+BL286</f>
        <v/>
      </c>
      <c r="E286" s="42">
        <f>H286+N286+T286+Z286+AF286+AL286+AR286+AX286+BD286+BJ286</f>
        <v/>
      </c>
      <c r="F286" t="n">
        <v>0</v>
      </c>
      <c r="G286" s="42">
        <f>K285</f>
        <v/>
      </c>
      <c r="H286" s="42">
        <f>ROUND(G286*H$6/12,2)</f>
        <v/>
      </c>
      <c r="I286" s="42">
        <f>MIN(I$6,G286+H286)</f>
        <v/>
      </c>
      <c r="J286" s="42">
        <f>MAX(0,MIN(G286+H286-I286,$F286))</f>
        <v/>
      </c>
      <c r="K286" s="42">
        <f>ROUND(G286+H286-I286-J286,2)</f>
        <v/>
      </c>
      <c r="L286">
        <f>$F286-J286</f>
        <v/>
      </c>
      <c r="M286" s="42">
        <f>Q285</f>
        <v/>
      </c>
      <c r="N286" s="42">
        <f>ROUND(M286*N$6/12,2)</f>
        <v/>
      </c>
      <c r="O286" s="42">
        <f>MIN(O$6,M286+N286)</f>
        <v/>
      </c>
      <c r="P286" s="42">
        <f>MAX(0,MIN(M286+N286-O286,L286))</f>
        <v/>
      </c>
      <c r="Q286" s="42">
        <f>ROUND(M286+N286-O286-P286,2)</f>
        <v/>
      </c>
      <c r="R286">
        <f>L286-P286</f>
        <v/>
      </c>
      <c r="S286" s="42">
        <f>W285</f>
        <v/>
      </c>
      <c r="T286" s="42">
        <f>ROUND(S286*T$6/12,2)</f>
        <v/>
      </c>
      <c r="U286" s="42">
        <f>MIN(U$6,S286+T286)</f>
        <v/>
      </c>
      <c r="V286" s="42">
        <f>MAX(0,MIN(S286+T286-U286,R286))</f>
        <v/>
      </c>
      <c r="W286" s="42">
        <f>ROUND(S286+T286-U286-V286,2)</f>
        <v/>
      </c>
      <c r="X286">
        <f>R286-V286</f>
        <v/>
      </c>
      <c r="Y286" s="42">
        <f>AC285</f>
        <v/>
      </c>
      <c r="Z286" s="42">
        <f>ROUND(Y286*Z$6/12,2)</f>
        <v/>
      </c>
      <c r="AA286" s="42">
        <f>MIN(AA$6,Y286+Z286)</f>
        <v/>
      </c>
      <c r="AB286" s="42">
        <f>MAX(0,MIN(Y286+Z286-AA286,X286))</f>
        <v/>
      </c>
      <c r="AC286" s="42">
        <f>ROUND(Y286+Z286-AA286-AB286,2)</f>
        <v/>
      </c>
      <c r="AD286">
        <f>X286-AB286</f>
        <v/>
      </c>
      <c r="AE286" s="42">
        <f>AI285</f>
        <v/>
      </c>
      <c r="AF286" s="42">
        <f>ROUND(AE286*AF$6/12,2)</f>
        <v/>
      </c>
      <c r="AG286" s="42">
        <f>MIN(AG$6,AE286+AF286)</f>
        <v/>
      </c>
      <c r="AH286" s="42">
        <f>MAX(0,MIN(AE286+AF286-AG286,AD286))</f>
        <v/>
      </c>
      <c r="AI286" s="42">
        <f>ROUND(AE286+AF286-AG286-AH286,2)</f>
        <v/>
      </c>
      <c r="AJ286">
        <f>AD286-AH286</f>
        <v/>
      </c>
      <c r="AK286" s="42">
        <f>AO285</f>
        <v/>
      </c>
      <c r="AL286" s="42">
        <f>ROUND(AK286*AL$6/12,2)</f>
        <v/>
      </c>
      <c r="AM286" s="42">
        <f>MIN(AM$6,AK286+AL286)</f>
        <v/>
      </c>
      <c r="AN286" s="42">
        <f>MAX(0,MIN(AK286+AL286-AM286,AJ286))</f>
        <v/>
      </c>
      <c r="AO286" s="42">
        <f>ROUND(AK286+AL286-AM286-AN286,2)</f>
        <v/>
      </c>
      <c r="AP286">
        <f>AJ286-AN286</f>
        <v/>
      </c>
      <c r="AQ286" s="42">
        <f>AU285</f>
        <v/>
      </c>
      <c r="AR286" s="42">
        <f>ROUND(AQ286*AR$6/12,2)</f>
        <v/>
      </c>
      <c r="AS286" s="42">
        <f>MIN(AS$6,AQ286+AR286)</f>
        <v/>
      </c>
      <c r="AT286" s="42">
        <f>MAX(0,MIN(AQ286+AR286-AS286,AP286))</f>
        <v/>
      </c>
      <c r="AU286" s="42">
        <f>ROUND(AQ286+AR286-AS286-AT286,2)</f>
        <v/>
      </c>
      <c r="AV286">
        <f>AP286-AT286</f>
        <v/>
      </c>
      <c r="AW286" s="42">
        <f>BA285</f>
        <v/>
      </c>
      <c r="AX286" s="42">
        <f>ROUND(AW286*AX$6/12,2)</f>
        <v/>
      </c>
      <c r="AY286" s="42">
        <f>MIN(AY$6,AW286+AX286)</f>
        <v/>
      </c>
      <c r="AZ286" s="42">
        <f>MAX(0,MIN(AW286+AX286-AY286,AV286))</f>
        <v/>
      </c>
      <c r="BA286" s="42">
        <f>ROUND(AW286+AX286-AY286-AZ286,2)</f>
        <v/>
      </c>
      <c r="BB286">
        <f>AV286-AZ286</f>
        <v/>
      </c>
      <c r="BC286" s="42">
        <f>BG285</f>
        <v/>
      </c>
      <c r="BD286" s="42">
        <f>ROUND(BC286*BD$6/12,2)</f>
        <v/>
      </c>
      <c r="BE286" s="42">
        <f>MIN(BE$6,BC286+BD286)</f>
        <v/>
      </c>
      <c r="BF286" s="42">
        <f>MAX(0,MIN(BC286+BD286-BE286,BB286))</f>
        <v/>
      </c>
      <c r="BG286" s="42">
        <f>ROUND(BC286+BD286-BE286-BF286,2)</f>
        <v/>
      </c>
      <c r="BH286">
        <f>BB286-BF286</f>
        <v/>
      </c>
      <c r="BI286" s="42">
        <f>BM285</f>
        <v/>
      </c>
      <c r="BJ286" s="42">
        <f>ROUND(BI286*BJ$6/12,2)</f>
        <v/>
      </c>
      <c r="BK286" s="42">
        <f>MIN(BK$6,BI286+BJ286)</f>
        <v/>
      </c>
      <c r="BL286" s="42">
        <f>MAX(0,MIN(BI286+BJ286-BK286,BH286))</f>
        <v/>
      </c>
      <c r="BM286" s="42">
        <f>ROUND(BI286+BJ286-BK286-BL286,2)</f>
        <v/>
      </c>
      <c r="BN286">
        <f>BH286-BL286</f>
        <v/>
      </c>
    </row>
    <row r="287">
      <c r="A287" s="43" t="n">
        <v>280</v>
      </c>
      <c r="B287" s="44">
        <f>EDATE('My Debts'!$C$6,A287-1)</f>
        <v/>
      </c>
      <c r="C287" s="45">
        <f>K287+Q287+W287+AC287+AI287+AO287+AU287+BA287+BG287+BM287</f>
        <v/>
      </c>
      <c r="D287" s="46">
        <f>I287+O287+U287+AA287+AG287+AM287+AS287+AY287+BE287+BK287+J287+P287+V287+AB287+AH287+AN287+AT287+AZ287+BF287+BL287</f>
        <v/>
      </c>
      <c r="E287" s="46">
        <f>H287+N287+T287+Z287+AF287+AL287+AR287+AX287+BD287+BJ287</f>
        <v/>
      </c>
      <c r="F287" t="n">
        <v>0</v>
      </c>
      <c r="G287" s="42">
        <f>K286</f>
        <v/>
      </c>
      <c r="H287" s="42">
        <f>ROUND(G287*H$6/12,2)</f>
        <v/>
      </c>
      <c r="I287" s="42">
        <f>MIN(I$6,G287+H287)</f>
        <v/>
      </c>
      <c r="J287" s="42">
        <f>MAX(0,MIN(G287+H287-I287,$F287))</f>
        <v/>
      </c>
      <c r="K287" s="42">
        <f>ROUND(G287+H287-I287-J287,2)</f>
        <v/>
      </c>
      <c r="L287">
        <f>$F287-J287</f>
        <v/>
      </c>
      <c r="M287" s="42">
        <f>Q286</f>
        <v/>
      </c>
      <c r="N287" s="42">
        <f>ROUND(M287*N$6/12,2)</f>
        <v/>
      </c>
      <c r="O287" s="42">
        <f>MIN(O$6,M287+N287)</f>
        <v/>
      </c>
      <c r="P287" s="42">
        <f>MAX(0,MIN(M287+N287-O287,L287))</f>
        <v/>
      </c>
      <c r="Q287" s="42">
        <f>ROUND(M287+N287-O287-P287,2)</f>
        <v/>
      </c>
      <c r="R287">
        <f>L287-P287</f>
        <v/>
      </c>
      <c r="S287" s="42">
        <f>W286</f>
        <v/>
      </c>
      <c r="T287" s="42">
        <f>ROUND(S287*T$6/12,2)</f>
        <v/>
      </c>
      <c r="U287" s="42">
        <f>MIN(U$6,S287+T287)</f>
        <v/>
      </c>
      <c r="V287" s="42">
        <f>MAX(0,MIN(S287+T287-U287,R287))</f>
        <v/>
      </c>
      <c r="W287" s="42">
        <f>ROUND(S287+T287-U287-V287,2)</f>
        <v/>
      </c>
      <c r="X287">
        <f>R287-V287</f>
        <v/>
      </c>
      <c r="Y287" s="42">
        <f>AC286</f>
        <v/>
      </c>
      <c r="Z287" s="42">
        <f>ROUND(Y287*Z$6/12,2)</f>
        <v/>
      </c>
      <c r="AA287" s="42">
        <f>MIN(AA$6,Y287+Z287)</f>
        <v/>
      </c>
      <c r="AB287" s="42">
        <f>MAX(0,MIN(Y287+Z287-AA287,X287))</f>
        <v/>
      </c>
      <c r="AC287" s="42">
        <f>ROUND(Y287+Z287-AA287-AB287,2)</f>
        <v/>
      </c>
      <c r="AD287">
        <f>X287-AB287</f>
        <v/>
      </c>
      <c r="AE287" s="42">
        <f>AI286</f>
        <v/>
      </c>
      <c r="AF287" s="42">
        <f>ROUND(AE287*AF$6/12,2)</f>
        <v/>
      </c>
      <c r="AG287" s="42">
        <f>MIN(AG$6,AE287+AF287)</f>
        <v/>
      </c>
      <c r="AH287" s="42">
        <f>MAX(0,MIN(AE287+AF287-AG287,AD287))</f>
        <v/>
      </c>
      <c r="AI287" s="42">
        <f>ROUND(AE287+AF287-AG287-AH287,2)</f>
        <v/>
      </c>
      <c r="AJ287">
        <f>AD287-AH287</f>
        <v/>
      </c>
      <c r="AK287" s="42">
        <f>AO286</f>
        <v/>
      </c>
      <c r="AL287" s="42">
        <f>ROUND(AK287*AL$6/12,2)</f>
        <v/>
      </c>
      <c r="AM287" s="42">
        <f>MIN(AM$6,AK287+AL287)</f>
        <v/>
      </c>
      <c r="AN287" s="42">
        <f>MAX(0,MIN(AK287+AL287-AM287,AJ287))</f>
        <v/>
      </c>
      <c r="AO287" s="42">
        <f>ROUND(AK287+AL287-AM287-AN287,2)</f>
        <v/>
      </c>
      <c r="AP287">
        <f>AJ287-AN287</f>
        <v/>
      </c>
      <c r="AQ287" s="42">
        <f>AU286</f>
        <v/>
      </c>
      <c r="AR287" s="42">
        <f>ROUND(AQ287*AR$6/12,2)</f>
        <v/>
      </c>
      <c r="AS287" s="42">
        <f>MIN(AS$6,AQ287+AR287)</f>
        <v/>
      </c>
      <c r="AT287" s="42">
        <f>MAX(0,MIN(AQ287+AR287-AS287,AP287))</f>
        <v/>
      </c>
      <c r="AU287" s="42">
        <f>ROUND(AQ287+AR287-AS287-AT287,2)</f>
        <v/>
      </c>
      <c r="AV287">
        <f>AP287-AT287</f>
        <v/>
      </c>
      <c r="AW287" s="42">
        <f>BA286</f>
        <v/>
      </c>
      <c r="AX287" s="42">
        <f>ROUND(AW287*AX$6/12,2)</f>
        <v/>
      </c>
      <c r="AY287" s="42">
        <f>MIN(AY$6,AW287+AX287)</f>
        <v/>
      </c>
      <c r="AZ287" s="42">
        <f>MAX(0,MIN(AW287+AX287-AY287,AV287))</f>
        <v/>
      </c>
      <c r="BA287" s="42">
        <f>ROUND(AW287+AX287-AY287-AZ287,2)</f>
        <v/>
      </c>
      <c r="BB287">
        <f>AV287-AZ287</f>
        <v/>
      </c>
      <c r="BC287" s="42">
        <f>BG286</f>
        <v/>
      </c>
      <c r="BD287" s="42">
        <f>ROUND(BC287*BD$6/12,2)</f>
        <v/>
      </c>
      <c r="BE287" s="42">
        <f>MIN(BE$6,BC287+BD287)</f>
        <v/>
      </c>
      <c r="BF287" s="42">
        <f>MAX(0,MIN(BC287+BD287-BE287,BB287))</f>
        <v/>
      </c>
      <c r="BG287" s="42">
        <f>ROUND(BC287+BD287-BE287-BF287,2)</f>
        <v/>
      </c>
      <c r="BH287">
        <f>BB287-BF287</f>
        <v/>
      </c>
      <c r="BI287" s="42">
        <f>BM286</f>
        <v/>
      </c>
      <c r="BJ287" s="42">
        <f>ROUND(BI287*BJ$6/12,2)</f>
        <v/>
      </c>
      <c r="BK287" s="42">
        <f>MIN(BK$6,BI287+BJ287)</f>
        <v/>
      </c>
      <c r="BL287" s="42">
        <f>MAX(0,MIN(BI287+BJ287-BK287,BH287))</f>
        <v/>
      </c>
      <c r="BM287" s="42">
        <f>ROUND(BI287+BJ287-BK287-BL287,2)</f>
        <v/>
      </c>
      <c r="BN287">
        <f>BH287-BL287</f>
        <v/>
      </c>
    </row>
    <row r="288">
      <c r="A288" s="39" t="n">
        <v>281</v>
      </c>
      <c r="B288" s="40">
        <f>EDATE('My Debts'!$C$6,A288-1)</f>
        <v/>
      </c>
      <c r="C288" s="41">
        <f>K288+Q288+W288+AC288+AI288+AO288+AU288+BA288+BG288+BM288</f>
        <v/>
      </c>
      <c r="D288" s="42">
        <f>I288+O288+U288+AA288+AG288+AM288+AS288+AY288+BE288+BK288+J288+P288+V288+AB288+AH288+AN288+AT288+AZ288+BF288+BL288</f>
        <v/>
      </c>
      <c r="E288" s="42">
        <f>H288+N288+T288+Z288+AF288+AL288+AR288+AX288+BD288+BJ288</f>
        <v/>
      </c>
      <c r="F288" t="n">
        <v>0</v>
      </c>
      <c r="G288" s="42">
        <f>K287</f>
        <v/>
      </c>
      <c r="H288" s="42">
        <f>ROUND(G288*H$6/12,2)</f>
        <v/>
      </c>
      <c r="I288" s="42">
        <f>MIN(I$6,G288+H288)</f>
        <v/>
      </c>
      <c r="J288" s="42">
        <f>MAX(0,MIN(G288+H288-I288,$F288))</f>
        <v/>
      </c>
      <c r="K288" s="42">
        <f>ROUND(G288+H288-I288-J288,2)</f>
        <v/>
      </c>
      <c r="L288">
        <f>$F288-J288</f>
        <v/>
      </c>
      <c r="M288" s="42">
        <f>Q287</f>
        <v/>
      </c>
      <c r="N288" s="42">
        <f>ROUND(M288*N$6/12,2)</f>
        <v/>
      </c>
      <c r="O288" s="42">
        <f>MIN(O$6,M288+N288)</f>
        <v/>
      </c>
      <c r="P288" s="42">
        <f>MAX(0,MIN(M288+N288-O288,L288))</f>
        <v/>
      </c>
      <c r="Q288" s="42">
        <f>ROUND(M288+N288-O288-P288,2)</f>
        <v/>
      </c>
      <c r="R288">
        <f>L288-P288</f>
        <v/>
      </c>
      <c r="S288" s="42">
        <f>W287</f>
        <v/>
      </c>
      <c r="T288" s="42">
        <f>ROUND(S288*T$6/12,2)</f>
        <v/>
      </c>
      <c r="U288" s="42">
        <f>MIN(U$6,S288+T288)</f>
        <v/>
      </c>
      <c r="V288" s="42">
        <f>MAX(0,MIN(S288+T288-U288,R288))</f>
        <v/>
      </c>
      <c r="W288" s="42">
        <f>ROUND(S288+T288-U288-V288,2)</f>
        <v/>
      </c>
      <c r="X288">
        <f>R288-V288</f>
        <v/>
      </c>
      <c r="Y288" s="42">
        <f>AC287</f>
        <v/>
      </c>
      <c r="Z288" s="42">
        <f>ROUND(Y288*Z$6/12,2)</f>
        <v/>
      </c>
      <c r="AA288" s="42">
        <f>MIN(AA$6,Y288+Z288)</f>
        <v/>
      </c>
      <c r="AB288" s="42">
        <f>MAX(0,MIN(Y288+Z288-AA288,X288))</f>
        <v/>
      </c>
      <c r="AC288" s="42">
        <f>ROUND(Y288+Z288-AA288-AB288,2)</f>
        <v/>
      </c>
      <c r="AD288">
        <f>X288-AB288</f>
        <v/>
      </c>
      <c r="AE288" s="42">
        <f>AI287</f>
        <v/>
      </c>
      <c r="AF288" s="42">
        <f>ROUND(AE288*AF$6/12,2)</f>
        <v/>
      </c>
      <c r="AG288" s="42">
        <f>MIN(AG$6,AE288+AF288)</f>
        <v/>
      </c>
      <c r="AH288" s="42">
        <f>MAX(0,MIN(AE288+AF288-AG288,AD288))</f>
        <v/>
      </c>
      <c r="AI288" s="42">
        <f>ROUND(AE288+AF288-AG288-AH288,2)</f>
        <v/>
      </c>
      <c r="AJ288">
        <f>AD288-AH288</f>
        <v/>
      </c>
      <c r="AK288" s="42">
        <f>AO287</f>
        <v/>
      </c>
      <c r="AL288" s="42">
        <f>ROUND(AK288*AL$6/12,2)</f>
        <v/>
      </c>
      <c r="AM288" s="42">
        <f>MIN(AM$6,AK288+AL288)</f>
        <v/>
      </c>
      <c r="AN288" s="42">
        <f>MAX(0,MIN(AK288+AL288-AM288,AJ288))</f>
        <v/>
      </c>
      <c r="AO288" s="42">
        <f>ROUND(AK288+AL288-AM288-AN288,2)</f>
        <v/>
      </c>
      <c r="AP288">
        <f>AJ288-AN288</f>
        <v/>
      </c>
      <c r="AQ288" s="42">
        <f>AU287</f>
        <v/>
      </c>
      <c r="AR288" s="42">
        <f>ROUND(AQ288*AR$6/12,2)</f>
        <v/>
      </c>
      <c r="AS288" s="42">
        <f>MIN(AS$6,AQ288+AR288)</f>
        <v/>
      </c>
      <c r="AT288" s="42">
        <f>MAX(0,MIN(AQ288+AR288-AS288,AP288))</f>
        <v/>
      </c>
      <c r="AU288" s="42">
        <f>ROUND(AQ288+AR288-AS288-AT288,2)</f>
        <v/>
      </c>
      <c r="AV288">
        <f>AP288-AT288</f>
        <v/>
      </c>
      <c r="AW288" s="42">
        <f>BA287</f>
        <v/>
      </c>
      <c r="AX288" s="42">
        <f>ROUND(AW288*AX$6/12,2)</f>
        <v/>
      </c>
      <c r="AY288" s="42">
        <f>MIN(AY$6,AW288+AX288)</f>
        <v/>
      </c>
      <c r="AZ288" s="42">
        <f>MAX(0,MIN(AW288+AX288-AY288,AV288))</f>
        <v/>
      </c>
      <c r="BA288" s="42">
        <f>ROUND(AW288+AX288-AY288-AZ288,2)</f>
        <v/>
      </c>
      <c r="BB288">
        <f>AV288-AZ288</f>
        <v/>
      </c>
      <c r="BC288" s="42">
        <f>BG287</f>
        <v/>
      </c>
      <c r="BD288" s="42">
        <f>ROUND(BC288*BD$6/12,2)</f>
        <v/>
      </c>
      <c r="BE288" s="42">
        <f>MIN(BE$6,BC288+BD288)</f>
        <v/>
      </c>
      <c r="BF288" s="42">
        <f>MAX(0,MIN(BC288+BD288-BE288,BB288))</f>
        <v/>
      </c>
      <c r="BG288" s="42">
        <f>ROUND(BC288+BD288-BE288-BF288,2)</f>
        <v/>
      </c>
      <c r="BH288">
        <f>BB288-BF288</f>
        <v/>
      </c>
      <c r="BI288" s="42">
        <f>BM287</f>
        <v/>
      </c>
      <c r="BJ288" s="42">
        <f>ROUND(BI288*BJ$6/12,2)</f>
        <v/>
      </c>
      <c r="BK288" s="42">
        <f>MIN(BK$6,BI288+BJ288)</f>
        <v/>
      </c>
      <c r="BL288" s="42">
        <f>MAX(0,MIN(BI288+BJ288-BK288,BH288))</f>
        <v/>
      </c>
      <c r="BM288" s="42">
        <f>ROUND(BI288+BJ288-BK288-BL288,2)</f>
        <v/>
      </c>
      <c r="BN288">
        <f>BH288-BL288</f>
        <v/>
      </c>
    </row>
    <row r="289">
      <c r="A289" s="43" t="n">
        <v>282</v>
      </c>
      <c r="B289" s="44">
        <f>EDATE('My Debts'!$C$6,A289-1)</f>
        <v/>
      </c>
      <c r="C289" s="45">
        <f>K289+Q289+W289+AC289+AI289+AO289+AU289+BA289+BG289+BM289</f>
        <v/>
      </c>
      <c r="D289" s="46">
        <f>I289+O289+U289+AA289+AG289+AM289+AS289+AY289+BE289+BK289+J289+P289+V289+AB289+AH289+AN289+AT289+AZ289+BF289+BL289</f>
        <v/>
      </c>
      <c r="E289" s="46">
        <f>H289+N289+T289+Z289+AF289+AL289+AR289+AX289+BD289+BJ289</f>
        <v/>
      </c>
      <c r="F289" t="n">
        <v>0</v>
      </c>
      <c r="G289" s="42">
        <f>K288</f>
        <v/>
      </c>
      <c r="H289" s="42">
        <f>ROUND(G289*H$6/12,2)</f>
        <v/>
      </c>
      <c r="I289" s="42">
        <f>MIN(I$6,G289+H289)</f>
        <v/>
      </c>
      <c r="J289" s="42">
        <f>MAX(0,MIN(G289+H289-I289,$F289))</f>
        <v/>
      </c>
      <c r="K289" s="42">
        <f>ROUND(G289+H289-I289-J289,2)</f>
        <v/>
      </c>
      <c r="L289">
        <f>$F289-J289</f>
        <v/>
      </c>
      <c r="M289" s="42">
        <f>Q288</f>
        <v/>
      </c>
      <c r="N289" s="42">
        <f>ROUND(M289*N$6/12,2)</f>
        <v/>
      </c>
      <c r="O289" s="42">
        <f>MIN(O$6,M289+N289)</f>
        <v/>
      </c>
      <c r="P289" s="42">
        <f>MAX(0,MIN(M289+N289-O289,L289))</f>
        <v/>
      </c>
      <c r="Q289" s="42">
        <f>ROUND(M289+N289-O289-P289,2)</f>
        <v/>
      </c>
      <c r="R289">
        <f>L289-P289</f>
        <v/>
      </c>
      <c r="S289" s="42">
        <f>W288</f>
        <v/>
      </c>
      <c r="T289" s="42">
        <f>ROUND(S289*T$6/12,2)</f>
        <v/>
      </c>
      <c r="U289" s="42">
        <f>MIN(U$6,S289+T289)</f>
        <v/>
      </c>
      <c r="V289" s="42">
        <f>MAX(0,MIN(S289+T289-U289,R289))</f>
        <v/>
      </c>
      <c r="W289" s="42">
        <f>ROUND(S289+T289-U289-V289,2)</f>
        <v/>
      </c>
      <c r="X289">
        <f>R289-V289</f>
        <v/>
      </c>
      <c r="Y289" s="42">
        <f>AC288</f>
        <v/>
      </c>
      <c r="Z289" s="42">
        <f>ROUND(Y289*Z$6/12,2)</f>
        <v/>
      </c>
      <c r="AA289" s="42">
        <f>MIN(AA$6,Y289+Z289)</f>
        <v/>
      </c>
      <c r="AB289" s="42">
        <f>MAX(0,MIN(Y289+Z289-AA289,X289))</f>
        <v/>
      </c>
      <c r="AC289" s="42">
        <f>ROUND(Y289+Z289-AA289-AB289,2)</f>
        <v/>
      </c>
      <c r="AD289">
        <f>X289-AB289</f>
        <v/>
      </c>
      <c r="AE289" s="42">
        <f>AI288</f>
        <v/>
      </c>
      <c r="AF289" s="42">
        <f>ROUND(AE289*AF$6/12,2)</f>
        <v/>
      </c>
      <c r="AG289" s="42">
        <f>MIN(AG$6,AE289+AF289)</f>
        <v/>
      </c>
      <c r="AH289" s="42">
        <f>MAX(0,MIN(AE289+AF289-AG289,AD289))</f>
        <v/>
      </c>
      <c r="AI289" s="42">
        <f>ROUND(AE289+AF289-AG289-AH289,2)</f>
        <v/>
      </c>
      <c r="AJ289">
        <f>AD289-AH289</f>
        <v/>
      </c>
      <c r="AK289" s="42">
        <f>AO288</f>
        <v/>
      </c>
      <c r="AL289" s="42">
        <f>ROUND(AK289*AL$6/12,2)</f>
        <v/>
      </c>
      <c r="AM289" s="42">
        <f>MIN(AM$6,AK289+AL289)</f>
        <v/>
      </c>
      <c r="AN289" s="42">
        <f>MAX(0,MIN(AK289+AL289-AM289,AJ289))</f>
        <v/>
      </c>
      <c r="AO289" s="42">
        <f>ROUND(AK289+AL289-AM289-AN289,2)</f>
        <v/>
      </c>
      <c r="AP289">
        <f>AJ289-AN289</f>
        <v/>
      </c>
      <c r="AQ289" s="42">
        <f>AU288</f>
        <v/>
      </c>
      <c r="AR289" s="42">
        <f>ROUND(AQ289*AR$6/12,2)</f>
        <v/>
      </c>
      <c r="AS289" s="42">
        <f>MIN(AS$6,AQ289+AR289)</f>
        <v/>
      </c>
      <c r="AT289" s="42">
        <f>MAX(0,MIN(AQ289+AR289-AS289,AP289))</f>
        <v/>
      </c>
      <c r="AU289" s="42">
        <f>ROUND(AQ289+AR289-AS289-AT289,2)</f>
        <v/>
      </c>
      <c r="AV289">
        <f>AP289-AT289</f>
        <v/>
      </c>
      <c r="AW289" s="42">
        <f>BA288</f>
        <v/>
      </c>
      <c r="AX289" s="42">
        <f>ROUND(AW289*AX$6/12,2)</f>
        <v/>
      </c>
      <c r="AY289" s="42">
        <f>MIN(AY$6,AW289+AX289)</f>
        <v/>
      </c>
      <c r="AZ289" s="42">
        <f>MAX(0,MIN(AW289+AX289-AY289,AV289))</f>
        <v/>
      </c>
      <c r="BA289" s="42">
        <f>ROUND(AW289+AX289-AY289-AZ289,2)</f>
        <v/>
      </c>
      <c r="BB289">
        <f>AV289-AZ289</f>
        <v/>
      </c>
      <c r="BC289" s="42">
        <f>BG288</f>
        <v/>
      </c>
      <c r="BD289" s="42">
        <f>ROUND(BC289*BD$6/12,2)</f>
        <v/>
      </c>
      <c r="BE289" s="42">
        <f>MIN(BE$6,BC289+BD289)</f>
        <v/>
      </c>
      <c r="BF289" s="42">
        <f>MAX(0,MIN(BC289+BD289-BE289,BB289))</f>
        <v/>
      </c>
      <c r="BG289" s="42">
        <f>ROUND(BC289+BD289-BE289-BF289,2)</f>
        <v/>
      </c>
      <c r="BH289">
        <f>BB289-BF289</f>
        <v/>
      </c>
      <c r="BI289" s="42">
        <f>BM288</f>
        <v/>
      </c>
      <c r="BJ289" s="42">
        <f>ROUND(BI289*BJ$6/12,2)</f>
        <v/>
      </c>
      <c r="BK289" s="42">
        <f>MIN(BK$6,BI289+BJ289)</f>
        <v/>
      </c>
      <c r="BL289" s="42">
        <f>MAX(0,MIN(BI289+BJ289-BK289,BH289))</f>
        <v/>
      </c>
      <c r="BM289" s="42">
        <f>ROUND(BI289+BJ289-BK289-BL289,2)</f>
        <v/>
      </c>
      <c r="BN289">
        <f>BH289-BL289</f>
        <v/>
      </c>
    </row>
    <row r="290">
      <c r="A290" s="39" t="n">
        <v>283</v>
      </c>
      <c r="B290" s="40">
        <f>EDATE('My Debts'!$C$6,A290-1)</f>
        <v/>
      </c>
      <c r="C290" s="41">
        <f>K290+Q290+W290+AC290+AI290+AO290+AU290+BA290+BG290+BM290</f>
        <v/>
      </c>
      <c r="D290" s="42">
        <f>I290+O290+U290+AA290+AG290+AM290+AS290+AY290+BE290+BK290+J290+P290+V290+AB290+AH290+AN290+AT290+AZ290+BF290+BL290</f>
        <v/>
      </c>
      <c r="E290" s="42">
        <f>H290+N290+T290+Z290+AF290+AL290+AR290+AX290+BD290+BJ290</f>
        <v/>
      </c>
      <c r="F290" t="n">
        <v>0</v>
      </c>
      <c r="G290" s="42">
        <f>K289</f>
        <v/>
      </c>
      <c r="H290" s="42">
        <f>ROUND(G290*H$6/12,2)</f>
        <v/>
      </c>
      <c r="I290" s="42">
        <f>MIN(I$6,G290+H290)</f>
        <v/>
      </c>
      <c r="J290" s="42">
        <f>MAX(0,MIN(G290+H290-I290,$F290))</f>
        <v/>
      </c>
      <c r="K290" s="42">
        <f>ROUND(G290+H290-I290-J290,2)</f>
        <v/>
      </c>
      <c r="L290">
        <f>$F290-J290</f>
        <v/>
      </c>
      <c r="M290" s="42">
        <f>Q289</f>
        <v/>
      </c>
      <c r="N290" s="42">
        <f>ROUND(M290*N$6/12,2)</f>
        <v/>
      </c>
      <c r="O290" s="42">
        <f>MIN(O$6,M290+N290)</f>
        <v/>
      </c>
      <c r="P290" s="42">
        <f>MAX(0,MIN(M290+N290-O290,L290))</f>
        <v/>
      </c>
      <c r="Q290" s="42">
        <f>ROUND(M290+N290-O290-P290,2)</f>
        <v/>
      </c>
      <c r="R290">
        <f>L290-P290</f>
        <v/>
      </c>
      <c r="S290" s="42">
        <f>W289</f>
        <v/>
      </c>
      <c r="T290" s="42">
        <f>ROUND(S290*T$6/12,2)</f>
        <v/>
      </c>
      <c r="U290" s="42">
        <f>MIN(U$6,S290+T290)</f>
        <v/>
      </c>
      <c r="V290" s="42">
        <f>MAX(0,MIN(S290+T290-U290,R290))</f>
        <v/>
      </c>
      <c r="W290" s="42">
        <f>ROUND(S290+T290-U290-V290,2)</f>
        <v/>
      </c>
      <c r="X290">
        <f>R290-V290</f>
        <v/>
      </c>
      <c r="Y290" s="42">
        <f>AC289</f>
        <v/>
      </c>
      <c r="Z290" s="42">
        <f>ROUND(Y290*Z$6/12,2)</f>
        <v/>
      </c>
      <c r="AA290" s="42">
        <f>MIN(AA$6,Y290+Z290)</f>
        <v/>
      </c>
      <c r="AB290" s="42">
        <f>MAX(0,MIN(Y290+Z290-AA290,X290))</f>
        <v/>
      </c>
      <c r="AC290" s="42">
        <f>ROUND(Y290+Z290-AA290-AB290,2)</f>
        <v/>
      </c>
      <c r="AD290">
        <f>X290-AB290</f>
        <v/>
      </c>
      <c r="AE290" s="42">
        <f>AI289</f>
        <v/>
      </c>
      <c r="AF290" s="42">
        <f>ROUND(AE290*AF$6/12,2)</f>
        <v/>
      </c>
      <c r="AG290" s="42">
        <f>MIN(AG$6,AE290+AF290)</f>
        <v/>
      </c>
      <c r="AH290" s="42">
        <f>MAX(0,MIN(AE290+AF290-AG290,AD290))</f>
        <v/>
      </c>
      <c r="AI290" s="42">
        <f>ROUND(AE290+AF290-AG290-AH290,2)</f>
        <v/>
      </c>
      <c r="AJ290">
        <f>AD290-AH290</f>
        <v/>
      </c>
      <c r="AK290" s="42">
        <f>AO289</f>
        <v/>
      </c>
      <c r="AL290" s="42">
        <f>ROUND(AK290*AL$6/12,2)</f>
        <v/>
      </c>
      <c r="AM290" s="42">
        <f>MIN(AM$6,AK290+AL290)</f>
        <v/>
      </c>
      <c r="AN290" s="42">
        <f>MAX(0,MIN(AK290+AL290-AM290,AJ290))</f>
        <v/>
      </c>
      <c r="AO290" s="42">
        <f>ROUND(AK290+AL290-AM290-AN290,2)</f>
        <v/>
      </c>
      <c r="AP290">
        <f>AJ290-AN290</f>
        <v/>
      </c>
      <c r="AQ290" s="42">
        <f>AU289</f>
        <v/>
      </c>
      <c r="AR290" s="42">
        <f>ROUND(AQ290*AR$6/12,2)</f>
        <v/>
      </c>
      <c r="AS290" s="42">
        <f>MIN(AS$6,AQ290+AR290)</f>
        <v/>
      </c>
      <c r="AT290" s="42">
        <f>MAX(0,MIN(AQ290+AR290-AS290,AP290))</f>
        <v/>
      </c>
      <c r="AU290" s="42">
        <f>ROUND(AQ290+AR290-AS290-AT290,2)</f>
        <v/>
      </c>
      <c r="AV290">
        <f>AP290-AT290</f>
        <v/>
      </c>
      <c r="AW290" s="42">
        <f>BA289</f>
        <v/>
      </c>
      <c r="AX290" s="42">
        <f>ROUND(AW290*AX$6/12,2)</f>
        <v/>
      </c>
      <c r="AY290" s="42">
        <f>MIN(AY$6,AW290+AX290)</f>
        <v/>
      </c>
      <c r="AZ290" s="42">
        <f>MAX(0,MIN(AW290+AX290-AY290,AV290))</f>
        <v/>
      </c>
      <c r="BA290" s="42">
        <f>ROUND(AW290+AX290-AY290-AZ290,2)</f>
        <v/>
      </c>
      <c r="BB290">
        <f>AV290-AZ290</f>
        <v/>
      </c>
      <c r="BC290" s="42">
        <f>BG289</f>
        <v/>
      </c>
      <c r="BD290" s="42">
        <f>ROUND(BC290*BD$6/12,2)</f>
        <v/>
      </c>
      <c r="BE290" s="42">
        <f>MIN(BE$6,BC290+BD290)</f>
        <v/>
      </c>
      <c r="BF290" s="42">
        <f>MAX(0,MIN(BC290+BD290-BE290,BB290))</f>
        <v/>
      </c>
      <c r="BG290" s="42">
        <f>ROUND(BC290+BD290-BE290-BF290,2)</f>
        <v/>
      </c>
      <c r="BH290">
        <f>BB290-BF290</f>
        <v/>
      </c>
      <c r="BI290" s="42">
        <f>BM289</f>
        <v/>
      </c>
      <c r="BJ290" s="42">
        <f>ROUND(BI290*BJ$6/12,2)</f>
        <v/>
      </c>
      <c r="BK290" s="42">
        <f>MIN(BK$6,BI290+BJ290)</f>
        <v/>
      </c>
      <c r="BL290" s="42">
        <f>MAX(0,MIN(BI290+BJ290-BK290,BH290))</f>
        <v/>
      </c>
      <c r="BM290" s="42">
        <f>ROUND(BI290+BJ290-BK290-BL290,2)</f>
        <v/>
      </c>
      <c r="BN290">
        <f>BH290-BL290</f>
        <v/>
      </c>
    </row>
    <row r="291">
      <c r="A291" s="43" t="n">
        <v>284</v>
      </c>
      <c r="B291" s="44">
        <f>EDATE('My Debts'!$C$6,A291-1)</f>
        <v/>
      </c>
      <c r="C291" s="45">
        <f>K291+Q291+W291+AC291+AI291+AO291+AU291+BA291+BG291+BM291</f>
        <v/>
      </c>
      <c r="D291" s="46">
        <f>I291+O291+U291+AA291+AG291+AM291+AS291+AY291+BE291+BK291+J291+P291+V291+AB291+AH291+AN291+AT291+AZ291+BF291+BL291</f>
        <v/>
      </c>
      <c r="E291" s="46">
        <f>H291+N291+T291+Z291+AF291+AL291+AR291+AX291+BD291+BJ291</f>
        <v/>
      </c>
      <c r="F291" t="n">
        <v>0</v>
      </c>
      <c r="G291" s="42">
        <f>K290</f>
        <v/>
      </c>
      <c r="H291" s="42">
        <f>ROUND(G291*H$6/12,2)</f>
        <v/>
      </c>
      <c r="I291" s="42">
        <f>MIN(I$6,G291+H291)</f>
        <v/>
      </c>
      <c r="J291" s="42">
        <f>MAX(0,MIN(G291+H291-I291,$F291))</f>
        <v/>
      </c>
      <c r="K291" s="42">
        <f>ROUND(G291+H291-I291-J291,2)</f>
        <v/>
      </c>
      <c r="L291">
        <f>$F291-J291</f>
        <v/>
      </c>
      <c r="M291" s="42">
        <f>Q290</f>
        <v/>
      </c>
      <c r="N291" s="42">
        <f>ROUND(M291*N$6/12,2)</f>
        <v/>
      </c>
      <c r="O291" s="42">
        <f>MIN(O$6,M291+N291)</f>
        <v/>
      </c>
      <c r="P291" s="42">
        <f>MAX(0,MIN(M291+N291-O291,L291))</f>
        <v/>
      </c>
      <c r="Q291" s="42">
        <f>ROUND(M291+N291-O291-P291,2)</f>
        <v/>
      </c>
      <c r="R291">
        <f>L291-P291</f>
        <v/>
      </c>
      <c r="S291" s="42">
        <f>W290</f>
        <v/>
      </c>
      <c r="T291" s="42">
        <f>ROUND(S291*T$6/12,2)</f>
        <v/>
      </c>
      <c r="U291" s="42">
        <f>MIN(U$6,S291+T291)</f>
        <v/>
      </c>
      <c r="V291" s="42">
        <f>MAX(0,MIN(S291+T291-U291,R291))</f>
        <v/>
      </c>
      <c r="W291" s="42">
        <f>ROUND(S291+T291-U291-V291,2)</f>
        <v/>
      </c>
      <c r="X291">
        <f>R291-V291</f>
        <v/>
      </c>
      <c r="Y291" s="42">
        <f>AC290</f>
        <v/>
      </c>
      <c r="Z291" s="42">
        <f>ROUND(Y291*Z$6/12,2)</f>
        <v/>
      </c>
      <c r="AA291" s="42">
        <f>MIN(AA$6,Y291+Z291)</f>
        <v/>
      </c>
      <c r="AB291" s="42">
        <f>MAX(0,MIN(Y291+Z291-AA291,X291))</f>
        <v/>
      </c>
      <c r="AC291" s="42">
        <f>ROUND(Y291+Z291-AA291-AB291,2)</f>
        <v/>
      </c>
      <c r="AD291">
        <f>X291-AB291</f>
        <v/>
      </c>
      <c r="AE291" s="42">
        <f>AI290</f>
        <v/>
      </c>
      <c r="AF291" s="42">
        <f>ROUND(AE291*AF$6/12,2)</f>
        <v/>
      </c>
      <c r="AG291" s="42">
        <f>MIN(AG$6,AE291+AF291)</f>
        <v/>
      </c>
      <c r="AH291" s="42">
        <f>MAX(0,MIN(AE291+AF291-AG291,AD291))</f>
        <v/>
      </c>
      <c r="AI291" s="42">
        <f>ROUND(AE291+AF291-AG291-AH291,2)</f>
        <v/>
      </c>
      <c r="AJ291">
        <f>AD291-AH291</f>
        <v/>
      </c>
      <c r="AK291" s="42">
        <f>AO290</f>
        <v/>
      </c>
      <c r="AL291" s="42">
        <f>ROUND(AK291*AL$6/12,2)</f>
        <v/>
      </c>
      <c r="AM291" s="42">
        <f>MIN(AM$6,AK291+AL291)</f>
        <v/>
      </c>
      <c r="AN291" s="42">
        <f>MAX(0,MIN(AK291+AL291-AM291,AJ291))</f>
        <v/>
      </c>
      <c r="AO291" s="42">
        <f>ROUND(AK291+AL291-AM291-AN291,2)</f>
        <v/>
      </c>
      <c r="AP291">
        <f>AJ291-AN291</f>
        <v/>
      </c>
      <c r="AQ291" s="42">
        <f>AU290</f>
        <v/>
      </c>
      <c r="AR291" s="42">
        <f>ROUND(AQ291*AR$6/12,2)</f>
        <v/>
      </c>
      <c r="AS291" s="42">
        <f>MIN(AS$6,AQ291+AR291)</f>
        <v/>
      </c>
      <c r="AT291" s="42">
        <f>MAX(0,MIN(AQ291+AR291-AS291,AP291))</f>
        <v/>
      </c>
      <c r="AU291" s="42">
        <f>ROUND(AQ291+AR291-AS291-AT291,2)</f>
        <v/>
      </c>
      <c r="AV291">
        <f>AP291-AT291</f>
        <v/>
      </c>
      <c r="AW291" s="42">
        <f>BA290</f>
        <v/>
      </c>
      <c r="AX291" s="42">
        <f>ROUND(AW291*AX$6/12,2)</f>
        <v/>
      </c>
      <c r="AY291" s="42">
        <f>MIN(AY$6,AW291+AX291)</f>
        <v/>
      </c>
      <c r="AZ291" s="42">
        <f>MAX(0,MIN(AW291+AX291-AY291,AV291))</f>
        <v/>
      </c>
      <c r="BA291" s="42">
        <f>ROUND(AW291+AX291-AY291-AZ291,2)</f>
        <v/>
      </c>
      <c r="BB291">
        <f>AV291-AZ291</f>
        <v/>
      </c>
      <c r="BC291" s="42">
        <f>BG290</f>
        <v/>
      </c>
      <c r="BD291" s="42">
        <f>ROUND(BC291*BD$6/12,2)</f>
        <v/>
      </c>
      <c r="BE291" s="42">
        <f>MIN(BE$6,BC291+BD291)</f>
        <v/>
      </c>
      <c r="BF291" s="42">
        <f>MAX(0,MIN(BC291+BD291-BE291,BB291))</f>
        <v/>
      </c>
      <c r="BG291" s="42">
        <f>ROUND(BC291+BD291-BE291-BF291,2)</f>
        <v/>
      </c>
      <c r="BH291">
        <f>BB291-BF291</f>
        <v/>
      </c>
      <c r="BI291" s="42">
        <f>BM290</f>
        <v/>
      </c>
      <c r="BJ291" s="42">
        <f>ROUND(BI291*BJ$6/12,2)</f>
        <v/>
      </c>
      <c r="BK291" s="42">
        <f>MIN(BK$6,BI291+BJ291)</f>
        <v/>
      </c>
      <c r="BL291" s="42">
        <f>MAX(0,MIN(BI291+BJ291-BK291,BH291))</f>
        <v/>
      </c>
      <c r="BM291" s="42">
        <f>ROUND(BI291+BJ291-BK291-BL291,2)</f>
        <v/>
      </c>
      <c r="BN291">
        <f>BH291-BL291</f>
        <v/>
      </c>
    </row>
    <row r="292">
      <c r="A292" s="39" t="n">
        <v>285</v>
      </c>
      <c r="B292" s="40">
        <f>EDATE('My Debts'!$C$6,A292-1)</f>
        <v/>
      </c>
      <c r="C292" s="41">
        <f>K292+Q292+W292+AC292+AI292+AO292+AU292+BA292+BG292+BM292</f>
        <v/>
      </c>
      <c r="D292" s="42">
        <f>I292+O292+U292+AA292+AG292+AM292+AS292+AY292+BE292+BK292+J292+P292+V292+AB292+AH292+AN292+AT292+AZ292+BF292+BL292</f>
        <v/>
      </c>
      <c r="E292" s="42">
        <f>H292+N292+T292+Z292+AF292+AL292+AR292+AX292+BD292+BJ292</f>
        <v/>
      </c>
      <c r="F292" t="n">
        <v>0</v>
      </c>
      <c r="G292" s="42">
        <f>K291</f>
        <v/>
      </c>
      <c r="H292" s="42">
        <f>ROUND(G292*H$6/12,2)</f>
        <v/>
      </c>
      <c r="I292" s="42">
        <f>MIN(I$6,G292+H292)</f>
        <v/>
      </c>
      <c r="J292" s="42">
        <f>MAX(0,MIN(G292+H292-I292,$F292))</f>
        <v/>
      </c>
      <c r="K292" s="42">
        <f>ROUND(G292+H292-I292-J292,2)</f>
        <v/>
      </c>
      <c r="L292">
        <f>$F292-J292</f>
        <v/>
      </c>
      <c r="M292" s="42">
        <f>Q291</f>
        <v/>
      </c>
      <c r="N292" s="42">
        <f>ROUND(M292*N$6/12,2)</f>
        <v/>
      </c>
      <c r="O292" s="42">
        <f>MIN(O$6,M292+N292)</f>
        <v/>
      </c>
      <c r="P292" s="42">
        <f>MAX(0,MIN(M292+N292-O292,L292))</f>
        <v/>
      </c>
      <c r="Q292" s="42">
        <f>ROUND(M292+N292-O292-P292,2)</f>
        <v/>
      </c>
      <c r="R292">
        <f>L292-P292</f>
        <v/>
      </c>
      <c r="S292" s="42">
        <f>W291</f>
        <v/>
      </c>
      <c r="T292" s="42">
        <f>ROUND(S292*T$6/12,2)</f>
        <v/>
      </c>
      <c r="U292" s="42">
        <f>MIN(U$6,S292+T292)</f>
        <v/>
      </c>
      <c r="V292" s="42">
        <f>MAX(0,MIN(S292+T292-U292,R292))</f>
        <v/>
      </c>
      <c r="W292" s="42">
        <f>ROUND(S292+T292-U292-V292,2)</f>
        <v/>
      </c>
      <c r="X292">
        <f>R292-V292</f>
        <v/>
      </c>
      <c r="Y292" s="42">
        <f>AC291</f>
        <v/>
      </c>
      <c r="Z292" s="42">
        <f>ROUND(Y292*Z$6/12,2)</f>
        <v/>
      </c>
      <c r="AA292" s="42">
        <f>MIN(AA$6,Y292+Z292)</f>
        <v/>
      </c>
      <c r="AB292" s="42">
        <f>MAX(0,MIN(Y292+Z292-AA292,X292))</f>
        <v/>
      </c>
      <c r="AC292" s="42">
        <f>ROUND(Y292+Z292-AA292-AB292,2)</f>
        <v/>
      </c>
      <c r="AD292">
        <f>X292-AB292</f>
        <v/>
      </c>
      <c r="AE292" s="42">
        <f>AI291</f>
        <v/>
      </c>
      <c r="AF292" s="42">
        <f>ROUND(AE292*AF$6/12,2)</f>
        <v/>
      </c>
      <c r="AG292" s="42">
        <f>MIN(AG$6,AE292+AF292)</f>
        <v/>
      </c>
      <c r="AH292" s="42">
        <f>MAX(0,MIN(AE292+AF292-AG292,AD292))</f>
        <v/>
      </c>
      <c r="AI292" s="42">
        <f>ROUND(AE292+AF292-AG292-AH292,2)</f>
        <v/>
      </c>
      <c r="AJ292">
        <f>AD292-AH292</f>
        <v/>
      </c>
      <c r="AK292" s="42">
        <f>AO291</f>
        <v/>
      </c>
      <c r="AL292" s="42">
        <f>ROUND(AK292*AL$6/12,2)</f>
        <v/>
      </c>
      <c r="AM292" s="42">
        <f>MIN(AM$6,AK292+AL292)</f>
        <v/>
      </c>
      <c r="AN292" s="42">
        <f>MAX(0,MIN(AK292+AL292-AM292,AJ292))</f>
        <v/>
      </c>
      <c r="AO292" s="42">
        <f>ROUND(AK292+AL292-AM292-AN292,2)</f>
        <v/>
      </c>
      <c r="AP292">
        <f>AJ292-AN292</f>
        <v/>
      </c>
      <c r="AQ292" s="42">
        <f>AU291</f>
        <v/>
      </c>
      <c r="AR292" s="42">
        <f>ROUND(AQ292*AR$6/12,2)</f>
        <v/>
      </c>
      <c r="AS292" s="42">
        <f>MIN(AS$6,AQ292+AR292)</f>
        <v/>
      </c>
      <c r="AT292" s="42">
        <f>MAX(0,MIN(AQ292+AR292-AS292,AP292))</f>
        <v/>
      </c>
      <c r="AU292" s="42">
        <f>ROUND(AQ292+AR292-AS292-AT292,2)</f>
        <v/>
      </c>
      <c r="AV292">
        <f>AP292-AT292</f>
        <v/>
      </c>
      <c r="AW292" s="42">
        <f>BA291</f>
        <v/>
      </c>
      <c r="AX292" s="42">
        <f>ROUND(AW292*AX$6/12,2)</f>
        <v/>
      </c>
      <c r="AY292" s="42">
        <f>MIN(AY$6,AW292+AX292)</f>
        <v/>
      </c>
      <c r="AZ292" s="42">
        <f>MAX(0,MIN(AW292+AX292-AY292,AV292))</f>
        <v/>
      </c>
      <c r="BA292" s="42">
        <f>ROUND(AW292+AX292-AY292-AZ292,2)</f>
        <v/>
      </c>
      <c r="BB292">
        <f>AV292-AZ292</f>
        <v/>
      </c>
      <c r="BC292" s="42">
        <f>BG291</f>
        <v/>
      </c>
      <c r="BD292" s="42">
        <f>ROUND(BC292*BD$6/12,2)</f>
        <v/>
      </c>
      <c r="BE292" s="42">
        <f>MIN(BE$6,BC292+BD292)</f>
        <v/>
      </c>
      <c r="BF292" s="42">
        <f>MAX(0,MIN(BC292+BD292-BE292,BB292))</f>
        <v/>
      </c>
      <c r="BG292" s="42">
        <f>ROUND(BC292+BD292-BE292-BF292,2)</f>
        <v/>
      </c>
      <c r="BH292">
        <f>BB292-BF292</f>
        <v/>
      </c>
      <c r="BI292" s="42">
        <f>BM291</f>
        <v/>
      </c>
      <c r="BJ292" s="42">
        <f>ROUND(BI292*BJ$6/12,2)</f>
        <v/>
      </c>
      <c r="BK292" s="42">
        <f>MIN(BK$6,BI292+BJ292)</f>
        <v/>
      </c>
      <c r="BL292" s="42">
        <f>MAX(0,MIN(BI292+BJ292-BK292,BH292))</f>
        <v/>
      </c>
      <c r="BM292" s="42">
        <f>ROUND(BI292+BJ292-BK292-BL292,2)</f>
        <v/>
      </c>
      <c r="BN292">
        <f>BH292-BL292</f>
        <v/>
      </c>
    </row>
    <row r="293">
      <c r="A293" s="43" t="n">
        <v>286</v>
      </c>
      <c r="B293" s="44">
        <f>EDATE('My Debts'!$C$6,A293-1)</f>
        <v/>
      </c>
      <c r="C293" s="45">
        <f>K293+Q293+W293+AC293+AI293+AO293+AU293+BA293+BG293+BM293</f>
        <v/>
      </c>
      <c r="D293" s="46">
        <f>I293+O293+U293+AA293+AG293+AM293+AS293+AY293+BE293+BK293+J293+P293+V293+AB293+AH293+AN293+AT293+AZ293+BF293+BL293</f>
        <v/>
      </c>
      <c r="E293" s="46">
        <f>H293+N293+T293+Z293+AF293+AL293+AR293+AX293+BD293+BJ293</f>
        <v/>
      </c>
      <c r="F293" t="n">
        <v>0</v>
      </c>
      <c r="G293" s="42">
        <f>K292</f>
        <v/>
      </c>
      <c r="H293" s="42">
        <f>ROUND(G293*H$6/12,2)</f>
        <v/>
      </c>
      <c r="I293" s="42">
        <f>MIN(I$6,G293+H293)</f>
        <v/>
      </c>
      <c r="J293" s="42">
        <f>MAX(0,MIN(G293+H293-I293,$F293))</f>
        <v/>
      </c>
      <c r="K293" s="42">
        <f>ROUND(G293+H293-I293-J293,2)</f>
        <v/>
      </c>
      <c r="L293">
        <f>$F293-J293</f>
        <v/>
      </c>
      <c r="M293" s="42">
        <f>Q292</f>
        <v/>
      </c>
      <c r="N293" s="42">
        <f>ROUND(M293*N$6/12,2)</f>
        <v/>
      </c>
      <c r="O293" s="42">
        <f>MIN(O$6,M293+N293)</f>
        <v/>
      </c>
      <c r="P293" s="42">
        <f>MAX(0,MIN(M293+N293-O293,L293))</f>
        <v/>
      </c>
      <c r="Q293" s="42">
        <f>ROUND(M293+N293-O293-P293,2)</f>
        <v/>
      </c>
      <c r="R293">
        <f>L293-P293</f>
        <v/>
      </c>
      <c r="S293" s="42">
        <f>W292</f>
        <v/>
      </c>
      <c r="T293" s="42">
        <f>ROUND(S293*T$6/12,2)</f>
        <v/>
      </c>
      <c r="U293" s="42">
        <f>MIN(U$6,S293+T293)</f>
        <v/>
      </c>
      <c r="V293" s="42">
        <f>MAX(0,MIN(S293+T293-U293,R293))</f>
        <v/>
      </c>
      <c r="W293" s="42">
        <f>ROUND(S293+T293-U293-V293,2)</f>
        <v/>
      </c>
      <c r="X293">
        <f>R293-V293</f>
        <v/>
      </c>
      <c r="Y293" s="42">
        <f>AC292</f>
        <v/>
      </c>
      <c r="Z293" s="42">
        <f>ROUND(Y293*Z$6/12,2)</f>
        <v/>
      </c>
      <c r="AA293" s="42">
        <f>MIN(AA$6,Y293+Z293)</f>
        <v/>
      </c>
      <c r="AB293" s="42">
        <f>MAX(0,MIN(Y293+Z293-AA293,X293))</f>
        <v/>
      </c>
      <c r="AC293" s="42">
        <f>ROUND(Y293+Z293-AA293-AB293,2)</f>
        <v/>
      </c>
      <c r="AD293">
        <f>X293-AB293</f>
        <v/>
      </c>
      <c r="AE293" s="42">
        <f>AI292</f>
        <v/>
      </c>
      <c r="AF293" s="42">
        <f>ROUND(AE293*AF$6/12,2)</f>
        <v/>
      </c>
      <c r="AG293" s="42">
        <f>MIN(AG$6,AE293+AF293)</f>
        <v/>
      </c>
      <c r="AH293" s="42">
        <f>MAX(0,MIN(AE293+AF293-AG293,AD293))</f>
        <v/>
      </c>
      <c r="AI293" s="42">
        <f>ROUND(AE293+AF293-AG293-AH293,2)</f>
        <v/>
      </c>
      <c r="AJ293">
        <f>AD293-AH293</f>
        <v/>
      </c>
      <c r="AK293" s="42">
        <f>AO292</f>
        <v/>
      </c>
      <c r="AL293" s="42">
        <f>ROUND(AK293*AL$6/12,2)</f>
        <v/>
      </c>
      <c r="AM293" s="42">
        <f>MIN(AM$6,AK293+AL293)</f>
        <v/>
      </c>
      <c r="AN293" s="42">
        <f>MAX(0,MIN(AK293+AL293-AM293,AJ293))</f>
        <v/>
      </c>
      <c r="AO293" s="42">
        <f>ROUND(AK293+AL293-AM293-AN293,2)</f>
        <v/>
      </c>
      <c r="AP293">
        <f>AJ293-AN293</f>
        <v/>
      </c>
      <c r="AQ293" s="42">
        <f>AU292</f>
        <v/>
      </c>
      <c r="AR293" s="42">
        <f>ROUND(AQ293*AR$6/12,2)</f>
        <v/>
      </c>
      <c r="AS293" s="42">
        <f>MIN(AS$6,AQ293+AR293)</f>
        <v/>
      </c>
      <c r="AT293" s="42">
        <f>MAX(0,MIN(AQ293+AR293-AS293,AP293))</f>
        <v/>
      </c>
      <c r="AU293" s="42">
        <f>ROUND(AQ293+AR293-AS293-AT293,2)</f>
        <v/>
      </c>
      <c r="AV293">
        <f>AP293-AT293</f>
        <v/>
      </c>
      <c r="AW293" s="42">
        <f>BA292</f>
        <v/>
      </c>
      <c r="AX293" s="42">
        <f>ROUND(AW293*AX$6/12,2)</f>
        <v/>
      </c>
      <c r="AY293" s="42">
        <f>MIN(AY$6,AW293+AX293)</f>
        <v/>
      </c>
      <c r="AZ293" s="42">
        <f>MAX(0,MIN(AW293+AX293-AY293,AV293))</f>
        <v/>
      </c>
      <c r="BA293" s="42">
        <f>ROUND(AW293+AX293-AY293-AZ293,2)</f>
        <v/>
      </c>
      <c r="BB293">
        <f>AV293-AZ293</f>
        <v/>
      </c>
      <c r="BC293" s="42">
        <f>BG292</f>
        <v/>
      </c>
      <c r="BD293" s="42">
        <f>ROUND(BC293*BD$6/12,2)</f>
        <v/>
      </c>
      <c r="BE293" s="42">
        <f>MIN(BE$6,BC293+BD293)</f>
        <v/>
      </c>
      <c r="BF293" s="42">
        <f>MAX(0,MIN(BC293+BD293-BE293,BB293))</f>
        <v/>
      </c>
      <c r="BG293" s="42">
        <f>ROUND(BC293+BD293-BE293-BF293,2)</f>
        <v/>
      </c>
      <c r="BH293">
        <f>BB293-BF293</f>
        <v/>
      </c>
      <c r="BI293" s="42">
        <f>BM292</f>
        <v/>
      </c>
      <c r="BJ293" s="42">
        <f>ROUND(BI293*BJ$6/12,2)</f>
        <v/>
      </c>
      <c r="BK293" s="42">
        <f>MIN(BK$6,BI293+BJ293)</f>
        <v/>
      </c>
      <c r="BL293" s="42">
        <f>MAX(0,MIN(BI293+BJ293-BK293,BH293))</f>
        <v/>
      </c>
      <c r="BM293" s="42">
        <f>ROUND(BI293+BJ293-BK293-BL293,2)</f>
        <v/>
      </c>
      <c r="BN293">
        <f>BH293-BL293</f>
        <v/>
      </c>
    </row>
    <row r="294">
      <c r="A294" s="39" t="n">
        <v>287</v>
      </c>
      <c r="B294" s="40">
        <f>EDATE('My Debts'!$C$6,A294-1)</f>
        <v/>
      </c>
      <c r="C294" s="41">
        <f>K294+Q294+W294+AC294+AI294+AO294+AU294+BA294+BG294+BM294</f>
        <v/>
      </c>
      <c r="D294" s="42">
        <f>I294+O294+U294+AA294+AG294+AM294+AS294+AY294+BE294+BK294+J294+P294+V294+AB294+AH294+AN294+AT294+AZ294+BF294+BL294</f>
        <v/>
      </c>
      <c r="E294" s="42">
        <f>H294+N294+T294+Z294+AF294+AL294+AR294+AX294+BD294+BJ294</f>
        <v/>
      </c>
      <c r="F294" t="n">
        <v>0</v>
      </c>
      <c r="G294" s="42">
        <f>K293</f>
        <v/>
      </c>
      <c r="H294" s="42">
        <f>ROUND(G294*H$6/12,2)</f>
        <v/>
      </c>
      <c r="I294" s="42">
        <f>MIN(I$6,G294+H294)</f>
        <v/>
      </c>
      <c r="J294" s="42">
        <f>MAX(0,MIN(G294+H294-I294,$F294))</f>
        <v/>
      </c>
      <c r="K294" s="42">
        <f>ROUND(G294+H294-I294-J294,2)</f>
        <v/>
      </c>
      <c r="L294">
        <f>$F294-J294</f>
        <v/>
      </c>
      <c r="M294" s="42">
        <f>Q293</f>
        <v/>
      </c>
      <c r="N294" s="42">
        <f>ROUND(M294*N$6/12,2)</f>
        <v/>
      </c>
      <c r="O294" s="42">
        <f>MIN(O$6,M294+N294)</f>
        <v/>
      </c>
      <c r="P294" s="42">
        <f>MAX(0,MIN(M294+N294-O294,L294))</f>
        <v/>
      </c>
      <c r="Q294" s="42">
        <f>ROUND(M294+N294-O294-P294,2)</f>
        <v/>
      </c>
      <c r="R294">
        <f>L294-P294</f>
        <v/>
      </c>
      <c r="S294" s="42">
        <f>W293</f>
        <v/>
      </c>
      <c r="T294" s="42">
        <f>ROUND(S294*T$6/12,2)</f>
        <v/>
      </c>
      <c r="U294" s="42">
        <f>MIN(U$6,S294+T294)</f>
        <v/>
      </c>
      <c r="V294" s="42">
        <f>MAX(0,MIN(S294+T294-U294,R294))</f>
        <v/>
      </c>
      <c r="W294" s="42">
        <f>ROUND(S294+T294-U294-V294,2)</f>
        <v/>
      </c>
      <c r="X294">
        <f>R294-V294</f>
        <v/>
      </c>
      <c r="Y294" s="42">
        <f>AC293</f>
        <v/>
      </c>
      <c r="Z294" s="42">
        <f>ROUND(Y294*Z$6/12,2)</f>
        <v/>
      </c>
      <c r="AA294" s="42">
        <f>MIN(AA$6,Y294+Z294)</f>
        <v/>
      </c>
      <c r="AB294" s="42">
        <f>MAX(0,MIN(Y294+Z294-AA294,X294))</f>
        <v/>
      </c>
      <c r="AC294" s="42">
        <f>ROUND(Y294+Z294-AA294-AB294,2)</f>
        <v/>
      </c>
      <c r="AD294">
        <f>X294-AB294</f>
        <v/>
      </c>
      <c r="AE294" s="42">
        <f>AI293</f>
        <v/>
      </c>
      <c r="AF294" s="42">
        <f>ROUND(AE294*AF$6/12,2)</f>
        <v/>
      </c>
      <c r="AG294" s="42">
        <f>MIN(AG$6,AE294+AF294)</f>
        <v/>
      </c>
      <c r="AH294" s="42">
        <f>MAX(0,MIN(AE294+AF294-AG294,AD294))</f>
        <v/>
      </c>
      <c r="AI294" s="42">
        <f>ROUND(AE294+AF294-AG294-AH294,2)</f>
        <v/>
      </c>
      <c r="AJ294">
        <f>AD294-AH294</f>
        <v/>
      </c>
      <c r="AK294" s="42">
        <f>AO293</f>
        <v/>
      </c>
      <c r="AL294" s="42">
        <f>ROUND(AK294*AL$6/12,2)</f>
        <v/>
      </c>
      <c r="AM294" s="42">
        <f>MIN(AM$6,AK294+AL294)</f>
        <v/>
      </c>
      <c r="AN294" s="42">
        <f>MAX(0,MIN(AK294+AL294-AM294,AJ294))</f>
        <v/>
      </c>
      <c r="AO294" s="42">
        <f>ROUND(AK294+AL294-AM294-AN294,2)</f>
        <v/>
      </c>
      <c r="AP294">
        <f>AJ294-AN294</f>
        <v/>
      </c>
      <c r="AQ294" s="42">
        <f>AU293</f>
        <v/>
      </c>
      <c r="AR294" s="42">
        <f>ROUND(AQ294*AR$6/12,2)</f>
        <v/>
      </c>
      <c r="AS294" s="42">
        <f>MIN(AS$6,AQ294+AR294)</f>
        <v/>
      </c>
      <c r="AT294" s="42">
        <f>MAX(0,MIN(AQ294+AR294-AS294,AP294))</f>
        <v/>
      </c>
      <c r="AU294" s="42">
        <f>ROUND(AQ294+AR294-AS294-AT294,2)</f>
        <v/>
      </c>
      <c r="AV294">
        <f>AP294-AT294</f>
        <v/>
      </c>
      <c r="AW294" s="42">
        <f>BA293</f>
        <v/>
      </c>
      <c r="AX294" s="42">
        <f>ROUND(AW294*AX$6/12,2)</f>
        <v/>
      </c>
      <c r="AY294" s="42">
        <f>MIN(AY$6,AW294+AX294)</f>
        <v/>
      </c>
      <c r="AZ294" s="42">
        <f>MAX(0,MIN(AW294+AX294-AY294,AV294))</f>
        <v/>
      </c>
      <c r="BA294" s="42">
        <f>ROUND(AW294+AX294-AY294-AZ294,2)</f>
        <v/>
      </c>
      <c r="BB294">
        <f>AV294-AZ294</f>
        <v/>
      </c>
      <c r="BC294" s="42">
        <f>BG293</f>
        <v/>
      </c>
      <c r="BD294" s="42">
        <f>ROUND(BC294*BD$6/12,2)</f>
        <v/>
      </c>
      <c r="BE294" s="42">
        <f>MIN(BE$6,BC294+BD294)</f>
        <v/>
      </c>
      <c r="BF294" s="42">
        <f>MAX(0,MIN(BC294+BD294-BE294,BB294))</f>
        <v/>
      </c>
      <c r="BG294" s="42">
        <f>ROUND(BC294+BD294-BE294-BF294,2)</f>
        <v/>
      </c>
      <c r="BH294">
        <f>BB294-BF294</f>
        <v/>
      </c>
      <c r="BI294" s="42">
        <f>BM293</f>
        <v/>
      </c>
      <c r="BJ294" s="42">
        <f>ROUND(BI294*BJ$6/12,2)</f>
        <v/>
      </c>
      <c r="BK294" s="42">
        <f>MIN(BK$6,BI294+BJ294)</f>
        <v/>
      </c>
      <c r="BL294" s="42">
        <f>MAX(0,MIN(BI294+BJ294-BK294,BH294))</f>
        <v/>
      </c>
      <c r="BM294" s="42">
        <f>ROUND(BI294+BJ294-BK294-BL294,2)</f>
        <v/>
      </c>
      <c r="BN294">
        <f>BH294-BL294</f>
        <v/>
      </c>
    </row>
    <row r="295">
      <c r="A295" s="43" t="n">
        <v>288</v>
      </c>
      <c r="B295" s="44">
        <f>EDATE('My Debts'!$C$6,A295-1)</f>
        <v/>
      </c>
      <c r="C295" s="45">
        <f>K295+Q295+W295+AC295+AI295+AO295+AU295+BA295+BG295+BM295</f>
        <v/>
      </c>
      <c r="D295" s="46">
        <f>I295+O295+U295+AA295+AG295+AM295+AS295+AY295+BE295+BK295+J295+P295+V295+AB295+AH295+AN295+AT295+AZ295+BF295+BL295</f>
        <v/>
      </c>
      <c r="E295" s="46">
        <f>H295+N295+T295+Z295+AF295+AL295+AR295+AX295+BD295+BJ295</f>
        <v/>
      </c>
      <c r="F295" t="n">
        <v>0</v>
      </c>
      <c r="G295" s="42">
        <f>K294</f>
        <v/>
      </c>
      <c r="H295" s="42">
        <f>ROUND(G295*H$6/12,2)</f>
        <v/>
      </c>
      <c r="I295" s="42">
        <f>MIN(I$6,G295+H295)</f>
        <v/>
      </c>
      <c r="J295" s="42">
        <f>MAX(0,MIN(G295+H295-I295,$F295))</f>
        <v/>
      </c>
      <c r="K295" s="42">
        <f>ROUND(G295+H295-I295-J295,2)</f>
        <v/>
      </c>
      <c r="L295">
        <f>$F295-J295</f>
        <v/>
      </c>
      <c r="M295" s="42">
        <f>Q294</f>
        <v/>
      </c>
      <c r="N295" s="42">
        <f>ROUND(M295*N$6/12,2)</f>
        <v/>
      </c>
      <c r="O295" s="42">
        <f>MIN(O$6,M295+N295)</f>
        <v/>
      </c>
      <c r="P295" s="42">
        <f>MAX(0,MIN(M295+N295-O295,L295))</f>
        <v/>
      </c>
      <c r="Q295" s="42">
        <f>ROUND(M295+N295-O295-P295,2)</f>
        <v/>
      </c>
      <c r="R295">
        <f>L295-P295</f>
        <v/>
      </c>
      <c r="S295" s="42">
        <f>W294</f>
        <v/>
      </c>
      <c r="T295" s="42">
        <f>ROUND(S295*T$6/12,2)</f>
        <v/>
      </c>
      <c r="U295" s="42">
        <f>MIN(U$6,S295+T295)</f>
        <v/>
      </c>
      <c r="V295" s="42">
        <f>MAX(0,MIN(S295+T295-U295,R295))</f>
        <v/>
      </c>
      <c r="W295" s="42">
        <f>ROUND(S295+T295-U295-V295,2)</f>
        <v/>
      </c>
      <c r="X295">
        <f>R295-V295</f>
        <v/>
      </c>
      <c r="Y295" s="42">
        <f>AC294</f>
        <v/>
      </c>
      <c r="Z295" s="42">
        <f>ROUND(Y295*Z$6/12,2)</f>
        <v/>
      </c>
      <c r="AA295" s="42">
        <f>MIN(AA$6,Y295+Z295)</f>
        <v/>
      </c>
      <c r="AB295" s="42">
        <f>MAX(0,MIN(Y295+Z295-AA295,X295))</f>
        <v/>
      </c>
      <c r="AC295" s="42">
        <f>ROUND(Y295+Z295-AA295-AB295,2)</f>
        <v/>
      </c>
      <c r="AD295">
        <f>X295-AB295</f>
        <v/>
      </c>
      <c r="AE295" s="42">
        <f>AI294</f>
        <v/>
      </c>
      <c r="AF295" s="42">
        <f>ROUND(AE295*AF$6/12,2)</f>
        <v/>
      </c>
      <c r="AG295" s="42">
        <f>MIN(AG$6,AE295+AF295)</f>
        <v/>
      </c>
      <c r="AH295" s="42">
        <f>MAX(0,MIN(AE295+AF295-AG295,AD295))</f>
        <v/>
      </c>
      <c r="AI295" s="42">
        <f>ROUND(AE295+AF295-AG295-AH295,2)</f>
        <v/>
      </c>
      <c r="AJ295">
        <f>AD295-AH295</f>
        <v/>
      </c>
      <c r="AK295" s="42">
        <f>AO294</f>
        <v/>
      </c>
      <c r="AL295" s="42">
        <f>ROUND(AK295*AL$6/12,2)</f>
        <v/>
      </c>
      <c r="AM295" s="42">
        <f>MIN(AM$6,AK295+AL295)</f>
        <v/>
      </c>
      <c r="AN295" s="42">
        <f>MAX(0,MIN(AK295+AL295-AM295,AJ295))</f>
        <v/>
      </c>
      <c r="AO295" s="42">
        <f>ROUND(AK295+AL295-AM295-AN295,2)</f>
        <v/>
      </c>
      <c r="AP295">
        <f>AJ295-AN295</f>
        <v/>
      </c>
      <c r="AQ295" s="42">
        <f>AU294</f>
        <v/>
      </c>
      <c r="AR295" s="42">
        <f>ROUND(AQ295*AR$6/12,2)</f>
        <v/>
      </c>
      <c r="AS295" s="42">
        <f>MIN(AS$6,AQ295+AR295)</f>
        <v/>
      </c>
      <c r="AT295" s="42">
        <f>MAX(0,MIN(AQ295+AR295-AS295,AP295))</f>
        <v/>
      </c>
      <c r="AU295" s="42">
        <f>ROUND(AQ295+AR295-AS295-AT295,2)</f>
        <v/>
      </c>
      <c r="AV295">
        <f>AP295-AT295</f>
        <v/>
      </c>
      <c r="AW295" s="42">
        <f>BA294</f>
        <v/>
      </c>
      <c r="AX295" s="42">
        <f>ROUND(AW295*AX$6/12,2)</f>
        <v/>
      </c>
      <c r="AY295" s="42">
        <f>MIN(AY$6,AW295+AX295)</f>
        <v/>
      </c>
      <c r="AZ295" s="42">
        <f>MAX(0,MIN(AW295+AX295-AY295,AV295))</f>
        <v/>
      </c>
      <c r="BA295" s="42">
        <f>ROUND(AW295+AX295-AY295-AZ295,2)</f>
        <v/>
      </c>
      <c r="BB295">
        <f>AV295-AZ295</f>
        <v/>
      </c>
      <c r="BC295" s="42">
        <f>BG294</f>
        <v/>
      </c>
      <c r="BD295" s="42">
        <f>ROUND(BC295*BD$6/12,2)</f>
        <v/>
      </c>
      <c r="BE295" s="42">
        <f>MIN(BE$6,BC295+BD295)</f>
        <v/>
      </c>
      <c r="BF295" s="42">
        <f>MAX(0,MIN(BC295+BD295-BE295,BB295))</f>
        <v/>
      </c>
      <c r="BG295" s="42">
        <f>ROUND(BC295+BD295-BE295-BF295,2)</f>
        <v/>
      </c>
      <c r="BH295">
        <f>BB295-BF295</f>
        <v/>
      </c>
      <c r="BI295" s="42">
        <f>BM294</f>
        <v/>
      </c>
      <c r="BJ295" s="42">
        <f>ROUND(BI295*BJ$6/12,2)</f>
        <v/>
      </c>
      <c r="BK295" s="42">
        <f>MIN(BK$6,BI295+BJ295)</f>
        <v/>
      </c>
      <c r="BL295" s="42">
        <f>MAX(0,MIN(BI295+BJ295-BK295,BH295))</f>
        <v/>
      </c>
      <c r="BM295" s="42">
        <f>ROUND(BI295+BJ295-BK295-BL295,2)</f>
        <v/>
      </c>
      <c r="BN295">
        <f>BH295-BL295</f>
        <v/>
      </c>
    </row>
    <row r="296">
      <c r="A296" s="39" t="n">
        <v>289</v>
      </c>
      <c r="B296" s="40">
        <f>EDATE('My Debts'!$C$6,A296-1)</f>
        <v/>
      </c>
      <c r="C296" s="41">
        <f>K296+Q296+W296+AC296+AI296+AO296+AU296+BA296+BG296+BM296</f>
        <v/>
      </c>
      <c r="D296" s="42">
        <f>I296+O296+U296+AA296+AG296+AM296+AS296+AY296+BE296+BK296+J296+P296+V296+AB296+AH296+AN296+AT296+AZ296+BF296+BL296</f>
        <v/>
      </c>
      <c r="E296" s="42">
        <f>H296+N296+T296+Z296+AF296+AL296+AR296+AX296+BD296+BJ296</f>
        <v/>
      </c>
      <c r="F296" t="n">
        <v>0</v>
      </c>
      <c r="G296" s="42">
        <f>K295</f>
        <v/>
      </c>
      <c r="H296" s="42">
        <f>ROUND(G296*H$6/12,2)</f>
        <v/>
      </c>
      <c r="I296" s="42">
        <f>MIN(I$6,G296+H296)</f>
        <v/>
      </c>
      <c r="J296" s="42">
        <f>MAX(0,MIN(G296+H296-I296,$F296))</f>
        <v/>
      </c>
      <c r="K296" s="42">
        <f>ROUND(G296+H296-I296-J296,2)</f>
        <v/>
      </c>
      <c r="L296">
        <f>$F296-J296</f>
        <v/>
      </c>
      <c r="M296" s="42">
        <f>Q295</f>
        <v/>
      </c>
      <c r="N296" s="42">
        <f>ROUND(M296*N$6/12,2)</f>
        <v/>
      </c>
      <c r="O296" s="42">
        <f>MIN(O$6,M296+N296)</f>
        <v/>
      </c>
      <c r="P296" s="42">
        <f>MAX(0,MIN(M296+N296-O296,L296))</f>
        <v/>
      </c>
      <c r="Q296" s="42">
        <f>ROUND(M296+N296-O296-P296,2)</f>
        <v/>
      </c>
      <c r="R296">
        <f>L296-P296</f>
        <v/>
      </c>
      <c r="S296" s="42">
        <f>W295</f>
        <v/>
      </c>
      <c r="T296" s="42">
        <f>ROUND(S296*T$6/12,2)</f>
        <v/>
      </c>
      <c r="U296" s="42">
        <f>MIN(U$6,S296+T296)</f>
        <v/>
      </c>
      <c r="V296" s="42">
        <f>MAX(0,MIN(S296+T296-U296,R296))</f>
        <v/>
      </c>
      <c r="W296" s="42">
        <f>ROUND(S296+T296-U296-V296,2)</f>
        <v/>
      </c>
      <c r="X296">
        <f>R296-V296</f>
        <v/>
      </c>
      <c r="Y296" s="42">
        <f>AC295</f>
        <v/>
      </c>
      <c r="Z296" s="42">
        <f>ROUND(Y296*Z$6/12,2)</f>
        <v/>
      </c>
      <c r="AA296" s="42">
        <f>MIN(AA$6,Y296+Z296)</f>
        <v/>
      </c>
      <c r="AB296" s="42">
        <f>MAX(0,MIN(Y296+Z296-AA296,X296))</f>
        <v/>
      </c>
      <c r="AC296" s="42">
        <f>ROUND(Y296+Z296-AA296-AB296,2)</f>
        <v/>
      </c>
      <c r="AD296">
        <f>X296-AB296</f>
        <v/>
      </c>
      <c r="AE296" s="42">
        <f>AI295</f>
        <v/>
      </c>
      <c r="AF296" s="42">
        <f>ROUND(AE296*AF$6/12,2)</f>
        <v/>
      </c>
      <c r="AG296" s="42">
        <f>MIN(AG$6,AE296+AF296)</f>
        <v/>
      </c>
      <c r="AH296" s="42">
        <f>MAX(0,MIN(AE296+AF296-AG296,AD296))</f>
        <v/>
      </c>
      <c r="AI296" s="42">
        <f>ROUND(AE296+AF296-AG296-AH296,2)</f>
        <v/>
      </c>
      <c r="AJ296">
        <f>AD296-AH296</f>
        <v/>
      </c>
      <c r="AK296" s="42">
        <f>AO295</f>
        <v/>
      </c>
      <c r="AL296" s="42">
        <f>ROUND(AK296*AL$6/12,2)</f>
        <v/>
      </c>
      <c r="AM296" s="42">
        <f>MIN(AM$6,AK296+AL296)</f>
        <v/>
      </c>
      <c r="AN296" s="42">
        <f>MAX(0,MIN(AK296+AL296-AM296,AJ296))</f>
        <v/>
      </c>
      <c r="AO296" s="42">
        <f>ROUND(AK296+AL296-AM296-AN296,2)</f>
        <v/>
      </c>
      <c r="AP296">
        <f>AJ296-AN296</f>
        <v/>
      </c>
      <c r="AQ296" s="42">
        <f>AU295</f>
        <v/>
      </c>
      <c r="AR296" s="42">
        <f>ROUND(AQ296*AR$6/12,2)</f>
        <v/>
      </c>
      <c r="AS296" s="42">
        <f>MIN(AS$6,AQ296+AR296)</f>
        <v/>
      </c>
      <c r="AT296" s="42">
        <f>MAX(0,MIN(AQ296+AR296-AS296,AP296))</f>
        <v/>
      </c>
      <c r="AU296" s="42">
        <f>ROUND(AQ296+AR296-AS296-AT296,2)</f>
        <v/>
      </c>
      <c r="AV296">
        <f>AP296-AT296</f>
        <v/>
      </c>
      <c r="AW296" s="42">
        <f>BA295</f>
        <v/>
      </c>
      <c r="AX296" s="42">
        <f>ROUND(AW296*AX$6/12,2)</f>
        <v/>
      </c>
      <c r="AY296" s="42">
        <f>MIN(AY$6,AW296+AX296)</f>
        <v/>
      </c>
      <c r="AZ296" s="42">
        <f>MAX(0,MIN(AW296+AX296-AY296,AV296))</f>
        <v/>
      </c>
      <c r="BA296" s="42">
        <f>ROUND(AW296+AX296-AY296-AZ296,2)</f>
        <v/>
      </c>
      <c r="BB296">
        <f>AV296-AZ296</f>
        <v/>
      </c>
      <c r="BC296" s="42">
        <f>BG295</f>
        <v/>
      </c>
      <c r="BD296" s="42">
        <f>ROUND(BC296*BD$6/12,2)</f>
        <v/>
      </c>
      <c r="BE296" s="42">
        <f>MIN(BE$6,BC296+BD296)</f>
        <v/>
      </c>
      <c r="BF296" s="42">
        <f>MAX(0,MIN(BC296+BD296-BE296,BB296))</f>
        <v/>
      </c>
      <c r="BG296" s="42">
        <f>ROUND(BC296+BD296-BE296-BF296,2)</f>
        <v/>
      </c>
      <c r="BH296">
        <f>BB296-BF296</f>
        <v/>
      </c>
      <c r="BI296" s="42">
        <f>BM295</f>
        <v/>
      </c>
      <c r="BJ296" s="42">
        <f>ROUND(BI296*BJ$6/12,2)</f>
        <v/>
      </c>
      <c r="BK296" s="42">
        <f>MIN(BK$6,BI296+BJ296)</f>
        <v/>
      </c>
      <c r="BL296" s="42">
        <f>MAX(0,MIN(BI296+BJ296-BK296,BH296))</f>
        <v/>
      </c>
      <c r="BM296" s="42">
        <f>ROUND(BI296+BJ296-BK296-BL296,2)</f>
        <v/>
      </c>
      <c r="BN296">
        <f>BH296-BL296</f>
        <v/>
      </c>
    </row>
    <row r="297">
      <c r="A297" s="43" t="n">
        <v>290</v>
      </c>
      <c r="B297" s="44">
        <f>EDATE('My Debts'!$C$6,A297-1)</f>
        <v/>
      </c>
      <c r="C297" s="45">
        <f>K297+Q297+W297+AC297+AI297+AO297+AU297+BA297+BG297+BM297</f>
        <v/>
      </c>
      <c r="D297" s="46">
        <f>I297+O297+U297+AA297+AG297+AM297+AS297+AY297+BE297+BK297+J297+P297+V297+AB297+AH297+AN297+AT297+AZ297+BF297+BL297</f>
        <v/>
      </c>
      <c r="E297" s="46">
        <f>H297+N297+T297+Z297+AF297+AL297+AR297+AX297+BD297+BJ297</f>
        <v/>
      </c>
      <c r="F297" t="n">
        <v>0</v>
      </c>
      <c r="G297" s="42">
        <f>K296</f>
        <v/>
      </c>
      <c r="H297" s="42">
        <f>ROUND(G297*H$6/12,2)</f>
        <v/>
      </c>
      <c r="I297" s="42">
        <f>MIN(I$6,G297+H297)</f>
        <v/>
      </c>
      <c r="J297" s="42">
        <f>MAX(0,MIN(G297+H297-I297,$F297))</f>
        <v/>
      </c>
      <c r="K297" s="42">
        <f>ROUND(G297+H297-I297-J297,2)</f>
        <v/>
      </c>
      <c r="L297">
        <f>$F297-J297</f>
        <v/>
      </c>
      <c r="M297" s="42">
        <f>Q296</f>
        <v/>
      </c>
      <c r="N297" s="42">
        <f>ROUND(M297*N$6/12,2)</f>
        <v/>
      </c>
      <c r="O297" s="42">
        <f>MIN(O$6,M297+N297)</f>
        <v/>
      </c>
      <c r="P297" s="42">
        <f>MAX(0,MIN(M297+N297-O297,L297))</f>
        <v/>
      </c>
      <c r="Q297" s="42">
        <f>ROUND(M297+N297-O297-P297,2)</f>
        <v/>
      </c>
      <c r="R297">
        <f>L297-P297</f>
        <v/>
      </c>
      <c r="S297" s="42">
        <f>W296</f>
        <v/>
      </c>
      <c r="T297" s="42">
        <f>ROUND(S297*T$6/12,2)</f>
        <v/>
      </c>
      <c r="U297" s="42">
        <f>MIN(U$6,S297+T297)</f>
        <v/>
      </c>
      <c r="V297" s="42">
        <f>MAX(0,MIN(S297+T297-U297,R297))</f>
        <v/>
      </c>
      <c r="W297" s="42">
        <f>ROUND(S297+T297-U297-V297,2)</f>
        <v/>
      </c>
      <c r="X297">
        <f>R297-V297</f>
        <v/>
      </c>
      <c r="Y297" s="42">
        <f>AC296</f>
        <v/>
      </c>
      <c r="Z297" s="42">
        <f>ROUND(Y297*Z$6/12,2)</f>
        <v/>
      </c>
      <c r="AA297" s="42">
        <f>MIN(AA$6,Y297+Z297)</f>
        <v/>
      </c>
      <c r="AB297" s="42">
        <f>MAX(0,MIN(Y297+Z297-AA297,X297))</f>
        <v/>
      </c>
      <c r="AC297" s="42">
        <f>ROUND(Y297+Z297-AA297-AB297,2)</f>
        <v/>
      </c>
      <c r="AD297">
        <f>X297-AB297</f>
        <v/>
      </c>
      <c r="AE297" s="42">
        <f>AI296</f>
        <v/>
      </c>
      <c r="AF297" s="42">
        <f>ROUND(AE297*AF$6/12,2)</f>
        <v/>
      </c>
      <c r="AG297" s="42">
        <f>MIN(AG$6,AE297+AF297)</f>
        <v/>
      </c>
      <c r="AH297" s="42">
        <f>MAX(0,MIN(AE297+AF297-AG297,AD297))</f>
        <v/>
      </c>
      <c r="AI297" s="42">
        <f>ROUND(AE297+AF297-AG297-AH297,2)</f>
        <v/>
      </c>
      <c r="AJ297">
        <f>AD297-AH297</f>
        <v/>
      </c>
      <c r="AK297" s="42">
        <f>AO296</f>
        <v/>
      </c>
      <c r="AL297" s="42">
        <f>ROUND(AK297*AL$6/12,2)</f>
        <v/>
      </c>
      <c r="AM297" s="42">
        <f>MIN(AM$6,AK297+AL297)</f>
        <v/>
      </c>
      <c r="AN297" s="42">
        <f>MAX(0,MIN(AK297+AL297-AM297,AJ297))</f>
        <v/>
      </c>
      <c r="AO297" s="42">
        <f>ROUND(AK297+AL297-AM297-AN297,2)</f>
        <v/>
      </c>
      <c r="AP297">
        <f>AJ297-AN297</f>
        <v/>
      </c>
      <c r="AQ297" s="42">
        <f>AU296</f>
        <v/>
      </c>
      <c r="AR297" s="42">
        <f>ROUND(AQ297*AR$6/12,2)</f>
        <v/>
      </c>
      <c r="AS297" s="42">
        <f>MIN(AS$6,AQ297+AR297)</f>
        <v/>
      </c>
      <c r="AT297" s="42">
        <f>MAX(0,MIN(AQ297+AR297-AS297,AP297))</f>
        <v/>
      </c>
      <c r="AU297" s="42">
        <f>ROUND(AQ297+AR297-AS297-AT297,2)</f>
        <v/>
      </c>
      <c r="AV297">
        <f>AP297-AT297</f>
        <v/>
      </c>
      <c r="AW297" s="42">
        <f>BA296</f>
        <v/>
      </c>
      <c r="AX297" s="42">
        <f>ROUND(AW297*AX$6/12,2)</f>
        <v/>
      </c>
      <c r="AY297" s="42">
        <f>MIN(AY$6,AW297+AX297)</f>
        <v/>
      </c>
      <c r="AZ297" s="42">
        <f>MAX(0,MIN(AW297+AX297-AY297,AV297))</f>
        <v/>
      </c>
      <c r="BA297" s="42">
        <f>ROUND(AW297+AX297-AY297-AZ297,2)</f>
        <v/>
      </c>
      <c r="BB297">
        <f>AV297-AZ297</f>
        <v/>
      </c>
      <c r="BC297" s="42">
        <f>BG296</f>
        <v/>
      </c>
      <c r="BD297" s="42">
        <f>ROUND(BC297*BD$6/12,2)</f>
        <v/>
      </c>
      <c r="BE297" s="42">
        <f>MIN(BE$6,BC297+BD297)</f>
        <v/>
      </c>
      <c r="BF297" s="42">
        <f>MAX(0,MIN(BC297+BD297-BE297,BB297))</f>
        <v/>
      </c>
      <c r="BG297" s="42">
        <f>ROUND(BC297+BD297-BE297-BF297,2)</f>
        <v/>
      </c>
      <c r="BH297">
        <f>BB297-BF297</f>
        <v/>
      </c>
      <c r="BI297" s="42">
        <f>BM296</f>
        <v/>
      </c>
      <c r="BJ297" s="42">
        <f>ROUND(BI297*BJ$6/12,2)</f>
        <v/>
      </c>
      <c r="BK297" s="42">
        <f>MIN(BK$6,BI297+BJ297)</f>
        <v/>
      </c>
      <c r="BL297" s="42">
        <f>MAX(0,MIN(BI297+BJ297-BK297,BH297))</f>
        <v/>
      </c>
      <c r="BM297" s="42">
        <f>ROUND(BI297+BJ297-BK297-BL297,2)</f>
        <v/>
      </c>
      <c r="BN297">
        <f>BH297-BL297</f>
        <v/>
      </c>
    </row>
    <row r="298">
      <c r="A298" s="39" t="n">
        <v>291</v>
      </c>
      <c r="B298" s="40">
        <f>EDATE('My Debts'!$C$6,A298-1)</f>
        <v/>
      </c>
      <c r="C298" s="41">
        <f>K298+Q298+W298+AC298+AI298+AO298+AU298+BA298+BG298+BM298</f>
        <v/>
      </c>
      <c r="D298" s="42">
        <f>I298+O298+U298+AA298+AG298+AM298+AS298+AY298+BE298+BK298+J298+P298+V298+AB298+AH298+AN298+AT298+AZ298+BF298+BL298</f>
        <v/>
      </c>
      <c r="E298" s="42">
        <f>H298+N298+T298+Z298+AF298+AL298+AR298+AX298+BD298+BJ298</f>
        <v/>
      </c>
      <c r="F298" t="n">
        <v>0</v>
      </c>
      <c r="G298" s="42">
        <f>K297</f>
        <v/>
      </c>
      <c r="H298" s="42">
        <f>ROUND(G298*H$6/12,2)</f>
        <v/>
      </c>
      <c r="I298" s="42">
        <f>MIN(I$6,G298+H298)</f>
        <v/>
      </c>
      <c r="J298" s="42">
        <f>MAX(0,MIN(G298+H298-I298,$F298))</f>
        <v/>
      </c>
      <c r="K298" s="42">
        <f>ROUND(G298+H298-I298-J298,2)</f>
        <v/>
      </c>
      <c r="L298">
        <f>$F298-J298</f>
        <v/>
      </c>
      <c r="M298" s="42">
        <f>Q297</f>
        <v/>
      </c>
      <c r="N298" s="42">
        <f>ROUND(M298*N$6/12,2)</f>
        <v/>
      </c>
      <c r="O298" s="42">
        <f>MIN(O$6,M298+N298)</f>
        <v/>
      </c>
      <c r="P298" s="42">
        <f>MAX(0,MIN(M298+N298-O298,L298))</f>
        <v/>
      </c>
      <c r="Q298" s="42">
        <f>ROUND(M298+N298-O298-P298,2)</f>
        <v/>
      </c>
      <c r="R298">
        <f>L298-P298</f>
        <v/>
      </c>
      <c r="S298" s="42">
        <f>W297</f>
        <v/>
      </c>
      <c r="T298" s="42">
        <f>ROUND(S298*T$6/12,2)</f>
        <v/>
      </c>
      <c r="U298" s="42">
        <f>MIN(U$6,S298+T298)</f>
        <v/>
      </c>
      <c r="V298" s="42">
        <f>MAX(0,MIN(S298+T298-U298,R298))</f>
        <v/>
      </c>
      <c r="W298" s="42">
        <f>ROUND(S298+T298-U298-V298,2)</f>
        <v/>
      </c>
      <c r="X298">
        <f>R298-V298</f>
        <v/>
      </c>
      <c r="Y298" s="42">
        <f>AC297</f>
        <v/>
      </c>
      <c r="Z298" s="42">
        <f>ROUND(Y298*Z$6/12,2)</f>
        <v/>
      </c>
      <c r="AA298" s="42">
        <f>MIN(AA$6,Y298+Z298)</f>
        <v/>
      </c>
      <c r="AB298" s="42">
        <f>MAX(0,MIN(Y298+Z298-AA298,X298))</f>
        <v/>
      </c>
      <c r="AC298" s="42">
        <f>ROUND(Y298+Z298-AA298-AB298,2)</f>
        <v/>
      </c>
      <c r="AD298">
        <f>X298-AB298</f>
        <v/>
      </c>
      <c r="AE298" s="42">
        <f>AI297</f>
        <v/>
      </c>
      <c r="AF298" s="42">
        <f>ROUND(AE298*AF$6/12,2)</f>
        <v/>
      </c>
      <c r="AG298" s="42">
        <f>MIN(AG$6,AE298+AF298)</f>
        <v/>
      </c>
      <c r="AH298" s="42">
        <f>MAX(0,MIN(AE298+AF298-AG298,AD298))</f>
        <v/>
      </c>
      <c r="AI298" s="42">
        <f>ROUND(AE298+AF298-AG298-AH298,2)</f>
        <v/>
      </c>
      <c r="AJ298">
        <f>AD298-AH298</f>
        <v/>
      </c>
      <c r="AK298" s="42">
        <f>AO297</f>
        <v/>
      </c>
      <c r="AL298" s="42">
        <f>ROUND(AK298*AL$6/12,2)</f>
        <v/>
      </c>
      <c r="AM298" s="42">
        <f>MIN(AM$6,AK298+AL298)</f>
        <v/>
      </c>
      <c r="AN298" s="42">
        <f>MAX(0,MIN(AK298+AL298-AM298,AJ298))</f>
        <v/>
      </c>
      <c r="AO298" s="42">
        <f>ROUND(AK298+AL298-AM298-AN298,2)</f>
        <v/>
      </c>
      <c r="AP298">
        <f>AJ298-AN298</f>
        <v/>
      </c>
      <c r="AQ298" s="42">
        <f>AU297</f>
        <v/>
      </c>
      <c r="AR298" s="42">
        <f>ROUND(AQ298*AR$6/12,2)</f>
        <v/>
      </c>
      <c r="AS298" s="42">
        <f>MIN(AS$6,AQ298+AR298)</f>
        <v/>
      </c>
      <c r="AT298" s="42">
        <f>MAX(0,MIN(AQ298+AR298-AS298,AP298))</f>
        <v/>
      </c>
      <c r="AU298" s="42">
        <f>ROUND(AQ298+AR298-AS298-AT298,2)</f>
        <v/>
      </c>
      <c r="AV298">
        <f>AP298-AT298</f>
        <v/>
      </c>
      <c r="AW298" s="42">
        <f>BA297</f>
        <v/>
      </c>
      <c r="AX298" s="42">
        <f>ROUND(AW298*AX$6/12,2)</f>
        <v/>
      </c>
      <c r="AY298" s="42">
        <f>MIN(AY$6,AW298+AX298)</f>
        <v/>
      </c>
      <c r="AZ298" s="42">
        <f>MAX(0,MIN(AW298+AX298-AY298,AV298))</f>
        <v/>
      </c>
      <c r="BA298" s="42">
        <f>ROUND(AW298+AX298-AY298-AZ298,2)</f>
        <v/>
      </c>
      <c r="BB298">
        <f>AV298-AZ298</f>
        <v/>
      </c>
      <c r="BC298" s="42">
        <f>BG297</f>
        <v/>
      </c>
      <c r="BD298" s="42">
        <f>ROUND(BC298*BD$6/12,2)</f>
        <v/>
      </c>
      <c r="BE298" s="42">
        <f>MIN(BE$6,BC298+BD298)</f>
        <v/>
      </c>
      <c r="BF298" s="42">
        <f>MAX(0,MIN(BC298+BD298-BE298,BB298))</f>
        <v/>
      </c>
      <c r="BG298" s="42">
        <f>ROUND(BC298+BD298-BE298-BF298,2)</f>
        <v/>
      </c>
      <c r="BH298">
        <f>BB298-BF298</f>
        <v/>
      </c>
      <c r="BI298" s="42">
        <f>BM297</f>
        <v/>
      </c>
      <c r="BJ298" s="42">
        <f>ROUND(BI298*BJ$6/12,2)</f>
        <v/>
      </c>
      <c r="BK298" s="42">
        <f>MIN(BK$6,BI298+BJ298)</f>
        <v/>
      </c>
      <c r="BL298" s="42">
        <f>MAX(0,MIN(BI298+BJ298-BK298,BH298))</f>
        <v/>
      </c>
      <c r="BM298" s="42">
        <f>ROUND(BI298+BJ298-BK298-BL298,2)</f>
        <v/>
      </c>
      <c r="BN298">
        <f>BH298-BL298</f>
        <v/>
      </c>
    </row>
    <row r="299">
      <c r="A299" s="43" t="n">
        <v>292</v>
      </c>
      <c r="B299" s="44">
        <f>EDATE('My Debts'!$C$6,A299-1)</f>
        <v/>
      </c>
      <c r="C299" s="45">
        <f>K299+Q299+W299+AC299+AI299+AO299+AU299+BA299+BG299+BM299</f>
        <v/>
      </c>
      <c r="D299" s="46">
        <f>I299+O299+U299+AA299+AG299+AM299+AS299+AY299+BE299+BK299+J299+P299+V299+AB299+AH299+AN299+AT299+AZ299+BF299+BL299</f>
        <v/>
      </c>
      <c r="E299" s="46">
        <f>H299+N299+T299+Z299+AF299+AL299+AR299+AX299+BD299+BJ299</f>
        <v/>
      </c>
      <c r="F299" t="n">
        <v>0</v>
      </c>
      <c r="G299" s="42">
        <f>K298</f>
        <v/>
      </c>
      <c r="H299" s="42">
        <f>ROUND(G299*H$6/12,2)</f>
        <v/>
      </c>
      <c r="I299" s="42">
        <f>MIN(I$6,G299+H299)</f>
        <v/>
      </c>
      <c r="J299" s="42">
        <f>MAX(0,MIN(G299+H299-I299,$F299))</f>
        <v/>
      </c>
      <c r="K299" s="42">
        <f>ROUND(G299+H299-I299-J299,2)</f>
        <v/>
      </c>
      <c r="L299">
        <f>$F299-J299</f>
        <v/>
      </c>
      <c r="M299" s="42">
        <f>Q298</f>
        <v/>
      </c>
      <c r="N299" s="42">
        <f>ROUND(M299*N$6/12,2)</f>
        <v/>
      </c>
      <c r="O299" s="42">
        <f>MIN(O$6,M299+N299)</f>
        <v/>
      </c>
      <c r="P299" s="42">
        <f>MAX(0,MIN(M299+N299-O299,L299))</f>
        <v/>
      </c>
      <c r="Q299" s="42">
        <f>ROUND(M299+N299-O299-P299,2)</f>
        <v/>
      </c>
      <c r="R299">
        <f>L299-P299</f>
        <v/>
      </c>
      <c r="S299" s="42">
        <f>W298</f>
        <v/>
      </c>
      <c r="T299" s="42">
        <f>ROUND(S299*T$6/12,2)</f>
        <v/>
      </c>
      <c r="U299" s="42">
        <f>MIN(U$6,S299+T299)</f>
        <v/>
      </c>
      <c r="V299" s="42">
        <f>MAX(0,MIN(S299+T299-U299,R299))</f>
        <v/>
      </c>
      <c r="W299" s="42">
        <f>ROUND(S299+T299-U299-V299,2)</f>
        <v/>
      </c>
      <c r="X299">
        <f>R299-V299</f>
        <v/>
      </c>
      <c r="Y299" s="42">
        <f>AC298</f>
        <v/>
      </c>
      <c r="Z299" s="42">
        <f>ROUND(Y299*Z$6/12,2)</f>
        <v/>
      </c>
      <c r="AA299" s="42">
        <f>MIN(AA$6,Y299+Z299)</f>
        <v/>
      </c>
      <c r="AB299" s="42">
        <f>MAX(0,MIN(Y299+Z299-AA299,X299))</f>
        <v/>
      </c>
      <c r="AC299" s="42">
        <f>ROUND(Y299+Z299-AA299-AB299,2)</f>
        <v/>
      </c>
      <c r="AD299">
        <f>X299-AB299</f>
        <v/>
      </c>
      <c r="AE299" s="42">
        <f>AI298</f>
        <v/>
      </c>
      <c r="AF299" s="42">
        <f>ROUND(AE299*AF$6/12,2)</f>
        <v/>
      </c>
      <c r="AG299" s="42">
        <f>MIN(AG$6,AE299+AF299)</f>
        <v/>
      </c>
      <c r="AH299" s="42">
        <f>MAX(0,MIN(AE299+AF299-AG299,AD299))</f>
        <v/>
      </c>
      <c r="AI299" s="42">
        <f>ROUND(AE299+AF299-AG299-AH299,2)</f>
        <v/>
      </c>
      <c r="AJ299">
        <f>AD299-AH299</f>
        <v/>
      </c>
      <c r="AK299" s="42">
        <f>AO298</f>
        <v/>
      </c>
      <c r="AL299" s="42">
        <f>ROUND(AK299*AL$6/12,2)</f>
        <v/>
      </c>
      <c r="AM299" s="42">
        <f>MIN(AM$6,AK299+AL299)</f>
        <v/>
      </c>
      <c r="AN299" s="42">
        <f>MAX(0,MIN(AK299+AL299-AM299,AJ299))</f>
        <v/>
      </c>
      <c r="AO299" s="42">
        <f>ROUND(AK299+AL299-AM299-AN299,2)</f>
        <v/>
      </c>
      <c r="AP299">
        <f>AJ299-AN299</f>
        <v/>
      </c>
      <c r="AQ299" s="42">
        <f>AU298</f>
        <v/>
      </c>
      <c r="AR299" s="42">
        <f>ROUND(AQ299*AR$6/12,2)</f>
        <v/>
      </c>
      <c r="AS299" s="42">
        <f>MIN(AS$6,AQ299+AR299)</f>
        <v/>
      </c>
      <c r="AT299" s="42">
        <f>MAX(0,MIN(AQ299+AR299-AS299,AP299))</f>
        <v/>
      </c>
      <c r="AU299" s="42">
        <f>ROUND(AQ299+AR299-AS299-AT299,2)</f>
        <v/>
      </c>
      <c r="AV299">
        <f>AP299-AT299</f>
        <v/>
      </c>
      <c r="AW299" s="42">
        <f>BA298</f>
        <v/>
      </c>
      <c r="AX299" s="42">
        <f>ROUND(AW299*AX$6/12,2)</f>
        <v/>
      </c>
      <c r="AY299" s="42">
        <f>MIN(AY$6,AW299+AX299)</f>
        <v/>
      </c>
      <c r="AZ299" s="42">
        <f>MAX(0,MIN(AW299+AX299-AY299,AV299))</f>
        <v/>
      </c>
      <c r="BA299" s="42">
        <f>ROUND(AW299+AX299-AY299-AZ299,2)</f>
        <v/>
      </c>
      <c r="BB299">
        <f>AV299-AZ299</f>
        <v/>
      </c>
      <c r="BC299" s="42">
        <f>BG298</f>
        <v/>
      </c>
      <c r="BD299" s="42">
        <f>ROUND(BC299*BD$6/12,2)</f>
        <v/>
      </c>
      <c r="BE299" s="42">
        <f>MIN(BE$6,BC299+BD299)</f>
        <v/>
      </c>
      <c r="BF299" s="42">
        <f>MAX(0,MIN(BC299+BD299-BE299,BB299))</f>
        <v/>
      </c>
      <c r="BG299" s="42">
        <f>ROUND(BC299+BD299-BE299-BF299,2)</f>
        <v/>
      </c>
      <c r="BH299">
        <f>BB299-BF299</f>
        <v/>
      </c>
      <c r="BI299" s="42">
        <f>BM298</f>
        <v/>
      </c>
      <c r="BJ299" s="42">
        <f>ROUND(BI299*BJ$6/12,2)</f>
        <v/>
      </c>
      <c r="BK299" s="42">
        <f>MIN(BK$6,BI299+BJ299)</f>
        <v/>
      </c>
      <c r="BL299" s="42">
        <f>MAX(0,MIN(BI299+BJ299-BK299,BH299))</f>
        <v/>
      </c>
      <c r="BM299" s="42">
        <f>ROUND(BI299+BJ299-BK299-BL299,2)</f>
        <v/>
      </c>
      <c r="BN299">
        <f>BH299-BL299</f>
        <v/>
      </c>
    </row>
    <row r="300">
      <c r="A300" s="39" t="n">
        <v>293</v>
      </c>
      <c r="B300" s="40">
        <f>EDATE('My Debts'!$C$6,A300-1)</f>
        <v/>
      </c>
      <c r="C300" s="41">
        <f>K300+Q300+W300+AC300+AI300+AO300+AU300+BA300+BG300+BM300</f>
        <v/>
      </c>
      <c r="D300" s="42">
        <f>I300+O300+U300+AA300+AG300+AM300+AS300+AY300+BE300+BK300+J300+P300+V300+AB300+AH300+AN300+AT300+AZ300+BF300+BL300</f>
        <v/>
      </c>
      <c r="E300" s="42">
        <f>H300+N300+T300+Z300+AF300+AL300+AR300+AX300+BD300+BJ300</f>
        <v/>
      </c>
      <c r="F300" t="n">
        <v>0</v>
      </c>
      <c r="G300" s="42">
        <f>K299</f>
        <v/>
      </c>
      <c r="H300" s="42">
        <f>ROUND(G300*H$6/12,2)</f>
        <v/>
      </c>
      <c r="I300" s="42">
        <f>MIN(I$6,G300+H300)</f>
        <v/>
      </c>
      <c r="J300" s="42">
        <f>MAX(0,MIN(G300+H300-I300,$F300))</f>
        <v/>
      </c>
      <c r="K300" s="42">
        <f>ROUND(G300+H300-I300-J300,2)</f>
        <v/>
      </c>
      <c r="L300">
        <f>$F300-J300</f>
        <v/>
      </c>
      <c r="M300" s="42">
        <f>Q299</f>
        <v/>
      </c>
      <c r="N300" s="42">
        <f>ROUND(M300*N$6/12,2)</f>
        <v/>
      </c>
      <c r="O300" s="42">
        <f>MIN(O$6,M300+N300)</f>
        <v/>
      </c>
      <c r="P300" s="42">
        <f>MAX(0,MIN(M300+N300-O300,L300))</f>
        <v/>
      </c>
      <c r="Q300" s="42">
        <f>ROUND(M300+N300-O300-P300,2)</f>
        <v/>
      </c>
      <c r="R300">
        <f>L300-P300</f>
        <v/>
      </c>
      <c r="S300" s="42">
        <f>W299</f>
        <v/>
      </c>
      <c r="T300" s="42">
        <f>ROUND(S300*T$6/12,2)</f>
        <v/>
      </c>
      <c r="U300" s="42">
        <f>MIN(U$6,S300+T300)</f>
        <v/>
      </c>
      <c r="V300" s="42">
        <f>MAX(0,MIN(S300+T300-U300,R300))</f>
        <v/>
      </c>
      <c r="W300" s="42">
        <f>ROUND(S300+T300-U300-V300,2)</f>
        <v/>
      </c>
      <c r="X300">
        <f>R300-V300</f>
        <v/>
      </c>
      <c r="Y300" s="42">
        <f>AC299</f>
        <v/>
      </c>
      <c r="Z300" s="42">
        <f>ROUND(Y300*Z$6/12,2)</f>
        <v/>
      </c>
      <c r="AA300" s="42">
        <f>MIN(AA$6,Y300+Z300)</f>
        <v/>
      </c>
      <c r="AB300" s="42">
        <f>MAX(0,MIN(Y300+Z300-AA300,X300))</f>
        <v/>
      </c>
      <c r="AC300" s="42">
        <f>ROUND(Y300+Z300-AA300-AB300,2)</f>
        <v/>
      </c>
      <c r="AD300">
        <f>X300-AB300</f>
        <v/>
      </c>
      <c r="AE300" s="42">
        <f>AI299</f>
        <v/>
      </c>
      <c r="AF300" s="42">
        <f>ROUND(AE300*AF$6/12,2)</f>
        <v/>
      </c>
      <c r="AG300" s="42">
        <f>MIN(AG$6,AE300+AF300)</f>
        <v/>
      </c>
      <c r="AH300" s="42">
        <f>MAX(0,MIN(AE300+AF300-AG300,AD300))</f>
        <v/>
      </c>
      <c r="AI300" s="42">
        <f>ROUND(AE300+AF300-AG300-AH300,2)</f>
        <v/>
      </c>
      <c r="AJ300">
        <f>AD300-AH300</f>
        <v/>
      </c>
      <c r="AK300" s="42">
        <f>AO299</f>
        <v/>
      </c>
      <c r="AL300" s="42">
        <f>ROUND(AK300*AL$6/12,2)</f>
        <v/>
      </c>
      <c r="AM300" s="42">
        <f>MIN(AM$6,AK300+AL300)</f>
        <v/>
      </c>
      <c r="AN300" s="42">
        <f>MAX(0,MIN(AK300+AL300-AM300,AJ300))</f>
        <v/>
      </c>
      <c r="AO300" s="42">
        <f>ROUND(AK300+AL300-AM300-AN300,2)</f>
        <v/>
      </c>
      <c r="AP300">
        <f>AJ300-AN300</f>
        <v/>
      </c>
      <c r="AQ300" s="42">
        <f>AU299</f>
        <v/>
      </c>
      <c r="AR300" s="42">
        <f>ROUND(AQ300*AR$6/12,2)</f>
        <v/>
      </c>
      <c r="AS300" s="42">
        <f>MIN(AS$6,AQ300+AR300)</f>
        <v/>
      </c>
      <c r="AT300" s="42">
        <f>MAX(0,MIN(AQ300+AR300-AS300,AP300))</f>
        <v/>
      </c>
      <c r="AU300" s="42">
        <f>ROUND(AQ300+AR300-AS300-AT300,2)</f>
        <v/>
      </c>
      <c r="AV300">
        <f>AP300-AT300</f>
        <v/>
      </c>
      <c r="AW300" s="42">
        <f>BA299</f>
        <v/>
      </c>
      <c r="AX300" s="42">
        <f>ROUND(AW300*AX$6/12,2)</f>
        <v/>
      </c>
      <c r="AY300" s="42">
        <f>MIN(AY$6,AW300+AX300)</f>
        <v/>
      </c>
      <c r="AZ300" s="42">
        <f>MAX(0,MIN(AW300+AX300-AY300,AV300))</f>
        <v/>
      </c>
      <c r="BA300" s="42">
        <f>ROUND(AW300+AX300-AY300-AZ300,2)</f>
        <v/>
      </c>
      <c r="BB300">
        <f>AV300-AZ300</f>
        <v/>
      </c>
      <c r="BC300" s="42">
        <f>BG299</f>
        <v/>
      </c>
      <c r="BD300" s="42">
        <f>ROUND(BC300*BD$6/12,2)</f>
        <v/>
      </c>
      <c r="BE300" s="42">
        <f>MIN(BE$6,BC300+BD300)</f>
        <v/>
      </c>
      <c r="BF300" s="42">
        <f>MAX(0,MIN(BC300+BD300-BE300,BB300))</f>
        <v/>
      </c>
      <c r="BG300" s="42">
        <f>ROUND(BC300+BD300-BE300-BF300,2)</f>
        <v/>
      </c>
      <c r="BH300">
        <f>BB300-BF300</f>
        <v/>
      </c>
      <c r="BI300" s="42">
        <f>BM299</f>
        <v/>
      </c>
      <c r="BJ300" s="42">
        <f>ROUND(BI300*BJ$6/12,2)</f>
        <v/>
      </c>
      <c r="BK300" s="42">
        <f>MIN(BK$6,BI300+BJ300)</f>
        <v/>
      </c>
      <c r="BL300" s="42">
        <f>MAX(0,MIN(BI300+BJ300-BK300,BH300))</f>
        <v/>
      </c>
      <c r="BM300" s="42">
        <f>ROUND(BI300+BJ300-BK300-BL300,2)</f>
        <v/>
      </c>
      <c r="BN300">
        <f>BH300-BL300</f>
        <v/>
      </c>
    </row>
    <row r="301">
      <c r="A301" s="43" t="n">
        <v>294</v>
      </c>
      <c r="B301" s="44">
        <f>EDATE('My Debts'!$C$6,A301-1)</f>
        <v/>
      </c>
      <c r="C301" s="45">
        <f>K301+Q301+W301+AC301+AI301+AO301+AU301+BA301+BG301+BM301</f>
        <v/>
      </c>
      <c r="D301" s="46">
        <f>I301+O301+U301+AA301+AG301+AM301+AS301+AY301+BE301+BK301+J301+P301+V301+AB301+AH301+AN301+AT301+AZ301+BF301+BL301</f>
        <v/>
      </c>
      <c r="E301" s="46">
        <f>H301+N301+T301+Z301+AF301+AL301+AR301+AX301+BD301+BJ301</f>
        <v/>
      </c>
      <c r="F301" t="n">
        <v>0</v>
      </c>
      <c r="G301" s="42">
        <f>K300</f>
        <v/>
      </c>
      <c r="H301" s="42">
        <f>ROUND(G301*H$6/12,2)</f>
        <v/>
      </c>
      <c r="I301" s="42">
        <f>MIN(I$6,G301+H301)</f>
        <v/>
      </c>
      <c r="J301" s="42">
        <f>MAX(0,MIN(G301+H301-I301,$F301))</f>
        <v/>
      </c>
      <c r="K301" s="42">
        <f>ROUND(G301+H301-I301-J301,2)</f>
        <v/>
      </c>
      <c r="L301">
        <f>$F301-J301</f>
        <v/>
      </c>
      <c r="M301" s="42">
        <f>Q300</f>
        <v/>
      </c>
      <c r="N301" s="42">
        <f>ROUND(M301*N$6/12,2)</f>
        <v/>
      </c>
      <c r="O301" s="42">
        <f>MIN(O$6,M301+N301)</f>
        <v/>
      </c>
      <c r="P301" s="42">
        <f>MAX(0,MIN(M301+N301-O301,L301))</f>
        <v/>
      </c>
      <c r="Q301" s="42">
        <f>ROUND(M301+N301-O301-P301,2)</f>
        <v/>
      </c>
      <c r="R301">
        <f>L301-P301</f>
        <v/>
      </c>
      <c r="S301" s="42">
        <f>W300</f>
        <v/>
      </c>
      <c r="T301" s="42">
        <f>ROUND(S301*T$6/12,2)</f>
        <v/>
      </c>
      <c r="U301" s="42">
        <f>MIN(U$6,S301+T301)</f>
        <v/>
      </c>
      <c r="V301" s="42">
        <f>MAX(0,MIN(S301+T301-U301,R301))</f>
        <v/>
      </c>
      <c r="W301" s="42">
        <f>ROUND(S301+T301-U301-V301,2)</f>
        <v/>
      </c>
      <c r="X301">
        <f>R301-V301</f>
        <v/>
      </c>
      <c r="Y301" s="42">
        <f>AC300</f>
        <v/>
      </c>
      <c r="Z301" s="42">
        <f>ROUND(Y301*Z$6/12,2)</f>
        <v/>
      </c>
      <c r="AA301" s="42">
        <f>MIN(AA$6,Y301+Z301)</f>
        <v/>
      </c>
      <c r="AB301" s="42">
        <f>MAX(0,MIN(Y301+Z301-AA301,X301))</f>
        <v/>
      </c>
      <c r="AC301" s="42">
        <f>ROUND(Y301+Z301-AA301-AB301,2)</f>
        <v/>
      </c>
      <c r="AD301">
        <f>X301-AB301</f>
        <v/>
      </c>
      <c r="AE301" s="42">
        <f>AI300</f>
        <v/>
      </c>
      <c r="AF301" s="42">
        <f>ROUND(AE301*AF$6/12,2)</f>
        <v/>
      </c>
      <c r="AG301" s="42">
        <f>MIN(AG$6,AE301+AF301)</f>
        <v/>
      </c>
      <c r="AH301" s="42">
        <f>MAX(0,MIN(AE301+AF301-AG301,AD301))</f>
        <v/>
      </c>
      <c r="AI301" s="42">
        <f>ROUND(AE301+AF301-AG301-AH301,2)</f>
        <v/>
      </c>
      <c r="AJ301">
        <f>AD301-AH301</f>
        <v/>
      </c>
      <c r="AK301" s="42">
        <f>AO300</f>
        <v/>
      </c>
      <c r="AL301" s="42">
        <f>ROUND(AK301*AL$6/12,2)</f>
        <v/>
      </c>
      <c r="AM301" s="42">
        <f>MIN(AM$6,AK301+AL301)</f>
        <v/>
      </c>
      <c r="AN301" s="42">
        <f>MAX(0,MIN(AK301+AL301-AM301,AJ301))</f>
        <v/>
      </c>
      <c r="AO301" s="42">
        <f>ROUND(AK301+AL301-AM301-AN301,2)</f>
        <v/>
      </c>
      <c r="AP301">
        <f>AJ301-AN301</f>
        <v/>
      </c>
      <c r="AQ301" s="42">
        <f>AU300</f>
        <v/>
      </c>
      <c r="AR301" s="42">
        <f>ROUND(AQ301*AR$6/12,2)</f>
        <v/>
      </c>
      <c r="AS301" s="42">
        <f>MIN(AS$6,AQ301+AR301)</f>
        <v/>
      </c>
      <c r="AT301" s="42">
        <f>MAX(0,MIN(AQ301+AR301-AS301,AP301))</f>
        <v/>
      </c>
      <c r="AU301" s="42">
        <f>ROUND(AQ301+AR301-AS301-AT301,2)</f>
        <v/>
      </c>
      <c r="AV301">
        <f>AP301-AT301</f>
        <v/>
      </c>
      <c r="AW301" s="42">
        <f>BA300</f>
        <v/>
      </c>
      <c r="AX301" s="42">
        <f>ROUND(AW301*AX$6/12,2)</f>
        <v/>
      </c>
      <c r="AY301" s="42">
        <f>MIN(AY$6,AW301+AX301)</f>
        <v/>
      </c>
      <c r="AZ301" s="42">
        <f>MAX(0,MIN(AW301+AX301-AY301,AV301))</f>
        <v/>
      </c>
      <c r="BA301" s="42">
        <f>ROUND(AW301+AX301-AY301-AZ301,2)</f>
        <v/>
      </c>
      <c r="BB301">
        <f>AV301-AZ301</f>
        <v/>
      </c>
      <c r="BC301" s="42">
        <f>BG300</f>
        <v/>
      </c>
      <c r="BD301" s="42">
        <f>ROUND(BC301*BD$6/12,2)</f>
        <v/>
      </c>
      <c r="BE301" s="42">
        <f>MIN(BE$6,BC301+BD301)</f>
        <v/>
      </c>
      <c r="BF301" s="42">
        <f>MAX(0,MIN(BC301+BD301-BE301,BB301))</f>
        <v/>
      </c>
      <c r="BG301" s="42">
        <f>ROUND(BC301+BD301-BE301-BF301,2)</f>
        <v/>
      </c>
      <c r="BH301">
        <f>BB301-BF301</f>
        <v/>
      </c>
      <c r="BI301" s="42">
        <f>BM300</f>
        <v/>
      </c>
      <c r="BJ301" s="42">
        <f>ROUND(BI301*BJ$6/12,2)</f>
        <v/>
      </c>
      <c r="BK301" s="42">
        <f>MIN(BK$6,BI301+BJ301)</f>
        <v/>
      </c>
      <c r="BL301" s="42">
        <f>MAX(0,MIN(BI301+BJ301-BK301,BH301))</f>
        <v/>
      </c>
      <c r="BM301" s="42">
        <f>ROUND(BI301+BJ301-BK301-BL301,2)</f>
        <v/>
      </c>
      <c r="BN301">
        <f>BH301-BL301</f>
        <v/>
      </c>
    </row>
    <row r="302">
      <c r="A302" s="39" t="n">
        <v>295</v>
      </c>
      <c r="B302" s="40">
        <f>EDATE('My Debts'!$C$6,A302-1)</f>
        <v/>
      </c>
      <c r="C302" s="41">
        <f>K302+Q302+W302+AC302+AI302+AO302+AU302+BA302+BG302+BM302</f>
        <v/>
      </c>
      <c r="D302" s="42">
        <f>I302+O302+U302+AA302+AG302+AM302+AS302+AY302+BE302+BK302+J302+P302+V302+AB302+AH302+AN302+AT302+AZ302+BF302+BL302</f>
        <v/>
      </c>
      <c r="E302" s="42">
        <f>H302+N302+T302+Z302+AF302+AL302+AR302+AX302+BD302+BJ302</f>
        <v/>
      </c>
      <c r="F302" t="n">
        <v>0</v>
      </c>
      <c r="G302" s="42">
        <f>K301</f>
        <v/>
      </c>
      <c r="H302" s="42">
        <f>ROUND(G302*H$6/12,2)</f>
        <v/>
      </c>
      <c r="I302" s="42">
        <f>MIN(I$6,G302+H302)</f>
        <v/>
      </c>
      <c r="J302" s="42">
        <f>MAX(0,MIN(G302+H302-I302,$F302))</f>
        <v/>
      </c>
      <c r="K302" s="42">
        <f>ROUND(G302+H302-I302-J302,2)</f>
        <v/>
      </c>
      <c r="L302">
        <f>$F302-J302</f>
        <v/>
      </c>
      <c r="M302" s="42">
        <f>Q301</f>
        <v/>
      </c>
      <c r="N302" s="42">
        <f>ROUND(M302*N$6/12,2)</f>
        <v/>
      </c>
      <c r="O302" s="42">
        <f>MIN(O$6,M302+N302)</f>
        <v/>
      </c>
      <c r="P302" s="42">
        <f>MAX(0,MIN(M302+N302-O302,L302))</f>
        <v/>
      </c>
      <c r="Q302" s="42">
        <f>ROUND(M302+N302-O302-P302,2)</f>
        <v/>
      </c>
      <c r="R302">
        <f>L302-P302</f>
        <v/>
      </c>
      <c r="S302" s="42">
        <f>W301</f>
        <v/>
      </c>
      <c r="T302" s="42">
        <f>ROUND(S302*T$6/12,2)</f>
        <v/>
      </c>
      <c r="U302" s="42">
        <f>MIN(U$6,S302+T302)</f>
        <v/>
      </c>
      <c r="V302" s="42">
        <f>MAX(0,MIN(S302+T302-U302,R302))</f>
        <v/>
      </c>
      <c r="W302" s="42">
        <f>ROUND(S302+T302-U302-V302,2)</f>
        <v/>
      </c>
      <c r="X302">
        <f>R302-V302</f>
        <v/>
      </c>
      <c r="Y302" s="42">
        <f>AC301</f>
        <v/>
      </c>
      <c r="Z302" s="42">
        <f>ROUND(Y302*Z$6/12,2)</f>
        <v/>
      </c>
      <c r="AA302" s="42">
        <f>MIN(AA$6,Y302+Z302)</f>
        <v/>
      </c>
      <c r="AB302" s="42">
        <f>MAX(0,MIN(Y302+Z302-AA302,X302))</f>
        <v/>
      </c>
      <c r="AC302" s="42">
        <f>ROUND(Y302+Z302-AA302-AB302,2)</f>
        <v/>
      </c>
      <c r="AD302">
        <f>X302-AB302</f>
        <v/>
      </c>
      <c r="AE302" s="42">
        <f>AI301</f>
        <v/>
      </c>
      <c r="AF302" s="42">
        <f>ROUND(AE302*AF$6/12,2)</f>
        <v/>
      </c>
      <c r="AG302" s="42">
        <f>MIN(AG$6,AE302+AF302)</f>
        <v/>
      </c>
      <c r="AH302" s="42">
        <f>MAX(0,MIN(AE302+AF302-AG302,AD302))</f>
        <v/>
      </c>
      <c r="AI302" s="42">
        <f>ROUND(AE302+AF302-AG302-AH302,2)</f>
        <v/>
      </c>
      <c r="AJ302">
        <f>AD302-AH302</f>
        <v/>
      </c>
      <c r="AK302" s="42">
        <f>AO301</f>
        <v/>
      </c>
      <c r="AL302" s="42">
        <f>ROUND(AK302*AL$6/12,2)</f>
        <v/>
      </c>
      <c r="AM302" s="42">
        <f>MIN(AM$6,AK302+AL302)</f>
        <v/>
      </c>
      <c r="AN302" s="42">
        <f>MAX(0,MIN(AK302+AL302-AM302,AJ302))</f>
        <v/>
      </c>
      <c r="AO302" s="42">
        <f>ROUND(AK302+AL302-AM302-AN302,2)</f>
        <v/>
      </c>
      <c r="AP302">
        <f>AJ302-AN302</f>
        <v/>
      </c>
      <c r="AQ302" s="42">
        <f>AU301</f>
        <v/>
      </c>
      <c r="AR302" s="42">
        <f>ROUND(AQ302*AR$6/12,2)</f>
        <v/>
      </c>
      <c r="AS302" s="42">
        <f>MIN(AS$6,AQ302+AR302)</f>
        <v/>
      </c>
      <c r="AT302" s="42">
        <f>MAX(0,MIN(AQ302+AR302-AS302,AP302))</f>
        <v/>
      </c>
      <c r="AU302" s="42">
        <f>ROUND(AQ302+AR302-AS302-AT302,2)</f>
        <v/>
      </c>
      <c r="AV302">
        <f>AP302-AT302</f>
        <v/>
      </c>
      <c r="AW302" s="42">
        <f>BA301</f>
        <v/>
      </c>
      <c r="AX302" s="42">
        <f>ROUND(AW302*AX$6/12,2)</f>
        <v/>
      </c>
      <c r="AY302" s="42">
        <f>MIN(AY$6,AW302+AX302)</f>
        <v/>
      </c>
      <c r="AZ302" s="42">
        <f>MAX(0,MIN(AW302+AX302-AY302,AV302))</f>
        <v/>
      </c>
      <c r="BA302" s="42">
        <f>ROUND(AW302+AX302-AY302-AZ302,2)</f>
        <v/>
      </c>
      <c r="BB302">
        <f>AV302-AZ302</f>
        <v/>
      </c>
      <c r="BC302" s="42">
        <f>BG301</f>
        <v/>
      </c>
      <c r="BD302" s="42">
        <f>ROUND(BC302*BD$6/12,2)</f>
        <v/>
      </c>
      <c r="BE302" s="42">
        <f>MIN(BE$6,BC302+BD302)</f>
        <v/>
      </c>
      <c r="BF302" s="42">
        <f>MAX(0,MIN(BC302+BD302-BE302,BB302))</f>
        <v/>
      </c>
      <c r="BG302" s="42">
        <f>ROUND(BC302+BD302-BE302-BF302,2)</f>
        <v/>
      </c>
      <c r="BH302">
        <f>BB302-BF302</f>
        <v/>
      </c>
      <c r="BI302" s="42">
        <f>BM301</f>
        <v/>
      </c>
      <c r="BJ302" s="42">
        <f>ROUND(BI302*BJ$6/12,2)</f>
        <v/>
      </c>
      <c r="BK302" s="42">
        <f>MIN(BK$6,BI302+BJ302)</f>
        <v/>
      </c>
      <c r="BL302" s="42">
        <f>MAX(0,MIN(BI302+BJ302-BK302,BH302))</f>
        <v/>
      </c>
      <c r="BM302" s="42">
        <f>ROUND(BI302+BJ302-BK302-BL302,2)</f>
        <v/>
      </c>
      <c r="BN302">
        <f>BH302-BL302</f>
        <v/>
      </c>
    </row>
    <row r="303">
      <c r="A303" s="43" t="n">
        <v>296</v>
      </c>
      <c r="B303" s="44">
        <f>EDATE('My Debts'!$C$6,A303-1)</f>
        <v/>
      </c>
      <c r="C303" s="45">
        <f>K303+Q303+W303+AC303+AI303+AO303+AU303+BA303+BG303+BM303</f>
        <v/>
      </c>
      <c r="D303" s="46">
        <f>I303+O303+U303+AA303+AG303+AM303+AS303+AY303+BE303+BK303+J303+P303+V303+AB303+AH303+AN303+AT303+AZ303+BF303+BL303</f>
        <v/>
      </c>
      <c r="E303" s="46">
        <f>H303+N303+T303+Z303+AF303+AL303+AR303+AX303+BD303+BJ303</f>
        <v/>
      </c>
      <c r="F303" t="n">
        <v>0</v>
      </c>
      <c r="G303" s="42">
        <f>K302</f>
        <v/>
      </c>
      <c r="H303" s="42">
        <f>ROUND(G303*H$6/12,2)</f>
        <v/>
      </c>
      <c r="I303" s="42">
        <f>MIN(I$6,G303+H303)</f>
        <v/>
      </c>
      <c r="J303" s="42">
        <f>MAX(0,MIN(G303+H303-I303,$F303))</f>
        <v/>
      </c>
      <c r="K303" s="42">
        <f>ROUND(G303+H303-I303-J303,2)</f>
        <v/>
      </c>
      <c r="L303">
        <f>$F303-J303</f>
        <v/>
      </c>
      <c r="M303" s="42">
        <f>Q302</f>
        <v/>
      </c>
      <c r="N303" s="42">
        <f>ROUND(M303*N$6/12,2)</f>
        <v/>
      </c>
      <c r="O303" s="42">
        <f>MIN(O$6,M303+N303)</f>
        <v/>
      </c>
      <c r="P303" s="42">
        <f>MAX(0,MIN(M303+N303-O303,L303))</f>
        <v/>
      </c>
      <c r="Q303" s="42">
        <f>ROUND(M303+N303-O303-P303,2)</f>
        <v/>
      </c>
      <c r="R303">
        <f>L303-P303</f>
        <v/>
      </c>
      <c r="S303" s="42">
        <f>W302</f>
        <v/>
      </c>
      <c r="T303" s="42">
        <f>ROUND(S303*T$6/12,2)</f>
        <v/>
      </c>
      <c r="U303" s="42">
        <f>MIN(U$6,S303+T303)</f>
        <v/>
      </c>
      <c r="V303" s="42">
        <f>MAX(0,MIN(S303+T303-U303,R303))</f>
        <v/>
      </c>
      <c r="W303" s="42">
        <f>ROUND(S303+T303-U303-V303,2)</f>
        <v/>
      </c>
      <c r="X303">
        <f>R303-V303</f>
        <v/>
      </c>
      <c r="Y303" s="42">
        <f>AC302</f>
        <v/>
      </c>
      <c r="Z303" s="42">
        <f>ROUND(Y303*Z$6/12,2)</f>
        <v/>
      </c>
      <c r="AA303" s="42">
        <f>MIN(AA$6,Y303+Z303)</f>
        <v/>
      </c>
      <c r="AB303" s="42">
        <f>MAX(0,MIN(Y303+Z303-AA303,X303))</f>
        <v/>
      </c>
      <c r="AC303" s="42">
        <f>ROUND(Y303+Z303-AA303-AB303,2)</f>
        <v/>
      </c>
      <c r="AD303">
        <f>X303-AB303</f>
        <v/>
      </c>
      <c r="AE303" s="42">
        <f>AI302</f>
        <v/>
      </c>
      <c r="AF303" s="42">
        <f>ROUND(AE303*AF$6/12,2)</f>
        <v/>
      </c>
      <c r="AG303" s="42">
        <f>MIN(AG$6,AE303+AF303)</f>
        <v/>
      </c>
      <c r="AH303" s="42">
        <f>MAX(0,MIN(AE303+AF303-AG303,AD303))</f>
        <v/>
      </c>
      <c r="AI303" s="42">
        <f>ROUND(AE303+AF303-AG303-AH303,2)</f>
        <v/>
      </c>
      <c r="AJ303">
        <f>AD303-AH303</f>
        <v/>
      </c>
      <c r="AK303" s="42">
        <f>AO302</f>
        <v/>
      </c>
      <c r="AL303" s="42">
        <f>ROUND(AK303*AL$6/12,2)</f>
        <v/>
      </c>
      <c r="AM303" s="42">
        <f>MIN(AM$6,AK303+AL303)</f>
        <v/>
      </c>
      <c r="AN303" s="42">
        <f>MAX(0,MIN(AK303+AL303-AM303,AJ303))</f>
        <v/>
      </c>
      <c r="AO303" s="42">
        <f>ROUND(AK303+AL303-AM303-AN303,2)</f>
        <v/>
      </c>
      <c r="AP303">
        <f>AJ303-AN303</f>
        <v/>
      </c>
      <c r="AQ303" s="42">
        <f>AU302</f>
        <v/>
      </c>
      <c r="AR303" s="42">
        <f>ROUND(AQ303*AR$6/12,2)</f>
        <v/>
      </c>
      <c r="AS303" s="42">
        <f>MIN(AS$6,AQ303+AR303)</f>
        <v/>
      </c>
      <c r="AT303" s="42">
        <f>MAX(0,MIN(AQ303+AR303-AS303,AP303))</f>
        <v/>
      </c>
      <c r="AU303" s="42">
        <f>ROUND(AQ303+AR303-AS303-AT303,2)</f>
        <v/>
      </c>
      <c r="AV303">
        <f>AP303-AT303</f>
        <v/>
      </c>
      <c r="AW303" s="42">
        <f>BA302</f>
        <v/>
      </c>
      <c r="AX303" s="42">
        <f>ROUND(AW303*AX$6/12,2)</f>
        <v/>
      </c>
      <c r="AY303" s="42">
        <f>MIN(AY$6,AW303+AX303)</f>
        <v/>
      </c>
      <c r="AZ303" s="42">
        <f>MAX(0,MIN(AW303+AX303-AY303,AV303))</f>
        <v/>
      </c>
      <c r="BA303" s="42">
        <f>ROUND(AW303+AX303-AY303-AZ303,2)</f>
        <v/>
      </c>
      <c r="BB303">
        <f>AV303-AZ303</f>
        <v/>
      </c>
      <c r="BC303" s="42">
        <f>BG302</f>
        <v/>
      </c>
      <c r="BD303" s="42">
        <f>ROUND(BC303*BD$6/12,2)</f>
        <v/>
      </c>
      <c r="BE303" s="42">
        <f>MIN(BE$6,BC303+BD303)</f>
        <v/>
      </c>
      <c r="BF303" s="42">
        <f>MAX(0,MIN(BC303+BD303-BE303,BB303))</f>
        <v/>
      </c>
      <c r="BG303" s="42">
        <f>ROUND(BC303+BD303-BE303-BF303,2)</f>
        <v/>
      </c>
      <c r="BH303">
        <f>BB303-BF303</f>
        <v/>
      </c>
      <c r="BI303" s="42">
        <f>BM302</f>
        <v/>
      </c>
      <c r="BJ303" s="42">
        <f>ROUND(BI303*BJ$6/12,2)</f>
        <v/>
      </c>
      <c r="BK303" s="42">
        <f>MIN(BK$6,BI303+BJ303)</f>
        <v/>
      </c>
      <c r="BL303" s="42">
        <f>MAX(0,MIN(BI303+BJ303-BK303,BH303))</f>
        <v/>
      </c>
      <c r="BM303" s="42">
        <f>ROUND(BI303+BJ303-BK303-BL303,2)</f>
        <v/>
      </c>
      <c r="BN303">
        <f>BH303-BL303</f>
        <v/>
      </c>
    </row>
    <row r="304">
      <c r="A304" s="39" t="n">
        <v>297</v>
      </c>
      <c r="B304" s="40">
        <f>EDATE('My Debts'!$C$6,A304-1)</f>
        <v/>
      </c>
      <c r="C304" s="41">
        <f>K304+Q304+W304+AC304+AI304+AO304+AU304+BA304+BG304+BM304</f>
        <v/>
      </c>
      <c r="D304" s="42">
        <f>I304+O304+U304+AA304+AG304+AM304+AS304+AY304+BE304+BK304+J304+P304+V304+AB304+AH304+AN304+AT304+AZ304+BF304+BL304</f>
        <v/>
      </c>
      <c r="E304" s="42">
        <f>H304+N304+T304+Z304+AF304+AL304+AR304+AX304+BD304+BJ304</f>
        <v/>
      </c>
      <c r="F304" t="n">
        <v>0</v>
      </c>
      <c r="G304" s="42">
        <f>K303</f>
        <v/>
      </c>
      <c r="H304" s="42">
        <f>ROUND(G304*H$6/12,2)</f>
        <v/>
      </c>
      <c r="I304" s="42">
        <f>MIN(I$6,G304+H304)</f>
        <v/>
      </c>
      <c r="J304" s="42">
        <f>MAX(0,MIN(G304+H304-I304,$F304))</f>
        <v/>
      </c>
      <c r="K304" s="42">
        <f>ROUND(G304+H304-I304-J304,2)</f>
        <v/>
      </c>
      <c r="L304">
        <f>$F304-J304</f>
        <v/>
      </c>
      <c r="M304" s="42">
        <f>Q303</f>
        <v/>
      </c>
      <c r="N304" s="42">
        <f>ROUND(M304*N$6/12,2)</f>
        <v/>
      </c>
      <c r="O304" s="42">
        <f>MIN(O$6,M304+N304)</f>
        <v/>
      </c>
      <c r="P304" s="42">
        <f>MAX(0,MIN(M304+N304-O304,L304))</f>
        <v/>
      </c>
      <c r="Q304" s="42">
        <f>ROUND(M304+N304-O304-P304,2)</f>
        <v/>
      </c>
      <c r="R304">
        <f>L304-P304</f>
        <v/>
      </c>
      <c r="S304" s="42">
        <f>W303</f>
        <v/>
      </c>
      <c r="T304" s="42">
        <f>ROUND(S304*T$6/12,2)</f>
        <v/>
      </c>
      <c r="U304" s="42">
        <f>MIN(U$6,S304+T304)</f>
        <v/>
      </c>
      <c r="V304" s="42">
        <f>MAX(0,MIN(S304+T304-U304,R304))</f>
        <v/>
      </c>
      <c r="W304" s="42">
        <f>ROUND(S304+T304-U304-V304,2)</f>
        <v/>
      </c>
      <c r="X304">
        <f>R304-V304</f>
        <v/>
      </c>
      <c r="Y304" s="42">
        <f>AC303</f>
        <v/>
      </c>
      <c r="Z304" s="42">
        <f>ROUND(Y304*Z$6/12,2)</f>
        <v/>
      </c>
      <c r="AA304" s="42">
        <f>MIN(AA$6,Y304+Z304)</f>
        <v/>
      </c>
      <c r="AB304" s="42">
        <f>MAX(0,MIN(Y304+Z304-AA304,X304))</f>
        <v/>
      </c>
      <c r="AC304" s="42">
        <f>ROUND(Y304+Z304-AA304-AB304,2)</f>
        <v/>
      </c>
      <c r="AD304">
        <f>X304-AB304</f>
        <v/>
      </c>
      <c r="AE304" s="42">
        <f>AI303</f>
        <v/>
      </c>
      <c r="AF304" s="42">
        <f>ROUND(AE304*AF$6/12,2)</f>
        <v/>
      </c>
      <c r="AG304" s="42">
        <f>MIN(AG$6,AE304+AF304)</f>
        <v/>
      </c>
      <c r="AH304" s="42">
        <f>MAX(0,MIN(AE304+AF304-AG304,AD304))</f>
        <v/>
      </c>
      <c r="AI304" s="42">
        <f>ROUND(AE304+AF304-AG304-AH304,2)</f>
        <v/>
      </c>
      <c r="AJ304">
        <f>AD304-AH304</f>
        <v/>
      </c>
      <c r="AK304" s="42">
        <f>AO303</f>
        <v/>
      </c>
      <c r="AL304" s="42">
        <f>ROUND(AK304*AL$6/12,2)</f>
        <v/>
      </c>
      <c r="AM304" s="42">
        <f>MIN(AM$6,AK304+AL304)</f>
        <v/>
      </c>
      <c r="AN304" s="42">
        <f>MAX(0,MIN(AK304+AL304-AM304,AJ304))</f>
        <v/>
      </c>
      <c r="AO304" s="42">
        <f>ROUND(AK304+AL304-AM304-AN304,2)</f>
        <v/>
      </c>
      <c r="AP304">
        <f>AJ304-AN304</f>
        <v/>
      </c>
      <c r="AQ304" s="42">
        <f>AU303</f>
        <v/>
      </c>
      <c r="AR304" s="42">
        <f>ROUND(AQ304*AR$6/12,2)</f>
        <v/>
      </c>
      <c r="AS304" s="42">
        <f>MIN(AS$6,AQ304+AR304)</f>
        <v/>
      </c>
      <c r="AT304" s="42">
        <f>MAX(0,MIN(AQ304+AR304-AS304,AP304))</f>
        <v/>
      </c>
      <c r="AU304" s="42">
        <f>ROUND(AQ304+AR304-AS304-AT304,2)</f>
        <v/>
      </c>
      <c r="AV304">
        <f>AP304-AT304</f>
        <v/>
      </c>
      <c r="AW304" s="42">
        <f>BA303</f>
        <v/>
      </c>
      <c r="AX304" s="42">
        <f>ROUND(AW304*AX$6/12,2)</f>
        <v/>
      </c>
      <c r="AY304" s="42">
        <f>MIN(AY$6,AW304+AX304)</f>
        <v/>
      </c>
      <c r="AZ304" s="42">
        <f>MAX(0,MIN(AW304+AX304-AY304,AV304))</f>
        <v/>
      </c>
      <c r="BA304" s="42">
        <f>ROUND(AW304+AX304-AY304-AZ304,2)</f>
        <v/>
      </c>
      <c r="BB304">
        <f>AV304-AZ304</f>
        <v/>
      </c>
      <c r="BC304" s="42">
        <f>BG303</f>
        <v/>
      </c>
      <c r="BD304" s="42">
        <f>ROUND(BC304*BD$6/12,2)</f>
        <v/>
      </c>
      <c r="BE304" s="42">
        <f>MIN(BE$6,BC304+BD304)</f>
        <v/>
      </c>
      <c r="BF304" s="42">
        <f>MAX(0,MIN(BC304+BD304-BE304,BB304))</f>
        <v/>
      </c>
      <c r="BG304" s="42">
        <f>ROUND(BC304+BD304-BE304-BF304,2)</f>
        <v/>
      </c>
      <c r="BH304">
        <f>BB304-BF304</f>
        <v/>
      </c>
      <c r="BI304" s="42">
        <f>BM303</f>
        <v/>
      </c>
      <c r="BJ304" s="42">
        <f>ROUND(BI304*BJ$6/12,2)</f>
        <v/>
      </c>
      <c r="BK304" s="42">
        <f>MIN(BK$6,BI304+BJ304)</f>
        <v/>
      </c>
      <c r="BL304" s="42">
        <f>MAX(0,MIN(BI304+BJ304-BK304,BH304))</f>
        <v/>
      </c>
      <c r="BM304" s="42">
        <f>ROUND(BI304+BJ304-BK304-BL304,2)</f>
        <v/>
      </c>
      <c r="BN304">
        <f>BH304-BL304</f>
        <v/>
      </c>
    </row>
    <row r="305">
      <c r="A305" s="43" t="n">
        <v>298</v>
      </c>
      <c r="B305" s="44">
        <f>EDATE('My Debts'!$C$6,A305-1)</f>
        <v/>
      </c>
      <c r="C305" s="45">
        <f>K305+Q305+W305+AC305+AI305+AO305+AU305+BA305+BG305+BM305</f>
        <v/>
      </c>
      <c r="D305" s="46">
        <f>I305+O305+U305+AA305+AG305+AM305+AS305+AY305+BE305+BK305+J305+P305+V305+AB305+AH305+AN305+AT305+AZ305+BF305+BL305</f>
        <v/>
      </c>
      <c r="E305" s="46">
        <f>H305+N305+T305+Z305+AF305+AL305+AR305+AX305+BD305+BJ305</f>
        <v/>
      </c>
      <c r="F305" t="n">
        <v>0</v>
      </c>
      <c r="G305" s="42">
        <f>K304</f>
        <v/>
      </c>
      <c r="H305" s="42">
        <f>ROUND(G305*H$6/12,2)</f>
        <v/>
      </c>
      <c r="I305" s="42">
        <f>MIN(I$6,G305+H305)</f>
        <v/>
      </c>
      <c r="J305" s="42">
        <f>MAX(0,MIN(G305+H305-I305,$F305))</f>
        <v/>
      </c>
      <c r="K305" s="42">
        <f>ROUND(G305+H305-I305-J305,2)</f>
        <v/>
      </c>
      <c r="L305">
        <f>$F305-J305</f>
        <v/>
      </c>
      <c r="M305" s="42">
        <f>Q304</f>
        <v/>
      </c>
      <c r="N305" s="42">
        <f>ROUND(M305*N$6/12,2)</f>
        <v/>
      </c>
      <c r="O305" s="42">
        <f>MIN(O$6,M305+N305)</f>
        <v/>
      </c>
      <c r="P305" s="42">
        <f>MAX(0,MIN(M305+N305-O305,L305))</f>
        <v/>
      </c>
      <c r="Q305" s="42">
        <f>ROUND(M305+N305-O305-P305,2)</f>
        <v/>
      </c>
      <c r="R305">
        <f>L305-P305</f>
        <v/>
      </c>
      <c r="S305" s="42">
        <f>W304</f>
        <v/>
      </c>
      <c r="T305" s="42">
        <f>ROUND(S305*T$6/12,2)</f>
        <v/>
      </c>
      <c r="U305" s="42">
        <f>MIN(U$6,S305+T305)</f>
        <v/>
      </c>
      <c r="V305" s="42">
        <f>MAX(0,MIN(S305+T305-U305,R305))</f>
        <v/>
      </c>
      <c r="W305" s="42">
        <f>ROUND(S305+T305-U305-V305,2)</f>
        <v/>
      </c>
      <c r="X305">
        <f>R305-V305</f>
        <v/>
      </c>
      <c r="Y305" s="42">
        <f>AC304</f>
        <v/>
      </c>
      <c r="Z305" s="42">
        <f>ROUND(Y305*Z$6/12,2)</f>
        <v/>
      </c>
      <c r="AA305" s="42">
        <f>MIN(AA$6,Y305+Z305)</f>
        <v/>
      </c>
      <c r="AB305" s="42">
        <f>MAX(0,MIN(Y305+Z305-AA305,X305))</f>
        <v/>
      </c>
      <c r="AC305" s="42">
        <f>ROUND(Y305+Z305-AA305-AB305,2)</f>
        <v/>
      </c>
      <c r="AD305">
        <f>X305-AB305</f>
        <v/>
      </c>
      <c r="AE305" s="42">
        <f>AI304</f>
        <v/>
      </c>
      <c r="AF305" s="42">
        <f>ROUND(AE305*AF$6/12,2)</f>
        <v/>
      </c>
      <c r="AG305" s="42">
        <f>MIN(AG$6,AE305+AF305)</f>
        <v/>
      </c>
      <c r="AH305" s="42">
        <f>MAX(0,MIN(AE305+AF305-AG305,AD305))</f>
        <v/>
      </c>
      <c r="AI305" s="42">
        <f>ROUND(AE305+AF305-AG305-AH305,2)</f>
        <v/>
      </c>
      <c r="AJ305">
        <f>AD305-AH305</f>
        <v/>
      </c>
      <c r="AK305" s="42">
        <f>AO304</f>
        <v/>
      </c>
      <c r="AL305" s="42">
        <f>ROUND(AK305*AL$6/12,2)</f>
        <v/>
      </c>
      <c r="AM305" s="42">
        <f>MIN(AM$6,AK305+AL305)</f>
        <v/>
      </c>
      <c r="AN305" s="42">
        <f>MAX(0,MIN(AK305+AL305-AM305,AJ305))</f>
        <v/>
      </c>
      <c r="AO305" s="42">
        <f>ROUND(AK305+AL305-AM305-AN305,2)</f>
        <v/>
      </c>
      <c r="AP305">
        <f>AJ305-AN305</f>
        <v/>
      </c>
      <c r="AQ305" s="42">
        <f>AU304</f>
        <v/>
      </c>
      <c r="AR305" s="42">
        <f>ROUND(AQ305*AR$6/12,2)</f>
        <v/>
      </c>
      <c r="AS305" s="42">
        <f>MIN(AS$6,AQ305+AR305)</f>
        <v/>
      </c>
      <c r="AT305" s="42">
        <f>MAX(0,MIN(AQ305+AR305-AS305,AP305))</f>
        <v/>
      </c>
      <c r="AU305" s="42">
        <f>ROUND(AQ305+AR305-AS305-AT305,2)</f>
        <v/>
      </c>
      <c r="AV305">
        <f>AP305-AT305</f>
        <v/>
      </c>
      <c r="AW305" s="42">
        <f>BA304</f>
        <v/>
      </c>
      <c r="AX305" s="42">
        <f>ROUND(AW305*AX$6/12,2)</f>
        <v/>
      </c>
      <c r="AY305" s="42">
        <f>MIN(AY$6,AW305+AX305)</f>
        <v/>
      </c>
      <c r="AZ305" s="42">
        <f>MAX(0,MIN(AW305+AX305-AY305,AV305))</f>
        <v/>
      </c>
      <c r="BA305" s="42">
        <f>ROUND(AW305+AX305-AY305-AZ305,2)</f>
        <v/>
      </c>
      <c r="BB305">
        <f>AV305-AZ305</f>
        <v/>
      </c>
      <c r="BC305" s="42">
        <f>BG304</f>
        <v/>
      </c>
      <c r="BD305" s="42">
        <f>ROUND(BC305*BD$6/12,2)</f>
        <v/>
      </c>
      <c r="BE305" s="42">
        <f>MIN(BE$6,BC305+BD305)</f>
        <v/>
      </c>
      <c r="BF305" s="42">
        <f>MAX(0,MIN(BC305+BD305-BE305,BB305))</f>
        <v/>
      </c>
      <c r="BG305" s="42">
        <f>ROUND(BC305+BD305-BE305-BF305,2)</f>
        <v/>
      </c>
      <c r="BH305">
        <f>BB305-BF305</f>
        <v/>
      </c>
      <c r="BI305" s="42">
        <f>BM304</f>
        <v/>
      </c>
      <c r="BJ305" s="42">
        <f>ROUND(BI305*BJ$6/12,2)</f>
        <v/>
      </c>
      <c r="BK305" s="42">
        <f>MIN(BK$6,BI305+BJ305)</f>
        <v/>
      </c>
      <c r="BL305" s="42">
        <f>MAX(0,MIN(BI305+BJ305-BK305,BH305))</f>
        <v/>
      </c>
      <c r="BM305" s="42">
        <f>ROUND(BI305+BJ305-BK305-BL305,2)</f>
        <v/>
      </c>
      <c r="BN305">
        <f>BH305-BL305</f>
        <v/>
      </c>
    </row>
    <row r="306">
      <c r="A306" s="39" t="n">
        <v>299</v>
      </c>
      <c r="B306" s="40">
        <f>EDATE('My Debts'!$C$6,A306-1)</f>
        <v/>
      </c>
      <c r="C306" s="41">
        <f>K306+Q306+W306+AC306+AI306+AO306+AU306+BA306+BG306+BM306</f>
        <v/>
      </c>
      <c r="D306" s="42">
        <f>I306+O306+U306+AA306+AG306+AM306+AS306+AY306+BE306+BK306+J306+P306+V306+AB306+AH306+AN306+AT306+AZ306+BF306+BL306</f>
        <v/>
      </c>
      <c r="E306" s="42">
        <f>H306+N306+T306+Z306+AF306+AL306+AR306+AX306+BD306+BJ306</f>
        <v/>
      </c>
      <c r="F306" t="n">
        <v>0</v>
      </c>
      <c r="G306" s="42">
        <f>K305</f>
        <v/>
      </c>
      <c r="H306" s="42">
        <f>ROUND(G306*H$6/12,2)</f>
        <v/>
      </c>
      <c r="I306" s="42">
        <f>MIN(I$6,G306+H306)</f>
        <v/>
      </c>
      <c r="J306" s="42">
        <f>MAX(0,MIN(G306+H306-I306,$F306))</f>
        <v/>
      </c>
      <c r="K306" s="42">
        <f>ROUND(G306+H306-I306-J306,2)</f>
        <v/>
      </c>
      <c r="L306">
        <f>$F306-J306</f>
        <v/>
      </c>
      <c r="M306" s="42">
        <f>Q305</f>
        <v/>
      </c>
      <c r="N306" s="42">
        <f>ROUND(M306*N$6/12,2)</f>
        <v/>
      </c>
      <c r="O306" s="42">
        <f>MIN(O$6,M306+N306)</f>
        <v/>
      </c>
      <c r="P306" s="42">
        <f>MAX(0,MIN(M306+N306-O306,L306))</f>
        <v/>
      </c>
      <c r="Q306" s="42">
        <f>ROUND(M306+N306-O306-P306,2)</f>
        <v/>
      </c>
      <c r="R306">
        <f>L306-P306</f>
        <v/>
      </c>
      <c r="S306" s="42">
        <f>W305</f>
        <v/>
      </c>
      <c r="T306" s="42">
        <f>ROUND(S306*T$6/12,2)</f>
        <v/>
      </c>
      <c r="U306" s="42">
        <f>MIN(U$6,S306+T306)</f>
        <v/>
      </c>
      <c r="V306" s="42">
        <f>MAX(0,MIN(S306+T306-U306,R306))</f>
        <v/>
      </c>
      <c r="W306" s="42">
        <f>ROUND(S306+T306-U306-V306,2)</f>
        <v/>
      </c>
      <c r="X306">
        <f>R306-V306</f>
        <v/>
      </c>
      <c r="Y306" s="42">
        <f>AC305</f>
        <v/>
      </c>
      <c r="Z306" s="42">
        <f>ROUND(Y306*Z$6/12,2)</f>
        <v/>
      </c>
      <c r="AA306" s="42">
        <f>MIN(AA$6,Y306+Z306)</f>
        <v/>
      </c>
      <c r="AB306" s="42">
        <f>MAX(0,MIN(Y306+Z306-AA306,X306))</f>
        <v/>
      </c>
      <c r="AC306" s="42">
        <f>ROUND(Y306+Z306-AA306-AB306,2)</f>
        <v/>
      </c>
      <c r="AD306">
        <f>X306-AB306</f>
        <v/>
      </c>
      <c r="AE306" s="42">
        <f>AI305</f>
        <v/>
      </c>
      <c r="AF306" s="42">
        <f>ROUND(AE306*AF$6/12,2)</f>
        <v/>
      </c>
      <c r="AG306" s="42">
        <f>MIN(AG$6,AE306+AF306)</f>
        <v/>
      </c>
      <c r="AH306" s="42">
        <f>MAX(0,MIN(AE306+AF306-AG306,AD306))</f>
        <v/>
      </c>
      <c r="AI306" s="42">
        <f>ROUND(AE306+AF306-AG306-AH306,2)</f>
        <v/>
      </c>
      <c r="AJ306">
        <f>AD306-AH306</f>
        <v/>
      </c>
      <c r="AK306" s="42">
        <f>AO305</f>
        <v/>
      </c>
      <c r="AL306" s="42">
        <f>ROUND(AK306*AL$6/12,2)</f>
        <v/>
      </c>
      <c r="AM306" s="42">
        <f>MIN(AM$6,AK306+AL306)</f>
        <v/>
      </c>
      <c r="AN306" s="42">
        <f>MAX(0,MIN(AK306+AL306-AM306,AJ306))</f>
        <v/>
      </c>
      <c r="AO306" s="42">
        <f>ROUND(AK306+AL306-AM306-AN306,2)</f>
        <v/>
      </c>
      <c r="AP306">
        <f>AJ306-AN306</f>
        <v/>
      </c>
      <c r="AQ306" s="42">
        <f>AU305</f>
        <v/>
      </c>
      <c r="AR306" s="42">
        <f>ROUND(AQ306*AR$6/12,2)</f>
        <v/>
      </c>
      <c r="AS306" s="42">
        <f>MIN(AS$6,AQ306+AR306)</f>
        <v/>
      </c>
      <c r="AT306" s="42">
        <f>MAX(0,MIN(AQ306+AR306-AS306,AP306))</f>
        <v/>
      </c>
      <c r="AU306" s="42">
        <f>ROUND(AQ306+AR306-AS306-AT306,2)</f>
        <v/>
      </c>
      <c r="AV306">
        <f>AP306-AT306</f>
        <v/>
      </c>
      <c r="AW306" s="42">
        <f>BA305</f>
        <v/>
      </c>
      <c r="AX306" s="42">
        <f>ROUND(AW306*AX$6/12,2)</f>
        <v/>
      </c>
      <c r="AY306" s="42">
        <f>MIN(AY$6,AW306+AX306)</f>
        <v/>
      </c>
      <c r="AZ306" s="42">
        <f>MAX(0,MIN(AW306+AX306-AY306,AV306))</f>
        <v/>
      </c>
      <c r="BA306" s="42">
        <f>ROUND(AW306+AX306-AY306-AZ306,2)</f>
        <v/>
      </c>
      <c r="BB306">
        <f>AV306-AZ306</f>
        <v/>
      </c>
      <c r="BC306" s="42">
        <f>BG305</f>
        <v/>
      </c>
      <c r="BD306" s="42">
        <f>ROUND(BC306*BD$6/12,2)</f>
        <v/>
      </c>
      <c r="BE306" s="42">
        <f>MIN(BE$6,BC306+BD306)</f>
        <v/>
      </c>
      <c r="BF306" s="42">
        <f>MAX(0,MIN(BC306+BD306-BE306,BB306))</f>
        <v/>
      </c>
      <c r="BG306" s="42">
        <f>ROUND(BC306+BD306-BE306-BF306,2)</f>
        <v/>
      </c>
      <c r="BH306">
        <f>BB306-BF306</f>
        <v/>
      </c>
      <c r="BI306" s="42">
        <f>BM305</f>
        <v/>
      </c>
      <c r="BJ306" s="42">
        <f>ROUND(BI306*BJ$6/12,2)</f>
        <v/>
      </c>
      <c r="BK306" s="42">
        <f>MIN(BK$6,BI306+BJ306)</f>
        <v/>
      </c>
      <c r="BL306" s="42">
        <f>MAX(0,MIN(BI306+BJ306-BK306,BH306))</f>
        <v/>
      </c>
      <c r="BM306" s="42">
        <f>ROUND(BI306+BJ306-BK306-BL306,2)</f>
        <v/>
      </c>
      <c r="BN306">
        <f>BH306-BL306</f>
        <v/>
      </c>
    </row>
    <row r="307">
      <c r="A307" s="43" t="n">
        <v>300</v>
      </c>
      <c r="B307" s="44">
        <f>EDATE('My Debts'!$C$6,A307-1)</f>
        <v/>
      </c>
      <c r="C307" s="45">
        <f>K307+Q307+W307+AC307+AI307+AO307+AU307+BA307+BG307+BM307</f>
        <v/>
      </c>
      <c r="D307" s="46">
        <f>I307+O307+U307+AA307+AG307+AM307+AS307+AY307+BE307+BK307+J307+P307+V307+AB307+AH307+AN307+AT307+AZ307+BF307+BL307</f>
        <v/>
      </c>
      <c r="E307" s="46">
        <f>H307+N307+T307+Z307+AF307+AL307+AR307+AX307+BD307+BJ307</f>
        <v/>
      </c>
      <c r="F307" t="n">
        <v>0</v>
      </c>
      <c r="G307" s="42">
        <f>K306</f>
        <v/>
      </c>
      <c r="H307" s="42">
        <f>ROUND(G307*H$6/12,2)</f>
        <v/>
      </c>
      <c r="I307" s="42">
        <f>MIN(I$6,G307+H307)</f>
        <v/>
      </c>
      <c r="J307" s="42">
        <f>MAX(0,MIN(G307+H307-I307,$F307))</f>
        <v/>
      </c>
      <c r="K307" s="42">
        <f>ROUND(G307+H307-I307-J307,2)</f>
        <v/>
      </c>
      <c r="L307">
        <f>$F307-J307</f>
        <v/>
      </c>
      <c r="M307" s="42">
        <f>Q306</f>
        <v/>
      </c>
      <c r="N307" s="42">
        <f>ROUND(M307*N$6/12,2)</f>
        <v/>
      </c>
      <c r="O307" s="42">
        <f>MIN(O$6,M307+N307)</f>
        <v/>
      </c>
      <c r="P307" s="42">
        <f>MAX(0,MIN(M307+N307-O307,L307))</f>
        <v/>
      </c>
      <c r="Q307" s="42">
        <f>ROUND(M307+N307-O307-P307,2)</f>
        <v/>
      </c>
      <c r="R307">
        <f>L307-P307</f>
        <v/>
      </c>
      <c r="S307" s="42">
        <f>W306</f>
        <v/>
      </c>
      <c r="T307" s="42">
        <f>ROUND(S307*T$6/12,2)</f>
        <v/>
      </c>
      <c r="U307" s="42">
        <f>MIN(U$6,S307+T307)</f>
        <v/>
      </c>
      <c r="V307" s="42">
        <f>MAX(0,MIN(S307+T307-U307,R307))</f>
        <v/>
      </c>
      <c r="W307" s="42">
        <f>ROUND(S307+T307-U307-V307,2)</f>
        <v/>
      </c>
      <c r="X307">
        <f>R307-V307</f>
        <v/>
      </c>
      <c r="Y307" s="42">
        <f>AC306</f>
        <v/>
      </c>
      <c r="Z307" s="42">
        <f>ROUND(Y307*Z$6/12,2)</f>
        <v/>
      </c>
      <c r="AA307" s="42">
        <f>MIN(AA$6,Y307+Z307)</f>
        <v/>
      </c>
      <c r="AB307" s="42">
        <f>MAX(0,MIN(Y307+Z307-AA307,X307))</f>
        <v/>
      </c>
      <c r="AC307" s="42">
        <f>ROUND(Y307+Z307-AA307-AB307,2)</f>
        <v/>
      </c>
      <c r="AD307">
        <f>X307-AB307</f>
        <v/>
      </c>
      <c r="AE307" s="42">
        <f>AI306</f>
        <v/>
      </c>
      <c r="AF307" s="42">
        <f>ROUND(AE307*AF$6/12,2)</f>
        <v/>
      </c>
      <c r="AG307" s="42">
        <f>MIN(AG$6,AE307+AF307)</f>
        <v/>
      </c>
      <c r="AH307" s="42">
        <f>MAX(0,MIN(AE307+AF307-AG307,AD307))</f>
        <v/>
      </c>
      <c r="AI307" s="42">
        <f>ROUND(AE307+AF307-AG307-AH307,2)</f>
        <v/>
      </c>
      <c r="AJ307">
        <f>AD307-AH307</f>
        <v/>
      </c>
      <c r="AK307" s="42">
        <f>AO306</f>
        <v/>
      </c>
      <c r="AL307" s="42">
        <f>ROUND(AK307*AL$6/12,2)</f>
        <v/>
      </c>
      <c r="AM307" s="42">
        <f>MIN(AM$6,AK307+AL307)</f>
        <v/>
      </c>
      <c r="AN307" s="42">
        <f>MAX(0,MIN(AK307+AL307-AM307,AJ307))</f>
        <v/>
      </c>
      <c r="AO307" s="42">
        <f>ROUND(AK307+AL307-AM307-AN307,2)</f>
        <v/>
      </c>
      <c r="AP307">
        <f>AJ307-AN307</f>
        <v/>
      </c>
      <c r="AQ307" s="42">
        <f>AU306</f>
        <v/>
      </c>
      <c r="AR307" s="42">
        <f>ROUND(AQ307*AR$6/12,2)</f>
        <v/>
      </c>
      <c r="AS307" s="42">
        <f>MIN(AS$6,AQ307+AR307)</f>
        <v/>
      </c>
      <c r="AT307" s="42">
        <f>MAX(0,MIN(AQ307+AR307-AS307,AP307))</f>
        <v/>
      </c>
      <c r="AU307" s="42">
        <f>ROUND(AQ307+AR307-AS307-AT307,2)</f>
        <v/>
      </c>
      <c r="AV307">
        <f>AP307-AT307</f>
        <v/>
      </c>
      <c r="AW307" s="42">
        <f>BA306</f>
        <v/>
      </c>
      <c r="AX307" s="42">
        <f>ROUND(AW307*AX$6/12,2)</f>
        <v/>
      </c>
      <c r="AY307" s="42">
        <f>MIN(AY$6,AW307+AX307)</f>
        <v/>
      </c>
      <c r="AZ307" s="42">
        <f>MAX(0,MIN(AW307+AX307-AY307,AV307))</f>
        <v/>
      </c>
      <c r="BA307" s="42">
        <f>ROUND(AW307+AX307-AY307-AZ307,2)</f>
        <v/>
      </c>
      <c r="BB307">
        <f>AV307-AZ307</f>
        <v/>
      </c>
      <c r="BC307" s="42">
        <f>BG306</f>
        <v/>
      </c>
      <c r="BD307" s="42">
        <f>ROUND(BC307*BD$6/12,2)</f>
        <v/>
      </c>
      <c r="BE307" s="42">
        <f>MIN(BE$6,BC307+BD307)</f>
        <v/>
      </c>
      <c r="BF307" s="42">
        <f>MAX(0,MIN(BC307+BD307-BE307,BB307))</f>
        <v/>
      </c>
      <c r="BG307" s="42">
        <f>ROUND(BC307+BD307-BE307-BF307,2)</f>
        <v/>
      </c>
      <c r="BH307">
        <f>BB307-BF307</f>
        <v/>
      </c>
      <c r="BI307" s="42">
        <f>BM306</f>
        <v/>
      </c>
      <c r="BJ307" s="42">
        <f>ROUND(BI307*BJ$6/12,2)</f>
        <v/>
      </c>
      <c r="BK307" s="42">
        <f>MIN(BK$6,BI307+BJ307)</f>
        <v/>
      </c>
      <c r="BL307" s="42">
        <f>MAX(0,MIN(BI307+BJ307-BK307,BH307))</f>
        <v/>
      </c>
      <c r="BM307" s="42">
        <f>ROUND(BI307+BJ307-BK307-BL307,2)</f>
        <v/>
      </c>
      <c r="BN307">
        <f>BH307-BL307</f>
        <v/>
      </c>
    </row>
  </sheetData>
  <mergeCells count="10">
    <mergeCell ref="S5:W5"/>
    <mergeCell ref="AE5:AI5"/>
    <mergeCell ref="G5:K5"/>
    <mergeCell ref="Y5:AC5"/>
    <mergeCell ref="AK5:AO5"/>
    <mergeCell ref="AQ5:AU5"/>
    <mergeCell ref="BC5:BG5"/>
    <mergeCell ref="M5:Q5"/>
    <mergeCell ref="BI5:BM5"/>
    <mergeCell ref="AW5:BA5"/>
  </mergeCells>
  <conditionalFormatting sqref="A8:E307">
    <cfRule type="expression" priority="1" dxfId="0">
      <formula>$C8&lt;=0.005</formula>
    </cfRule>
  </conditionalFormatting>
  <printOptions horizontalCentered="1"/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DCE5EA"/>
    <outlinePr summaryBelow="1" summaryRight="1"/>
    <pageSetUpPr fitToPage="1"/>
  </sheetPr>
  <dimension ref="B2:F6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16" customWidth="1" min="4" max="4"/>
    <col width="14" customWidth="1" min="5" max="5"/>
    <col width="36" customWidth="1" min="6" max="6"/>
  </cols>
  <sheetData>
    <row r="1" ht="10" customHeight="1"/>
    <row r="2" ht="32" customHeight="1">
      <c r="B2" s="9" t="inlineStr">
        <is>
          <t>Progress log</t>
        </is>
      </c>
    </row>
    <row r="3">
      <c r="B3" s="10" t="inlineStr">
        <is>
          <t>Once a month, write down what you really owe. Watch it shrink.</t>
        </is>
      </c>
    </row>
    <row r="4" ht="8" customHeight="1">
      <c r="B4" s="11" t="n"/>
      <c r="C4" s="11" t="n"/>
      <c r="D4" s="11" t="n"/>
      <c r="E4" s="11" t="n"/>
      <c r="F4" s="11" t="n"/>
    </row>
    <row r="5">
      <c r="B5" s="12" t="inlineStr">
        <is>
          <t>Starting total</t>
        </is>
      </c>
      <c r="C5" s="21">
        <f>'My Debts'!C20</f>
        <v/>
      </c>
    </row>
    <row r="7" ht="30" customHeight="1">
      <c r="B7" s="17" t="inlineStr">
        <is>
          <t>Month</t>
        </is>
      </c>
      <c r="C7" s="17" t="inlineStr">
        <is>
          <t>Total you owe now</t>
        </is>
      </c>
      <c r="D7" s="17" t="inlineStr">
        <is>
          <t>Paid this month</t>
        </is>
      </c>
      <c r="E7" s="17" t="inlineStr">
        <is>
          <t>Progress</t>
        </is>
      </c>
      <c r="F7" s="17" t="inlineStr">
        <is>
          <t>Notes / wins</t>
        </is>
      </c>
    </row>
    <row r="8">
      <c r="B8" s="28">
        <f>EDATE('My Debts'!$C$6,0)</f>
        <v/>
      </c>
      <c r="C8" s="15" t="n"/>
      <c r="D8" s="15" t="n"/>
      <c r="E8" s="47">
        <f>IF(OR(C8="",$C$5&lt;=0),"",1-C8/$C$5)</f>
        <v/>
      </c>
      <c r="F8" s="16" t="n"/>
    </row>
    <row r="9">
      <c r="B9" s="28">
        <f>EDATE('My Debts'!$C$6,1)</f>
        <v/>
      </c>
      <c r="C9" s="15" t="n"/>
      <c r="D9" s="15" t="n"/>
      <c r="E9" s="47">
        <f>IF(OR(C9="",$C$5&lt;=0),"",1-C9/$C$5)</f>
        <v/>
      </c>
      <c r="F9" s="16" t="n"/>
    </row>
    <row r="10">
      <c r="B10" s="28">
        <f>EDATE('My Debts'!$C$6,2)</f>
        <v/>
      </c>
      <c r="C10" s="15" t="n"/>
      <c r="D10" s="15" t="n"/>
      <c r="E10" s="47">
        <f>IF(OR(C10="",$C$5&lt;=0),"",1-C10/$C$5)</f>
        <v/>
      </c>
      <c r="F10" s="16" t="n"/>
    </row>
    <row r="11">
      <c r="B11" s="28">
        <f>EDATE('My Debts'!$C$6,3)</f>
        <v/>
      </c>
      <c r="C11" s="15" t="n"/>
      <c r="D11" s="15" t="n"/>
      <c r="E11" s="47">
        <f>IF(OR(C11="",$C$5&lt;=0),"",1-C11/$C$5)</f>
        <v/>
      </c>
      <c r="F11" s="16" t="n"/>
    </row>
    <row r="12">
      <c r="B12" s="28">
        <f>EDATE('My Debts'!$C$6,4)</f>
        <v/>
      </c>
      <c r="C12" s="15" t="n"/>
      <c r="D12" s="15" t="n"/>
      <c r="E12" s="47">
        <f>IF(OR(C12="",$C$5&lt;=0),"",1-C12/$C$5)</f>
        <v/>
      </c>
      <c r="F12" s="16" t="n"/>
    </row>
    <row r="13">
      <c r="B13" s="28">
        <f>EDATE('My Debts'!$C$6,5)</f>
        <v/>
      </c>
      <c r="C13" s="15" t="n"/>
      <c r="D13" s="15" t="n"/>
      <c r="E13" s="47">
        <f>IF(OR(C13="",$C$5&lt;=0),"",1-C13/$C$5)</f>
        <v/>
      </c>
      <c r="F13" s="16" t="n"/>
    </row>
    <row r="14">
      <c r="B14" s="28">
        <f>EDATE('My Debts'!$C$6,6)</f>
        <v/>
      </c>
      <c r="C14" s="15" t="n"/>
      <c r="D14" s="15" t="n"/>
      <c r="E14" s="47">
        <f>IF(OR(C14="",$C$5&lt;=0),"",1-C14/$C$5)</f>
        <v/>
      </c>
      <c r="F14" s="16" t="n"/>
    </row>
    <row r="15">
      <c r="B15" s="28">
        <f>EDATE('My Debts'!$C$6,7)</f>
        <v/>
      </c>
      <c r="C15" s="15" t="n"/>
      <c r="D15" s="15" t="n"/>
      <c r="E15" s="47">
        <f>IF(OR(C15="",$C$5&lt;=0),"",1-C15/$C$5)</f>
        <v/>
      </c>
      <c r="F15" s="16" t="n"/>
    </row>
    <row r="16">
      <c r="B16" s="28">
        <f>EDATE('My Debts'!$C$6,8)</f>
        <v/>
      </c>
      <c r="C16" s="15" t="n"/>
      <c r="D16" s="15" t="n"/>
      <c r="E16" s="47">
        <f>IF(OR(C16="",$C$5&lt;=0),"",1-C16/$C$5)</f>
        <v/>
      </c>
      <c r="F16" s="16" t="n"/>
    </row>
    <row r="17">
      <c r="B17" s="28">
        <f>EDATE('My Debts'!$C$6,9)</f>
        <v/>
      </c>
      <c r="C17" s="15" t="n"/>
      <c r="D17" s="15" t="n"/>
      <c r="E17" s="47">
        <f>IF(OR(C17="",$C$5&lt;=0),"",1-C17/$C$5)</f>
        <v/>
      </c>
      <c r="F17" s="16" t="n"/>
    </row>
    <row r="18">
      <c r="B18" s="28">
        <f>EDATE('My Debts'!$C$6,10)</f>
        <v/>
      </c>
      <c r="C18" s="15" t="n"/>
      <c r="D18" s="15" t="n"/>
      <c r="E18" s="47">
        <f>IF(OR(C18="",$C$5&lt;=0),"",1-C18/$C$5)</f>
        <v/>
      </c>
      <c r="F18" s="16" t="n"/>
    </row>
    <row r="19">
      <c r="B19" s="28">
        <f>EDATE('My Debts'!$C$6,11)</f>
        <v/>
      </c>
      <c r="C19" s="15" t="n"/>
      <c r="D19" s="15" t="n"/>
      <c r="E19" s="47">
        <f>IF(OR(C19="",$C$5&lt;=0),"",1-C19/$C$5)</f>
        <v/>
      </c>
      <c r="F19" s="16" t="n"/>
    </row>
    <row r="20">
      <c r="B20" s="28">
        <f>EDATE('My Debts'!$C$6,12)</f>
        <v/>
      </c>
      <c r="C20" s="15" t="n"/>
      <c r="D20" s="15" t="n"/>
      <c r="E20" s="47">
        <f>IF(OR(C20="",$C$5&lt;=0),"",1-C20/$C$5)</f>
        <v/>
      </c>
      <c r="F20" s="16" t="n"/>
    </row>
    <row r="21">
      <c r="B21" s="28">
        <f>EDATE('My Debts'!$C$6,13)</f>
        <v/>
      </c>
      <c r="C21" s="15" t="n"/>
      <c r="D21" s="15" t="n"/>
      <c r="E21" s="47">
        <f>IF(OR(C21="",$C$5&lt;=0),"",1-C21/$C$5)</f>
        <v/>
      </c>
      <c r="F21" s="16" t="n"/>
    </row>
    <row r="22">
      <c r="B22" s="28">
        <f>EDATE('My Debts'!$C$6,14)</f>
        <v/>
      </c>
      <c r="C22" s="15" t="n"/>
      <c r="D22" s="15" t="n"/>
      <c r="E22" s="47">
        <f>IF(OR(C22="",$C$5&lt;=0),"",1-C22/$C$5)</f>
        <v/>
      </c>
      <c r="F22" s="16" t="n"/>
    </row>
    <row r="23">
      <c r="B23" s="28">
        <f>EDATE('My Debts'!$C$6,15)</f>
        <v/>
      </c>
      <c r="C23" s="15" t="n"/>
      <c r="D23" s="15" t="n"/>
      <c r="E23" s="47">
        <f>IF(OR(C23="",$C$5&lt;=0),"",1-C23/$C$5)</f>
        <v/>
      </c>
      <c r="F23" s="16" t="n"/>
    </row>
    <row r="24">
      <c r="B24" s="28">
        <f>EDATE('My Debts'!$C$6,16)</f>
        <v/>
      </c>
      <c r="C24" s="15" t="n"/>
      <c r="D24" s="15" t="n"/>
      <c r="E24" s="47">
        <f>IF(OR(C24="",$C$5&lt;=0),"",1-C24/$C$5)</f>
        <v/>
      </c>
      <c r="F24" s="16" t="n"/>
    </row>
    <row r="25">
      <c r="B25" s="28">
        <f>EDATE('My Debts'!$C$6,17)</f>
        <v/>
      </c>
      <c r="C25" s="15" t="n"/>
      <c r="D25" s="15" t="n"/>
      <c r="E25" s="47">
        <f>IF(OR(C25="",$C$5&lt;=0),"",1-C25/$C$5)</f>
        <v/>
      </c>
      <c r="F25" s="16" t="n"/>
    </row>
    <row r="26">
      <c r="B26" s="28">
        <f>EDATE('My Debts'!$C$6,18)</f>
        <v/>
      </c>
      <c r="C26" s="15" t="n"/>
      <c r="D26" s="15" t="n"/>
      <c r="E26" s="47">
        <f>IF(OR(C26="",$C$5&lt;=0),"",1-C26/$C$5)</f>
        <v/>
      </c>
      <c r="F26" s="16" t="n"/>
    </row>
    <row r="27">
      <c r="B27" s="28">
        <f>EDATE('My Debts'!$C$6,19)</f>
        <v/>
      </c>
      <c r="C27" s="15" t="n"/>
      <c r="D27" s="15" t="n"/>
      <c r="E27" s="47">
        <f>IF(OR(C27="",$C$5&lt;=0),"",1-C27/$C$5)</f>
        <v/>
      </c>
      <c r="F27" s="16" t="n"/>
    </row>
    <row r="28">
      <c r="B28" s="28">
        <f>EDATE('My Debts'!$C$6,20)</f>
        <v/>
      </c>
      <c r="C28" s="15" t="n"/>
      <c r="D28" s="15" t="n"/>
      <c r="E28" s="47">
        <f>IF(OR(C28="",$C$5&lt;=0),"",1-C28/$C$5)</f>
        <v/>
      </c>
      <c r="F28" s="16" t="n"/>
    </row>
    <row r="29">
      <c r="B29" s="28">
        <f>EDATE('My Debts'!$C$6,21)</f>
        <v/>
      </c>
      <c r="C29" s="15" t="n"/>
      <c r="D29" s="15" t="n"/>
      <c r="E29" s="47">
        <f>IF(OR(C29="",$C$5&lt;=0),"",1-C29/$C$5)</f>
        <v/>
      </c>
      <c r="F29" s="16" t="n"/>
    </row>
    <row r="30">
      <c r="B30" s="28">
        <f>EDATE('My Debts'!$C$6,22)</f>
        <v/>
      </c>
      <c r="C30" s="15" t="n"/>
      <c r="D30" s="15" t="n"/>
      <c r="E30" s="47">
        <f>IF(OR(C30="",$C$5&lt;=0),"",1-C30/$C$5)</f>
        <v/>
      </c>
      <c r="F30" s="16" t="n"/>
    </row>
    <row r="31">
      <c r="B31" s="28">
        <f>EDATE('My Debts'!$C$6,23)</f>
        <v/>
      </c>
      <c r="C31" s="15" t="n"/>
      <c r="D31" s="15" t="n"/>
      <c r="E31" s="47">
        <f>IF(OR(C31="",$C$5&lt;=0),"",1-C31/$C$5)</f>
        <v/>
      </c>
      <c r="F31" s="16" t="n"/>
    </row>
    <row r="32">
      <c r="B32" s="28">
        <f>EDATE('My Debts'!$C$6,24)</f>
        <v/>
      </c>
      <c r="C32" s="15" t="n"/>
      <c r="D32" s="15" t="n"/>
      <c r="E32" s="47">
        <f>IF(OR(C32="",$C$5&lt;=0),"",1-C32/$C$5)</f>
        <v/>
      </c>
      <c r="F32" s="16" t="n"/>
    </row>
    <row r="33">
      <c r="B33" s="28">
        <f>EDATE('My Debts'!$C$6,25)</f>
        <v/>
      </c>
      <c r="C33" s="15" t="n"/>
      <c r="D33" s="15" t="n"/>
      <c r="E33" s="47">
        <f>IF(OR(C33="",$C$5&lt;=0),"",1-C33/$C$5)</f>
        <v/>
      </c>
      <c r="F33" s="16" t="n"/>
    </row>
    <row r="34">
      <c r="B34" s="28">
        <f>EDATE('My Debts'!$C$6,26)</f>
        <v/>
      </c>
      <c r="C34" s="15" t="n"/>
      <c r="D34" s="15" t="n"/>
      <c r="E34" s="47">
        <f>IF(OR(C34="",$C$5&lt;=0),"",1-C34/$C$5)</f>
        <v/>
      </c>
      <c r="F34" s="16" t="n"/>
    </row>
    <row r="35">
      <c r="B35" s="28">
        <f>EDATE('My Debts'!$C$6,27)</f>
        <v/>
      </c>
      <c r="C35" s="15" t="n"/>
      <c r="D35" s="15" t="n"/>
      <c r="E35" s="47">
        <f>IF(OR(C35="",$C$5&lt;=0),"",1-C35/$C$5)</f>
        <v/>
      </c>
      <c r="F35" s="16" t="n"/>
    </row>
    <row r="36">
      <c r="B36" s="28">
        <f>EDATE('My Debts'!$C$6,28)</f>
        <v/>
      </c>
      <c r="C36" s="15" t="n"/>
      <c r="D36" s="15" t="n"/>
      <c r="E36" s="47">
        <f>IF(OR(C36="",$C$5&lt;=0),"",1-C36/$C$5)</f>
        <v/>
      </c>
      <c r="F36" s="16" t="n"/>
    </row>
    <row r="37">
      <c r="B37" s="28">
        <f>EDATE('My Debts'!$C$6,29)</f>
        <v/>
      </c>
      <c r="C37" s="15" t="n"/>
      <c r="D37" s="15" t="n"/>
      <c r="E37" s="47">
        <f>IF(OR(C37="",$C$5&lt;=0),"",1-C37/$C$5)</f>
        <v/>
      </c>
      <c r="F37" s="16" t="n"/>
    </row>
    <row r="38">
      <c r="B38" s="28">
        <f>EDATE('My Debts'!$C$6,30)</f>
        <v/>
      </c>
      <c r="C38" s="15" t="n"/>
      <c r="D38" s="15" t="n"/>
      <c r="E38" s="47">
        <f>IF(OR(C38="",$C$5&lt;=0),"",1-C38/$C$5)</f>
        <v/>
      </c>
      <c r="F38" s="16" t="n"/>
    </row>
    <row r="39">
      <c r="B39" s="28">
        <f>EDATE('My Debts'!$C$6,31)</f>
        <v/>
      </c>
      <c r="C39" s="15" t="n"/>
      <c r="D39" s="15" t="n"/>
      <c r="E39" s="47">
        <f>IF(OR(C39="",$C$5&lt;=0),"",1-C39/$C$5)</f>
        <v/>
      </c>
      <c r="F39" s="16" t="n"/>
    </row>
    <row r="40">
      <c r="B40" s="28">
        <f>EDATE('My Debts'!$C$6,32)</f>
        <v/>
      </c>
      <c r="C40" s="15" t="n"/>
      <c r="D40" s="15" t="n"/>
      <c r="E40" s="47">
        <f>IF(OR(C40="",$C$5&lt;=0),"",1-C40/$C$5)</f>
        <v/>
      </c>
      <c r="F40" s="16" t="n"/>
    </row>
    <row r="41">
      <c r="B41" s="28">
        <f>EDATE('My Debts'!$C$6,33)</f>
        <v/>
      </c>
      <c r="C41" s="15" t="n"/>
      <c r="D41" s="15" t="n"/>
      <c r="E41" s="47">
        <f>IF(OR(C41="",$C$5&lt;=0),"",1-C41/$C$5)</f>
        <v/>
      </c>
      <c r="F41" s="16" t="n"/>
    </row>
    <row r="42">
      <c r="B42" s="28">
        <f>EDATE('My Debts'!$C$6,34)</f>
        <v/>
      </c>
      <c r="C42" s="15" t="n"/>
      <c r="D42" s="15" t="n"/>
      <c r="E42" s="47">
        <f>IF(OR(C42="",$C$5&lt;=0),"",1-C42/$C$5)</f>
        <v/>
      </c>
      <c r="F42" s="16" t="n"/>
    </row>
    <row r="43">
      <c r="B43" s="28">
        <f>EDATE('My Debts'!$C$6,35)</f>
        <v/>
      </c>
      <c r="C43" s="15" t="n"/>
      <c r="D43" s="15" t="n"/>
      <c r="E43" s="47">
        <f>IF(OR(C43="",$C$5&lt;=0),"",1-C43/$C$5)</f>
        <v/>
      </c>
      <c r="F43" s="16" t="n"/>
    </row>
    <row r="44">
      <c r="B44" s="28">
        <f>EDATE('My Debts'!$C$6,36)</f>
        <v/>
      </c>
      <c r="C44" s="15" t="n"/>
      <c r="D44" s="15" t="n"/>
      <c r="E44" s="47">
        <f>IF(OR(C44="",$C$5&lt;=0),"",1-C44/$C$5)</f>
        <v/>
      </c>
      <c r="F44" s="16" t="n"/>
    </row>
    <row r="45">
      <c r="B45" s="28">
        <f>EDATE('My Debts'!$C$6,37)</f>
        <v/>
      </c>
      <c r="C45" s="15" t="n"/>
      <c r="D45" s="15" t="n"/>
      <c r="E45" s="47">
        <f>IF(OR(C45="",$C$5&lt;=0),"",1-C45/$C$5)</f>
        <v/>
      </c>
      <c r="F45" s="16" t="n"/>
    </row>
    <row r="46">
      <c r="B46" s="28">
        <f>EDATE('My Debts'!$C$6,38)</f>
        <v/>
      </c>
      <c r="C46" s="15" t="n"/>
      <c r="D46" s="15" t="n"/>
      <c r="E46" s="47">
        <f>IF(OR(C46="",$C$5&lt;=0),"",1-C46/$C$5)</f>
        <v/>
      </c>
      <c r="F46" s="16" t="n"/>
    </row>
    <row r="47">
      <c r="B47" s="28">
        <f>EDATE('My Debts'!$C$6,39)</f>
        <v/>
      </c>
      <c r="C47" s="15" t="n"/>
      <c r="D47" s="15" t="n"/>
      <c r="E47" s="47">
        <f>IF(OR(C47="",$C$5&lt;=0),"",1-C47/$C$5)</f>
        <v/>
      </c>
      <c r="F47" s="16" t="n"/>
    </row>
    <row r="48">
      <c r="B48" s="28">
        <f>EDATE('My Debts'!$C$6,40)</f>
        <v/>
      </c>
      <c r="C48" s="15" t="n"/>
      <c r="D48" s="15" t="n"/>
      <c r="E48" s="47">
        <f>IF(OR(C48="",$C$5&lt;=0),"",1-C48/$C$5)</f>
        <v/>
      </c>
      <c r="F48" s="16" t="n"/>
    </row>
    <row r="49">
      <c r="B49" s="28">
        <f>EDATE('My Debts'!$C$6,41)</f>
        <v/>
      </c>
      <c r="C49" s="15" t="n"/>
      <c r="D49" s="15" t="n"/>
      <c r="E49" s="47">
        <f>IF(OR(C49="",$C$5&lt;=0),"",1-C49/$C$5)</f>
        <v/>
      </c>
      <c r="F49" s="16" t="n"/>
    </row>
    <row r="50">
      <c r="B50" s="28">
        <f>EDATE('My Debts'!$C$6,42)</f>
        <v/>
      </c>
      <c r="C50" s="15" t="n"/>
      <c r="D50" s="15" t="n"/>
      <c r="E50" s="47">
        <f>IF(OR(C50="",$C$5&lt;=0),"",1-C50/$C$5)</f>
        <v/>
      </c>
      <c r="F50" s="16" t="n"/>
    </row>
    <row r="51">
      <c r="B51" s="28">
        <f>EDATE('My Debts'!$C$6,43)</f>
        <v/>
      </c>
      <c r="C51" s="15" t="n"/>
      <c r="D51" s="15" t="n"/>
      <c r="E51" s="47">
        <f>IF(OR(C51="",$C$5&lt;=0),"",1-C51/$C$5)</f>
        <v/>
      </c>
      <c r="F51" s="16" t="n"/>
    </row>
    <row r="52">
      <c r="B52" s="28">
        <f>EDATE('My Debts'!$C$6,44)</f>
        <v/>
      </c>
      <c r="C52" s="15" t="n"/>
      <c r="D52" s="15" t="n"/>
      <c r="E52" s="47">
        <f>IF(OR(C52="",$C$5&lt;=0),"",1-C52/$C$5)</f>
        <v/>
      </c>
      <c r="F52" s="16" t="n"/>
    </row>
    <row r="53">
      <c r="B53" s="28">
        <f>EDATE('My Debts'!$C$6,45)</f>
        <v/>
      </c>
      <c r="C53" s="15" t="n"/>
      <c r="D53" s="15" t="n"/>
      <c r="E53" s="47">
        <f>IF(OR(C53="",$C$5&lt;=0),"",1-C53/$C$5)</f>
        <v/>
      </c>
      <c r="F53" s="16" t="n"/>
    </row>
    <row r="54">
      <c r="B54" s="28">
        <f>EDATE('My Debts'!$C$6,46)</f>
        <v/>
      </c>
      <c r="C54" s="15" t="n"/>
      <c r="D54" s="15" t="n"/>
      <c r="E54" s="47">
        <f>IF(OR(C54="",$C$5&lt;=0),"",1-C54/$C$5)</f>
        <v/>
      </c>
      <c r="F54" s="16" t="n"/>
    </row>
    <row r="55">
      <c r="B55" s="28">
        <f>EDATE('My Debts'!$C$6,47)</f>
        <v/>
      </c>
      <c r="C55" s="15" t="n"/>
      <c r="D55" s="15" t="n"/>
      <c r="E55" s="47">
        <f>IF(OR(C55="",$C$5&lt;=0),"",1-C55/$C$5)</f>
        <v/>
      </c>
      <c r="F55" s="16" t="n"/>
    </row>
    <row r="56">
      <c r="B56" s="28">
        <f>EDATE('My Debts'!$C$6,48)</f>
        <v/>
      </c>
      <c r="C56" s="15" t="n"/>
      <c r="D56" s="15" t="n"/>
      <c r="E56" s="47">
        <f>IF(OR(C56="",$C$5&lt;=0),"",1-C56/$C$5)</f>
        <v/>
      </c>
      <c r="F56" s="16" t="n"/>
    </row>
    <row r="57">
      <c r="B57" s="28">
        <f>EDATE('My Debts'!$C$6,49)</f>
        <v/>
      </c>
      <c r="C57" s="15" t="n"/>
      <c r="D57" s="15" t="n"/>
      <c r="E57" s="47">
        <f>IF(OR(C57="",$C$5&lt;=0),"",1-C57/$C$5)</f>
        <v/>
      </c>
      <c r="F57" s="16" t="n"/>
    </row>
    <row r="58">
      <c r="B58" s="28">
        <f>EDATE('My Debts'!$C$6,50)</f>
        <v/>
      </c>
      <c r="C58" s="15" t="n"/>
      <c r="D58" s="15" t="n"/>
      <c r="E58" s="47">
        <f>IF(OR(C58="",$C$5&lt;=0),"",1-C58/$C$5)</f>
        <v/>
      </c>
      <c r="F58" s="16" t="n"/>
    </row>
    <row r="59">
      <c r="B59" s="28">
        <f>EDATE('My Debts'!$C$6,51)</f>
        <v/>
      </c>
      <c r="C59" s="15" t="n"/>
      <c r="D59" s="15" t="n"/>
      <c r="E59" s="47">
        <f>IF(OR(C59="",$C$5&lt;=0),"",1-C59/$C$5)</f>
        <v/>
      </c>
      <c r="F59" s="16" t="n"/>
    </row>
    <row r="60">
      <c r="B60" s="28">
        <f>EDATE('My Debts'!$C$6,52)</f>
        <v/>
      </c>
      <c r="C60" s="15" t="n"/>
      <c r="D60" s="15" t="n"/>
      <c r="E60" s="47">
        <f>IF(OR(C60="",$C$5&lt;=0),"",1-C60/$C$5)</f>
        <v/>
      </c>
      <c r="F60" s="16" t="n"/>
    </row>
    <row r="61">
      <c r="B61" s="28">
        <f>EDATE('My Debts'!$C$6,53)</f>
        <v/>
      </c>
      <c r="C61" s="15" t="n"/>
      <c r="D61" s="15" t="n"/>
      <c r="E61" s="47">
        <f>IF(OR(C61="",$C$5&lt;=0),"",1-C61/$C$5)</f>
        <v/>
      </c>
      <c r="F61" s="16" t="n"/>
    </row>
    <row r="62">
      <c r="B62" s="28">
        <f>EDATE('My Debts'!$C$6,54)</f>
        <v/>
      </c>
      <c r="C62" s="15" t="n"/>
      <c r="D62" s="15" t="n"/>
      <c r="E62" s="47">
        <f>IF(OR(C62="",$C$5&lt;=0),"",1-C62/$C$5)</f>
        <v/>
      </c>
      <c r="F62" s="16" t="n"/>
    </row>
    <row r="63">
      <c r="B63" s="28">
        <f>EDATE('My Debts'!$C$6,55)</f>
        <v/>
      </c>
      <c r="C63" s="15" t="n"/>
      <c r="D63" s="15" t="n"/>
      <c r="E63" s="47">
        <f>IF(OR(C63="",$C$5&lt;=0),"",1-C63/$C$5)</f>
        <v/>
      </c>
      <c r="F63" s="16" t="n"/>
    </row>
    <row r="64">
      <c r="B64" s="28">
        <f>EDATE('My Debts'!$C$6,56)</f>
        <v/>
      </c>
      <c r="C64" s="15" t="n"/>
      <c r="D64" s="15" t="n"/>
      <c r="E64" s="47">
        <f>IF(OR(C64="",$C$5&lt;=0),"",1-C64/$C$5)</f>
        <v/>
      </c>
      <c r="F64" s="16" t="n"/>
    </row>
    <row r="65">
      <c r="B65" s="28">
        <f>EDATE('My Debts'!$C$6,57)</f>
        <v/>
      </c>
      <c r="C65" s="15" t="n"/>
      <c r="D65" s="15" t="n"/>
      <c r="E65" s="47">
        <f>IF(OR(C65="",$C$5&lt;=0),"",1-C65/$C$5)</f>
        <v/>
      </c>
      <c r="F65" s="16" t="n"/>
    </row>
    <row r="66">
      <c r="B66" s="28">
        <f>EDATE('My Debts'!$C$6,58)</f>
        <v/>
      </c>
      <c r="C66" s="15" t="n"/>
      <c r="D66" s="15" t="n"/>
      <c r="E66" s="47">
        <f>IF(OR(C66="",$C$5&lt;=0),"",1-C66/$C$5)</f>
        <v/>
      </c>
      <c r="F66" s="16" t="n"/>
    </row>
    <row r="67">
      <c r="B67" s="28">
        <f>EDATE('My Debts'!$C$6,59)</f>
        <v/>
      </c>
      <c r="C67" s="15" t="n"/>
      <c r="D67" s="15" t="n"/>
      <c r="E67" s="47">
        <f>IF(OR(C67="",$C$5&lt;=0),"",1-C67/$C$5)</f>
        <v/>
      </c>
      <c r="F67" s="16" t="n"/>
    </row>
  </sheetData>
  <conditionalFormatting sqref="E8:E67">
    <cfRule type="dataBar" priority="1">
      <dataBar>
        <cfvo type="num" val="0"/>
        <cfvo type="num" val="1"/>
        <color rgb="003F6E8C"/>
      </dataBar>
    </cfRule>
  </conditionalFormatting>
  <printOptions horizontalCentered="1"/>
  <pageMargins left="0.4" right="0.4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2026-09-25T06:28:30Z</dcterms:created>
  <dcterms:modified xmlns:dcterms="http://purl.org/dc/terms/" xmlns:xsi="http://www.w3.org/2001/XMLSchema-instance" xsi:type="dcterms:W3CDTF">2026-09-25T06:28:33Z</dcterms:modified>
</cp:coreProperties>
</file>