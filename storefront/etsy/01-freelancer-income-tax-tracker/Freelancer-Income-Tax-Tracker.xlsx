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ashboard" sheetId="2" state="visible" r:id="rId2"/>
    <sheet xmlns:r="http://schemas.openxmlformats.org/officeDocument/2006/relationships" name="Setup" sheetId="3" state="visible" r:id="rId3"/>
    <sheet xmlns:r="http://schemas.openxmlformats.org/officeDocument/2006/relationships" name="Income" sheetId="4" state="visible" r:id="rId4"/>
    <sheet xmlns:r="http://schemas.openxmlformats.org/officeDocument/2006/relationships" name="Expenses" sheetId="5" state="visible" r:id="rId5"/>
    <sheet xmlns:r="http://schemas.openxmlformats.org/officeDocument/2006/relationships" name="Invoices" sheetId="6" state="visible" r:id="rId6"/>
    <sheet xmlns:r="http://schemas.openxmlformats.org/officeDocument/2006/relationships" name="Monthly &amp; Tax" sheetId="7" state="visible" r:id="rId7"/>
    <sheet xmlns:r="http://schemas.openxmlformats.org/officeDocument/2006/relationships" name="Breakdown" sheetId="8" state="visible" r:id="rId8"/>
  </sheets>
  <definedNames/>
  <calcPr calcId="124519" fullCalcOnLoad="1"/>
</workbook>
</file>

<file path=xl/styles.xml><?xml version="1.0" encoding="utf-8"?>
<styleSheet xmlns="http://schemas.openxmlformats.org/spreadsheetml/2006/main">
  <numFmts count="4">
    <numFmt numFmtId="164" formatCode="&quot;$&quot;#,##0"/>
    <numFmt numFmtId="165" formatCode="&quot;$&quot;#,##0.00"/>
    <numFmt numFmtId="166" formatCode="mmm d, yyyy"/>
    <numFmt numFmtId="167" formatCode="mmmm"/>
  </numFmts>
  <fonts count="18">
    <font>
      <name val="Calibri"/>
      <family val="2"/>
      <color theme="1"/>
      <sz val="11"/>
      <scheme val="minor"/>
    </font>
    <font>
      <name val="Georgia"/>
      <b val="1"/>
      <color rgb="0026313B"/>
      <sz val="20"/>
    </font>
    <font>
      <name val="Arial"/>
      <color rgb="006B7580"/>
      <sz val="10"/>
    </font>
    <font>
      <name val="Arial"/>
      <b val="1"/>
      <color rgb="006B7580"/>
      <sz val="9"/>
    </font>
    <font>
      <name val="Arial"/>
      <color rgb="0026313B"/>
      <sz val="10"/>
    </font>
    <font>
      <name val="Arial"/>
      <color rgb="006B7580"/>
      <sz val="9"/>
    </font>
    <font>
      <name val="Arial"/>
      <b val="1"/>
      <color rgb="00FFFFFF"/>
      <sz val="9"/>
    </font>
    <font>
      <name val="Arial"/>
      <b val="1"/>
      <color rgb="006B7580"/>
      <sz val="10"/>
    </font>
    <font>
      <name val="Arial"/>
      <b val="1"/>
      <color rgb="0026313B"/>
      <sz val="10"/>
    </font>
    <font>
      <name val="Arial"/>
      <b val="1"/>
      <color rgb="0026313B"/>
      <sz val="9"/>
    </font>
    <font>
      <name val="Arial"/>
      <b val="1"/>
      <color rgb="002F7D6D"/>
      <sz val="9"/>
    </font>
    <font>
      <name val="Arial"/>
      <i val="1"/>
      <color rgb="006B7580"/>
      <sz val="9"/>
    </font>
    <font>
      <name val="Arial"/>
      <b val="1"/>
      <color rgb="006B7580"/>
      <sz val="8"/>
    </font>
    <font>
      <name val="Georgia"/>
      <b val="1"/>
      <color rgb="0026313B"/>
      <sz val="18"/>
    </font>
    <font>
      <name val="Georgia"/>
      <b val="1"/>
      <color rgb="0026313B"/>
      <sz val="24"/>
    </font>
    <font>
      <name val="Arial"/>
      <color rgb="006B7580"/>
      <sz val="11"/>
    </font>
    <font>
      <name val="Georgia"/>
      <b val="1"/>
      <color rgb="002F7D6D"/>
      <sz val="12"/>
    </font>
    <font>
      <name val="Arial"/>
      <color rgb="0026313B"/>
      <sz val="10.5"/>
    </font>
  </fonts>
  <fills count="5">
    <fill>
      <patternFill/>
    </fill>
    <fill>
      <patternFill patternType="gray125"/>
    </fill>
    <fill>
      <patternFill patternType="solid">
        <fgColor rgb="00FFF8E8"/>
        <bgColor rgb="00FFF8E8"/>
      </patternFill>
    </fill>
    <fill>
      <patternFill patternType="solid">
        <fgColor rgb="002F7D6D"/>
        <bgColor rgb="002F7D6D"/>
      </patternFill>
    </fill>
    <fill>
      <patternFill patternType="solid">
        <fgColor rgb="00EEF5F3"/>
        <bgColor rgb="00EEF5F3"/>
      </patternFill>
    </fill>
  </fills>
  <borders count="7">
    <border>
      <left/>
      <right/>
      <top/>
      <bottom/>
      <diagonal/>
    </border>
    <border>
      <top style="medium">
        <color rgb="002F7D6D"/>
      </top>
    </border>
    <border>
      <left style="thin">
        <color rgb="00D9DEE2"/>
      </left>
      <right style="thin">
        <color rgb="00D9DEE2"/>
      </right>
      <top style="thin">
        <color rgb="00D9DEE2"/>
      </top>
      <bottom style="thin">
        <color rgb="00D9DEE2"/>
      </bottom>
    </border>
    <border>
      <left/>
      <right/>
      <top style="thin">
        <color rgb="00D9DEE2"/>
      </top>
      <bottom/>
      <diagonal/>
    </border>
    <border>
      <left/>
      <right style="thin">
        <color rgb="00D9DEE2"/>
      </right>
      <top style="thin">
        <color rgb="00D9DEE2"/>
      </top>
      <bottom/>
      <diagonal/>
    </border>
    <border>
      <left/>
      <right/>
      <top style="thin">
        <color rgb="00D9DEE2"/>
      </top>
      <bottom style="thin">
        <color rgb="00D9DEE2"/>
      </bottom>
      <diagonal/>
    </border>
    <border>
      <left/>
      <right style="thin">
        <color rgb="00D9DEE2"/>
      </right>
      <top style="thin">
        <color rgb="00D9DEE2"/>
      </top>
      <bottom style="thin">
        <color rgb="00D9DEE2"/>
      </bottom>
      <diagonal/>
    </border>
  </borders>
  <cellStyleXfs count="1">
    <xf numFmtId="0" fontId="0" fillId="0" borderId="0"/>
  </cellStyleXfs>
  <cellXfs count="47">
    <xf numFmtId="0" fontId="0" fillId="0" borderId="0" pivotButton="0" quotePrefix="0" xfId="0"/>
    <xf numFmtId="0" fontId="14" fillId="0" borderId="0" pivotButton="0" quotePrefix="0" xfId="0"/>
    <xf numFmtId="0" fontId="15" fillId="0" borderId="0" applyAlignment="1" pivotButton="0" quotePrefix="0" xfId="0">
      <alignment vertical="top" wrapText="1"/>
    </xf>
    <xf numFmtId="0" fontId="10" fillId="0" borderId="0" pivotButton="0" quotePrefix="0" xfId="0"/>
    <xf numFmtId="0" fontId="16" fillId="0" borderId="0" applyAlignment="1" pivotButton="0" quotePrefix="0" xfId="0">
      <alignment horizontal="center" vertical="top"/>
    </xf>
    <xf numFmtId="0" fontId="17" fillId="0" borderId="0" applyAlignment="1" pivotButton="0" quotePrefix="0" xfId="0">
      <alignment vertical="top" wrapText="1"/>
    </xf>
    <xf numFmtId="0" fontId="0" fillId="2" borderId="2" pivotButton="0" quotePrefix="0" xfId="0"/>
    <xf numFmtId="0" fontId="17" fillId="0" borderId="0" pivotButton="0" quotePrefix="0" xfId="0"/>
    <xf numFmtId="0" fontId="2" fillId="0" borderId="0" applyAlignment="1" pivotButton="0" quotePrefix="0" xfId="0">
      <alignment vertical="top" wrapText="1"/>
    </xf>
    <xf numFmtId="0" fontId="1" fillId="0" borderId="0" pivotButton="0" quotePrefix="0" xfId="0"/>
    <xf numFmtId="0" fontId="2" fillId="0" borderId="0" pivotButton="0" quotePrefix="0" xfId="0"/>
    <xf numFmtId="0" fontId="0" fillId="0" borderId="1" pivotButton="0" quotePrefix="0" xfId="0"/>
    <xf numFmtId="0" fontId="12" fillId="4" borderId="0" applyAlignment="1" pivotButton="0" quotePrefix="0" xfId="0">
      <alignment horizontal="left" vertical="center" indent="1"/>
    </xf>
    <xf numFmtId="164" fontId="13" fillId="4" borderId="0" applyAlignment="1" pivotButton="0" quotePrefix="0" xfId="0">
      <alignment horizontal="left" vertical="center" indent="1"/>
    </xf>
    <xf numFmtId="1" fontId="13" fillId="4" borderId="0" applyAlignment="1" pivotButton="0" quotePrefix="0" xfId="0">
      <alignment horizontal="left" vertical="center" indent="1"/>
    </xf>
    <xf numFmtId="0" fontId="3" fillId="0" borderId="0" applyAlignment="1" pivotButton="0" quotePrefix="0" xfId="0">
      <alignment vertical="center"/>
    </xf>
    <xf numFmtId="1" fontId="4" fillId="2" borderId="2" applyAlignment="1" pivotButton="0" quotePrefix="0" xfId="0">
      <alignment horizontal="center" vertical="center"/>
    </xf>
    <xf numFmtId="0" fontId="4" fillId="2" borderId="2" applyAlignment="1" pivotButton="0" quotePrefix="0" xfId="0">
      <alignment vertical="center"/>
    </xf>
    <xf numFmtId="0" fontId="0" fillId="0" borderId="5" pivotButton="0" quotePrefix="0" xfId="0"/>
    <xf numFmtId="0" fontId="0" fillId="0" borderId="6" pivotButton="0" quotePrefix="0" xfId="0"/>
    <xf numFmtId="9" fontId="4" fillId="2" borderId="2" applyAlignment="1" pivotButton="0" quotePrefix="0" xfId="0">
      <alignment horizontal="center" vertical="center"/>
    </xf>
    <xf numFmtId="0" fontId="5" fillId="0" borderId="0" pivotButton="0" quotePrefix="0" xfId="0"/>
    <xf numFmtId="164" fontId="4" fillId="2" borderId="2" applyAlignment="1" pivotButton="0" quotePrefix="0" xfId="0">
      <alignment vertical="center"/>
    </xf>
    <xf numFmtId="0" fontId="6" fillId="3" borderId="2" applyAlignment="1" pivotButton="0" quotePrefix="0" xfId="0">
      <alignment horizontal="center" vertical="center" wrapText="1"/>
    </xf>
    <xf numFmtId="0" fontId="7" fillId="0" borderId="0" pivotButton="0" quotePrefix="0" xfId="0"/>
    <xf numFmtId="165" fontId="8" fillId="4" borderId="2" applyAlignment="1" pivotButton="0" quotePrefix="0" xfId="0">
      <alignment vertical="center"/>
    </xf>
    <xf numFmtId="166" fontId="4" fillId="2" borderId="2" applyAlignment="1" pivotButton="0" quotePrefix="0" xfId="0">
      <alignment vertical="center"/>
    </xf>
    <xf numFmtId="165" fontId="4" fillId="2" borderId="2" applyAlignment="1" pivotButton="0" quotePrefix="0" xfId="0">
      <alignment vertical="center"/>
    </xf>
    <xf numFmtId="9" fontId="4" fillId="0" borderId="2" applyAlignment="1" pivotButton="0" quotePrefix="0" xfId="0">
      <alignment horizontal="center" vertical="center"/>
    </xf>
    <xf numFmtId="165" fontId="4" fillId="0" borderId="2" applyAlignment="1" pivotButton="0" quotePrefix="0" xfId="0">
      <alignment vertical="center"/>
    </xf>
    <xf numFmtId="0" fontId="4" fillId="2" borderId="2" applyAlignment="1" pivotButton="0" quotePrefix="0" xfId="0">
      <alignment horizontal="center" vertical="center"/>
    </xf>
    <xf numFmtId="1" fontId="8" fillId="4" borderId="2" applyAlignment="1" pivotButton="0" quotePrefix="0" xfId="0">
      <alignment horizontal="center" vertical="center"/>
    </xf>
    <xf numFmtId="0" fontId="4" fillId="0" borderId="2" applyAlignment="1" pivotButton="0" quotePrefix="0" xfId="0">
      <alignment horizontal="center" vertical="center"/>
    </xf>
    <xf numFmtId="167" fontId="8" fillId="0" borderId="2" applyAlignment="1" pivotButton="0" quotePrefix="0" xfId="0">
      <alignment vertical="center"/>
    </xf>
    <xf numFmtId="165" fontId="8" fillId="0" borderId="2" applyAlignment="1" pivotButton="0" quotePrefix="0" xfId="0">
      <alignment vertical="center"/>
    </xf>
    <xf numFmtId="164" fontId="4" fillId="0" borderId="2" applyAlignment="1" pivotButton="0" quotePrefix="0" xfId="0">
      <alignment vertical="center"/>
    </xf>
    <xf numFmtId="9" fontId="4" fillId="0" borderId="2" applyAlignment="1" pivotButton="0" quotePrefix="0" xfId="0">
      <alignment vertical="center"/>
    </xf>
    <xf numFmtId="167" fontId="8" fillId="4" borderId="2" applyAlignment="1" pivotButton="0" quotePrefix="0" xfId="0">
      <alignment vertical="center"/>
    </xf>
    <xf numFmtId="165" fontId="4" fillId="4" borderId="2" applyAlignment="1" pivotButton="0" quotePrefix="0" xfId="0">
      <alignment vertical="center"/>
    </xf>
    <xf numFmtId="164" fontId="4" fillId="4" borderId="2" applyAlignment="1" pivotButton="0" quotePrefix="0" xfId="0">
      <alignment vertical="center"/>
    </xf>
    <xf numFmtId="9" fontId="4" fillId="4" borderId="2" applyAlignment="1" pivotButton="0" quotePrefix="0" xfId="0">
      <alignment vertical="center"/>
    </xf>
    <xf numFmtId="0" fontId="9" fillId="0" borderId="0" applyAlignment="1" pivotButton="0" quotePrefix="0" xfId="0">
      <alignment vertical="center"/>
    </xf>
    <xf numFmtId="0" fontId="4" fillId="0" borderId="2" applyAlignment="1" pivotButton="0" quotePrefix="0" xfId="0">
      <alignment vertical="center"/>
    </xf>
    <xf numFmtId="0" fontId="11" fillId="0" borderId="0" applyAlignment="1" pivotButton="0" quotePrefix="0" xfId="0">
      <alignment vertical="top" wrapText="1"/>
    </xf>
    <xf numFmtId="1" fontId="4" fillId="0" borderId="2" applyAlignment="1" pivotButton="0" quotePrefix="0" xfId="0">
      <alignment vertical="center"/>
    </xf>
    <xf numFmtId="0" fontId="4" fillId="4" borderId="2" applyAlignment="1" pivotButton="0" quotePrefix="0" xfId="0">
      <alignment vertical="center"/>
    </xf>
    <xf numFmtId="1" fontId="4" fillId="4" borderId="2" applyAlignment="1" pivotButton="0" quotePrefix="0" xfId="0">
      <alignment vertical="center"/>
    </xf>
  </cellXfs>
  <cellStyles count="1">
    <cellStyle name="Normal" xfId="0" builtinId="0" hidden="0"/>
  </cellStyles>
  <dxfs count="4">
    <dxf>
      <fill>
        <patternFill patternType="solid">
          <fgColor rgb="00FBE3DC"/>
          <bgColor rgb="00FBE3DC"/>
        </patternFill>
      </fill>
    </dxf>
    <dxf>
      <font>
        <b val="1"/>
        <color rgb="00A33A2B"/>
      </font>
      <fill>
        <patternFill patternType="solid">
          <fgColor rgb="00FBE3DC"/>
          <bgColor rgb="00FBE3DC"/>
        </patternFill>
      </fill>
    </dxf>
    <dxf>
      <font>
        <b val="1"/>
        <color rgb="002F7D6D"/>
      </font>
    </dxf>
    <dxf>
      <font>
        <color rgb="00A33A2B"/>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Income vs deductible expenses by month</a:t>
            </a:r>
          </a:p>
        </rich>
      </tx>
    </title>
    <plotArea>
      <barChart>
        <barDir val="col"/>
        <grouping val="clustered"/>
        <ser>
          <idx val="0"/>
          <order val="0"/>
          <tx>
            <strRef>
              <f>'Monthly &amp; Tax'!C6</f>
            </strRef>
          </tx>
          <spPr>
            <a:solidFill xmlns:a="http://schemas.openxmlformats.org/drawingml/2006/main">
              <a:srgbClr val="2F7D6D"/>
            </a:solidFill>
            <a:ln xmlns:a="http://schemas.openxmlformats.org/drawingml/2006/main">
              <a:prstDash val="solid"/>
            </a:ln>
          </spPr>
          <cat>
            <numRef>
              <f>'Monthly &amp; Tax'!$B$7:$B$18</f>
            </numRef>
          </cat>
          <val>
            <numRef>
              <f>'Monthly &amp; Tax'!$C$7:$C$18</f>
            </numRef>
          </val>
        </ser>
        <ser>
          <idx val="1"/>
          <order val="1"/>
          <tx>
            <strRef>
              <f>'Monthly &amp; Tax'!E6</f>
            </strRef>
          </tx>
          <spPr>
            <a:solidFill xmlns:a="http://schemas.openxmlformats.org/drawingml/2006/main">
              <a:srgbClr val="E0A458"/>
            </a:solidFill>
            <a:ln xmlns:a="http://schemas.openxmlformats.org/drawingml/2006/main">
              <a:prstDash val="solid"/>
            </a:ln>
          </spPr>
          <cat>
            <numRef>
              <f>'Monthly &amp; Tax'!$B$7:$B$18</f>
            </numRef>
          </cat>
          <val>
            <numRef>
              <f>'Monthly &amp; Tax'!$E$7:$E$18</f>
            </numRef>
          </val>
        </ser>
        <gapWidth val="60"/>
        <axId val="10"/>
        <axId val="100"/>
      </barChart>
      <catAx>
        <axId val="10"/>
        <scaling>
          <orientation val="minMax"/>
        </scaling>
        <delete val="0"/>
        <axPos val="l"/>
        <numFmt formatCode="mmm" sourceLinked="0"/>
        <majorTickMark val="none"/>
        <minorTickMark val="none"/>
        <crossAx val="100"/>
        <lblOffset val="100"/>
      </catAx>
      <valAx>
        <axId val="100"/>
        <scaling>
          <orientation val="minMax"/>
        </scaling>
        <delete val="0"/>
        <axPos val="l"/>
        <majorGridlines/>
        <numFmt formatCode="&quot;$&quot;#,##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12</row>
      <rowOff>0</rowOff>
    </from>
    <ext cx="93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2F7D6D"/>
    <outlinePr summaryBelow="1" summaryRight="1"/>
    <pageSetUpPr fitToPage="1"/>
  </sheetPr>
  <dimension ref="B2:C22"/>
  <sheetViews>
    <sheetView showGridLines="0" workbookViewId="0">
      <selection activeCell="A1" sqref="A1"/>
    </sheetView>
  </sheetViews>
  <sheetFormatPr baseColWidth="8" defaultRowHeight="15"/>
  <cols>
    <col width="3" customWidth="1" min="1" max="1"/>
    <col width="4" customWidth="1" min="2" max="2"/>
    <col width="90" customWidth="1" min="3" max="3"/>
    <col width="3" customWidth="1" min="4" max="4"/>
  </cols>
  <sheetData>
    <row r="1" ht="14" customHeight="1"/>
    <row r="2" ht="40" customHeight="1">
      <c r="C2" s="1" t="inlineStr">
        <is>
          <t>Freelancer Income &amp; Tax Tracker</t>
        </is>
      </c>
    </row>
    <row r="3" ht="48" customHeight="1">
      <c r="C3" s="2" t="inlineStr">
        <is>
          <t>Log what comes in and what goes out, see income minus deductible expenses each month, and know how much to set aside for tax. Works in Microsoft Excel and Google Sheets.</t>
        </is>
      </c>
    </row>
    <row r="5">
      <c r="C5" s="3" t="inlineStr">
        <is>
          <t>HOW TO USE IT</t>
        </is>
      </c>
    </row>
    <row r="6" ht="36" customHeight="1">
      <c r="B6" s="4" t="n">
        <v>1</v>
      </c>
      <c r="C6" s="5" t="inlineStr">
        <is>
          <t>Open Setup. Enter the tax year, your business name, the % of income minus deductible expenses you want to set aside for tax, and an optional monthly income goal.</t>
        </is>
      </c>
    </row>
    <row r="7" ht="36" customHeight="1">
      <c r="B7" s="4" t="n">
        <v>2</v>
      </c>
      <c r="C7" s="5" t="inlineStr">
        <is>
          <t>Still on Setup: list your clients and check the expense categories. Change the names or deductible % to fit your work.</t>
        </is>
      </c>
    </row>
    <row r="8" ht="36" customHeight="1">
      <c r="B8" s="4" t="n">
        <v>3</v>
      </c>
      <c r="C8" s="5" t="inlineStr">
        <is>
          <t>Log every payment you receive on Income, and every business cost on Expenses. Dropdowns fill from Setup.</t>
        </is>
      </c>
    </row>
    <row r="9" ht="20" customHeight="1">
      <c r="B9" s="4" t="n">
        <v>4</v>
      </c>
      <c r="C9" s="5" t="inlineStr">
        <is>
          <t>Use Invoices to track what you have billed. Overdue invoices turn red.</t>
        </is>
      </c>
    </row>
    <row r="10" ht="52" customHeight="1">
      <c r="B10" s="4" t="n">
        <v>5</v>
      </c>
      <c r="C10" s="5" t="inlineStr">
        <is>
          <t>Check Monthly &amp; Tax for income minus deductible expenses and set-aside per month and per quarter. A loss month shows a negative set-aside (money you no longer need to add). Record tax payments you make there.</t>
        </is>
      </c>
    </row>
    <row r="11" ht="20" customHeight="1">
      <c r="B11" s="4" t="n">
        <v>6</v>
      </c>
      <c r="C11" s="5" t="inlineStr">
        <is>
          <t>Dashboard and Breakdown update on their own.</t>
        </is>
      </c>
    </row>
    <row r="13">
      <c r="C13" s="3" t="inlineStr">
        <is>
          <t>CELL COLOURS</t>
        </is>
      </c>
    </row>
    <row r="14">
      <c r="B14" s="6" t="n"/>
      <c r="C14" s="7" t="inlineStr">
        <is>
          <t>Cream cells are for typing. Everything else calculates on its own.</t>
        </is>
      </c>
    </row>
    <row r="16">
      <c r="C16" s="3" t="inlineStr">
        <is>
          <t>GOOD TO KNOW</t>
        </is>
      </c>
    </row>
    <row r="17" ht="19" customHeight="1">
      <c r="C17" s="8" t="inlineStr">
        <is>
          <t>Google Sheets: upload the file to Google Drive, then open it with Google Sheets (or File &gt; Import).</t>
        </is>
      </c>
    </row>
    <row r="18" ht="19" customHeight="1">
      <c r="C18" s="8" t="inlineStr">
        <is>
          <t>Dollar signs are just formatting. To change currency, select the cells and use Format &gt; Number.</t>
        </is>
      </c>
    </row>
    <row r="19" ht="19" customHeight="1">
      <c r="C19" s="8" t="inlineStr">
        <is>
          <t>Room for 500 income rows, 500 expense rows and 200 invoices. Start a fresh copy each tax year.</t>
        </is>
      </c>
    </row>
    <row r="20" ht="34" customHeight="1">
      <c r="C20" s="8" t="inlineStr">
        <is>
          <t>An expense with no category, or a category not listed on Setup, counts as 0% deductible until you pick one.</t>
        </is>
      </c>
    </row>
    <row r="21" ht="34" customHeight="1">
      <c r="C21" s="8" t="inlineStr">
        <is>
          <t>This tracker helps you save for tax. It does not calculate the tax you owe and is not tax advice. Talk to a tax professional about your situation.</t>
        </is>
      </c>
    </row>
    <row r="22" ht="34" customHeight="1">
      <c r="C22" s="8" t="inlineStr">
        <is>
          <t>Please do not type over the white formula cells. If something breaks, re-download the original from Etsy (Purchases &gt; Download files).</t>
        </is>
      </c>
    </row>
  </sheetData>
  <printOptions horizontalCentered="1"/>
  <pageMargins left="0.4" right="0.4" top="0.5" bottom="0.5" header="0.5" footer="0.5"/>
  <pageSetup orientation="portrait" fitToHeight="0" fitToWidth="1"/>
</worksheet>
</file>

<file path=xl/worksheets/sheet2.xml><?xml version="1.0" encoding="utf-8"?>
<worksheet xmlns="http://schemas.openxmlformats.org/spreadsheetml/2006/main">
  <sheetPr>
    <tabColor rgb="002F7D6D"/>
    <outlinePr summaryBelow="1" summaryRight="1"/>
    <pageSetUpPr fitToPage="1"/>
  </sheetPr>
  <dimension ref="B2:M10"/>
  <sheetViews>
    <sheetView showGridLines="0" workbookViewId="0">
      <selection activeCell="A1" sqref="A1"/>
    </sheetView>
  </sheetViews>
  <sheetFormatPr baseColWidth="8" defaultRowHeight="15"/>
  <cols>
    <col width="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ht="10" customHeight="1"/>
    <row r="2" ht="32" customHeight="1">
      <c r="B2" s="9" t="inlineStr">
        <is>
          <t>Dashboard</t>
        </is>
      </c>
    </row>
    <row r="3">
      <c r="B3" s="10">
        <f>Setup!$C$7&amp;"  ·  "&amp;Setup!$C$6</f>
        <v/>
      </c>
    </row>
    <row r="4" ht="8" customHeight="1">
      <c r="B4" s="11" t="n"/>
      <c r="C4" s="11" t="n"/>
      <c r="D4" s="11" t="n"/>
      <c r="E4" s="11" t="n"/>
      <c r="F4" s="11" t="n"/>
      <c r="G4" s="11" t="n"/>
      <c r="H4" s="11" t="n"/>
      <c r="I4" s="11" t="n"/>
      <c r="J4" s="11" t="n"/>
      <c r="K4" s="11" t="n"/>
      <c r="L4" s="11" t="n"/>
      <c r="M4" s="11" t="n"/>
    </row>
    <row r="6">
      <c r="B6" s="12" t="inlineStr">
        <is>
          <t>INCOME</t>
        </is>
      </c>
      <c r="E6" s="12" t="inlineStr">
        <is>
          <t>DEDUCTIBLE EXPENSES</t>
        </is>
      </c>
      <c r="H6" s="12" t="inlineStr">
        <is>
          <t>INCOME MINUS DEDUCTIBLE</t>
        </is>
      </c>
      <c r="K6" s="12" t="inlineStr">
        <is>
          <t>ALL EXPENSES</t>
        </is>
      </c>
    </row>
    <row r="7" ht="34" customHeight="1">
      <c r="B7" s="13">
        <f>'Monthly &amp; Tax'!C19</f>
        <v/>
      </c>
      <c r="E7" s="13">
        <f>'Monthly &amp; Tax'!E19</f>
        <v/>
      </c>
      <c r="H7" s="13">
        <f>'Monthly &amp; Tax'!F19</f>
        <v/>
      </c>
      <c r="K7" s="13">
        <f>'Monthly &amp; Tax'!D19</f>
        <v/>
      </c>
    </row>
    <row r="9">
      <c r="B9" s="12" t="inlineStr">
        <is>
          <t>SET ASIDE FOR TAX</t>
        </is>
      </c>
      <c r="E9" s="12" t="inlineStr">
        <is>
          <t>TAX PAID SO FAR</t>
        </is>
      </c>
      <c r="H9" s="12" t="inlineStr">
        <is>
          <t>UNPAID INVOICES</t>
        </is>
      </c>
      <c r="K9" s="12" t="inlineStr">
        <is>
          <t>OVERDUE INVOICES</t>
        </is>
      </c>
    </row>
    <row r="10" ht="34" customHeight="1">
      <c r="B10" s="13">
        <f>'Monthly &amp; Tax'!I19</f>
        <v/>
      </c>
      <c r="E10" s="13">
        <f>SUM('Monthly &amp; Tax'!H24:H27)</f>
        <v/>
      </c>
      <c r="H10" s="13">
        <f>Invoices!D5</f>
        <v/>
      </c>
      <c r="K10" s="14">
        <f>Invoices!G5</f>
        <v/>
      </c>
    </row>
  </sheetData>
  <mergeCells count="16">
    <mergeCell ref="B10:D10"/>
    <mergeCell ref="E10:G10"/>
    <mergeCell ref="K7:L7"/>
    <mergeCell ref="H10:J10"/>
    <mergeCell ref="E7:G7"/>
    <mergeCell ref="K10:L10"/>
    <mergeCell ref="K9:L9"/>
    <mergeCell ref="B9:D9"/>
    <mergeCell ref="E9:G9"/>
    <mergeCell ref="H9:J9"/>
    <mergeCell ref="H7:J7"/>
    <mergeCell ref="K6:L6"/>
    <mergeCell ref="B7:D7"/>
    <mergeCell ref="B6:D6"/>
    <mergeCell ref="E6:G6"/>
    <mergeCell ref="H6:J6"/>
  </mergeCells>
  <printOptions horizontalCentered="1"/>
  <pageMargins left="0.4" right="0.4" top="0.5" bottom="0.5"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tabColor rgb="002F7D6D"/>
    <outlinePr summaryBelow="1" summaryRight="1"/>
    <pageSetUpPr fitToPage="1"/>
  </sheetPr>
  <dimension ref="B2:G43"/>
  <sheetViews>
    <sheetView showGridLines="0" workbookViewId="0">
      <selection activeCell="A1" sqref="A1"/>
    </sheetView>
  </sheetViews>
  <sheetFormatPr baseColWidth="8" defaultRowHeight="15"/>
  <cols>
    <col width="2" customWidth="1" min="1" max="1"/>
    <col width="30" customWidth="1" min="2" max="2"/>
    <col width="16" customWidth="1" min="3" max="3"/>
    <col width="4" customWidth="1" min="4" max="4"/>
    <col width="28" customWidth="1" min="5" max="5"/>
    <col width="14" customWidth="1" min="6" max="6"/>
    <col width="40" customWidth="1" min="7" max="7"/>
  </cols>
  <sheetData>
    <row r="1" ht="10" customHeight="1"/>
    <row r="2" ht="32" customHeight="1">
      <c r="B2" s="9" t="inlineStr">
        <is>
          <t>Setup</t>
        </is>
      </c>
    </row>
    <row r="3">
      <c r="B3" s="10" t="inlineStr">
        <is>
          <t>Fill this in once. Every other tab reads from here.</t>
        </is>
      </c>
    </row>
    <row r="4" ht="8" customHeight="1">
      <c r="B4" s="11" t="n"/>
      <c r="C4" s="11" t="n"/>
      <c r="D4" s="11" t="n"/>
      <c r="E4" s="11" t="n"/>
      <c r="F4" s="11" t="n"/>
      <c r="G4" s="11" t="n"/>
    </row>
    <row r="6">
      <c r="B6" s="15" t="inlineStr">
        <is>
          <t>Tax year</t>
        </is>
      </c>
      <c r="C6" s="16" t="n">
        <v>2026</v>
      </c>
    </row>
    <row r="7">
      <c r="B7" s="15" t="inlineStr">
        <is>
          <t>Business name</t>
        </is>
      </c>
      <c r="C7" s="17" t="inlineStr">
        <is>
          <t>My Freelance Business</t>
        </is>
      </c>
      <c r="D7" s="18" t="n"/>
      <c r="E7" s="19" t="n"/>
    </row>
    <row r="8">
      <c r="B8" s="15" t="inlineStr">
        <is>
          <t>Tax set-aside %</t>
        </is>
      </c>
      <c r="C8" s="20" t="n">
        <v>0.25</v>
      </c>
      <c r="E8" s="21" t="inlineStr">
        <is>
          <t>The share of income minus deductible expenses you move to savings for tax. Ask a tax professional what fits you.</t>
        </is>
      </c>
    </row>
    <row r="9">
      <c r="B9" s="15" t="inlineStr">
        <is>
          <t>Monthly income goal</t>
        </is>
      </c>
      <c r="C9" s="22" t="n">
        <v>0</v>
      </c>
    </row>
    <row r="13" ht="30" customHeight="1">
      <c r="B13" s="23" t="inlineStr">
        <is>
          <t>Your clients</t>
        </is>
      </c>
      <c r="E13" s="23" t="inlineStr">
        <is>
          <t>Expense categories</t>
        </is>
      </c>
      <c r="F13" s="23" t="inlineStr">
        <is>
          <t>Deductible %</t>
        </is>
      </c>
    </row>
    <row r="14">
      <c r="B14" s="17" t="n"/>
      <c r="E14" s="17" t="inlineStr">
        <is>
          <t>Advertising &amp; marketing</t>
        </is>
      </c>
      <c r="F14" s="20" t="n">
        <v>1</v>
      </c>
    </row>
    <row r="15">
      <c r="B15" s="17" t="n"/>
      <c r="E15" s="17" t="inlineStr">
        <is>
          <t>Software &amp; subscriptions</t>
        </is>
      </c>
      <c r="F15" s="20" t="n">
        <v>1</v>
      </c>
    </row>
    <row r="16">
      <c r="B16" s="17" t="n"/>
      <c r="E16" s="17" t="inlineStr">
        <is>
          <t>Office supplies</t>
        </is>
      </c>
      <c r="F16" s="20" t="n">
        <v>1</v>
      </c>
    </row>
    <row r="17">
      <c r="B17" s="17" t="n"/>
      <c r="E17" s="17" t="inlineStr">
        <is>
          <t>Equipment &amp; computers</t>
        </is>
      </c>
      <c r="F17" s="20" t="n">
        <v>1</v>
      </c>
    </row>
    <row r="18">
      <c r="B18" s="17" t="n"/>
      <c r="E18" s="17" t="inlineStr">
        <is>
          <t>Phone &amp; internet</t>
        </is>
      </c>
      <c r="F18" s="20" t="n">
        <v>1</v>
      </c>
    </row>
    <row r="19">
      <c r="B19" s="17" t="n"/>
      <c r="E19" s="17" t="inlineStr">
        <is>
          <t>Professional services</t>
        </is>
      </c>
      <c r="F19" s="20" t="n">
        <v>1</v>
      </c>
    </row>
    <row r="20">
      <c r="B20" s="17" t="n"/>
      <c r="E20" s="17" t="inlineStr">
        <is>
          <t>Contractors</t>
        </is>
      </c>
      <c r="F20" s="20" t="n">
        <v>1</v>
      </c>
    </row>
    <row r="21">
      <c r="B21" s="17" t="n"/>
      <c r="E21" s="17" t="inlineStr">
        <is>
          <t>Travel</t>
        </is>
      </c>
      <c r="F21" s="20" t="n">
        <v>1</v>
      </c>
    </row>
    <row r="22">
      <c r="B22" s="17" t="n"/>
      <c r="E22" s="17" t="inlineStr">
        <is>
          <t>Business meals</t>
        </is>
      </c>
      <c r="F22" s="20" t="n">
        <v>0.5</v>
      </c>
    </row>
    <row r="23">
      <c r="B23" s="17" t="n"/>
      <c r="E23" s="17" t="inlineStr">
        <is>
          <t>Education &amp; training</t>
        </is>
      </c>
      <c r="F23" s="20" t="n">
        <v>1</v>
      </c>
    </row>
    <row r="24">
      <c r="B24" s="17" t="n"/>
      <c r="E24" s="17" t="inlineStr">
        <is>
          <t>Bank &amp; payment fees</t>
        </is>
      </c>
      <c r="F24" s="20" t="n">
        <v>1</v>
      </c>
    </row>
    <row r="25">
      <c r="B25" s="17" t="n"/>
      <c r="E25" s="17" t="inlineStr">
        <is>
          <t>Business insurance</t>
        </is>
      </c>
      <c r="F25" s="20" t="n">
        <v>1</v>
      </c>
    </row>
    <row r="26">
      <c r="B26" s="17" t="n"/>
      <c r="E26" s="17" t="inlineStr">
        <is>
          <t>Rent / coworking</t>
        </is>
      </c>
      <c r="F26" s="20" t="n">
        <v>1</v>
      </c>
    </row>
    <row r="27">
      <c r="B27" s="17" t="n"/>
      <c r="E27" s="17" t="inlineStr">
        <is>
          <t>Home office</t>
        </is>
      </c>
      <c r="F27" s="20" t="n">
        <v>1</v>
      </c>
    </row>
    <row r="28">
      <c r="B28" s="17" t="n"/>
      <c r="E28" s="17" t="inlineStr">
        <is>
          <t>Vehicle / mileage</t>
        </is>
      </c>
      <c r="F28" s="20" t="n">
        <v>1</v>
      </c>
    </row>
    <row r="29">
      <c r="B29" s="17" t="n"/>
      <c r="E29" s="17" t="inlineStr">
        <is>
          <t>Shipping &amp; postage</t>
        </is>
      </c>
      <c r="F29" s="20" t="n">
        <v>1</v>
      </c>
    </row>
    <row r="30">
      <c r="B30" s="17" t="n"/>
      <c r="E30" s="17" t="inlineStr">
        <is>
          <t>Licenses &amp; dues</t>
        </is>
      </c>
      <c r="F30" s="20" t="n">
        <v>1</v>
      </c>
    </row>
    <row r="31">
      <c r="B31" s="17" t="n"/>
      <c r="E31" s="17" t="inlineStr">
        <is>
          <t>Other</t>
        </is>
      </c>
      <c r="F31" s="20" t="n">
        <v>1</v>
      </c>
    </row>
    <row r="32">
      <c r="B32" s="17" t="n"/>
      <c r="E32" s="17" t="n"/>
      <c r="F32" s="20" t="n"/>
    </row>
    <row r="33">
      <c r="B33" s="17" t="n"/>
      <c r="E33" s="17" t="n"/>
      <c r="F33" s="20" t="n"/>
    </row>
    <row r="34">
      <c r="B34" s="17" t="n"/>
    </row>
    <row r="35">
      <c r="B35" s="17" t="n"/>
      <c r="E35" s="21" t="inlineStr">
        <is>
          <t>Deductible % is the share of that cost you can claim. Rules differ by country;</t>
        </is>
      </c>
    </row>
    <row r="36">
      <c r="B36" s="17" t="n"/>
      <c r="E36" s="21" t="inlineStr">
        <is>
          <t>for example, US business meals are usually 50% deductible. Check with a tax pro.</t>
        </is>
      </c>
    </row>
    <row r="37">
      <c r="B37" s="17" t="n"/>
    </row>
    <row r="38">
      <c r="B38" s="17" t="n"/>
    </row>
    <row r="39">
      <c r="B39" s="17" t="n"/>
    </row>
    <row r="40">
      <c r="B40" s="17" t="n"/>
    </row>
    <row r="41">
      <c r="B41" s="17" t="n"/>
    </row>
    <row r="42">
      <c r="B42" s="17" t="n"/>
    </row>
    <row r="43">
      <c r="B43" s="17" t="n"/>
    </row>
  </sheetData>
  <mergeCells count="1">
    <mergeCell ref="C7:E7"/>
  </mergeCells>
  <printOptions horizontalCentered="1"/>
  <pageMargins left="0.4" right="0.4" top="0.5" bottom="0.5" header="0.5" footer="0.5"/>
  <pageSetup orientation="portrait" fitToHeight="0" fitToWidth="1"/>
</worksheet>
</file>

<file path=xl/worksheets/sheet4.xml><?xml version="1.0" encoding="utf-8"?>
<worksheet xmlns="http://schemas.openxmlformats.org/spreadsheetml/2006/main">
  <sheetPr>
    <tabColor rgb="00DAE8E5"/>
    <outlinePr summaryBelow="1" summaryRight="1"/>
    <pageSetUpPr fitToPage="1"/>
  </sheetPr>
  <dimension ref="B2:H506"/>
  <sheetViews>
    <sheetView showGridLines="0" workbookViewId="0">
      <pane ySplit="6" topLeftCell="A7" activePane="bottomLeft" state="frozen"/>
      <selection pane="bottomLeft" activeCell="A1" sqref="A1"/>
    </sheetView>
  </sheetViews>
  <sheetFormatPr baseColWidth="8" defaultRowHeight="15"/>
  <cols>
    <col width="2" customWidth="1" min="1" max="1"/>
    <col width="14" customWidth="1" min="2" max="2"/>
    <col width="24" customWidth="1" min="3" max="3"/>
    <col width="34" customWidth="1" min="4" max="4"/>
    <col width="12" customWidth="1" min="5" max="5"/>
    <col width="14" customWidth="1" min="6" max="6"/>
    <col width="18" customWidth="1" min="7" max="7"/>
    <col width="30" customWidth="1" min="8" max="8"/>
  </cols>
  <sheetData>
    <row r="1" ht="10" customHeight="1"/>
    <row r="2" ht="32" customHeight="1">
      <c r="B2" s="9" t="inlineStr">
        <is>
          <t>Income</t>
        </is>
      </c>
    </row>
    <row r="3">
      <c r="B3" s="10" t="inlineStr">
        <is>
          <t>Log money when it lands in your account. One row per payment.</t>
        </is>
      </c>
    </row>
    <row r="4" ht="8" customHeight="1">
      <c r="B4" s="11" t="n"/>
      <c r="C4" s="11" t="n"/>
      <c r="D4" s="11" t="n"/>
      <c r="E4" s="11" t="n"/>
      <c r="F4" s="11" t="n"/>
      <c r="G4" s="11" t="n"/>
      <c r="H4" s="11" t="n"/>
    </row>
    <row r="5">
      <c r="B5" s="24">
        <f>"Total received in "&amp;Setup!$C$6&amp;":"</f>
        <v/>
      </c>
      <c r="E5" s="25">
        <f>SUMIFS(F7:F506,B7:B506,"&gt;="&amp;DATE(Setup!$C$6,1,1),B7:B506,"&lt;"&amp;DATE(Setup!$C$6+1,1,1))</f>
        <v/>
      </c>
      <c r="F5" s="19" t="n"/>
    </row>
    <row r="6" ht="30" customHeight="1">
      <c r="B6" s="23" t="inlineStr">
        <is>
          <t>Date received</t>
        </is>
      </c>
      <c r="C6" s="23" t="inlineStr">
        <is>
          <t>Client</t>
        </is>
      </c>
      <c r="D6" s="23" t="inlineStr">
        <is>
          <t>What it was for</t>
        </is>
      </c>
      <c r="E6" s="23" t="inlineStr">
        <is>
          <t>Invoice #</t>
        </is>
      </c>
      <c r="F6" s="23" t="inlineStr">
        <is>
          <t>Amount</t>
        </is>
      </c>
      <c r="G6" s="23" t="inlineStr">
        <is>
          <t>Paid by</t>
        </is>
      </c>
      <c r="H6" s="23" t="inlineStr">
        <is>
          <t>Notes</t>
        </is>
      </c>
    </row>
    <row r="7">
      <c r="B7" s="26" t="n"/>
      <c r="C7" s="17" t="n"/>
      <c r="D7" s="17" t="n"/>
      <c r="E7" s="17" t="n"/>
      <c r="F7" s="27" t="n"/>
      <c r="G7" s="17" t="n"/>
      <c r="H7" s="17" t="n"/>
    </row>
    <row r="8">
      <c r="B8" s="26" t="n"/>
      <c r="C8" s="17" t="n"/>
      <c r="D8" s="17" t="n"/>
      <c r="E8" s="17" t="n"/>
      <c r="F8" s="27" t="n"/>
      <c r="G8" s="17" t="n"/>
      <c r="H8" s="17" t="n"/>
    </row>
    <row r="9">
      <c r="B9" s="26" t="n"/>
      <c r="C9" s="17" t="n"/>
      <c r="D9" s="17" t="n"/>
      <c r="E9" s="17" t="n"/>
      <c r="F9" s="27" t="n"/>
      <c r="G9" s="17" t="n"/>
      <c r="H9" s="17" t="n"/>
    </row>
    <row r="10">
      <c r="B10" s="26" t="n"/>
      <c r="C10" s="17" t="n"/>
      <c r="D10" s="17" t="n"/>
      <c r="E10" s="17" t="n"/>
      <c r="F10" s="27" t="n"/>
      <c r="G10" s="17" t="n"/>
      <c r="H10" s="17" t="n"/>
    </row>
    <row r="11">
      <c r="B11" s="26" t="n"/>
      <c r="C11" s="17" t="n"/>
      <c r="D11" s="17" t="n"/>
      <c r="E11" s="17" t="n"/>
      <c r="F11" s="27" t="n"/>
      <c r="G11" s="17" t="n"/>
      <c r="H11" s="17" t="n"/>
    </row>
    <row r="12">
      <c r="B12" s="26" t="n"/>
      <c r="C12" s="17" t="n"/>
      <c r="D12" s="17" t="n"/>
      <c r="E12" s="17" t="n"/>
      <c r="F12" s="27" t="n"/>
      <c r="G12" s="17" t="n"/>
      <c r="H12" s="17" t="n"/>
    </row>
    <row r="13">
      <c r="B13" s="26" t="n"/>
      <c r="C13" s="17" t="n"/>
      <c r="D13" s="17" t="n"/>
      <c r="E13" s="17" t="n"/>
      <c r="F13" s="27" t="n"/>
      <c r="G13" s="17" t="n"/>
      <c r="H13" s="17" t="n"/>
    </row>
    <row r="14">
      <c r="B14" s="26" t="n"/>
      <c r="C14" s="17" t="n"/>
      <c r="D14" s="17" t="n"/>
      <c r="E14" s="17" t="n"/>
      <c r="F14" s="27" t="n"/>
      <c r="G14" s="17" t="n"/>
      <c r="H14" s="17" t="n"/>
    </row>
    <row r="15">
      <c r="B15" s="26" t="n"/>
      <c r="C15" s="17" t="n"/>
      <c r="D15" s="17" t="n"/>
      <c r="E15" s="17" t="n"/>
      <c r="F15" s="27" t="n"/>
      <c r="G15" s="17" t="n"/>
      <c r="H15" s="17" t="n"/>
    </row>
    <row r="16">
      <c r="B16" s="26" t="n"/>
      <c r="C16" s="17" t="n"/>
      <c r="D16" s="17" t="n"/>
      <c r="E16" s="17" t="n"/>
      <c r="F16" s="27" t="n"/>
      <c r="G16" s="17" t="n"/>
      <c r="H16" s="17" t="n"/>
    </row>
    <row r="17">
      <c r="B17" s="26" t="n"/>
      <c r="C17" s="17" t="n"/>
      <c r="D17" s="17" t="n"/>
      <c r="E17" s="17" t="n"/>
      <c r="F17" s="27" t="n"/>
      <c r="G17" s="17" t="n"/>
      <c r="H17" s="17" t="n"/>
    </row>
    <row r="18">
      <c r="B18" s="26" t="n"/>
      <c r="C18" s="17" t="n"/>
      <c r="D18" s="17" t="n"/>
      <c r="E18" s="17" t="n"/>
      <c r="F18" s="27" t="n"/>
      <c r="G18" s="17" t="n"/>
      <c r="H18" s="17" t="n"/>
    </row>
    <row r="19">
      <c r="B19" s="26" t="n"/>
      <c r="C19" s="17" t="n"/>
      <c r="D19" s="17" t="n"/>
      <c r="E19" s="17" t="n"/>
      <c r="F19" s="27" t="n"/>
      <c r="G19" s="17" t="n"/>
      <c r="H19" s="17" t="n"/>
    </row>
    <row r="20">
      <c r="B20" s="26" t="n"/>
      <c r="C20" s="17" t="n"/>
      <c r="D20" s="17" t="n"/>
      <c r="E20" s="17" t="n"/>
      <c r="F20" s="27" t="n"/>
      <c r="G20" s="17" t="n"/>
      <c r="H20" s="17" t="n"/>
    </row>
    <row r="21">
      <c r="B21" s="26" t="n"/>
      <c r="C21" s="17" t="n"/>
      <c r="D21" s="17" t="n"/>
      <c r="E21" s="17" t="n"/>
      <c r="F21" s="27" t="n"/>
      <c r="G21" s="17" t="n"/>
      <c r="H21" s="17" t="n"/>
    </row>
    <row r="22">
      <c r="B22" s="26" t="n"/>
      <c r="C22" s="17" t="n"/>
      <c r="D22" s="17" t="n"/>
      <c r="E22" s="17" t="n"/>
      <c r="F22" s="27" t="n"/>
      <c r="G22" s="17" t="n"/>
      <c r="H22" s="17" t="n"/>
    </row>
    <row r="23">
      <c r="B23" s="26" t="n"/>
      <c r="C23" s="17" t="n"/>
      <c r="D23" s="17" t="n"/>
      <c r="E23" s="17" t="n"/>
      <c r="F23" s="27" t="n"/>
      <c r="G23" s="17" t="n"/>
      <c r="H23" s="17" t="n"/>
    </row>
    <row r="24">
      <c r="B24" s="26" t="n"/>
      <c r="C24" s="17" t="n"/>
      <c r="D24" s="17" t="n"/>
      <c r="E24" s="17" t="n"/>
      <c r="F24" s="27" t="n"/>
      <c r="G24" s="17" t="n"/>
      <c r="H24" s="17" t="n"/>
    </row>
    <row r="25">
      <c r="B25" s="26" t="n"/>
      <c r="C25" s="17" t="n"/>
      <c r="D25" s="17" t="n"/>
      <c r="E25" s="17" t="n"/>
      <c r="F25" s="27" t="n"/>
      <c r="G25" s="17" t="n"/>
      <c r="H25" s="17" t="n"/>
    </row>
    <row r="26">
      <c r="B26" s="26" t="n"/>
      <c r="C26" s="17" t="n"/>
      <c r="D26" s="17" t="n"/>
      <c r="E26" s="17" t="n"/>
      <c r="F26" s="27" t="n"/>
      <c r="G26" s="17" t="n"/>
      <c r="H26" s="17" t="n"/>
    </row>
    <row r="27">
      <c r="B27" s="26" t="n"/>
      <c r="C27" s="17" t="n"/>
      <c r="D27" s="17" t="n"/>
      <c r="E27" s="17" t="n"/>
      <c r="F27" s="27" t="n"/>
      <c r="G27" s="17" t="n"/>
      <c r="H27" s="17" t="n"/>
    </row>
    <row r="28">
      <c r="B28" s="26" t="n"/>
      <c r="C28" s="17" t="n"/>
      <c r="D28" s="17" t="n"/>
      <c r="E28" s="17" t="n"/>
      <c r="F28" s="27" t="n"/>
      <c r="G28" s="17" t="n"/>
      <c r="H28" s="17" t="n"/>
    </row>
    <row r="29">
      <c r="B29" s="26" t="n"/>
      <c r="C29" s="17" t="n"/>
      <c r="D29" s="17" t="n"/>
      <c r="E29" s="17" t="n"/>
      <c r="F29" s="27" t="n"/>
      <c r="G29" s="17" t="n"/>
      <c r="H29" s="17" t="n"/>
    </row>
    <row r="30">
      <c r="B30" s="26" t="n"/>
      <c r="C30" s="17" t="n"/>
      <c r="D30" s="17" t="n"/>
      <c r="E30" s="17" t="n"/>
      <c r="F30" s="27" t="n"/>
      <c r="G30" s="17" t="n"/>
      <c r="H30" s="17" t="n"/>
    </row>
    <row r="31">
      <c r="B31" s="26" t="n"/>
      <c r="C31" s="17" t="n"/>
      <c r="D31" s="17" t="n"/>
      <c r="E31" s="17" t="n"/>
      <c r="F31" s="27" t="n"/>
      <c r="G31" s="17" t="n"/>
      <c r="H31" s="17" t="n"/>
    </row>
    <row r="32">
      <c r="B32" s="26" t="n"/>
      <c r="C32" s="17" t="n"/>
      <c r="D32" s="17" t="n"/>
      <c r="E32" s="17" t="n"/>
      <c r="F32" s="27" t="n"/>
      <c r="G32" s="17" t="n"/>
      <c r="H32" s="17" t="n"/>
    </row>
    <row r="33">
      <c r="B33" s="26" t="n"/>
      <c r="C33" s="17" t="n"/>
      <c r="D33" s="17" t="n"/>
      <c r="E33" s="17" t="n"/>
      <c r="F33" s="27" t="n"/>
      <c r="G33" s="17" t="n"/>
      <c r="H33" s="17" t="n"/>
    </row>
    <row r="34">
      <c r="B34" s="26" t="n"/>
      <c r="C34" s="17" t="n"/>
      <c r="D34" s="17" t="n"/>
      <c r="E34" s="17" t="n"/>
      <c r="F34" s="27" t="n"/>
      <c r="G34" s="17" t="n"/>
      <c r="H34" s="17" t="n"/>
    </row>
    <row r="35">
      <c r="B35" s="26" t="n"/>
      <c r="C35" s="17" t="n"/>
      <c r="D35" s="17" t="n"/>
      <c r="E35" s="17" t="n"/>
      <c r="F35" s="27" t="n"/>
      <c r="G35" s="17" t="n"/>
      <c r="H35" s="17" t="n"/>
    </row>
    <row r="36">
      <c r="B36" s="26" t="n"/>
      <c r="C36" s="17" t="n"/>
      <c r="D36" s="17" t="n"/>
      <c r="E36" s="17" t="n"/>
      <c r="F36" s="27" t="n"/>
      <c r="G36" s="17" t="n"/>
      <c r="H36" s="17" t="n"/>
    </row>
    <row r="37">
      <c r="B37" s="26" t="n"/>
      <c r="C37" s="17" t="n"/>
      <c r="D37" s="17" t="n"/>
      <c r="E37" s="17" t="n"/>
      <c r="F37" s="27" t="n"/>
      <c r="G37" s="17" t="n"/>
      <c r="H37" s="17" t="n"/>
    </row>
    <row r="38">
      <c r="B38" s="26" t="n"/>
      <c r="C38" s="17" t="n"/>
      <c r="D38" s="17" t="n"/>
      <c r="E38" s="17" t="n"/>
      <c r="F38" s="27" t="n"/>
      <c r="G38" s="17" t="n"/>
      <c r="H38" s="17" t="n"/>
    </row>
    <row r="39">
      <c r="B39" s="26" t="n"/>
      <c r="C39" s="17" t="n"/>
      <c r="D39" s="17" t="n"/>
      <c r="E39" s="17" t="n"/>
      <c r="F39" s="27" t="n"/>
      <c r="G39" s="17" t="n"/>
      <c r="H39" s="17" t="n"/>
    </row>
    <row r="40">
      <c r="B40" s="26" t="n"/>
      <c r="C40" s="17" t="n"/>
      <c r="D40" s="17" t="n"/>
      <c r="E40" s="17" t="n"/>
      <c r="F40" s="27" t="n"/>
      <c r="G40" s="17" t="n"/>
      <c r="H40" s="17" t="n"/>
    </row>
    <row r="41">
      <c r="B41" s="26" t="n"/>
      <c r="C41" s="17" t="n"/>
      <c r="D41" s="17" t="n"/>
      <c r="E41" s="17" t="n"/>
      <c r="F41" s="27" t="n"/>
      <c r="G41" s="17" t="n"/>
      <c r="H41" s="17" t="n"/>
    </row>
    <row r="42">
      <c r="B42" s="26" t="n"/>
      <c r="C42" s="17" t="n"/>
      <c r="D42" s="17" t="n"/>
      <c r="E42" s="17" t="n"/>
      <c r="F42" s="27" t="n"/>
      <c r="G42" s="17" t="n"/>
      <c r="H42" s="17" t="n"/>
    </row>
    <row r="43">
      <c r="B43" s="26" t="n"/>
      <c r="C43" s="17" t="n"/>
      <c r="D43" s="17" t="n"/>
      <c r="E43" s="17" t="n"/>
      <c r="F43" s="27" t="n"/>
      <c r="G43" s="17" t="n"/>
      <c r="H43" s="17" t="n"/>
    </row>
    <row r="44">
      <c r="B44" s="26" t="n"/>
      <c r="C44" s="17" t="n"/>
      <c r="D44" s="17" t="n"/>
      <c r="E44" s="17" t="n"/>
      <c r="F44" s="27" t="n"/>
      <c r="G44" s="17" t="n"/>
      <c r="H44" s="17" t="n"/>
    </row>
    <row r="45">
      <c r="B45" s="26" t="n"/>
      <c r="C45" s="17" t="n"/>
      <c r="D45" s="17" t="n"/>
      <c r="E45" s="17" t="n"/>
      <c r="F45" s="27" t="n"/>
      <c r="G45" s="17" t="n"/>
      <c r="H45" s="17" t="n"/>
    </row>
    <row r="46">
      <c r="B46" s="26" t="n"/>
      <c r="C46" s="17" t="n"/>
      <c r="D46" s="17" t="n"/>
      <c r="E46" s="17" t="n"/>
      <c r="F46" s="27" t="n"/>
      <c r="G46" s="17" t="n"/>
      <c r="H46" s="17" t="n"/>
    </row>
    <row r="47">
      <c r="B47" s="26" t="n"/>
      <c r="C47" s="17" t="n"/>
      <c r="D47" s="17" t="n"/>
      <c r="E47" s="17" t="n"/>
      <c r="F47" s="27" t="n"/>
      <c r="G47" s="17" t="n"/>
      <c r="H47" s="17" t="n"/>
    </row>
    <row r="48">
      <c r="B48" s="26" t="n"/>
      <c r="C48" s="17" t="n"/>
      <c r="D48" s="17" t="n"/>
      <c r="E48" s="17" t="n"/>
      <c r="F48" s="27" t="n"/>
      <c r="G48" s="17" t="n"/>
      <c r="H48" s="17" t="n"/>
    </row>
    <row r="49">
      <c r="B49" s="26" t="n"/>
      <c r="C49" s="17" t="n"/>
      <c r="D49" s="17" t="n"/>
      <c r="E49" s="17" t="n"/>
      <c r="F49" s="27" t="n"/>
      <c r="G49" s="17" t="n"/>
      <c r="H49" s="17" t="n"/>
    </row>
    <row r="50">
      <c r="B50" s="26" t="n"/>
      <c r="C50" s="17" t="n"/>
      <c r="D50" s="17" t="n"/>
      <c r="E50" s="17" t="n"/>
      <c r="F50" s="27" t="n"/>
      <c r="G50" s="17" t="n"/>
      <c r="H50" s="17" t="n"/>
    </row>
    <row r="51">
      <c r="B51" s="26" t="n"/>
      <c r="C51" s="17" t="n"/>
      <c r="D51" s="17" t="n"/>
      <c r="E51" s="17" t="n"/>
      <c r="F51" s="27" t="n"/>
      <c r="G51" s="17" t="n"/>
      <c r="H51" s="17" t="n"/>
    </row>
    <row r="52">
      <c r="B52" s="26" t="n"/>
      <c r="C52" s="17" t="n"/>
      <c r="D52" s="17" t="n"/>
      <c r="E52" s="17" t="n"/>
      <c r="F52" s="27" t="n"/>
      <c r="G52" s="17" t="n"/>
      <c r="H52" s="17" t="n"/>
    </row>
    <row r="53">
      <c r="B53" s="26" t="n"/>
      <c r="C53" s="17" t="n"/>
      <c r="D53" s="17" t="n"/>
      <c r="E53" s="17" t="n"/>
      <c r="F53" s="27" t="n"/>
      <c r="G53" s="17" t="n"/>
      <c r="H53" s="17" t="n"/>
    </row>
    <row r="54">
      <c r="B54" s="26" t="n"/>
      <c r="C54" s="17" t="n"/>
      <c r="D54" s="17" t="n"/>
      <c r="E54" s="17" t="n"/>
      <c r="F54" s="27" t="n"/>
      <c r="G54" s="17" t="n"/>
      <c r="H54" s="17" t="n"/>
    </row>
    <row r="55">
      <c r="B55" s="26" t="n"/>
      <c r="C55" s="17" t="n"/>
      <c r="D55" s="17" t="n"/>
      <c r="E55" s="17" t="n"/>
      <c r="F55" s="27" t="n"/>
      <c r="G55" s="17" t="n"/>
      <c r="H55" s="17" t="n"/>
    </row>
    <row r="56">
      <c r="B56" s="26" t="n"/>
      <c r="C56" s="17" t="n"/>
      <c r="D56" s="17" t="n"/>
      <c r="E56" s="17" t="n"/>
      <c r="F56" s="27" t="n"/>
      <c r="G56" s="17" t="n"/>
      <c r="H56" s="17" t="n"/>
    </row>
    <row r="57">
      <c r="B57" s="26" t="n"/>
      <c r="C57" s="17" t="n"/>
      <c r="D57" s="17" t="n"/>
      <c r="E57" s="17" t="n"/>
      <c r="F57" s="27" t="n"/>
      <c r="G57" s="17" t="n"/>
      <c r="H57" s="17" t="n"/>
    </row>
    <row r="58">
      <c r="B58" s="26" t="n"/>
      <c r="C58" s="17" t="n"/>
      <c r="D58" s="17" t="n"/>
      <c r="E58" s="17" t="n"/>
      <c r="F58" s="27" t="n"/>
      <c r="G58" s="17" t="n"/>
      <c r="H58" s="17" t="n"/>
    </row>
    <row r="59">
      <c r="B59" s="26" t="n"/>
      <c r="C59" s="17" t="n"/>
      <c r="D59" s="17" t="n"/>
      <c r="E59" s="17" t="n"/>
      <c r="F59" s="27" t="n"/>
      <c r="G59" s="17" t="n"/>
      <c r="H59" s="17" t="n"/>
    </row>
    <row r="60">
      <c r="B60" s="26" t="n"/>
      <c r="C60" s="17" t="n"/>
      <c r="D60" s="17" t="n"/>
      <c r="E60" s="17" t="n"/>
      <c r="F60" s="27" t="n"/>
      <c r="G60" s="17" t="n"/>
      <c r="H60" s="17" t="n"/>
    </row>
    <row r="61">
      <c r="B61" s="26" t="n"/>
      <c r="C61" s="17" t="n"/>
      <c r="D61" s="17" t="n"/>
      <c r="E61" s="17" t="n"/>
      <c r="F61" s="27" t="n"/>
      <c r="G61" s="17" t="n"/>
      <c r="H61" s="17" t="n"/>
    </row>
    <row r="62">
      <c r="B62" s="26" t="n"/>
      <c r="C62" s="17" t="n"/>
      <c r="D62" s="17" t="n"/>
      <c r="E62" s="17" t="n"/>
      <c r="F62" s="27" t="n"/>
      <c r="G62" s="17" t="n"/>
      <c r="H62" s="17" t="n"/>
    </row>
    <row r="63">
      <c r="B63" s="26" t="n"/>
      <c r="C63" s="17" t="n"/>
      <c r="D63" s="17" t="n"/>
      <c r="E63" s="17" t="n"/>
      <c r="F63" s="27" t="n"/>
      <c r="G63" s="17" t="n"/>
      <c r="H63" s="17" t="n"/>
    </row>
    <row r="64">
      <c r="B64" s="26" t="n"/>
      <c r="C64" s="17" t="n"/>
      <c r="D64" s="17" t="n"/>
      <c r="E64" s="17" t="n"/>
      <c r="F64" s="27" t="n"/>
      <c r="G64" s="17" t="n"/>
      <c r="H64" s="17" t="n"/>
    </row>
    <row r="65">
      <c r="B65" s="26" t="n"/>
      <c r="C65" s="17" t="n"/>
      <c r="D65" s="17" t="n"/>
      <c r="E65" s="17" t="n"/>
      <c r="F65" s="27" t="n"/>
      <c r="G65" s="17" t="n"/>
      <c r="H65" s="17" t="n"/>
    </row>
    <row r="66">
      <c r="B66" s="26" t="n"/>
      <c r="C66" s="17" t="n"/>
      <c r="D66" s="17" t="n"/>
      <c r="E66" s="17" t="n"/>
      <c r="F66" s="27" t="n"/>
      <c r="G66" s="17" t="n"/>
      <c r="H66" s="17" t="n"/>
    </row>
    <row r="67">
      <c r="B67" s="26" t="n"/>
      <c r="C67" s="17" t="n"/>
      <c r="D67" s="17" t="n"/>
      <c r="E67" s="17" t="n"/>
      <c r="F67" s="27" t="n"/>
      <c r="G67" s="17" t="n"/>
      <c r="H67" s="17" t="n"/>
    </row>
    <row r="68">
      <c r="B68" s="26" t="n"/>
      <c r="C68" s="17" t="n"/>
      <c r="D68" s="17" t="n"/>
      <c r="E68" s="17" t="n"/>
      <c r="F68" s="27" t="n"/>
      <c r="G68" s="17" t="n"/>
      <c r="H68" s="17" t="n"/>
    </row>
    <row r="69">
      <c r="B69" s="26" t="n"/>
      <c r="C69" s="17" t="n"/>
      <c r="D69" s="17" t="n"/>
      <c r="E69" s="17" t="n"/>
      <c r="F69" s="27" t="n"/>
      <c r="G69" s="17" t="n"/>
      <c r="H69" s="17" t="n"/>
    </row>
    <row r="70">
      <c r="B70" s="26" t="n"/>
      <c r="C70" s="17" t="n"/>
      <c r="D70" s="17" t="n"/>
      <c r="E70" s="17" t="n"/>
      <c r="F70" s="27" t="n"/>
      <c r="G70" s="17" t="n"/>
      <c r="H70" s="17" t="n"/>
    </row>
    <row r="71">
      <c r="B71" s="26" t="n"/>
      <c r="C71" s="17" t="n"/>
      <c r="D71" s="17" t="n"/>
      <c r="E71" s="17" t="n"/>
      <c r="F71" s="27" t="n"/>
      <c r="G71" s="17" t="n"/>
      <c r="H71" s="17" t="n"/>
    </row>
    <row r="72">
      <c r="B72" s="26" t="n"/>
      <c r="C72" s="17" t="n"/>
      <c r="D72" s="17" t="n"/>
      <c r="E72" s="17" t="n"/>
      <c r="F72" s="27" t="n"/>
      <c r="G72" s="17" t="n"/>
      <c r="H72" s="17" t="n"/>
    </row>
    <row r="73">
      <c r="B73" s="26" t="n"/>
      <c r="C73" s="17" t="n"/>
      <c r="D73" s="17" t="n"/>
      <c r="E73" s="17" t="n"/>
      <c r="F73" s="27" t="n"/>
      <c r="G73" s="17" t="n"/>
      <c r="H73" s="17" t="n"/>
    </row>
    <row r="74">
      <c r="B74" s="26" t="n"/>
      <c r="C74" s="17" t="n"/>
      <c r="D74" s="17" t="n"/>
      <c r="E74" s="17" t="n"/>
      <c r="F74" s="27" t="n"/>
      <c r="G74" s="17" t="n"/>
      <c r="H74" s="17" t="n"/>
    </row>
    <row r="75">
      <c r="B75" s="26" t="n"/>
      <c r="C75" s="17" t="n"/>
      <c r="D75" s="17" t="n"/>
      <c r="E75" s="17" t="n"/>
      <c r="F75" s="27" t="n"/>
      <c r="G75" s="17" t="n"/>
      <c r="H75" s="17" t="n"/>
    </row>
    <row r="76">
      <c r="B76" s="26" t="n"/>
      <c r="C76" s="17" t="n"/>
      <c r="D76" s="17" t="n"/>
      <c r="E76" s="17" t="n"/>
      <c r="F76" s="27" t="n"/>
      <c r="G76" s="17" t="n"/>
      <c r="H76" s="17" t="n"/>
    </row>
    <row r="77">
      <c r="B77" s="26" t="n"/>
      <c r="C77" s="17" t="n"/>
      <c r="D77" s="17" t="n"/>
      <c r="E77" s="17" t="n"/>
      <c r="F77" s="27" t="n"/>
      <c r="G77" s="17" t="n"/>
      <c r="H77" s="17" t="n"/>
    </row>
    <row r="78">
      <c r="B78" s="26" t="n"/>
      <c r="C78" s="17" t="n"/>
      <c r="D78" s="17" t="n"/>
      <c r="E78" s="17" t="n"/>
      <c r="F78" s="27" t="n"/>
      <c r="G78" s="17" t="n"/>
      <c r="H78" s="17" t="n"/>
    </row>
    <row r="79">
      <c r="B79" s="26" t="n"/>
      <c r="C79" s="17" t="n"/>
      <c r="D79" s="17" t="n"/>
      <c r="E79" s="17" t="n"/>
      <c r="F79" s="27" t="n"/>
      <c r="G79" s="17" t="n"/>
      <c r="H79" s="17" t="n"/>
    </row>
    <row r="80">
      <c r="B80" s="26" t="n"/>
      <c r="C80" s="17" t="n"/>
      <c r="D80" s="17" t="n"/>
      <c r="E80" s="17" t="n"/>
      <c r="F80" s="27" t="n"/>
      <c r="G80" s="17" t="n"/>
      <c r="H80" s="17" t="n"/>
    </row>
    <row r="81">
      <c r="B81" s="26" t="n"/>
      <c r="C81" s="17" t="n"/>
      <c r="D81" s="17" t="n"/>
      <c r="E81" s="17" t="n"/>
      <c r="F81" s="27" t="n"/>
      <c r="G81" s="17" t="n"/>
      <c r="H81" s="17" t="n"/>
    </row>
    <row r="82">
      <c r="B82" s="26" t="n"/>
      <c r="C82" s="17" t="n"/>
      <c r="D82" s="17" t="n"/>
      <c r="E82" s="17" t="n"/>
      <c r="F82" s="27" t="n"/>
      <c r="G82" s="17" t="n"/>
      <c r="H82" s="17" t="n"/>
    </row>
    <row r="83">
      <c r="B83" s="26" t="n"/>
      <c r="C83" s="17" t="n"/>
      <c r="D83" s="17" t="n"/>
      <c r="E83" s="17" t="n"/>
      <c r="F83" s="27" t="n"/>
      <c r="G83" s="17" t="n"/>
      <c r="H83" s="17" t="n"/>
    </row>
    <row r="84">
      <c r="B84" s="26" t="n"/>
      <c r="C84" s="17" t="n"/>
      <c r="D84" s="17" t="n"/>
      <c r="E84" s="17" t="n"/>
      <c r="F84" s="27" t="n"/>
      <c r="G84" s="17" t="n"/>
      <c r="H84" s="17" t="n"/>
    </row>
    <row r="85">
      <c r="B85" s="26" t="n"/>
      <c r="C85" s="17" t="n"/>
      <c r="D85" s="17" t="n"/>
      <c r="E85" s="17" t="n"/>
      <c r="F85" s="27" t="n"/>
      <c r="G85" s="17" t="n"/>
      <c r="H85" s="17" t="n"/>
    </row>
    <row r="86">
      <c r="B86" s="26" t="n"/>
      <c r="C86" s="17" t="n"/>
      <c r="D86" s="17" t="n"/>
      <c r="E86" s="17" t="n"/>
      <c r="F86" s="27" t="n"/>
      <c r="G86" s="17" t="n"/>
      <c r="H86" s="17" t="n"/>
    </row>
    <row r="87">
      <c r="B87" s="26" t="n"/>
      <c r="C87" s="17" t="n"/>
      <c r="D87" s="17" t="n"/>
      <c r="E87" s="17" t="n"/>
      <c r="F87" s="27" t="n"/>
      <c r="G87" s="17" t="n"/>
      <c r="H87" s="17" t="n"/>
    </row>
    <row r="88">
      <c r="B88" s="26" t="n"/>
      <c r="C88" s="17" t="n"/>
      <c r="D88" s="17" t="n"/>
      <c r="E88" s="17" t="n"/>
      <c r="F88" s="27" t="n"/>
      <c r="G88" s="17" t="n"/>
      <c r="H88" s="17" t="n"/>
    </row>
    <row r="89">
      <c r="B89" s="26" t="n"/>
      <c r="C89" s="17" t="n"/>
      <c r="D89" s="17" t="n"/>
      <c r="E89" s="17" t="n"/>
      <c r="F89" s="27" t="n"/>
      <c r="G89" s="17" t="n"/>
      <c r="H89" s="17" t="n"/>
    </row>
    <row r="90">
      <c r="B90" s="26" t="n"/>
      <c r="C90" s="17" t="n"/>
      <c r="D90" s="17" t="n"/>
      <c r="E90" s="17" t="n"/>
      <c r="F90" s="27" t="n"/>
      <c r="G90" s="17" t="n"/>
      <c r="H90" s="17" t="n"/>
    </row>
    <row r="91">
      <c r="B91" s="26" t="n"/>
      <c r="C91" s="17" t="n"/>
      <c r="D91" s="17" t="n"/>
      <c r="E91" s="17" t="n"/>
      <c r="F91" s="27" t="n"/>
      <c r="G91" s="17" t="n"/>
      <c r="H91" s="17" t="n"/>
    </row>
    <row r="92">
      <c r="B92" s="26" t="n"/>
      <c r="C92" s="17" t="n"/>
      <c r="D92" s="17" t="n"/>
      <c r="E92" s="17" t="n"/>
      <c r="F92" s="27" t="n"/>
      <c r="G92" s="17" t="n"/>
      <c r="H92" s="17" t="n"/>
    </row>
    <row r="93">
      <c r="B93" s="26" t="n"/>
      <c r="C93" s="17" t="n"/>
      <c r="D93" s="17" t="n"/>
      <c r="E93" s="17" t="n"/>
      <c r="F93" s="27" t="n"/>
      <c r="G93" s="17" t="n"/>
      <c r="H93" s="17" t="n"/>
    </row>
    <row r="94">
      <c r="B94" s="26" t="n"/>
      <c r="C94" s="17" t="n"/>
      <c r="D94" s="17" t="n"/>
      <c r="E94" s="17" t="n"/>
      <c r="F94" s="27" t="n"/>
      <c r="G94" s="17" t="n"/>
      <c r="H94" s="17" t="n"/>
    </row>
    <row r="95">
      <c r="B95" s="26" t="n"/>
      <c r="C95" s="17" t="n"/>
      <c r="D95" s="17" t="n"/>
      <c r="E95" s="17" t="n"/>
      <c r="F95" s="27" t="n"/>
      <c r="G95" s="17" t="n"/>
      <c r="H95" s="17" t="n"/>
    </row>
    <row r="96">
      <c r="B96" s="26" t="n"/>
      <c r="C96" s="17" t="n"/>
      <c r="D96" s="17" t="n"/>
      <c r="E96" s="17" t="n"/>
      <c r="F96" s="27" t="n"/>
      <c r="G96" s="17" t="n"/>
      <c r="H96" s="17" t="n"/>
    </row>
    <row r="97">
      <c r="B97" s="26" t="n"/>
      <c r="C97" s="17" t="n"/>
      <c r="D97" s="17" t="n"/>
      <c r="E97" s="17" t="n"/>
      <c r="F97" s="27" t="n"/>
      <c r="G97" s="17" t="n"/>
      <c r="H97" s="17" t="n"/>
    </row>
    <row r="98">
      <c r="B98" s="26" t="n"/>
      <c r="C98" s="17" t="n"/>
      <c r="D98" s="17" t="n"/>
      <c r="E98" s="17" t="n"/>
      <c r="F98" s="27" t="n"/>
      <c r="G98" s="17" t="n"/>
      <c r="H98" s="17" t="n"/>
    </row>
    <row r="99">
      <c r="B99" s="26" t="n"/>
      <c r="C99" s="17" t="n"/>
      <c r="D99" s="17" t="n"/>
      <c r="E99" s="17" t="n"/>
      <c r="F99" s="27" t="n"/>
      <c r="G99" s="17" t="n"/>
      <c r="H99" s="17" t="n"/>
    </row>
    <row r="100">
      <c r="B100" s="26" t="n"/>
      <c r="C100" s="17" t="n"/>
      <c r="D100" s="17" t="n"/>
      <c r="E100" s="17" t="n"/>
      <c r="F100" s="27" t="n"/>
      <c r="G100" s="17" t="n"/>
      <c r="H100" s="17" t="n"/>
    </row>
    <row r="101">
      <c r="B101" s="26" t="n"/>
      <c r="C101" s="17" t="n"/>
      <c r="D101" s="17" t="n"/>
      <c r="E101" s="17" t="n"/>
      <c r="F101" s="27" t="n"/>
      <c r="G101" s="17" t="n"/>
      <c r="H101" s="17" t="n"/>
    </row>
    <row r="102">
      <c r="B102" s="26" t="n"/>
      <c r="C102" s="17" t="n"/>
      <c r="D102" s="17" t="n"/>
      <c r="E102" s="17" t="n"/>
      <c r="F102" s="27" t="n"/>
      <c r="G102" s="17" t="n"/>
      <c r="H102" s="17" t="n"/>
    </row>
    <row r="103">
      <c r="B103" s="26" t="n"/>
      <c r="C103" s="17" t="n"/>
      <c r="D103" s="17" t="n"/>
      <c r="E103" s="17" t="n"/>
      <c r="F103" s="27" t="n"/>
      <c r="G103" s="17" t="n"/>
      <c r="H103" s="17" t="n"/>
    </row>
    <row r="104">
      <c r="B104" s="26" t="n"/>
      <c r="C104" s="17" t="n"/>
      <c r="D104" s="17" t="n"/>
      <c r="E104" s="17" t="n"/>
      <c r="F104" s="27" t="n"/>
      <c r="G104" s="17" t="n"/>
      <c r="H104" s="17" t="n"/>
    </row>
    <row r="105">
      <c r="B105" s="26" t="n"/>
      <c r="C105" s="17" t="n"/>
      <c r="D105" s="17" t="n"/>
      <c r="E105" s="17" t="n"/>
      <c r="F105" s="27" t="n"/>
      <c r="G105" s="17" t="n"/>
      <c r="H105" s="17" t="n"/>
    </row>
    <row r="106">
      <c r="B106" s="26" t="n"/>
      <c r="C106" s="17" t="n"/>
      <c r="D106" s="17" t="n"/>
      <c r="E106" s="17" t="n"/>
      <c r="F106" s="27" t="n"/>
      <c r="G106" s="17" t="n"/>
      <c r="H106" s="17" t="n"/>
    </row>
    <row r="107">
      <c r="B107" s="26" t="n"/>
      <c r="C107" s="17" t="n"/>
      <c r="D107" s="17" t="n"/>
      <c r="E107" s="17" t="n"/>
      <c r="F107" s="27" t="n"/>
      <c r="G107" s="17" t="n"/>
      <c r="H107" s="17" t="n"/>
    </row>
    <row r="108">
      <c r="B108" s="26" t="n"/>
      <c r="C108" s="17" t="n"/>
      <c r="D108" s="17" t="n"/>
      <c r="E108" s="17" t="n"/>
      <c r="F108" s="27" t="n"/>
      <c r="G108" s="17" t="n"/>
      <c r="H108" s="17" t="n"/>
    </row>
    <row r="109">
      <c r="B109" s="26" t="n"/>
      <c r="C109" s="17" t="n"/>
      <c r="D109" s="17" t="n"/>
      <c r="E109" s="17" t="n"/>
      <c r="F109" s="27" t="n"/>
      <c r="G109" s="17" t="n"/>
      <c r="H109" s="17" t="n"/>
    </row>
    <row r="110">
      <c r="B110" s="26" t="n"/>
      <c r="C110" s="17" t="n"/>
      <c r="D110" s="17" t="n"/>
      <c r="E110" s="17" t="n"/>
      <c r="F110" s="27" t="n"/>
      <c r="G110" s="17" t="n"/>
      <c r="H110" s="17" t="n"/>
    </row>
    <row r="111">
      <c r="B111" s="26" t="n"/>
      <c r="C111" s="17" t="n"/>
      <c r="D111" s="17" t="n"/>
      <c r="E111" s="17" t="n"/>
      <c r="F111" s="27" t="n"/>
      <c r="G111" s="17" t="n"/>
      <c r="H111" s="17" t="n"/>
    </row>
    <row r="112">
      <c r="B112" s="26" t="n"/>
      <c r="C112" s="17" t="n"/>
      <c r="D112" s="17" t="n"/>
      <c r="E112" s="17" t="n"/>
      <c r="F112" s="27" t="n"/>
      <c r="G112" s="17" t="n"/>
      <c r="H112" s="17" t="n"/>
    </row>
    <row r="113">
      <c r="B113" s="26" t="n"/>
      <c r="C113" s="17" t="n"/>
      <c r="D113" s="17" t="n"/>
      <c r="E113" s="17" t="n"/>
      <c r="F113" s="27" t="n"/>
      <c r="G113" s="17" t="n"/>
      <c r="H113" s="17" t="n"/>
    </row>
    <row r="114">
      <c r="B114" s="26" t="n"/>
      <c r="C114" s="17" t="n"/>
      <c r="D114" s="17" t="n"/>
      <c r="E114" s="17" t="n"/>
      <c r="F114" s="27" t="n"/>
      <c r="G114" s="17" t="n"/>
      <c r="H114" s="17" t="n"/>
    </row>
    <row r="115">
      <c r="B115" s="26" t="n"/>
      <c r="C115" s="17" t="n"/>
      <c r="D115" s="17" t="n"/>
      <c r="E115" s="17" t="n"/>
      <c r="F115" s="27" t="n"/>
      <c r="G115" s="17" t="n"/>
      <c r="H115" s="17" t="n"/>
    </row>
    <row r="116">
      <c r="B116" s="26" t="n"/>
      <c r="C116" s="17" t="n"/>
      <c r="D116" s="17" t="n"/>
      <c r="E116" s="17" t="n"/>
      <c r="F116" s="27" t="n"/>
      <c r="G116" s="17" t="n"/>
      <c r="H116" s="17" t="n"/>
    </row>
    <row r="117">
      <c r="B117" s="26" t="n"/>
      <c r="C117" s="17" t="n"/>
      <c r="D117" s="17" t="n"/>
      <c r="E117" s="17" t="n"/>
      <c r="F117" s="27" t="n"/>
      <c r="G117" s="17" t="n"/>
      <c r="H117" s="17" t="n"/>
    </row>
    <row r="118">
      <c r="B118" s="26" t="n"/>
      <c r="C118" s="17" t="n"/>
      <c r="D118" s="17" t="n"/>
      <c r="E118" s="17" t="n"/>
      <c r="F118" s="27" t="n"/>
      <c r="G118" s="17" t="n"/>
      <c r="H118" s="17" t="n"/>
    </row>
    <row r="119">
      <c r="B119" s="26" t="n"/>
      <c r="C119" s="17" t="n"/>
      <c r="D119" s="17" t="n"/>
      <c r="E119" s="17" t="n"/>
      <c r="F119" s="27" t="n"/>
      <c r="G119" s="17" t="n"/>
      <c r="H119" s="17" t="n"/>
    </row>
    <row r="120">
      <c r="B120" s="26" t="n"/>
      <c r="C120" s="17" t="n"/>
      <c r="D120" s="17" t="n"/>
      <c r="E120" s="17" t="n"/>
      <c r="F120" s="27" t="n"/>
      <c r="G120" s="17" t="n"/>
      <c r="H120" s="17" t="n"/>
    </row>
    <row r="121">
      <c r="B121" s="26" t="n"/>
      <c r="C121" s="17" t="n"/>
      <c r="D121" s="17" t="n"/>
      <c r="E121" s="17" t="n"/>
      <c r="F121" s="27" t="n"/>
      <c r="G121" s="17" t="n"/>
      <c r="H121" s="17" t="n"/>
    </row>
    <row r="122">
      <c r="B122" s="26" t="n"/>
      <c r="C122" s="17" t="n"/>
      <c r="D122" s="17" t="n"/>
      <c r="E122" s="17" t="n"/>
      <c r="F122" s="27" t="n"/>
      <c r="G122" s="17" t="n"/>
      <c r="H122" s="17" t="n"/>
    </row>
    <row r="123">
      <c r="B123" s="26" t="n"/>
      <c r="C123" s="17" t="n"/>
      <c r="D123" s="17" t="n"/>
      <c r="E123" s="17" t="n"/>
      <c r="F123" s="27" t="n"/>
      <c r="G123" s="17" t="n"/>
      <c r="H123" s="17" t="n"/>
    </row>
    <row r="124">
      <c r="B124" s="26" t="n"/>
      <c r="C124" s="17" t="n"/>
      <c r="D124" s="17" t="n"/>
      <c r="E124" s="17" t="n"/>
      <c r="F124" s="27" t="n"/>
      <c r="G124" s="17" t="n"/>
      <c r="H124" s="17" t="n"/>
    </row>
    <row r="125">
      <c r="B125" s="26" t="n"/>
      <c r="C125" s="17" t="n"/>
      <c r="D125" s="17" t="n"/>
      <c r="E125" s="17" t="n"/>
      <c r="F125" s="27" t="n"/>
      <c r="G125" s="17" t="n"/>
      <c r="H125" s="17" t="n"/>
    </row>
    <row r="126">
      <c r="B126" s="26" t="n"/>
      <c r="C126" s="17" t="n"/>
      <c r="D126" s="17" t="n"/>
      <c r="E126" s="17" t="n"/>
      <c r="F126" s="27" t="n"/>
      <c r="G126" s="17" t="n"/>
      <c r="H126" s="17" t="n"/>
    </row>
    <row r="127">
      <c r="B127" s="26" t="n"/>
      <c r="C127" s="17" t="n"/>
      <c r="D127" s="17" t="n"/>
      <c r="E127" s="17" t="n"/>
      <c r="F127" s="27" t="n"/>
      <c r="G127" s="17" t="n"/>
      <c r="H127" s="17" t="n"/>
    </row>
    <row r="128">
      <c r="B128" s="26" t="n"/>
      <c r="C128" s="17" t="n"/>
      <c r="D128" s="17" t="n"/>
      <c r="E128" s="17" t="n"/>
      <c r="F128" s="27" t="n"/>
      <c r="G128" s="17" t="n"/>
      <c r="H128" s="17" t="n"/>
    </row>
    <row r="129">
      <c r="B129" s="26" t="n"/>
      <c r="C129" s="17" t="n"/>
      <c r="D129" s="17" t="n"/>
      <c r="E129" s="17" t="n"/>
      <c r="F129" s="27" t="n"/>
      <c r="G129" s="17" t="n"/>
      <c r="H129" s="17" t="n"/>
    </row>
    <row r="130">
      <c r="B130" s="26" t="n"/>
      <c r="C130" s="17" t="n"/>
      <c r="D130" s="17" t="n"/>
      <c r="E130" s="17" t="n"/>
      <c r="F130" s="27" t="n"/>
      <c r="G130" s="17" t="n"/>
      <c r="H130" s="17" t="n"/>
    </row>
    <row r="131">
      <c r="B131" s="26" t="n"/>
      <c r="C131" s="17" t="n"/>
      <c r="D131" s="17" t="n"/>
      <c r="E131" s="17" t="n"/>
      <c r="F131" s="27" t="n"/>
      <c r="G131" s="17" t="n"/>
      <c r="H131" s="17" t="n"/>
    </row>
    <row r="132">
      <c r="B132" s="26" t="n"/>
      <c r="C132" s="17" t="n"/>
      <c r="D132" s="17" t="n"/>
      <c r="E132" s="17" t="n"/>
      <c r="F132" s="27" t="n"/>
      <c r="G132" s="17" t="n"/>
      <c r="H132" s="17" t="n"/>
    </row>
    <row r="133">
      <c r="B133" s="26" t="n"/>
      <c r="C133" s="17" t="n"/>
      <c r="D133" s="17" t="n"/>
      <c r="E133" s="17" t="n"/>
      <c r="F133" s="27" t="n"/>
      <c r="G133" s="17" t="n"/>
      <c r="H133" s="17" t="n"/>
    </row>
    <row r="134">
      <c r="B134" s="26" t="n"/>
      <c r="C134" s="17" t="n"/>
      <c r="D134" s="17" t="n"/>
      <c r="E134" s="17" t="n"/>
      <c r="F134" s="27" t="n"/>
      <c r="G134" s="17" t="n"/>
      <c r="H134" s="17" t="n"/>
    </row>
    <row r="135">
      <c r="B135" s="26" t="n"/>
      <c r="C135" s="17" t="n"/>
      <c r="D135" s="17" t="n"/>
      <c r="E135" s="17" t="n"/>
      <c r="F135" s="27" t="n"/>
      <c r="G135" s="17" t="n"/>
      <c r="H135" s="17" t="n"/>
    </row>
    <row r="136">
      <c r="B136" s="26" t="n"/>
      <c r="C136" s="17" t="n"/>
      <c r="D136" s="17" t="n"/>
      <c r="E136" s="17" t="n"/>
      <c r="F136" s="27" t="n"/>
      <c r="G136" s="17" t="n"/>
      <c r="H136" s="17" t="n"/>
    </row>
    <row r="137">
      <c r="B137" s="26" t="n"/>
      <c r="C137" s="17" t="n"/>
      <c r="D137" s="17" t="n"/>
      <c r="E137" s="17" t="n"/>
      <c r="F137" s="27" t="n"/>
      <c r="G137" s="17" t="n"/>
      <c r="H137" s="17" t="n"/>
    </row>
    <row r="138">
      <c r="B138" s="26" t="n"/>
      <c r="C138" s="17" t="n"/>
      <c r="D138" s="17" t="n"/>
      <c r="E138" s="17" t="n"/>
      <c r="F138" s="27" t="n"/>
      <c r="G138" s="17" t="n"/>
      <c r="H138" s="17" t="n"/>
    </row>
    <row r="139">
      <c r="B139" s="26" t="n"/>
      <c r="C139" s="17" t="n"/>
      <c r="D139" s="17" t="n"/>
      <c r="E139" s="17" t="n"/>
      <c r="F139" s="27" t="n"/>
      <c r="G139" s="17" t="n"/>
      <c r="H139" s="17" t="n"/>
    </row>
    <row r="140">
      <c r="B140" s="26" t="n"/>
      <c r="C140" s="17" t="n"/>
      <c r="D140" s="17" t="n"/>
      <c r="E140" s="17" t="n"/>
      <c r="F140" s="27" t="n"/>
      <c r="G140" s="17" t="n"/>
      <c r="H140" s="17" t="n"/>
    </row>
    <row r="141">
      <c r="B141" s="26" t="n"/>
      <c r="C141" s="17" t="n"/>
      <c r="D141" s="17" t="n"/>
      <c r="E141" s="17" t="n"/>
      <c r="F141" s="27" t="n"/>
      <c r="G141" s="17" t="n"/>
      <c r="H141" s="17" t="n"/>
    </row>
    <row r="142">
      <c r="B142" s="26" t="n"/>
      <c r="C142" s="17" t="n"/>
      <c r="D142" s="17" t="n"/>
      <c r="E142" s="17" t="n"/>
      <c r="F142" s="27" t="n"/>
      <c r="G142" s="17" t="n"/>
      <c r="H142" s="17" t="n"/>
    </row>
    <row r="143">
      <c r="B143" s="26" t="n"/>
      <c r="C143" s="17" t="n"/>
      <c r="D143" s="17" t="n"/>
      <c r="E143" s="17" t="n"/>
      <c r="F143" s="27" t="n"/>
      <c r="G143" s="17" t="n"/>
      <c r="H143" s="17" t="n"/>
    </row>
    <row r="144">
      <c r="B144" s="26" t="n"/>
      <c r="C144" s="17" t="n"/>
      <c r="D144" s="17" t="n"/>
      <c r="E144" s="17" t="n"/>
      <c r="F144" s="27" t="n"/>
      <c r="G144" s="17" t="n"/>
      <c r="H144" s="17" t="n"/>
    </row>
    <row r="145">
      <c r="B145" s="26" t="n"/>
      <c r="C145" s="17" t="n"/>
      <c r="D145" s="17" t="n"/>
      <c r="E145" s="17" t="n"/>
      <c r="F145" s="27" t="n"/>
      <c r="G145" s="17" t="n"/>
      <c r="H145" s="17" t="n"/>
    </row>
    <row r="146">
      <c r="B146" s="26" t="n"/>
      <c r="C146" s="17" t="n"/>
      <c r="D146" s="17" t="n"/>
      <c r="E146" s="17" t="n"/>
      <c r="F146" s="27" t="n"/>
      <c r="G146" s="17" t="n"/>
      <c r="H146" s="17" t="n"/>
    </row>
    <row r="147">
      <c r="B147" s="26" t="n"/>
      <c r="C147" s="17" t="n"/>
      <c r="D147" s="17" t="n"/>
      <c r="E147" s="17" t="n"/>
      <c r="F147" s="27" t="n"/>
      <c r="G147" s="17" t="n"/>
      <c r="H147" s="17" t="n"/>
    </row>
    <row r="148">
      <c r="B148" s="26" t="n"/>
      <c r="C148" s="17" t="n"/>
      <c r="D148" s="17" t="n"/>
      <c r="E148" s="17" t="n"/>
      <c r="F148" s="27" t="n"/>
      <c r="G148" s="17" t="n"/>
      <c r="H148" s="17" t="n"/>
    </row>
    <row r="149">
      <c r="B149" s="26" t="n"/>
      <c r="C149" s="17" t="n"/>
      <c r="D149" s="17" t="n"/>
      <c r="E149" s="17" t="n"/>
      <c r="F149" s="27" t="n"/>
      <c r="G149" s="17" t="n"/>
      <c r="H149" s="17" t="n"/>
    </row>
    <row r="150">
      <c r="B150" s="26" t="n"/>
      <c r="C150" s="17" t="n"/>
      <c r="D150" s="17" t="n"/>
      <c r="E150" s="17" t="n"/>
      <c r="F150" s="27" t="n"/>
      <c r="G150" s="17" t="n"/>
      <c r="H150" s="17" t="n"/>
    </row>
    <row r="151">
      <c r="B151" s="26" t="n"/>
      <c r="C151" s="17" t="n"/>
      <c r="D151" s="17" t="n"/>
      <c r="E151" s="17" t="n"/>
      <c r="F151" s="27" t="n"/>
      <c r="G151" s="17" t="n"/>
      <c r="H151" s="17" t="n"/>
    </row>
    <row r="152">
      <c r="B152" s="26" t="n"/>
      <c r="C152" s="17" t="n"/>
      <c r="D152" s="17" t="n"/>
      <c r="E152" s="17" t="n"/>
      <c r="F152" s="27" t="n"/>
      <c r="G152" s="17" t="n"/>
      <c r="H152" s="17" t="n"/>
    </row>
    <row r="153">
      <c r="B153" s="26" t="n"/>
      <c r="C153" s="17" t="n"/>
      <c r="D153" s="17" t="n"/>
      <c r="E153" s="17" t="n"/>
      <c r="F153" s="27" t="n"/>
      <c r="G153" s="17" t="n"/>
      <c r="H153" s="17" t="n"/>
    </row>
    <row r="154">
      <c r="B154" s="26" t="n"/>
      <c r="C154" s="17" t="n"/>
      <c r="D154" s="17" t="n"/>
      <c r="E154" s="17" t="n"/>
      <c r="F154" s="27" t="n"/>
      <c r="G154" s="17" t="n"/>
      <c r="H154" s="17" t="n"/>
    </row>
    <row r="155">
      <c r="B155" s="26" t="n"/>
      <c r="C155" s="17" t="n"/>
      <c r="D155" s="17" t="n"/>
      <c r="E155" s="17" t="n"/>
      <c r="F155" s="27" t="n"/>
      <c r="G155" s="17" t="n"/>
      <c r="H155" s="17" t="n"/>
    </row>
    <row r="156">
      <c r="B156" s="26" t="n"/>
      <c r="C156" s="17" t="n"/>
      <c r="D156" s="17" t="n"/>
      <c r="E156" s="17" t="n"/>
      <c r="F156" s="27" t="n"/>
      <c r="G156" s="17" t="n"/>
      <c r="H156" s="17" t="n"/>
    </row>
    <row r="157">
      <c r="B157" s="26" t="n"/>
      <c r="C157" s="17" t="n"/>
      <c r="D157" s="17" t="n"/>
      <c r="E157" s="17" t="n"/>
      <c r="F157" s="27" t="n"/>
      <c r="G157" s="17" t="n"/>
      <c r="H157" s="17" t="n"/>
    </row>
    <row r="158">
      <c r="B158" s="26" t="n"/>
      <c r="C158" s="17" t="n"/>
      <c r="D158" s="17" t="n"/>
      <c r="E158" s="17" t="n"/>
      <c r="F158" s="27" t="n"/>
      <c r="G158" s="17" t="n"/>
      <c r="H158" s="17" t="n"/>
    </row>
    <row r="159">
      <c r="B159" s="26" t="n"/>
      <c r="C159" s="17" t="n"/>
      <c r="D159" s="17" t="n"/>
      <c r="E159" s="17" t="n"/>
      <c r="F159" s="27" t="n"/>
      <c r="G159" s="17" t="n"/>
      <c r="H159" s="17" t="n"/>
    </row>
    <row r="160">
      <c r="B160" s="26" t="n"/>
      <c r="C160" s="17" t="n"/>
      <c r="D160" s="17" t="n"/>
      <c r="E160" s="17" t="n"/>
      <c r="F160" s="27" t="n"/>
      <c r="G160" s="17" t="n"/>
      <c r="H160" s="17" t="n"/>
    </row>
    <row r="161">
      <c r="B161" s="26" t="n"/>
      <c r="C161" s="17" t="n"/>
      <c r="D161" s="17" t="n"/>
      <c r="E161" s="17" t="n"/>
      <c r="F161" s="27" t="n"/>
      <c r="G161" s="17" t="n"/>
      <c r="H161" s="17" t="n"/>
    </row>
    <row r="162">
      <c r="B162" s="26" t="n"/>
      <c r="C162" s="17" t="n"/>
      <c r="D162" s="17" t="n"/>
      <c r="E162" s="17" t="n"/>
      <c r="F162" s="27" t="n"/>
      <c r="G162" s="17" t="n"/>
      <c r="H162" s="17" t="n"/>
    </row>
    <row r="163">
      <c r="B163" s="26" t="n"/>
      <c r="C163" s="17" t="n"/>
      <c r="D163" s="17" t="n"/>
      <c r="E163" s="17" t="n"/>
      <c r="F163" s="27" t="n"/>
      <c r="G163" s="17" t="n"/>
      <c r="H163" s="17" t="n"/>
    </row>
    <row r="164">
      <c r="B164" s="26" t="n"/>
      <c r="C164" s="17" t="n"/>
      <c r="D164" s="17" t="n"/>
      <c r="E164" s="17" t="n"/>
      <c r="F164" s="27" t="n"/>
      <c r="G164" s="17" t="n"/>
      <c r="H164" s="17" t="n"/>
    </row>
    <row r="165">
      <c r="B165" s="26" t="n"/>
      <c r="C165" s="17" t="n"/>
      <c r="D165" s="17" t="n"/>
      <c r="E165" s="17" t="n"/>
      <c r="F165" s="27" t="n"/>
      <c r="G165" s="17" t="n"/>
      <c r="H165" s="17" t="n"/>
    </row>
    <row r="166">
      <c r="B166" s="26" t="n"/>
      <c r="C166" s="17" t="n"/>
      <c r="D166" s="17" t="n"/>
      <c r="E166" s="17" t="n"/>
      <c r="F166" s="27" t="n"/>
      <c r="G166" s="17" t="n"/>
      <c r="H166" s="17" t="n"/>
    </row>
    <row r="167">
      <c r="B167" s="26" t="n"/>
      <c r="C167" s="17" t="n"/>
      <c r="D167" s="17" t="n"/>
      <c r="E167" s="17" t="n"/>
      <c r="F167" s="27" t="n"/>
      <c r="G167" s="17" t="n"/>
      <c r="H167" s="17" t="n"/>
    </row>
    <row r="168">
      <c r="B168" s="26" t="n"/>
      <c r="C168" s="17" t="n"/>
      <c r="D168" s="17" t="n"/>
      <c r="E168" s="17" t="n"/>
      <c r="F168" s="27" t="n"/>
      <c r="G168" s="17" t="n"/>
      <c r="H168" s="17" t="n"/>
    </row>
    <row r="169">
      <c r="B169" s="26" t="n"/>
      <c r="C169" s="17" t="n"/>
      <c r="D169" s="17" t="n"/>
      <c r="E169" s="17" t="n"/>
      <c r="F169" s="27" t="n"/>
      <c r="G169" s="17" t="n"/>
      <c r="H169" s="17" t="n"/>
    </row>
    <row r="170">
      <c r="B170" s="26" t="n"/>
      <c r="C170" s="17" t="n"/>
      <c r="D170" s="17" t="n"/>
      <c r="E170" s="17" t="n"/>
      <c r="F170" s="27" t="n"/>
      <c r="G170" s="17" t="n"/>
      <c r="H170" s="17" t="n"/>
    </row>
    <row r="171">
      <c r="B171" s="26" t="n"/>
      <c r="C171" s="17" t="n"/>
      <c r="D171" s="17" t="n"/>
      <c r="E171" s="17" t="n"/>
      <c r="F171" s="27" t="n"/>
      <c r="G171" s="17" t="n"/>
      <c r="H171" s="17" t="n"/>
    </row>
    <row r="172">
      <c r="B172" s="26" t="n"/>
      <c r="C172" s="17" t="n"/>
      <c r="D172" s="17" t="n"/>
      <c r="E172" s="17" t="n"/>
      <c r="F172" s="27" t="n"/>
      <c r="G172" s="17" t="n"/>
      <c r="H172" s="17" t="n"/>
    </row>
    <row r="173">
      <c r="B173" s="26" t="n"/>
      <c r="C173" s="17" t="n"/>
      <c r="D173" s="17" t="n"/>
      <c r="E173" s="17" t="n"/>
      <c r="F173" s="27" t="n"/>
      <c r="G173" s="17" t="n"/>
      <c r="H173" s="17" t="n"/>
    </row>
    <row r="174">
      <c r="B174" s="26" t="n"/>
      <c r="C174" s="17" t="n"/>
      <c r="D174" s="17" t="n"/>
      <c r="E174" s="17" t="n"/>
      <c r="F174" s="27" t="n"/>
      <c r="G174" s="17" t="n"/>
      <c r="H174" s="17" t="n"/>
    </row>
    <row r="175">
      <c r="B175" s="26" t="n"/>
      <c r="C175" s="17" t="n"/>
      <c r="D175" s="17" t="n"/>
      <c r="E175" s="17" t="n"/>
      <c r="F175" s="27" t="n"/>
      <c r="G175" s="17" t="n"/>
      <c r="H175" s="17" t="n"/>
    </row>
    <row r="176">
      <c r="B176" s="26" t="n"/>
      <c r="C176" s="17" t="n"/>
      <c r="D176" s="17" t="n"/>
      <c r="E176" s="17" t="n"/>
      <c r="F176" s="27" t="n"/>
      <c r="G176" s="17" t="n"/>
      <c r="H176" s="17" t="n"/>
    </row>
    <row r="177">
      <c r="B177" s="26" t="n"/>
      <c r="C177" s="17" t="n"/>
      <c r="D177" s="17" t="n"/>
      <c r="E177" s="17" t="n"/>
      <c r="F177" s="27" t="n"/>
      <c r="G177" s="17" t="n"/>
      <c r="H177" s="17" t="n"/>
    </row>
    <row r="178">
      <c r="B178" s="26" t="n"/>
      <c r="C178" s="17" t="n"/>
      <c r="D178" s="17" t="n"/>
      <c r="E178" s="17" t="n"/>
      <c r="F178" s="27" t="n"/>
      <c r="G178" s="17" t="n"/>
      <c r="H178" s="17" t="n"/>
    </row>
    <row r="179">
      <c r="B179" s="26" t="n"/>
      <c r="C179" s="17" t="n"/>
      <c r="D179" s="17" t="n"/>
      <c r="E179" s="17" t="n"/>
      <c r="F179" s="27" t="n"/>
      <c r="G179" s="17" t="n"/>
      <c r="H179" s="17" t="n"/>
    </row>
    <row r="180">
      <c r="B180" s="26" t="n"/>
      <c r="C180" s="17" t="n"/>
      <c r="D180" s="17" t="n"/>
      <c r="E180" s="17" t="n"/>
      <c r="F180" s="27" t="n"/>
      <c r="G180" s="17" t="n"/>
      <c r="H180" s="17" t="n"/>
    </row>
    <row r="181">
      <c r="B181" s="26" t="n"/>
      <c r="C181" s="17" t="n"/>
      <c r="D181" s="17" t="n"/>
      <c r="E181" s="17" t="n"/>
      <c r="F181" s="27" t="n"/>
      <c r="G181" s="17" t="n"/>
      <c r="H181" s="17" t="n"/>
    </row>
    <row r="182">
      <c r="B182" s="26" t="n"/>
      <c r="C182" s="17" t="n"/>
      <c r="D182" s="17" t="n"/>
      <c r="E182" s="17" t="n"/>
      <c r="F182" s="27" t="n"/>
      <c r="G182" s="17" t="n"/>
      <c r="H182" s="17" t="n"/>
    </row>
    <row r="183">
      <c r="B183" s="26" t="n"/>
      <c r="C183" s="17" t="n"/>
      <c r="D183" s="17" t="n"/>
      <c r="E183" s="17" t="n"/>
      <c r="F183" s="27" t="n"/>
      <c r="G183" s="17" t="n"/>
      <c r="H183" s="17" t="n"/>
    </row>
    <row r="184">
      <c r="B184" s="26" t="n"/>
      <c r="C184" s="17" t="n"/>
      <c r="D184" s="17" t="n"/>
      <c r="E184" s="17" t="n"/>
      <c r="F184" s="27" t="n"/>
      <c r="G184" s="17" t="n"/>
      <c r="H184" s="17" t="n"/>
    </row>
    <row r="185">
      <c r="B185" s="26" t="n"/>
      <c r="C185" s="17" t="n"/>
      <c r="D185" s="17" t="n"/>
      <c r="E185" s="17" t="n"/>
      <c r="F185" s="27" t="n"/>
      <c r="G185" s="17" t="n"/>
      <c r="H185" s="17" t="n"/>
    </row>
    <row r="186">
      <c r="B186" s="26" t="n"/>
      <c r="C186" s="17" t="n"/>
      <c r="D186" s="17" t="n"/>
      <c r="E186" s="17" t="n"/>
      <c r="F186" s="27" t="n"/>
      <c r="G186" s="17" t="n"/>
      <c r="H186" s="17" t="n"/>
    </row>
    <row r="187">
      <c r="B187" s="26" t="n"/>
      <c r="C187" s="17" t="n"/>
      <c r="D187" s="17" t="n"/>
      <c r="E187" s="17" t="n"/>
      <c r="F187" s="27" t="n"/>
      <c r="G187" s="17" t="n"/>
      <c r="H187" s="17" t="n"/>
    </row>
    <row r="188">
      <c r="B188" s="26" t="n"/>
      <c r="C188" s="17" t="n"/>
      <c r="D188" s="17" t="n"/>
      <c r="E188" s="17" t="n"/>
      <c r="F188" s="27" t="n"/>
      <c r="G188" s="17" t="n"/>
      <c r="H188" s="17" t="n"/>
    </row>
    <row r="189">
      <c r="B189" s="26" t="n"/>
      <c r="C189" s="17" t="n"/>
      <c r="D189" s="17" t="n"/>
      <c r="E189" s="17" t="n"/>
      <c r="F189" s="27" t="n"/>
      <c r="G189" s="17" t="n"/>
      <c r="H189" s="17" t="n"/>
    </row>
    <row r="190">
      <c r="B190" s="26" t="n"/>
      <c r="C190" s="17" t="n"/>
      <c r="D190" s="17" t="n"/>
      <c r="E190" s="17" t="n"/>
      <c r="F190" s="27" t="n"/>
      <c r="G190" s="17" t="n"/>
      <c r="H190" s="17" t="n"/>
    </row>
    <row r="191">
      <c r="B191" s="26" t="n"/>
      <c r="C191" s="17" t="n"/>
      <c r="D191" s="17" t="n"/>
      <c r="E191" s="17" t="n"/>
      <c r="F191" s="27" t="n"/>
      <c r="G191" s="17" t="n"/>
      <c r="H191" s="17" t="n"/>
    </row>
    <row r="192">
      <c r="B192" s="26" t="n"/>
      <c r="C192" s="17" t="n"/>
      <c r="D192" s="17" t="n"/>
      <c r="E192" s="17" t="n"/>
      <c r="F192" s="27" t="n"/>
      <c r="G192" s="17" t="n"/>
      <c r="H192" s="17" t="n"/>
    </row>
    <row r="193">
      <c r="B193" s="26" t="n"/>
      <c r="C193" s="17" t="n"/>
      <c r="D193" s="17" t="n"/>
      <c r="E193" s="17" t="n"/>
      <c r="F193" s="27" t="n"/>
      <c r="G193" s="17" t="n"/>
      <c r="H193" s="17" t="n"/>
    </row>
    <row r="194">
      <c r="B194" s="26" t="n"/>
      <c r="C194" s="17" t="n"/>
      <c r="D194" s="17" t="n"/>
      <c r="E194" s="17" t="n"/>
      <c r="F194" s="27" t="n"/>
      <c r="G194" s="17" t="n"/>
      <c r="H194" s="17" t="n"/>
    </row>
    <row r="195">
      <c r="B195" s="26" t="n"/>
      <c r="C195" s="17" t="n"/>
      <c r="D195" s="17" t="n"/>
      <c r="E195" s="17" t="n"/>
      <c r="F195" s="27" t="n"/>
      <c r="G195" s="17" t="n"/>
      <c r="H195" s="17" t="n"/>
    </row>
    <row r="196">
      <c r="B196" s="26" t="n"/>
      <c r="C196" s="17" t="n"/>
      <c r="D196" s="17" t="n"/>
      <c r="E196" s="17" t="n"/>
      <c r="F196" s="27" t="n"/>
      <c r="G196" s="17" t="n"/>
      <c r="H196" s="17" t="n"/>
    </row>
    <row r="197">
      <c r="B197" s="26" t="n"/>
      <c r="C197" s="17" t="n"/>
      <c r="D197" s="17" t="n"/>
      <c r="E197" s="17" t="n"/>
      <c r="F197" s="27" t="n"/>
      <c r="G197" s="17" t="n"/>
      <c r="H197" s="17" t="n"/>
    </row>
    <row r="198">
      <c r="B198" s="26" t="n"/>
      <c r="C198" s="17" t="n"/>
      <c r="D198" s="17" t="n"/>
      <c r="E198" s="17" t="n"/>
      <c r="F198" s="27" t="n"/>
      <c r="G198" s="17" t="n"/>
      <c r="H198" s="17" t="n"/>
    </row>
    <row r="199">
      <c r="B199" s="26" t="n"/>
      <c r="C199" s="17" t="n"/>
      <c r="D199" s="17" t="n"/>
      <c r="E199" s="17" t="n"/>
      <c r="F199" s="27" t="n"/>
      <c r="G199" s="17" t="n"/>
      <c r="H199" s="17" t="n"/>
    </row>
    <row r="200">
      <c r="B200" s="26" t="n"/>
      <c r="C200" s="17" t="n"/>
      <c r="D200" s="17" t="n"/>
      <c r="E200" s="17" t="n"/>
      <c r="F200" s="27" t="n"/>
      <c r="G200" s="17" t="n"/>
      <c r="H200" s="17" t="n"/>
    </row>
    <row r="201">
      <c r="B201" s="26" t="n"/>
      <c r="C201" s="17" t="n"/>
      <c r="D201" s="17" t="n"/>
      <c r="E201" s="17" t="n"/>
      <c r="F201" s="27" t="n"/>
      <c r="G201" s="17" t="n"/>
      <c r="H201" s="17" t="n"/>
    </row>
    <row r="202">
      <c r="B202" s="26" t="n"/>
      <c r="C202" s="17" t="n"/>
      <c r="D202" s="17" t="n"/>
      <c r="E202" s="17" t="n"/>
      <c r="F202" s="27" t="n"/>
      <c r="G202" s="17" t="n"/>
      <c r="H202" s="17" t="n"/>
    </row>
    <row r="203">
      <c r="B203" s="26" t="n"/>
      <c r="C203" s="17" t="n"/>
      <c r="D203" s="17" t="n"/>
      <c r="E203" s="17" t="n"/>
      <c r="F203" s="27" t="n"/>
      <c r="G203" s="17" t="n"/>
      <c r="H203" s="17" t="n"/>
    </row>
    <row r="204">
      <c r="B204" s="26" t="n"/>
      <c r="C204" s="17" t="n"/>
      <c r="D204" s="17" t="n"/>
      <c r="E204" s="17" t="n"/>
      <c r="F204" s="27" t="n"/>
      <c r="G204" s="17" t="n"/>
      <c r="H204" s="17" t="n"/>
    </row>
    <row r="205">
      <c r="B205" s="26" t="n"/>
      <c r="C205" s="17" t="n"/>
      <c r="D205" s="17" t="n"/>
      <c r="E205" s="17" t="n"/>
      <c r="F205" s="27" t="n"/>
      <c r="G205" s="17" t="n"/>
      <c r="H205" s="17" t="n"/>
    </row>
    <row r="206">
      <c r="B206" s="26" t="n"/>
      <c r="C206" s="17" t="n"/>
      <c r="D206" s="17" t="n"/>
      <c r="E206" s="17" t="n"/>
      <c r="F206" s="27" t="n"/>
      <c r="G206" s="17" t="n"/>
      <c r="H206" s="17" t="n"/>
    </row>
    <row r="207">
      <c r="B207" s="26" t="n"/>
      <c r="C207" s="17" t="n"/>
      <c r="D207" s="17" t="n"/>
      <c r="E207" s="17" t="n"/>
      <c r="F207" s="27" t="n"/>
      <c r="G207" s="17" t="n"/>
      <c r="H207" s="17" t="n"/>
    </row>
    <row r="208">
      <c r="B208" s="26" t="n"/>
      <c r="C208" s="17" t="n"/>
      <c r="D208" s="17" t="n"/>
      <c r="E208" s="17" t="n"/>
      <c r="F208" s="27" t="n"/>
      <c r="G208" s="17" t="n"/>
      <c r="H208" s="17" t="n"/>
    </row>
    <row r="209">
      <c r="B209" s="26" t="n"/>
      <c r="C209" s="17" t="n"/>
      <c r="D209" s="17" t="n"/>
      <c r="E209" s="17" t="n"/>
      <c r="F209" s="27" t="n"/>
      <c r="G209" s="17" t="n"/>
      <c r="H209" s="17" t="n"/>
    </row>
    <row r="210">
      <c r="B210" s="26" t="n"/>
      <c r="C210" s="17" t="n"/>
      <c r="D210" s="17" t="n"/>
      <c r="E210" s="17" t="n"/>
      <c r="F210" s="27" t="n"/>
      <c r="G210" s="17" t="n"/>
      <c r="H210" s="17" t="n"/>
    </row>
    <row r="211">
      <c r="B211" s="26" t="n"/>
      <c r="C211" s="17" t="n"/>
      <c r="D211" s="17" t="n"/>
      <c r="E211" s="17" t="n"/>
      <c r="F211" s="27" t="n"/>
      <c r="G211" s="17" t="n"/>
      <c r="H211" s="17" t="n"/>
    </row>
    <row r="212">
      <c r="B212" s="26" t="n"/>
      <c r="C212" s="17" t="n"/>
      <c r="D212" s="17" t="n"/>
      <c r="E212" s="17" t="n"/>
      <c r="F212" s="27" t="n"/>
      <c r="G212" s="17" t="n"/>
      <c r="H212" s="17" t="n"/>
    </row>
    <row r="213">
      <c r="B213" s="26" t="n"/>
      <c r="C213" s="17" t="n"/>
      <c r="D213" s="17" t="n"/>
      <c r="E213" s="17" t="n"/>
      <c r="F213" s="27" t="n"/>
      <c r="G213" s="17" t="n"/>
      <c r="H213" s="17" t="n"/>
    </row>
    <row r="214">
      <c r="B214" s="26" t="n"/>
      <c r="C214" s="17" t="n"/>
      <c r="D214" s="17" t="n"/>
      <c r="E214" s="17" t="n"/>
      <c r="F214" s="27" t="n"/>
      <c r="G214" s="17" t="n"/>
      <c r="H214" s="17" t="n"/>
    </row>
    <row r="215">
      <c r="B215" s="26" t="n"/>
      <c r="C215" s="17" t="n"/>
      <c r="D215" s="17" t="n"/>
      <c r="E215" s="17" t="n"/>
      <c r="F215" s="27" t="n"/>
      <c r="G215" s="17" t="n"/>
      <c r="H215" s="17" t="n"/>
    </row>
    <row r="216">
      <c r="B216" s="26" t="n"/>
      <c r="C216" s="17" t="n"/>
      <c r="D216" s="17" t="n"/>
      <c r="E216" s="17" t="n"/>
      <c r="F216" s="27" t="n"/>
      <c r="G216" s="17" t="n"/>
      <c r="H216" s="17" t="n"/>
    </row>
    <row r="217">
      <c r="B217" s="26" t="n"/>
      <c r="C217" s="17" t="n"/>
      <c r="D217" s="17" t="n"/>
      <c r="E217" s="17" t="n"/>
      <c r="F217" s="27" t="n"/>
      <c r="G217" s="17" t="n"/>
      <c r="H217" s="17" t="n"/>
    </row>
    <row r="218">
      <c r="B218" s="26" t="n"/>
      <c r="C218" s="17" t="n"/>
      <c r="D218" s="17" t="n"/>
      <c r="E218" s="17" t="n"/>
      <c r="F218" s="27" t="n"/>
      <c r="G218" s="17" t="n"/>
      <c r="H218" s="17" t="n"/>
    </row>
    <row r="219">
      <c r="B219" s="26" t="n"/>
      <c r="C219" s="17" t="n"/>
      <c r="D219" s="17" t="n"/>
      <c r="E219" s="17" t="n"/>
      <c r="F219" s="27" t="n"/>
      <c r="G219" s="17" t="n"/>
      <c r="H219" s="17" t="n"/>
    </row>
    <row r="220">
      <c r="B220" s="26" t="n"/>
      <c r="C220" s="17" t="n"/>
      <c r="D220" s="17" t="n"/>
      <c r="E220" s="17" t="n"/>
      <c r="F220" s="27" t="n"/>
      <c r="G220" s="17" t="n"/>
      <c r="H220" s="17" t="n"/>
    </row>
    <row r="221">
      <c r="B221" s="26" t="n"/>
      <c r="C221" s="17" t="n"/>
      <c r="D221" s="17" t="n"/>
      <c r="E221" s="17" t="n"/>
      <c r="F221" s="27" t="n"/>
      <c r="G221" s="17" t="n"/>
      <c r="H221" s="17" t="n"/>
    </row>
    <row r="222">
      <c r="B222" s="26" t="n"/>
      <c r="C222" s="17" t="n"/>
      <c r="D222" s="17" t="n"/>
      <c r="E222" s="17" t="n"/>
      <c r="F222" s="27" t="n"/>
      <c r="G222" s="17" t="n"/>
      <c r="H222" s="17" t="n"/>
    </row>
    <row r="223">
      <c r="B223" s="26" t="n"/>
      <c r="C223" s="17" t="n"/>
      <c r="D223" s="17" t="n"/>
      <c r="E223" s="17" t="n"/>
      <c r="F223" s="27" t="n"/>
      <c r="G223" s="17" t="n"/>
      <c r="H223" s="17" t="n"/>
    </row>
    <row r="224">
      <c r="B224" s="26" t="n"/>
      <c r="C224" s="17" t="n"/>
      <c r="D224" s="17" t="n"/>
      <c r="E224" s="17" t="n"/>
      <c r="F224" s="27" t="n"/>
      <c r="G224" s="17" t="n"/>
      <c r="H224" s="17" t="n"/>
    </row>
    <row r="225">
      <c r="B225" s="26" t="n"/>
      <c r="C225" s="17" t="n"/>
      <c r="D225" s="17" t="n"/>
      <c r="E225" s="17" t="n"/>
      <c r="F225" s="27" t="n"/>
      <c r="G225" s="17" t="n"/>
      <c r="H225" s="17" t="n"/>
    </row>
    <row r="226">
      <c r="B226" s="26" t="n"/>
      <c r="C226" s="17" t="n"/>
      <c r="D226" s="17" t="n"/>
      <c r="E226" s="17" t="n"/>
      <c r="F226" s="27" t="n"/>
      <c r="G226" s="17" t="n"/>
      <c r="H226" s="17" t="n"/>
    </row>
    <row r="227">
      <c r="B227" s="26" t="n"/>
      <c r="C227" s="17" t="n"/>
      <c r="D227" s="17" t="n"/>
      <c r="E227" s="17" t="n"/>
      <c r="F227" s="27" t="n"/>
      <c r="G227" s="17" t="n"/>
      <c r="H227" s="17" t="n"/>
    </row>
    <row r="228">
      <c r="B228" s="26" t="n"/>
      <c r="C228" s="17" t="n"/>
      <c r="D228" s="17" t="n"/>
      <c r="E228" s="17" t="n"/>
      <c r="F228" s="27" t="n"/>
      <c r="G228" s="17" t="n"/>
      <c r="H228" s="17" t="n"/>
    </row>
    <row r="229">
      <c r="B229" s="26" t="n"/>
      <c r="C229" s="17" t="n"/>
      <c r="D229" s="17" t="n"/>
      <c r="E229" s="17" t="n"/>
      <c r="F229" s="27" t="n"/>
      <c r="G229" s="17" t="n"/>
      <c r="H229" s="17" t="n"/>
    </row>
    <row r="230">
      <c r="B230" s="26" t="n"/>
      <c r="C230" s="17" t="n"/>
      <c r="D230" s="17" t="n"/>
      <c r="E230" s="17" t="n"/>
      <c r="F230" s="27" t="n"/>
      <c r="G230" s="17" t="n"/>
      <c r="H230" s="17" t="n"/>
    </row>
    <row r="231">
      <c r="B231" s="26" t="n"/>
      <c r="C231" s="17" t="n"/>
      <c r="D231" s="17" t="n"/>
      <c r="E231" s="17" t="n"/>
      <c r="F231" s="27" t="n"/>
      <c r="G231" s="17" t="n"/>
      <c r="H231" s="17" t="n"/>
    </row>
    <row r="232">
      <c r="B232" s="26" t="n"/>
      <c r="C232" s="17" t="n"/>
      <c r="D232" s="17" t="n"/>
      <c r="E232" s="17" t="n"/>
      <c r="F232" s="27" t="n"/>
      <c r="G232" s="17" t="n"/>
      <c r="H232" s="17" t="n"/>
    </row>
    <row r="233">
      <c r="B233" s="26" t="n"/>
      <c r="C233" s="17" t="n"/>
      <c r="D233" s="17" t="n"/>
      <c r="E233" s="17" t="n"/>
      <c r="F233" s="27" t="n"/>
      <c r="G233" s="17" t="n"/>
      <c r="H233" s="17" t="n"/>
    </row>
    <row r="234">
      <c r="B234" s="26" t="n"/>
      <c r="C234" s="17" t="n"/>
      <c r="D234" s="17" t="n"/>
      <c r="E234" s="17" t="n"/>
      <c r="F234" s="27" t="n"/>
      <c r="G234" s="17" t="n"/>
      <c r="H234" s="17" t="n"/>
    </row>
    <row r="235">
      <c r="B235" s="26" t="n"/>
      <c r="C235" s="17" t="n"/>
      <c r="D235" s="17" t="n"/>
      <c r="E235" s="17" t="n"/>
      <c r="F235" s="27" t="n"/>
      <c r="G235" s="17" t="n"/>
      <c r="H235" s="17" t="n"/>
    </row>
    <row r="236">
      <c r="B236" s="26" t="n"/>
      <c r="C236" s="17" t="n"/>
      <c r="D236" s="17" t="n"/>
      <c r="E236" s="17" t="n"/>
      <c r="F236" s="27" t="n"/>
      <c r="G236" s="17" t="n"/>
      <c r="H236" s="17" t="n"/>
    </row>
    <row r="237">
      <c r="B237" s="26" t="n"/>
      <c r="C237" s="17" t="n"/>
      <c r="D237" s="17" t="n"/>
      <c r="E237" s="17" t="n"/>
      <c r="F237" s="27" t="n"/>
      <c r="G237" s="17" t="n"/>
      <c r="H237" s="17" t="n"/>
    </row>
    <row r="238">
      <c r="B238" s="26" t="n"/>
      <c r="C238" s="17" t="n"/>
      <c r="D238" s="17" t="n"/>
      <c r="E238" s="17" t="n"/>
      <c r="F238" s="27" t="n"/>
      <c r="G238" s="17" t="n"/>
      <c r="H238" s="17" t="n"/>
    </row>
    <row r="239">
      <c r="B239" s="26" t="n"/>
      <c r="C239" s="17" t="n"/>
      <c r="D239" s="17" t="n"/>
      <c r="E239" s="17" t="n"/>
      <c r="F239" s="27" t="n"/>
      <c r="G239" s="17" t="n"/>
      <c r="H239" s="17" t="n"/>
    </row>
    <row r="240">
      <c r="B240" s="26" t="n"/>
      <c r="C240" s="17" t="n"/>
      <c r="D240" s="17" t="n"/>
      <c r="E240" s="17" t="n"/>
      <c r="F240" s="27" t="n"/>
      <c r="G240" s="17" t="n"/>
      <c r="H240" s="17" t="n"/>
    </row>
    <row r="241">
      <c r="B241" s="26" t="n"/>
      <c r="C241" s="17" t="n"/>
      <c r="D241" s="17" t="n"/>
      <c r="E241" s="17" t="n"/>
      <c r="F241" s="27" t="n"/>
      <c r="G241" s="17" t="n"/>
      <c r="H241" s="17" t="n"/>
    </row>
    <row r="242">
      <c r="B242" s="26" t="n"/>
      <c r="C242" s="17" t="n"/>
      <c r="D242" s="17" t="n"/>
      <c r="E242" s="17" t="n"/>
      <c r="F242" s="27" t="n"/>
      <c r="G242" s="17" t="n"/>
      <c r="H242" s="17" t="n"/>
    </row>
    <row r="243">
      <c r="B243" s="26" t="n"/>
      <c r="C243" s="17" t="n"/>
      <c r="D243" s="17" t="n"/>
      <c r="E243" s="17" t="n"/>
      <c r="F243" s="27" t="n"/>
      <c r="G243" s="17" t="n"/>
      <c r="H243" s="17" t="n"/>
    </row>
    <row r="244">
      <c r="B244" s="26" t="n"/>
      <c r="C244" s="17" t="n"/>
      <c r="D244" s="17" t="n"/>
      <c r="E244" s="17" t="n"/>
      <c r="F244" s="27" t="n"/>
      <c r="G244" s="17" t="n"/>
      <c r="H244" s="17" t="n"/>
    </row>
    <row r="245">
      <c r="B245" s="26" t="n"/>
      <c r="C245" s="17" t="n"/>
      <c r="D245" s="17" t="n"/>
      <c r="E245" s="17" t="n"/>
      <c r="F245" s="27" t="n"/>
      <c r="G245" s="17" t="n"/>
      <c r="H245" s="17" t="n"/>
    </row>
    <row r="246">
      <c r="B246" s="26" t="n"/>
      <c r="C246" s="17" t="n"/>
      <c r="D246" s="17" t="n"/>
      <c r="E246" s="17" t="n"/>
      <c r="F246" s="27" t="n"/>
      <c r="G246" s="17" t="n"/>
      <c r="H246" s="17" t="n"/>
    </row>
    <row r="247">
      <c r="B247" s="26" t="n"/>
      <c r="C247" s="17" t="n"/>
      <c r="D247" s="17" t="n"/>
      <c r="E247" s="17" t="n"/>
      <c r="F247" s="27" t="n"/>
      <c r="G247" s="17" t="n"/>
      <c r="H247" s="17" t="n"/>
    </row>
    <row r="248">
      <c r="B248" s="26" t="n"/>
      <c r="C248" s="17" t="n"/>
      <c r="D248" s="17" t="n"/>
      <c r="E248" s="17" t="n"/>
      <c r="F248" s="27" t="n"/>
      <c r="G248" s="17" t="n"/>
      <c r="H248" s="17" t="n"/>
    </row>
    <row r="249">
      <c r="B249" s="26" t="n"/>
      <c r="C249" s="17" t="n"/>
      <c r="D249" s="17" t="n"/>
      <c r="E249" s="17" t="n"/>
      <c r="F249" s="27" t="n"/>
      <c r="G249" s="17" t="n"/>
      <c r="H249" s="17" t="n"/>
    </row>
    <row r="250">
      <c r="B250" s="26" t="n"/>
      <c r="C250" s="17" t="n"/>
      <c r="D250" s="17" t="n"/>
      <c r="E250" s="17" t="n"/>
      <c r="F250" s="27" t="n"/>
      <c r="G250" s="17" t="n"/>
      <c r="H250" s="17" t="n"/>
    </row>
    <row r="251">
      <c r="B251" s="26" t="n"/>
      <c r="C251" s="17" t="n"/>
      <c r="D251" s="17" t="n"/>
      <c r="E251" s="17" t="n"/>
      <c r="F251" s="27" t="n"/>
      <c r="G251" s="17" t="n"/>
      <c r="H251" s="17" t="n"/>
    </row>
    <row r="252">
      <c r="B252" s="26" t="n"/>
      <c r="C252" s="17" t="n"/>
      <c r="D252" s="17" t="n"/>
      <c r="E252" s="17" t="n"/>
      <c r="F252" s="27" t="n"/>
      <c r="G252" s="17" t="n"/>
      <c r="H252" s="17" t="n"/>
    </row>
    <row r="253">
      <c r="B253" s="26" t="n"/>
      <c r="C253" s="17" t="n"/>
      <c r="D253" s="17" t="n"/>
      <c r="E253" s="17" t="n"/>
      <c r="F253" s="27" t="n"/>
      <c r="G253" s="17" t="n"/>
      <c r="H253" s="17" t="n"/>
    </row>
    <row r="254">
      <c r="B254" s="26" t="n"/>
      <c r="C254" s="17" t="n"/>
      <c r="D254" s="17" t="n"/>
      <c r="E254" s="17" t="n"/>
      <c r="F254" s="27" t="n"/>
      <c r="G254" s="17" t="n"/>
      <c r="H254" s="17" t="n"/>
    </row>
    <row r="255">
      <c r="B255" s="26" t="n"/>
      <c r="C255" s="17" t="n"/>
      <c r="D255" s="17" t="n"/>
      <c r="E255" s="17" t="n"/>
      <c r="F255" s="27" t="n"/>
      <c r="G255" s="17" t="n"/>
      <c r="H255" s="17" t="n"/>
    </row>
    <row r="256">
      <c r="B256" s="26" t="n"/>
      <c r="C256" s="17" t="n"/>
      <c r="D256" s="17" t="n"/>
      <c r="E256" s="17" t="n"/>
      <c r="F256" s="27" t="n"/>
      <c r="G256" s="17" t="n"/>
      <c r="H256" s="17" t="n"/>
    </row>
    <row r="257">
      <c r="B257" s="26" t="n"/>
      <c r="C257" s="17" t="n"/>
      <c r="D257" s="17" t="n"/>
      <c r="E257" s="17" t="n"/>
      <c r="F257" s="27" t="n"/>
      <c r="G257" s="17" t="n"/>
      <c r="H257" s="17" t="n"/>
    </row>
    <row r="258">
      <c r="B258" s="26" t="n"/>
      <c r="C258" s="17" t="n"/>
      <c r="D258" s="17" t="n"/>
      <c r="E258" s="17" t="n"/>
      <c r="F258" s="27" t="n"/>
      <c r="G258" s="17" t="n"/>
      <c r="H258" s="17" t="n"/>
    </row>
    <row r="259">
      <c r="B259" s="26" t="n"/>
      <c r="C259" s="17" t="n"/>
      <c r="D259" s="17" t="n"/>
      <c r="E259" s="17" t="n"/>
      <c r="F259" s="27" t="n"/>
      <c r="G259" s="17" t="n"/>
      <c r="H259" s="17" t="n"/>
    </row>
    <row r="260">
      <c r="B260" s="26" t="n"/>
      <c r="C260" s="17" t="n"/>
      <c r="D260" s="17" t="n"/>
      <c r="E260" s="17" t="n"/>
      <c r="F260" s="27" t="n"/>
      <c r="G260" s="17" t="n"/>
      <c r="H260" s="17" t="n"/>
    </row>
    <row r="261">
      <c r="B261" s="26" t="n"/>
      <c r="C261" s="17" t="n"/>
      <c r="D261" s="17" t="n"/>
      <c r="E261" s="17" t="n"/>
      <c r="F261" s="27" t="n"/>
      <c r="G261" s="17" t="n"/>
      <c r="H261" s="17" t="n"/>
    </row>
    <row r="262">
      <c r="B262" s="26" t="n"/>
      <c r="C262" s="17" t="n"/>
      <c r="D262" s="17" t="n"/>
      <c r="E262" s="17" t="n"/>
      <c r="F262" s="27" t="n"/>
      <c r="G262" s="17" t="n"/>
      <c r="H262" s="17" t="n"/>
    </row>
    <row r="263">
      <c r="B263" s="26" t="n"/>
      <c r="C263" s="17" t="n"/>
      <c r="D263" s="17" t="n"/>
      <c r="E263" s="17" t="n"/>
      <c r="F263" s="27" t="n"/>
      <c r="G263" s="17" t="n"/>
      <c r="H263" s="17" t="n"/>
    </row>
    <row r="264">
      <c r="B264" s="26" t="n"/>
      <c r="C264" s="17" t="n"/>
      <c r="D264" s="17" t="n"/>
      <c r="E264" s="17" t="n"/>
      <c r="F264" s="27" t="n"/>
      <c r="G264" s="17" t="n"/>
      <c r="H264" s="17" t="n"/>
    </row>
    <row r="265">
      <c r="B265" s="26" t="n"/>
      <c r="C265" s="17" t="n"/>
      <c r="D265" s="17" t="n"/>
      <c r="E265" s="17" t="n"/>
      <c r="F265" s="27" t="n"/>
      <c r="G265" s="17" t="n"/>
      <c r="H265" s="17" t="n"/>
    </row>
    <row r="266">
      <c r="B266" s="26" t="n"/>
      <c r="C266" s="17" t="n"/>
      <c r="D266" s="17" t="n"/>
      <c r="E266" s="17" t="n"/>
      <c r="F266" s="27" t="n"/>
      <c r="G266" s="17" t="n"/>
      <c r="H266" s="17" t="n"/>
    </row>
    <row r="267">
      <c r="B267" s="26" t="n"/>
      <c r="C267" s="17" t="n"/>
      <c r="D267" s="17" t="n"/>
      <c r="E267" s="17" t="n"/>
      <c r="F267" s="27" t="n"/>
      <c r="G267" s="17" t="n"/>
      <c r="H267" s="17" t="n"/>
    </row>
    <row r="268">
      <c r="B268" s="26" t="n"/>
      <c r="C268" s="17" t="n"/>
      <c r="D268" s="17" t="n"/>
      <c r="E268" s="17" t="n"/>
      <c r="F268" s="27" t="n"/>
      <c r="G268" s="17" t="n"/>
      <c r="H268" s="17" t="n"/>
    </row>
    <row r="269">
      <c r="B269" s="26" t="n"/>
      <c r="C269" s="17" t="n"/>
      <c r="D269" s="17" t="n"/>
      <c r="E269" s="17" t="n"/>
      <c r="F269" s="27" t="n"/>
      <c r="G269" s="17" t="n"/>
      <c r="H269" s="17" t="n"/>
    </row>
    <row r="270">
      <c r="B270" s="26" t="n"/>
      <c r="C270" s="17" t="n"/>
      <c r="D270" s="17" t="n"/>
      <c r="E270" s="17" t="n"/>
      <c r="F270" s="27" t="n"/>
      <c r="G270" s="17" t="n"/>
      <c r="H270" s="17" t="n"/>
    </row>
    <row r="271">
      <c r="B271" s="26" t="n"/>
      <c r="C271" s="17" t="n"/>
      <c r="D271" s="17" t="n"/>
      <c r="E271" s="17" t="n"/>
      <c r="F271" s="27" t="n"/>
      <c r="G271" s="17" t="n"/>
      <c r="H271" s="17" t="n"/>
    </row>
    <row r="272">
      <c r="B272" s="26" t="n"/>
      <c r="C272" s="17" t="n"/>
      <c r="D272" s="17" t="n"/>
      <c r="E272" s="17" t="n"/>
      <c r="F272" s="27" t="n"/>
      <c r="G272" s="17" t="n"/>
      <c r="H272" s="17" t="n"/>
    </row>
    <row r="273">
      <c r="B273" s="26" t="n"/>
      <c r="C273" s="17" t="n"/>
      <c r="D273" s="17" t="n"/>
      <c r="E273" s="17" t="n"/>
      <c r="F273" s="27" t="n"/>
      <c r="G273" s="17" t="n"/>
      <c r="H273" s="17" t="n"/>
    </row>
    <row r="274">
      <c r="B274" s="26" t="n"/>
      <c r="C274" s="17" t="n"/>
      <c r="D274" s="17" t="n"/>
      <c r="E274" s="17" t="n"/>
      <c r="F274" s="27" t="n"/>
      <c r="G274" s="17" t="n"/>
      <c r="H274" s="17" t="n"/>
    </row>
    <row r="275">
      <c r="B275" s="26" t="n"/>
      <c r="C275" s="17" t="n"/>
      <c r="D275" s="17" t="n"/>
      <c r="E275" s="17" t="n"/>
      <c r="F275" s="27" t="n"/>
      <c r="G275" s="17" t="n"/>
      <c r="H275" s="17" t="n"/>
    </row>
    <row r="276">
      <c r="B276" s="26" t="n"/>
      <c r="C276" s="17" t="n"/>
      <c r="D276" s="17" t="n"/>
      <c r="E276" s="17" t="n"/>
      <c r="F276" s="27" t="n"/>
      <c r="G276" s="17" t="n"/>
      <c r="H276" s="17" t="n"/>
    </row>
    <row r="277">
      <c r="B277" s="26" t="n"/>
      <c r="C277" s="17" t="n"/>
      <c r="D277" s="17" t="n"/>
      <c r="E277" s="17" t="n"/>
      <c r="F277" s="27" t="n"/>
      <c r="G277" s="17" t="n"/>
      <c r="H277" s="17" t="n"/>
    </row>
    <row r="278">
      <c r="B278" s="26" t="n"/>
      <c r="C278" s="17" t="n"/>
      <c r="D278" s="17" t="n"/>
      <c r="E278" s="17" t="n"/>
      <c r="F278" s="27" t="n"/>
      <c r="G278" s="17" t="n"/>
      <c r="H278" s="17" t="n"/>
    </row>
    <row r="279">
      <c r="B279" s="26" t="n"/>
      <c r="C279" s="17" t="n"/>
      <c r="D279" s="17" t="n"/>
      <c r="E279" s="17" t="n"/>
      <c r="F279" s="27" t="n"/>
      <c r="G279" s="17" t="n"/>
      <c r="H279" s="17" t="n"/>
    </row>
    <row r="280">
      <c r="B280" s="26" t="n"/>
      <c r="C280" s="17" t="n"/>
      <c r="D280" s="17" t="n"/>
      <c r="E280" s="17" t="n"/>
      <c r="F280" s="27" t="n"/>
      <c r="G280" s="17" t="n"/>
      <c r="H280" s="17" t="n"/>
    </row>
    <row r="281">
      <c r="B281" s="26" t="n"/>
      <c r="C281" s="17" t="n"/>
      <c r="D281" s="17" t="n"/>
      <c r="E281" s="17" t="n"/>
      <c r="F281" s="27" t="n"/>
      <c r="G281" s="17" t="n"/>
      <c r="H281" s="17" t="n"/>
    </row>
    <row r="282">
      <c r="B282" s="26" t="n"/>
      <c r="C282" s="17" t="n"/>
      <c r="D282" s="17" t="n"/>
      <c r="E282" s="17" t="n"/>
      <c r="F282" s="27" t="n"/>
      <c r="G282" s="17" t="n"/>
      <c r="H282" s="17" t="n"/>
    </row>
    <row r="283">
      <c r="B283" s="26" t="n"/>
      <c r="C283" s="17" t="n"/>
      <c r="D283" s="17" t="n"/>
      <c r="E283" s="17" t="n"/>
      <c r="F283" s="27" t="n"/>
      <c r="G283" s="17" t="n"/>
      <c r="H283" s="17" t="n"/>
    </row>
    <row r="284">
      <c r="B284" s="26" t="n"/>
      <c r="C284" s="17" t="n"/>
      <c r="D284" s="17" t="n"/>
      <c r="E284" s="17" t="n"/>
      <c r="F284" s="27" t="n"/>
      <c r="G284" s="17" t="n"/>
      <c r="H284" s="17" t="n"/>
    </row>
    <row r="285">
      <c r="B285" s="26" t="n"/>
      <c r="C285" s="17" t="n"/>
      <c r="D285" s="17" t="n"/>
      <c r="E285" s="17" t="n"/>
      <c r="F285" s="27" t="n"/>
      <c r="G285" s="17" t="n"/>
      <c r="H285" s="17" t="n"/>
    </row>
    <row r="286">
      <c r="B286" s="26" t="n"/>
      <c r="C286" s="17" t="n"/>
      <c r="D286" s="17" t="n"/>
      <c r="E286" s="17" t="n"/>
      <c r="F286" s="27" t="n"/>
      <c r="G286" s="17" t="n"/>
      <c r="H286" s="17" t="n"/>
    </row>
    <row r="287">
      <c r="B287" s="26" t="n"/>
      <c r="C287" s="17" t="n"/>
      <c r="D287" s="17" t="n"/>
      <c r="E287" s="17" t="n"/>
      <c r="F287" s="27" t="n"/>
      <c r="G287" s="17" t="n"/>
      <c r="H287" s="17" t="n"/>
    </row>
    <row r="288">
      <c r="B288" s="26" t="n"/>
      <c r="C288" s="17" t="n"/>
      <c r="D288" s="17" t="n"/>
      <c r="E288" s="17" t="n"/>
      <c r="F288" s="27" t="n"/>
      <c r="G288" s="17" t="n"/>
      <c r="H288" s="17" t="n"/>
    </row>
    <row r="289">
      <c r="B289" s="26" t="n"/>
      <c r="C289" s="17" t="n"/>
      <c r="D289" s="17" t="n"/>
      <c r="E289" s="17" t="n"/>
      <c r="F289" s="27" t="n"/>
      <c r="G289" s="17" t="n"/>
      <c r="H289" s="17" t="n"/>
    </row>
    <row r="290">
      <c r="B290" s="26" t="n"/>
      <c r="C290" s="17" t="n"/>
      <c r="D290" s="17" t="n"/>
      <c r="E290" s="17" t="n"/>
      <c r="F290" s="27" t="n"/>
      <c r="G290" s="17" t="n"/>
      <c r="H290" s="17" t="n"/>
    </row>
    <row r="291">
      <c r="B291" s="26" t="n"/>
      <c r="C291" s="17" t="n"/>
      <c r="D291" s="17" t="n"/>
      <c r="E291" s="17" t="n"/>
      <c r="F291" s="27" t="n"/>
      <c r="G291" s="17" t="n"/>
      <c r="H291" s="17" t="n"/>
    </row>
    <row r="292">
      <c r="B292" s="26" t="n"/>
      <c r="C292" s="17" t="n"/>
      <c r="D292" s="17" t="n"/>
      <c r="E292" s="17" t="n"/>
      <c r="F292" s="27" t="n"/>
      <c r="G292" s="17" t="n"/>
      <c r="H292" s="17" t="n"/>
    </row>
    <row r="293">
      <c r="B293" s="26" t="n"/>
      <c r="C293" s="17" t="n"/>
      <c r="D293" s="17" t="n"/>
      <c r="E293" s="17" t="n"/>
      <c r="F293" s="27" t="n"/>
      <c r="G293" s="17" t="n"/>
      <c r="H293" s="17" t="n"/>
    </row>
    <row r="294">
      <c r="B294" s="26" t="n"/>
      <c r="C294" s="17" t="n"/>
      <c r="D294" s="17" t="n"/>
      <c r="E294" s="17" t="n"/>
      <c r="F294" s="27" t="n"/>
      <c r="G294" s="17" t="n"/>
      <c r="H294" s="17" t="n"/>
    </row>
    <row r="295">
      <c r="B295" s="26" t="n"/>
      <c r="C295" s="17" t="n"/>
      <c r="D295" s="17" t="n"/>
      <c r="E295" s="17" t="n"/>
      <c r="F295" s="27" t="n"/>
      <c r="G295" s="17" t="n"/>
      <c r="H295" s="17" t="n"/>
    </row>
    <row r="296">
      <c r="B296" s="26" t="n"/>
      <c r="C296" s="17" t="n"/>
      <c r="D296" s="17" t="n"/>
      <c r="E296" s="17" t="n"/>
      <c r="F296" s="27" t="n"/>
      <c r="G296" s="17" t="n"/>
      <c r="H296" s="17" t="n"/>
    </row>
    <row r="297">
      <c r="B297" s="26" t="n"/>
      <c r="C297" s="17" t="n"/>
      <c r="D297" s="17" t="n"/>
      <c r="E297" s="17" t="n"/>
      <c r="F297" s="27" t="n"/>
      <c r="G297" s="17" t="n"/>
      <c r="H297" s="17" t="n"/>
    </row>
    <row r="298">
      <c r="B298" s="26" t="n"/>
      <c r="C298" s="17" t="n"/>
      <c r="D298" s="17" t="n"/>
      <c r="E298" s="17" t="n"/>
      <c r="F298" s="27" t="n"/>
      <c r="G298" s="17" t="n"/>
      <c r="H298" s="17" t="n"/>
    </row>
    <row r="299">
      <c r="B299" s="26" t="n"/>
      <c r="C299" s="17" t="n"/>
      <c r="D299" s="17" t="n"/>
      <c r="E299" s="17" t="n"/>
      <c r="F299" s="27" t="n"/>
      <c r="G299" s="17" t="n"/>
      <c r="H299" s="17" t="n"/>
    </row>
    <row r="300">
      <c r="B300" s="26" t="n"/>
      <c r="C300" s="17" t="n"/>
      <c r="D300" s="17" t="n"/>
      <c r="E300" s="17" t="n"/>
      <c r="F300" s="27" t="n"/>
      <c r="G300" s="17" t="n"/>
      <c r="H300" s="17" t="n"/>
    </row>
    <row r="301">
      <c r="B301" s="26" t="n"/>
      <c r="C301" s="17" t="n"/>
      <c r="D301" s="17" t="n"/>
      <c r="E301" s="17" t="n"/>
      <c r="F301" s="27" t="n"/>
      <c r="G301" s="17" t="n"/>
      <c r="H301" s="17" t="n"/>
    </row>
    <row r="302">
      <c r="B302" s="26" t="n"/>
      <c r="C302" s="17" t="n"/>
      <c r="D302" s="17" t="n"/>
      <c r="E302" s="17" t="n"/>
      <c r="F302" s="27" t="n"/>
      <c r="G302" s="17" t="n"/>
      <c r="H302" s="17" t="n"/>
    </row>
    <row r="303">
      <c r="B303" s="26" t="n"/>
      <c r="C303" s="17" t="n"/>
      <c r="D303" s="17" t="n"/>
      <c r="E303" s="17" t="n"/>
      <c r="F303" s="27" t="n"/>
      <c r="G303" s="17" t="n"/>
      <c r="H303" s="17" t="n"/>
    </row>
    <row r="304">
      <c r="B304" s="26" t="n"/>
      <c r="C304" s="17" t="n"/>
      <c r="D304" s="17" t="n"/>
      <c r="E304" s="17" t="n"/>
      <c r="F304" s="27" t="n"/>
      <c r="G304" s="17" t="n"/>
      <c r="H304" s="17" t="n"/>
    </row>
    <row r="305">
      <c r="B305" s="26" t="n"/>
      <c r="C305" s="17" t="n"/>
      <c r="D305" s="17" t="n"/>
      <c r="E305" s="17" t="n"/>
      <c r="F305" s="27" t="n"/>
      <c r="G305" s="17" t="n"/>
      <c r="H305" s="17" t="n"/>
    </row>
    <row r="306">
      <c r="B306" s="26" t="n"/>
      <c r="C306" s="17" t="n"/>
      <c r="D306" s="17" t="n"/>
      <c r="E306" s="17" t="n"/>
      <c r="F306" s="27" t="n"/>
      <c r="G306" s="17" t="n"/>
      <c r="H306" s="17" t="n"/>
    </row>
    <row r="307">
      <c r="B307" s="26" t="n"/>
      <c r="C307" s="17" t="n"/>
      <c r="D307" s="17" t="n"/>
      <c r="E307" s="17" t="n"/>
      <c r="F307" s="27" t="n"/>
      <c r="G307" s="17" t="n"/>
      <c r="H307" s="17" t="n"/>
    </row>
    <row r="308">
      <c r="B308" s="26" t="n"/>
      <c r="C308" s="17" t="n"/>
      <c r="D308" s="17" t="n"/>
      <c r="E308" s="17" t="n"/>
      <c r="F308" s="27" t="n"/>
      <c r="G308" s="17" t="n"/>
      <c r="H308" s="17" t="n"/>
    </row>
    <row r="309">
      <c r="B309" s="26" t="n"/>
      <c r="C309" s="17" t="n"/>
      <c r="D309" s="17" t="n"/>
      <c r="E309" s="17" t="n"/>
      <c r="F309" s="27" t="n"/>
      <c r="G309" s="17" t="n"/>
      <c r="H309" s="17" t="n"/>
    </row>
    <row r="310">
      <c r="B310" s="26" t="n"/>
      <c r="C310" s="17" t="n"/>
      <c r="D310" s="17" t="n"/>
      <c r="E310" s="17" t="n"/>
      <c r="F310" s="27" t="n"/>
      <c r="G310" s="17" t="n"/>
      <c r="H310" s="17" t="n"/>
    </row>
    <row r="311">
      <c r="B311" s="26" t="n"/>
      <c r="C311" s="17" t="n"/>
      <c r="D311" s="17" t="n"/>
      <c r="E311" s="17" t="n"/>
      <c r="F311" s="27" t="n"/>
      <c r="G311" s="17" t="n"/>
      <c r="H311" s="17" t="n"/>
    </row>
    <row r="312">
      <c r="B312" s="26" t="n"/>
      <c r="C312" s="17" t="n"/>
      <c r="D312" s="17" t="n"/>
      <c r="E312" s="17" t="n"/>
      <c r="F312" s="27" t="n"/>
      <c r="G312" s="17" t="n"/>
      <c r="H312" s="17" t="n"/>
    </row>
    <row r="313">
      <c r="B313" s="26" t="n"/>
      <c r="C313" s="17" t="n"/>
      <c r="D313" s="17" t="n"/>
      <c r="E313" s="17" t="n"/>
      <c r="F313" s="27" t="n"/>
      <c r="G313" s="17" t="n"/>
      <c r="H313" s="17" t="n"/>
    </row>
    <row r="314">
      <c r="B314" s="26" t="n"/>
      <c r="C314" s="17" t="n"/>
      <c r="D314" s="17" t="n"/>
      <c r="E314" s="17" t="n"/>
      <c r="F314" s="27" t="n"/>
      <c r="G314" s="17" t="n"/>
      <c r="H314" s="17" t="n"/>
    </row>
    <row r="315">
      <c r="B315" s="26" t="n"/>
      <c r="C315" s="17" t="n"/>
      <c r="D315" s="17" t="n"/>
      <c r="E315" s="17" t="n"/>
      <c r="F315" s="27" t="n"/>
      <c r="G315" s="17" t="n"/>
      <c r="H315" s="17" t="n"/>
    </row>
    <row r="316">
      <c r="B316" s="26" t="n"/>
      <c r="C316" s="17" t="n"/>
      <c r="D316" s="17" t="n"/>
      <c r="E316" s="17" t="n"/>
      <c r="F316" s="27" t="n"/>
      <c r="G316" s="17" t="n"/>
      <c r="H316" s="17" t="n"/>
    </row>
    <row r="317">
      <c r="B317" s="26" t="n"/>
      <c r="C317" s="17" t="n"/>
      <c r="D317" s="17" t="n"/>
      <c r="E317" s="17" t="n"/>
      <c r="F317" s="27" t="n"/>
      <c r="G317" s="17" t="n"/>
      <c r="H317" s="17" t="n"/>
    </row>
    <row r="318">
      <c r="B318" s="26" t="n"/>
      <c r="C318" s="17" t="n"/>
      <c r="D318" s="17" t="n"/>
      <c r="E318" s="17" t="n"/>
      <c r="F318" s="27" t="n"/>
      <c r="G318" s="17" t="n"/>
      <c r="H318" s="17" t="n"/>
    </row>
    <row r="319">
      <c r="B319" s="26" t="n"/>
      <c r="C319" s="17" t="n"/>
      <c r="D319" s="17" t="n"/>
      <c r="E319" s="17" t="n"/>
      <c r="F319" s="27" t="n"/>
      <c r="G319" s="17" t="n"/>
      <c r="H319" s="17" t="n"/>
    </row>
    <row r="320">
      <c r="B320" s="26" t="n"/>
      <c r="C320" s="17" t="n"/>
      <c r="D320" s="17" t="n"/>
      <c r="E320" s="17" t="n"/>
      <c r="F320" s="27" t="n"/>
      <c r="G320" s="17" t="n"/>
      <c r="H320" s="17" t="n"/>
    </row>
    <row r="321">
      <c r="B321" s="26" t="n"/>
      <c r="C321" s="17" t="n"/>
      <c r="D321" s="17" t="n"/>
      <c r="E321" s="17" t="n"/>
      <c r="F321" s="27" t="n"/>
      <c r="G321" s="17" t="n"/>
      <c r="H321" s="17" t="n"/>
    </row>
    <row r="322">
      <c r="B322" s="26" t="n"/>
      <c r="C322" s="17" t="n"/>
      <c r="D322" s="17" t="n"/>
      <c r="E322" s="17" t="n"/>
      <c r="F322" s="27" t="n"/>
      <c r="G322" s="17" t="n"/>
      <c r="H322" s="17" t="n"/>
    </row>
    <row r="323">
      <c r="B323" s="26" t="n"/>
      <c r="C323" s="17" t="n"/>
      <c r="D323" s="17" t="n"/>
      <c r="E323" s="17" t="n"/>
      <c r="F323" s="27" t="n"/>
      <c r="G323" s="17" t="n"/>
      <c r="H323" s="17" t="n"/>
    </row>
    <row r="324">
      <c r="B324" s="26" t="n"/>
      <c r="C324" s="17" t="n"/>
      <c r="D324" s="17" t="n"/>
      <c r="E324" s="17" t="n"/>
      <c r="F324" s="27" t="n"/>
      <c r="G324" s="17" t="n"/>
      <c r="H324" s="17" t="n"/>
    </row>
    <row r="325">
      <c r="B325" s="26" t="n"/>
      <c r="C325" s="17" t="n"/>
      <c r="D325" s="17" t="n"/>
      <c r="E325" s="17" t="n"/>
      <c r="F325" s="27" t="n"/>
      <c r="G325" s="17" t="n"/>
      <c r="H325" s="17" t="n"/>
    </row>
    <row r="326">
      <c r="B326" s="26" t="n"/>
      <c r="C326" s="17" t="n"/>
      <c r="D326" s="17" t="n"/>
      <c r="E326" s="17" t="n"/>
      <c r="F326" s="27" t="n"/>
      <c r="G326" s="17" t="n"/>
      <c r="H326" s="17" t="n"/>
    </row>
    <row r="327">
      <c r="B327" s="26" t="n"/>
      <c r="C327" s="17" t="n"/>
      <c r="D327" s="17" t="n"/>
      <c r="E327" s="17" t="n"/>
      <c r="F327" s="27" t="n"/>
      <c r="G327" s="17" t="n"/>
      <c r="H327" s="17" t="n"/>
    </row>
    <row r="328">
      <c r="B328" s="26" t="n"/>
      <c r="C328" s="17" t="n"/>
      <c r="D328" s="17" t="n"/>
      <c r="E328" s="17" t="n"/>
      <c r="F328" s="27" t="n"/>
      <c r="G328" s="17" t="n"/>
      <c r="H328" s="17" t="n"/>
    </row>
    <row r="329">
      <c r="B329" s="26" t="n"/>
      <c r="C329" s="17" t="n"/>
      <c r="D329" s="17" t="n"/>
      <c r="E329" s="17" t="n"/>
      <c r="F329" s="27" t="n"/>
      <c r="G329" s="17" t="n"/>
      <c r="H329" s="17" t="n"/>
    </row>
    <row r="330">
      <c r="B330" s="26" t="n"/>
      <c r="C330" s="17" t="n"/>
      <c r="D330" s="17" t="n"/>
      <c r="E330" s="17" t="n"/>
      <c r="F330" s="27" t="n"/>
      <c r="G330" s="17" t="n"/>
      <c r="H330" s="17" t="n"/>
    </row>
    <row r="331">
      <c r="B331" s="26" t="n"/>
      <c r="C331" s="17" t="n"/>
      <c r="D331" s="17" t="n"/>
      <c r="E331" s="17" t="n"/>
      <c r="F331" s="27" t="n"/>
      <c r="G331" s="17" t="n"/>
      <c r="H331" s="17" t="n"/>
    </row>
    <row r="332">
      <c r="B332" s="26" t="n"/>
      <c r="C332" s="17" t="n"/>
      <c r="D332" s="17" t="n"/>
      <c r="E332" s="17" t="n"/>
      <c r="F332" s="27" t="n"/>
      <c r="G332" s="17" t="n"/>
      <c r="H332" s="17" t="n"/>
    </row>
    <row r="333">
      <c r="B333" s="26" t="n"/>
      <c r="C333" s="17" t="n"/>
      <c r="D333" s="17" t="n"/>
      <c r="E333" s="17" t="n"/>
      <c r="F333" s="27" t="n"/>
      <c r="G333" s="17" t="n"/>
      <c r="H333" s="17" t="n"/>
    </row>
    <row r="334">
      <c r="B334" s="26" t="n"/>
      <c r="C334" s="17" t="n"/>
      <c r="D334" s="17" t="n"/>
      <c r="E334" s="17" t="n"/>
      <c r="F334" s="27" t="n"/>
      <c r="G334" s="17" t="n"/>
      <c r="H334" s="17" t="n"/>
    </row>
    <row r="335">
      <c r="B335" s="26" t="n"/>
      <c r="C335" s="17" t="n"/>
      <c r="D335" s="17" t="n"/>
      <c r="E335" s="17" t="n"/>
      <c r="F335" s="27" t="n"/>
      <c r="G335" s="17" t="n"/>
      <c r="H335" s="17" t="n"/>
    </row>
    <row r="336">
      <c r="B336" s="26" t="n"/>
      <c r="C336" s="17" t="n"/>
      <c r="D336" s="17" t="n"/>
      <c r="E336" s="17" t="n"/>
      <c r="F336" s="27" t="n"/>
      <c r="G336" s="17" t="n"/>
      <c r="H336" s="17" t="n"/>
    </row>
    <row r="337">
      <c r="B337" s="26" t="n"/>
      <c r="C337" s="17" t="n"/>
      <c r="D337" s="17" t="n"/>
      <c r="E337" s="17" t="n"/>
      <c r="F337" s="27" t="n"/>
      <c r="G337" s="17" t="n"/>
      <c r="H337" s="17" t="n"/>
    </row>
    <row r="338">
      <c r="B338" s="26" t="n"/>
      <c r="C338" s="17" t="n"/>
      <c r="D338" s="17" t="n"/>
      <c r="E338" s="17" t="n"/>
      <c r="F338" s="27" t="n"/>
      <c r="G338" s="17" t="n"/>
      <c r="H338" s="17" t="n"/>
    </row>
    <row r="339">
      <c r="B339" s="26" t="n"/>
      <c r="C339" s="17" t="n"/>
      <c r="D339" s="17" t="n"/>
      <c r="E339" s="17" t="n"/>
      <c r="F339" s="27" t="n"/>
      <c r="G339" s="17" t="n"/>
      <c r="H339" s="17" t="n"/>
    </row>
    <row r="340">
      <c r="B340" s="26" t="n"/>
      <c r="C340" s="17" t="n"/>
      <c r="D340" s="17" t="n"/>
      <c r="E340" s="17" t="n"/>
      <c r="F340" s="27" t="n"/>
      <c r="G340" s="17" t="n"/>
      <c r="H340" s="17" t="n"/>
    </row>
    <row r="341">
      <c r="B341" s="26" t="n"/>
      <c r="C341" s="17" t="n"/>
      <c r="D341" s="17" t="n"/>
      <c r="E341" s="17" t="n"/>
      <c r="F341" s="27" t="n"/>
      <c r="G341" s="17" t="n"/>
      <c r="H341" s="17" t="n"/>
    </row>
    <row r="342">
      <c r="B342" s="26" t="n"/>
      <c r="C342" s="17" t="n"/>
      <c r="D342" s="17" t="n"/>
      <c r="E342" s="17" t="n"/>
      <c r="F342" s="27" t="n"/>
      <c r="G342" s="17" t="n"/>
      <c r="H342" s="17" t="n"/>
    </row>
    <row r="343">
      <c r="B343" s="26" t="n"/>
      <c r="C343" s="17" t="n"/>
      <c r="D343" s="17" t="n"/>
      <c r="E343" s="17" t="n"/>
      <c r="F343" s="27" t="n"/>
      <c r="G343" s="17" t="n"/>
      <c r="H343" s="17" t="n"/>
    </row>
    <row r="344">
      <c r="B344" s="26" t="n"/>
      <c r="C344" s="17" t="n"/>
      <c r="D344" s="17" t="n"/>
      <c r="E344" s="17" t="n"/>
      <c r="F344" s="27" t="n"/>
      <c r="G344" s="17" t="n"/>
      <c r="H344" s="17" t="n"/>
    </row>
    <row r="345">
      <c r="B345" s="26" t="n"/>
      <c r="C345" s="17" t="n"/>
      <c r="D345" s="17" t="n"/>
      <c r="E345" s="17" t="n"/>
      <c r="F345" s="27" t="n"/>
      <c r="G345" s="17" t="n"/>
      <c r="H345" s="17" t="n"/>
    </row>
    <row r="346">
      <c r="B346" s="26" t="n"/>
      <c r="C346" s="17" t="n"/>
      <c r="D346" s="17" t="n"/>
      <c r="E346" s="17" t="n"/>
      <c r="F346" s="27" t="n"/>
      <c r="G346" s="17" t="n"/>
      <c r="H346" s="17" t="n"/>
    </row>
    <row r="347">
      <c r="B347" s="26" t="n"/>
      <c r="C347" s="17" t="n"/>
      <c r="D347" s="17" t="n"/>
      <c r="E347" s="17" t="n"/>
      <c r="F347" s="27" t="n"/>
      <c r="G347" s="17" t="n"/>
      <c r="H347" s="17" t="n"/>
    </row>
    <row r="348">
      <c r="B348" s="26" t="n"/>
      <c r="C348" s="17" t="n"/>
      <c r="D348" s="17" t="n"/>
      <c r="E348" s="17" t="n"/>
      <c r="F348" s="27" t="n"/>
      <c r="G348" s="17" t="n"/>
      <c r="H348" s="17" t="n"/>
    </row>
    <row r="349">
      <c r="B349" s="26" t="n"/>
      <c r="C349" s="17" t="n"/>
      <c r="D349" s="17" t="n"/>
      <c r="E349" s="17" t="n"/>
      <c r="F349" s="27" t="n"/>
      <c r="G349" s="17" t="n"/>
      <c r="H349" s="17" t="n"/>
    </row>
    <row r="350">
      <c r="B350" s="26" t="n"/>
      <c r="C350" s="17" t="n"/>
      <c r="D350" s="17" t="n"/>
      <c r="E350" s="17" t="n"/>
      <c r="F350" s="27" t="n"/>
      <c r="G350" s="17" t="n"/>
      <c r="H350" s="17" t="n"/>
    </row>
    <row r="351">
      <c r="B351" s="26" t="n"/>
      <c r="C351" s="17" t="n"/>
      <c r="D351" s="17" t="n"/>
      <c r="E351" s="17" t="n"/>
      <c r="F351" s="27" t="n"/>
      <c r="G351" s="17" t="n"/>
      <c r="H351" s="17" t="n"/>
    </row>
    <row r="352">
      <c r="B352" s="26" t="n"/>
      <c r="C352" s="17" t="n"/>
      <c r="D352" s="17" t="n"/>
      <c r="E352" s="17" t="n"/>
      <c r="F352" s="27" t="n"/>
      <c r="G352" s="17" t="n"/>
      <c r="H352" s="17" t="n"/>
    </row>
    <row r="353">
      <c r="B353" s="26" t="n"/>
      <c r="C353" s="17" t="n"/>
      <c r="D353" s="17" t="n"/>
      <c r="E353" s="17" t="n"/>
      <c r="F353" s="27" t="n"/>
      <c r="G353" s="17" t="n"/>
      <c r="H353" s="17" t="n"/>
    </row>
    <row r="354">
      <c r="B354" s="26" t="n"/>
      <c r="C354" s="17" t="n"/>
      <c r="D354" s="17" t="n"/>
      <c r="E354" s="17" t="n"/>
      <c r="F354" s="27" t="n"/>
      <c r="G354" s="17" t="n"/>
      <c r="H354" s="17" t="n"/>
    </row>
    <row r="355">
      <c r="B355" s="26" t="n"/>
      <c r="C355" s="17" t="n"/>
      <c r="D355" s="17" t="n"/>
      <c r="E355" s="17" t="n"/>
      <c r="F355" s="27" t="n"/>
      <c r="G355" s="17" t="n"/>
      <c r="H355" s="17" t="n"/>
    </row>
    <row r="356">
      <c r="B356" s="26" t="n"/>
      <c r="C356" s="17" t="n"/>
      <c r="D356" s="17" t="n"/>
      <c r="E356" s="17" t="n"/>
      <c r="F356" s="27" t="n"/>
      <c r="G356" s="17" t="n"/>
      <c r="H356" s="17" t="n"/>
    </row>
    <row r="357">
      <c r="B357" s="26" t="n"/>
      <c r="C357" s="17" t="n"/>
      <c r="D357" s="17" t="n"/>
      <c r="E357" s="17" t="n"/>
      <c r="F357" s="27" t="n"/>
      <c r="G357" s="17" t="n"/>
      <c r="H357" s="17" t="n"/>
    </row>
    <row r="358">
      <c r="B358" s="26" t="n"/>
      <c r="C358" s="17" t="n"/>
      <c r="D358" s="17" t="n"/>
      <c r="E358" s="17" t="n"/>
      <c r="F358" s="27" t="n"/>
      <c r="G358" s="17" t="n"/>
      <c r="H358" s="17" t="n"/>
    </row>
    <row r="359">
      <c r="B359" s="26" t="n"/>
      <c r="C359" s="17" t="n"/>
      <c r="D359" s="17" t="n"/>
      <c r="E359" s="17" t="n"/>
      <c r="F359" s="27" t="n"/>
      <c r="G359" s="17" t="n"/>
      <c r="H359" s="17" t="n"/>
    </row>
    <row r="360">
      <c r="B360" s="26" t="n"/>
      <c r="C360" s="17" t="n"/>
      <c r="D360" s="17" t="n"/>
      <c r="E360" s="17" t="n"/>
      <c r="F360" s="27" t="n"/>
      <c r="G360" s="17" t="n"/>
      <c r="H360" s="17" t="n"/>
    </row>
    <row r="361">
      <c r="B361" s="26" t="n"/>
      <c r="C361" s="17" t="n"/>
      <c r="D361" s="17" t="n"/>
      <c r="E361" s="17" t="n"/>
      <c r="F361" s="27" t="n"/>
      <c r="G361" s="17" t="n"/>
      <c r="H361" s="17" t="n"/>
    </row>
    <row r="362">
      <c r="B362" s="26" t="n"/>
      <c r="C362" s="17" t="n"/>
      <c r="D362" s="17" t="n"/>
      <c r="E362" s="17" t="n"/>
      <c r="F362" s="27" t="n"/>
      <c r="G362" s="17" t="n"/>
      <c r="H362" s="17" t="n"/>
    </row>
    <row r="363">
      <c r="B363" s="26" t="n"/>
      <c r="C363" s="17" t="n"/>
      <c r="D363" s="17" t="n"/>
      <c r="E363" s="17" t="n"/>
      <c r="F363" s="27" t="n"/>
      <c r="G363" s="17" t="n"/>
      <c r="H363" s="17" t="n"/>
    </row>
    <row r="364">
      <c r="B364" s="26" t="n"/>
      <c r="C364" s="17" t="n"/>
      <c r="D364" s="17" t="n"/>
      <c r="E364" s="17" t="n"/>
      <c r="F364" s="27" t="n"/>
      <c r="G364" s="17" t="n"/>
      <c r="H364" s="17" t="n"/>
    </row>
    <row r="365">
      <c r="B365" s="26" t="n"/>
      <c r="C365" s="17" t="n"/>
      <c r="D365" s="17" t="n"/>
      <c r="E365" s="17" t="n"/>
      <c r="F365" s="27" t="n"/>
      <c r="G365" s="17" t="n"/>
      <c r="H365" s="17" t="n"/>
    </row>
    <row r="366">
      <c r="B366" s="26" t="n"/>
      <c r="C366" s="17" t="n"/>
      <c r="D366" s="17" t="n"/>
      <c r="E366" s="17" t="n"/>
      <c r="F366" s="27" t="n"/>
      <c r="G366" s="17" t="n"/>
      <c r="H366" s="17" t="n"/>
    </row>
    <row r="367">
      <c r="B367" s="26" t="n"/>
      <c r="C367" s="17" t="n"/>
      <c r="D367" s="17" t="n"/>
      <c r="E367" s="17" t="n"/>
      <c r="F367" s="27" t="n"/>
      <c r="G367" s="17" t="n"/>
      <c r="H367" s="17" t="n"/>
    </row>
    <row r="368">
      <c r="B368" s="26" t="n"/>
      <c r="C368" s="17" t="n"/>
      <c r="D368" s="17" t="n"/>
      <c r="E368" s="17" t="n"/>
      <c r="F368" s="27" t="n"/>
      <c r="G368" s="17" t="n"/>
      <c r="H368" s="17" t="n"/>
    </row>
    <row r="369">
      <c r="B369" s="26" t="n"/>
      <c r="C369" s="17" t="n"/>
      <c r="D369" s="17" t="n"/>
      <c r="E369" s="17" t="n"/>
      <c r="F369" s="27" t="n"/>
      <c r="G369" s="17" t="n"/>
      <c r="H369" s="17" t="n"/>
    </row>
    <row r="370">
      <c r="B370" s="26" t="n"/>
      <c r="C370" s="17" t="n"/>
      <c r="D370" s="17" t="n"/>
      <c r="E370" s="17" t="n"/>
      <c r="F370" s="27" t="n"/>
      <c r="G370" s="17" t="n"/>
      <c r="H370" s="17" t="n"/>
    </row>
    <row r="371">
      <c r="B371" s="26" t="n"/>
      <c r="C371" s="17" t="n"/>
      <c r="D371" s="17" t="n"/>
      <c r="E371" s="17" t="n"/>
      <c r="F371" s="27" t="n"/>
      <c r="G371" s="17" t="n"/>
      <c r="H371" s="17" t="n"/>
    </row>
    <row r="372">
      <c r="B372" s="26" t="n"/>
      <c r="C372" s="17" t="n"/>
      <c r="D372" s="17" t="n"/>
      <c r="E372" s="17" t="n"/>
      <c r="F372" s="27" t="n"/>
      <c r="G372" s="17" t="n"/>
      <c r="H372" s="17" t="n"/>
    </row>
    <row r="373">
      <c r="B373" s="26" t="n"/>
      <c r="C373" s="17" t="n"/>
      <c r="D373" s="17" t="n"/>
      <c r="E373" s="17" t="n"/>
      <c r="F373" s="27" t="n"/>
      <c r="G373" s="17" t="n"/>
      <c r="H373" s="17" t="n"/>
    </row>
    <row r="374">
      <c r="B374" s="26" t="n"/>
      <c r="C374" s="17" t="n"/>
      <c r="D374" s="17" t="n"/>
      <c r="E374" s="17" t="n"/>
      <c r="F374" s="27" t="n"/>
      <c r="G374" s="17" t="n"/>
      <c r="H374" s="17" t="n"/>
    </row>
    <row r="375">
      <c r="B375" s="26" t="n"/>
      <c r="C375" s="17" t="n"/>
      <c r="D375" s="17" t="n"/>
      <c r="E375" s="17" t="n"/>
      <c r="F375" s="27" t="n"/>
      <c r="G375" s="17" t="n"/>
      <c r="H375" s="17" t="n"/>
    </row>
    <row r="376">
      <c r="B376" s="26" t="n"/>
      <c r="C376" s="17" t="n"/>
      <c r="D376" s="17" t="n"/>
      <c r="E376" s="17" t="n"/>
      <c r="F376" s="27" t="n"/>
      <c r="G376" s="17" t="n"/>
      <c r="H376" s="17" t="n"/>
    </row>
    <row r="377">
      <c r="B377" s="26" t="n"/>
      <c r="C377" s="17" t="n"/>
      <c r="D377" s="17" t="n"/>
      <c r="E377" s="17" t="n"/>
      <c r="F377" s="27" t="n"/>
      <c r="G377" s="17" t="n"/>
      <c r="H377" s="17" t="n"/>
    </row>
    <row r="378">
      <c r="B378" s="26" t="n"/>
      <c r="C378" s="17" t="n"/>
      <c r="D378" s="17" t="n"/>
      <c r="E378" s="17" t="n"/>
      <c r="F378" s="27" t="n"/>
      <c r="G378" s="17" t="n"/>
      <c r="H378" s="17" t="n"/>
    </row>
    <row r="379">
      <c r="B379" s="26" t="n"/>
      <c r="C379" s="17" t="n"/>
      <c r="D379" s="17" t="n"/>
      <c r="E379" s="17" t="n"/>
      <c r="F379" s="27" t="n"/>
      <c r="G379" s="17" t="n"/>
      <c r="H379" s="17" t="n"/>
    </row>
    <row r="380">
      <c r="B380" s="26" t="n"/>
      <c r="C380" s="17" t="n"/>
      <c r="D380" s="17" t="n"/>
      <c r="E380" s="17" t="n"/>
      <c r="F380" s="27" t="n"/>
      <c r="G380" s="17" t="n"/>
      <c r="H380" s="17" t="n"/>
    </row>
    <row r="381">
      <c r="B381" s="26" t="n"/>
      <c r="C381" s="17" t="n"/>
      <c r="D381" s="17" t="n"/>
      <c r="E381" s="17" t="n"/>
      <c r="F381" s="27" t="n"/>
      <c r="G381" s="17" t="n"/>
      <c r="H381" s="17" t="n"/>
    </row>
    <row r="382">
      <c r="B382" s="26" t="n"/>
      <c r="C382" s="17" t="n"/>
      <c r="D382" s="17" t="n"/>
      <c r="E382" s="17" t="n"/>
      <c r="F382" s="27" t="n"/>
      <c r="G382" s="17" t="n"/>
      <c r="H382" s="17" t="n"/>
    </row>
    <row r="383">
      <c r="B383" s="26" t="n"/>
      <c r="C383" s="17" t="n"/>
      <c r="D383" s="17" t="n"/>
      <c r="E383" s="17" t="n"/>
      <c r="F383" s="27" t="n"/>
      <c r="G383" s="17" t="n"/>
      <c r="H383" s="17" t="n"/>
    </row>
    <row r="384">
      <c r="B384" s="26" t="n"/>
      <c r="C384" s="17" t="n"/>
      <c r="D384" s="17" t="n"/>
      <c r="E384" s="17" t="n"/>
      <c r="F384" s="27" t="n"/>
      <c r="G384" s="17" t="n"/>
      <c r="H384" s="17" t="n"/>
    </row>
    <row r="385">
      <c r="B385" s="26" t="n"/>
      <c r="C385" s="17" t="n"/>
      <c r="D385" s="17" t="n"/>
      <c r="E385" s="17" t="n"/>
      <c r="F385" s="27" t="n"/>
      <c r="G385" s="17" t="n"/>
      <c r="H385" s="17" t="n"/>
    </row>
    <row r="386">
      <c r="B386" s="26" t="n"/>
      <c r="C386" s="17" t="n"/>
      <c r="D386" s="17" t="n"/>
      <c r="E386" s="17" t="n"/>
      <c r="F386" s="27" t="n"/>
      <c r="G386" s="17" t="n"/>
      <c r="H386" s="17" t="n"/>
    </row>
    <row r="387">
      <c r="B387" s="26" t="n"/>
      <c r="C387" s="17" t="n"/>
      <c r="D387" s="17" t="n"/>
      <c r="E387" s="17" t="n"/>
      <c r="F387" s="27" t="n"/>
      <c r="G387" s="17" t="n"/>
      <c r="H387" s="17" t="n"/>
    </row>
    <row r="388">
      <c r="B388" s="26" t="n"/>
      <c r="C388" s="17" t="n"/>
      <c r="D388" s="17" t="n"/>
      <c r="E388" s="17" t="n"/>
      <c r="F388" s="27" t="n"/>
      <c r="G388" s="17" t="n"/>
      <c r="H388" s="17" t="n"/>
    </row>
    <row r="389">
      <c r="B389" s="26" t="n"/>
      <c r="C389" s="17" t="n"/>
      <c r="D389" s="17" t="n"/>
      <c r="E389" s="17" t="n"/>
      <c r="F389" s="27" t="n"/>
      <c r="G389" s="17" t="n"/>
      <c r="H389" s="17" t="n"/>
    </row>
    <row r="390">
      <c r="B390" s="26" t="n"/>
      <c r="C390" s="17" t="n"/>
      <c r="D390" s="17" t="n"/>
      <c r="E390" s="17" t="n"/>
      <c r="F390" s="27" t="n"/>
      <c r="G390" s="17" t="n"/>
      <c r="H390" s="17" t="n"/>
    </row>
    <row r="391">
      <c r="B391" s="26" t="n"/>
      <c r="C391" s="17" t="n"/>
      <c r="D391" s="17" t="n"/>
      <c r="E391" s="17" t="n"/>
      <c r="F391" s="27" t="n"/>
      <c r="G391" s="17" t="n"/>
      <c r="H391" s="17" t="n"/>
    </row>
    <row r="392">
      <c r="B392" s="26" t="n"/>
      <c r="C392" s="17" t="n"/>
      <c r="D392" s="17" t="n"/>
      <c r="E392" s="17" t="n"/>
      <c r="F392" s="27" t="n"/>
      <c r="G392" s="17" t="n"/>
      <c r="H392" s="17" t="n"/>
    </row>
    <row r="393">
      <c r="B393" s="26" t="n"/>
      <c r="C393" s="17" t="n"/>
      <c r="D393" s="17" t="n"/>
      <c r="E393" s="17" t="n"/>
      <c r="F393" s="27" t="n"/>
      <c r="G393" s="17" t="n"/>
      <c r="H393" s="17" t="n"/>
    </row>
    <row r="394">
      <c r="B394" s="26" t="n"/>
      <c r="C394" s="17" t="n"/>
      <c r="D394" s="17" t="n"/>
      <c r="E394" s="17" t="n"/>
      <c r="F394" s="27" t="n"/>
      <c r="G394" s="17" t="n"/>
      <c r="H394" s="17" t="n"/>
    </row>
    <row r="395">
      <c r="B395" s="26" t="n"/>
      <c r="C395" s="17" t="n"/>
      <c r="D395" s="17" t="n"/>
      <c r="E395" s="17" t="n"/>
      <c r="F395" s="27" t="n"/>
      <c r="G395" s="17" t="n"/>
      <c r="H395" s="17" t="n"/>
    </row>
    <row r="396">
      <c r="B396" s="26" t="n"/>
      <c r="C396" s="17" t="n"/>
      <c r="D396" s="17" t="n"/>
      <c r="E396" s="17" t="n"/>
      <c r="F396" s="27" t="n"/>
      <c r="G396" s="17" t="n"/>
      <c r="H396" s="17" t="n"/>
    </row>
    <row r="397">
      <c r="B397" s="26" t="n"/>
      <c r="C397" s="17" t="n"/>
      <c r="D397" s="17" t="n"/>
      <c r="E397" s="17" t="n"/>
      <c r="F397" s="27" t="n"/>
      <c r="G397" s="17" t="n"/>
      <c r="H397" s="17" t="n"/>
    </row>
    <row r="398">
      <c r="B398" s="26" t="n"/>
      <c r="C398" s="17" t="n"/>
      <c r="D398" s="17" t="n"/>
      <c r="E398" s="17" t="n"/>
      <c r="F398" s="27" t="n"/>
      <c r="G398" s="17" t="n"/>
      <c r="H398" s="17" t="n"/>
    </row>
    <row r="399">
      <c r="B399" s="26" t="n"/>
      <c r="C399" s="17" t="n"/>
      <c r="D399" s="17" t="n"/>
      <c r="E399" s="17" t="n"/>
      <c r="F399" s="27" t="n"/>
      <c r="G399" s="17" t="n"/>
      <c r="H399" s="17" t="n"/>
    </row>
    <row r="400">
      <c r="B400" s="26" t="n"/>
      <c r="C400" s="17" t="n"/>
      <c r="D400" s="17" t="n"/>
      <c r="E400" s="17" t="n"/>
      <c r="F400" s="27" t="n"/>
      <c r="G400" s="17" t="n"/>
      <c r="H400" s="17" t="n"/>
    </row>
    <row r="401">
      <c r="B401" s="26" t="n"/>
      <c r="C401" s="17" t="n"/>
      <c r="D401" s="17" t="n"/>
      <c r="E401" s="17" t="n"/>
      <c r="F401" s="27" t="n"/>
      <c r="G401" s="17" t="n"/>
      <c r="H401" s="17" t="n"/>
    </row>
    <row r="402">
      <c r="B402" s="26" t="n"/>
      <c r="C402" s="17" t="n"/>
      <c r="D402" s="17" t="n"/>
      <c r="E402" s="17" t="n"/>
      <c r="F402" s="27" t="n"/>
      <c r="G402" s="17" t="n"/>
      <c r="H402" s="17" t="n"/>
    </row>
    <row r="403">
      <c r="B403" s="26" t="n"/>
      <c r="C403" s="17" t="n"/>
      <c r="D403" s="17" t="n"/>
      <c r="E403" s="17" t="n"/>
      <c r="F403" s="27" t="n"/>
      <c r="G403" s="17" t="n"/>
      <c r="H403" s="17" t="n"/>
    </row>
    <row r="404">
      <c r="B404" s="26" t="n"/>
      <c r="C404" s="17" t="n"/>
      <c r="D404" s="17" t="n"/>
      <c r="E404" s="17" t="n"/>
      <c r="F404" s="27" t="n"/>
      <c r="G404" s="17" t="n"/>
      <c r="H404" s="17" t="n"/>
    </row>
    <row r="405">
      <c r="B405" s="26" t="n"/>
      <c r="C405" s="17" t="n"/>
      <c r="D405" s="17" t="n"/>
      <c r="E405" s="17" t="n"/>
      <c r="F405" s="27" t="n"/>
      <c r="G405" s="17" t="n"/>
      <c r="H405" s="17" t="n"/>
    </row>
    <row r="406">
      <c r="B406" s="26" t="n"/>
      <c r="C406" s="17" t="n"/>
      <c r="D406" s="17" t="n"/>
      <c r="E406" s="17" t="n"/>
      <c r="F406" s="27" t="n"/>
      <c r="G406" s="17" t="n"/>
      <c r="H406" s="17" t="n"/>
    </row>
    <row r="407">
      <c r="B407" s="26" t="n"/>
      <c r="C407" s="17" t="n"/>
      <c r="D407" s="17" t="n"/>
      <c r="E407" s="17" t="n"/>
      <c r="F407" s="27" t="n"/>
      <c r="G407" s="17" t="n"/>
      <c r="H407" s="17" t="n"/>
    </row>
    <row r="408">
      <c r="B408" s="26" t="n"/>
      <c r="C408" s="17" t="n"/>
      <c r="D408" s="17" t="n"/>
      <c r="E408" s="17" t="n"/>
      <c r="F408" s="27" t="n"/>
      <c r="G408" s="17" t="n"/>
      <c r="H408" s="17" t="n"/>
    </row>
    <row r="409">
      <c r="B409" s="26" t="n"/>
      <c r="C409" s="17" t="n"/>
      <c r="D409" s="17" t="n"/>
      <c r="E409" s="17" t="n"/>
      <c r="F409" s="27" t="n"/>
      <c r="G409" s="17" t="n"/>
      <c r="H409" s="17" t="n"/>
    </row>
    <row r="410">
      <c r="B410" s="26" t="n"/>
      <c r="C410" s="17" t="n"/>
      <c r="D410" s="17" t="n"/>
      <c r="E410" s="17" t="n"/>
      <c r="F410" s="27" t="n"/>
      <c r="G410" s="17" t="n"/>
      <c r="H410" s="17" t="n"/>
    </row>
    <row r="411">
      <c r="B411" s="26" t="n"/>
      <c r="C411" s="17" t="n"/>
      <c r="D411" s="17" t="n"/>
      <c r="E411" s="17" t="n"/>
      <c r="F411" s="27" t="n"/>
      <c r="G411" s="17" t="n"/>
      <c r="H411" s="17" t="n"/>
    </row>
    <row r="412">
      <c r="B412" s="26" t="n"/>
      <c r="C412" s="17" t="n"/>
      <c r="D412" s="17" t="n"/>
      <c r="E412" s="17" t="n"/>
      <c r="F412" s="27" t="n"/>
      <c r="G412" s="17" t="n"/>
      <c r="H412" s="17" t="n"/>
    </row>
    <row r="413">
      <c r="B413" s="26" t="n"/>
      <c r="C413" s="17" t="n"/>
      <c r="D413" s="17" t="n"/>
      <c r="E413" s="17" t="n"/>
      <c r="F413" s="27" t="n"/>
      <c r="G413" s="17" t="n"/>
      <c r="H413" s="17" t="n"/>
    </row>
    <row r="414">
      <c r="B414" s="26" t="n"/>
      <c r="C414" s="17" t="n"/>
      <c r="D414" s="17" t="n"/>
      <c r="E414" s="17" t="n"/>
      <c r="F414" s="27" t="n"/>
      <c r="G414" s="17" t="n"/>
      <c r="H414" s="17" t="n"/>
    </row>
    <row r="415">
      <c r="B415" s="26" t="n"/>
      <c r="C415" s="17" t="n"/>
      <c r="D415" s="17" t="n"/>
      <c r="E415" s="17" t="n"/>
      <c r="F415" s="27" t="n"/>
      <c r="G415" s="17" t="n"/>
      <c r="H415" s="17" t="n"/>
    </row>
    <row r="416">
      <c r="B416" s="26" t="n"/>
      <c r="C416" s="17" t="n"/>
      <c r="D416" s="17" t="n"/>
      <c r="E416" s="17" t="n"/>
      <c r="F416" s="27" t="n"/>
      <c r="G416" s="17" t="n"/>
      <c r="H416" s="17" t="n"/>
    </row>
    <row r="417">
      <c r="B417" s="26" t="n"/>
      <c r="C417" s="17" t="n"/>
      <c r="D417" s="17" t="n"/>
      <c r="E417" s="17" t="n"/>
      <c r="F417" s="27" t="n"/>
      <c r="G417" s="17" t="n"/>
      <c r="H417" s="17" t="n"/>
    </row>
    <row r="418">
      <c r="B418" s="26" t="n"/>
      <c r="C418" s="17" t="n"/>
      <c r="D418" s="17" t="n"/>
      <c r="E418" s="17" t="n"/>
      <c r="F418" s="27" t="n"/>
      <c r="G418" s="17" t="n"/>
      <c r="H418" s="17" t="n"/>
    </row>
    <row r="419">
      <c r="B419" s="26" t="n"/>
      <c r="C419" s="17" t="n"/>
      <c r="D419" s="17" t="n"/>
      <c r="E419" s="17" t="n"/>
      <c r="F419" s="27" t="n"/>
      <c r="G419" s="17" t="n"/>
      <c r="H419" s="17" t="n"/>
    </row>
    <row r="420">
      <c r="B420" s="26" t="n"/>
      <c r="C420" s="17" t="n"/>
      <c r="D420" s="17" t="n"/>
      <c r="E420" s="17" t="n"/>
      <c r="F420" s="27" t="n"/>
      <c r="G420" s="17" t="n"/>
      <c r="H420" s="17" t="n"/>
    </row>
    <row r="421">
      <c r="B421" s="26" t="n"/>
      <c r="C421" s="17" t="n"/>
      <c r="D421" s="17" t="n"/>
      <c r="E421" s="17" t="n"/>
      <c r="F421" s="27" t="n"/>
      <c r="G421" s="17" t="n"/>
      <c r="H421" s="17" t="n"/>
    </row>
    <row r="422">
      <c r="B422" s="26" t="n"/>
      <c r="C422" s="17" t="n"/>
      <c r="D422" s="17" t="n"/>
      <c r="E422" s="17" t="n"/>
      <c r="F422" s="27" t="n"/>
      <c r="G422" s="17" t="n"/>
      <c r="H422" s="17" t="n"/>
    </row>
    <row r="423">
      <c r="B423" s="26" t="n"/>
      <c r="C423" s="17" t="n"/>
      <c r="D423" s="17" t="n"/>
      <c r="E423" s="17" t="n"/>
      <c r="F423" s="27" t="n"/>
      <c r="G423" s="17" t="n"/>
      <c r="H423" s="17" t="n"/>
    </row>
    <row r="424">
      <c r="B424" s="26" t="n"/>
      <c r="C424" s="17" t="n"/>
      <c r="D424" s="17" t="n"/>
      <c r="E424" s="17" t="n"/>
      <c r="F424" s="27" t="n"/>
      <c r="G424" s="17" t="n"/>
      <c r="H424" s="17" t="n"/>
    </row>
    <row r="425">
      <c r="B425" s="26" t="n"/>
      <c r="C425" s="17" t="n"/>
      <c r="D425" s="17" t="n"/>
      <c r="E425" s="17" t="n"/>
      <c r="F425" s="27" t="n"/>
      <c r="G425" s="17" t="n"/>
      <c r="H425" s="17" t="n"/>
    </row>
    <row r="426">
      <c r="B426" s="26" t="n"/>
      <c r="C426" s="17" t="n"/>
      <c r="D426" s="17" t="n"/>
      <c r="E426" s="17" t="n"/>
      <c r="F426" s="27" t="n"/>
      <c r="G426" s="17" t="n"/>
      <c r="H426" s="17" t="n"/>
    </row>
    <row r="427">
      <c r="B427" s="26" t="n"/>
      <c r="C427" s="17" t="n"/>
      <c r="D427" s="17" t="n"/>
      <c r="E427" s="17" t="n"/>
      <c r="F427" s="27" t="n"/>
      <c r="G427" s="17" t="n"/>
      <c r="H427" s="17" t="n"/>
    </row>
    <row r="428">
      <c r="B428" s="26" t="n"/>
      <c r="C428" s="17" t="n"/>
      <c r="D428" s="17" t="n"/>
      <c r="E428" s="17" t="n"/>
      <c r="F428" s="27" t="n"/>
      <c r="G428" s="17" t="n"/>
      <c r="H428" s="17" t="n"/>
    </row>
    <row r="429">
      <c r="B429" s="26" t="n"/>
      <c r="C429" s="17" t="n"/>
      <c r="D429" s="17" t="n"/>
      <c r="E429" s="17" t="n"/>
      <c r="F429" s="27" t="n"/>
      <c r="G429" s="17" t="n"/>
      <c r="H429" s="17" t="n"/>
    </row>
    <row r="430">
      <c r="B430" s="26" t="n"/>
      <c r="C430" s="17" t="n"/>
      <c r="D430" s="17" t="n"/>
      <c r="E430" s="17" t="n"/>
      <c r="F430" s="27" t="n"/>
      <c r="G430" s="17" t="n"/>
      <c r="H430" s="17" t="n"/>
    </row>
    <row r="431">
      <c r="B431" s="26" t="n"/>
      <c r="C431" s="17" t="n"/>
      <c r="D431" s="17" t="n"/>
      <c r="E431" s="17" t="n"/>
      <c r="F431" s="27" t="n"/>
      <c r="G431" s="17" t="n"/>
      <c r="H431" s="17" t="n"/>
    </row>
    <row r="432">
      <c r="B432" s="26" t="n"/>
      <c r="C432" s="17" t="n"/>
      <c r="D432" s="17" t="n"/>
      <c r="E432" s="17" t="n"/>
      <c r="F432" s="27" t="n"/>
      <c r="G432" s="17" t="n"/>
      <c r="H432" s="17" t="n"/>
    </row>
    <row r="433">
      <c r="B433" s="26" t="n"/>
      <c r="C433" s="17" t="n"/>
      <c r="D433" s="17" t="n"/>
      <c r="E433" s="17" t="n"/>
      <c r="F433" s="27" t="n"/>
      <c r="G433" s="17" t="n"/>
      <c r="H433" s="17" t="n"/>
    </row>
    <row r="434">
      <c r="B434" s="26" t="n"/>
      <c r="C434" s="17" t="n"/>
      <c r="D434" s="17" t="n"/>
      <c r="E434" s="17" t="n"/>
      <c r="F434" s="27" t="n"/>
      <c r="G434" s="17" t="n"/>
      <c r="H434" s="17" t="n"/>
    </row>
    <row r="435">
      <c r="B435" s="26" t="n"/>
      <c r="C435" s="17" t="n"/>
      <c r="D435" s="17" t="n"/>
      <c r="E435" s="17" t="n"/>
      <c r="F435" s="27" t="n"/>
      <c r="G435" s="17" t="n"/>
      <c r="H435" s="17" t="n"/>
    </row>
    <row r="436">
      <c r="B436" s="26" t="n"/>
      <c r="C436" s="17" t="n"/>
      <c r="D436" s="17" t="n"/>
      <c r="E436" s="17" t="n"/>
      <c r="F436" s="27" t="n"/>
      <c r="G436" s="17" t="n"/>
      <c r="H436" s="17" t="n"/>
    </row>
    <row r="437">
      <c r="B437" s="26" t="n"/>
      <c r="C437" s="17" t="n"/>
      <c r="D437" s="17" t="n"/>
      <c r="E437" s="17" t="n"/>
      <c r="F437" s="27" t="n"/>
      <c r="G437" s="17" t="n"/>
      <c r="H437" s="17" t="n"/>
    </row>
    <row r="438">
      <c r="B438" s="26" t="n"/>
      <c r="C438" s="17" t="n"/>
      <c r="D438" s="17" t="n"/>
      <c r="E438" s="17" t="n"/>
      <c r="F438" s="27" t="n"/>
      <c r="G438" s="17" t="n"/>
      <c r="H438" s="17" t="n"/>
    </row>
    <row r="439">
      <c r="B439" s="26" t="n"/>
      <c r="C439" s="17" t="n"/>
      <c r="D439" s="17" t="n"/>
      <c r="E439" s="17" t="n"/>
      <c r="F439" s="27" t="n"/>
      <c r="G439" s="17" t="n"/>
      <c r="H439" s="17" t="n"/>
    </row>
    <row r="440">
      <c r="B440" s="26" t="n"/>
      <c r="C440" s="17" t="n"/>
      <c r="D440" s="17" t="n"/>
      <c r="E440" s="17" t="n"/>
      <c r="F440" s="27" t="n"/>
      <c r="G440" s="17" t="n"/>
      <c r="H440" s="17" t="n"/>
    </row>
    <row r="441">
      <c r="B441" s="26" t="n"/>
      <c r="C441" s="17" t="n"/>
      <c r="D441" s="17" t="n"/>
      <c r="E441" s="17" t="n"/>
      <c r="F441" s="27" t="n"/>
      <c r="G441" s="17" t="n"/>
      <c r="H441" s="17" t="n"/>
    </row>
    <row r="442">
      <c r="B442" s="26" t="n"/>
      <c r="C442" s="17" t="n"/>
      <c r="D442" s="17" t="n"/>
      <c r="E442" s="17" t="n"/>
      <c r="F442" s="27" t="n"/>
      <c r="G442" s="17" t="n"/>
      <c r="H442" s="17" t="n"/>
    </row>
    <row r="443">
      <c r="B443" s="26" t="n"/>
      <c r="C443" s="17" t="n"/>
      <c r="D443" s="17" t="n"/>
      <c r="E443" s="17" t="n"/>
      <c r="F443" s="27" t="n"/>
      <c r="G443" s="17" t="n"/>
      <c r="H443" s="17" t="n"/>
    </row>
    <row r="444">
      <c r="B444" s="26" t="n"/>
      <c r="C444" s="17" t="n"/>
      <c r="D444" s="17" t="n"/>
      <c r="E444" s="17" t="n"/>
      <c r="F444" s="27" t="n"/>
      <c r="G444" s="17" t="n"/>
      <c r="H444" s="17" t="n"/>
    </row>
    <row r="445">
      <c r="B445" s="26" t="n"/>
      <c r="C445" s="17" t="n"/>
      <c r="D445" s="17" t="n"/>
      <c r="E445" s="17" t="n"/>
      <c r="F445" s="27" t="n"/>
      <c r="G445" s="17" t="n"/>
      <c r="H445" s="17" t="n"/>
    </row>
    <row r="446">
      <c r="B446" s="26" t="n"/>
      <c r="C446" s="17" t="n"/>
      <c r="D446" s="17" t="n"/>
      <c r="E446" s="17" t="n"/>
      <c r="F446" s="27" t="n"/>
      <c r="G446" s="17" t="n"/>
      <c r="H446" s="17" t="n"/>
    </row>
    <row r="447">
      <c r="B447" s="26" t="n"/>
      <c r="C447" s="17" t="n"/>
      <c r="D447" s="17" t="n"/>
      <c r="E447" s="17" t="n"/>
      <c r="F447" s="27" t="n"/>
      <c r="G447" s="17" t="n"/>
      <c r="H447" s="17" t="n"/>
    </row>
    <row r="448">
      <c r="B448" s="26" t="n"/>
      <c r="C448" s="17" t="n"/>
      <c r="D448" s="17" t="n"/>
      <c r="E448" s="17" t="n"/>
      <c r="F448" s="27" t="n"/>
      <c r="G448" s="17" t="n"/>
      <c r="H448" s="17" t="n"/>
    </row>
    <row r="449">
      <c r="B449" s="26" t="n"/>
      <c r="C449" s="17" t="n"/>
      <c r="D449" s="17" t="n"/>
      <c r="E449" s="17" t="n"/>
      <c r="F449" s="27" t="n"/>
      <c r="G449" s="17" t="n"/>
      <c r="H449" s="17" t="n"/>
    </row>
    <row r="450">
      <c r="B450" s="26" t="n"/>
      <c r="C450" s="17" t="n"/>
      <c r="D450" s="17" t="n"/>
      <c r="E450" s="17" t="n"/>
      <c r="F450" s="27" t="n"/>
      <c r="G450" s="17" t="n"/>
      <c r="H450" s="17" t="n"/>
    </row>
    <row r="451">
      <c r="B451" s="26" t="n"/>
      <c r="C451" s="17" t="n"/>
      <c r="D451" s="17" t="n"/>
      <c r="E451" s="17" t="n"/>
      <c r="F451" s="27" t="n"/>
      <c r="G451" s="17" t="n"/>
      <c r="H451" s="17" t="n"/>
    </row>
    <row r="452">
      <c r="B452" s="26" t="n"/>
      <c r="C452" s="17" t="n"/>
      <c r="D452" s="17" t="n"/>
      <c r="E452" s="17" t="n"/>
      <c r="F452" s="27" t="n"/>
      <c r="G452" s="17" t="n"/>
      <c r="H452" s="17" t="n"/>
    </row>
    <row r="453">
      <c r="B453" s="26" t="n"/>
      <c r="C453" s="17" t="n"/>
      <c r="D453" s="17" t="n"/>
      <c r="E453" s="17" t="n"/>
      <c r="F453" s="27" t="n"/>
      <c r="G453" s="17" t="n"/>
      <c r="H453" s="17" t="n"/>
    </row>
    <row r="454">
      <c r="B454" s="26" t="n"/>
      <c r="C454" s="17" t="n"/>
      <c r="D454" s="17" t="n"/>
      <c r="E454" s="17" t="n"/>
      <c r="F454" s="27" t="n"/>
      <c r="G454" s="17" t="n"/>
      <c r="H454" s="17" t="n"/>
    </row>
    <row r="455">
      <c r="B455" s="26" t="n"/>
      <c r="C455" s="17" t="n"/>
      <c r="D455" s="17" t="n"/>
      <c r="E455" s="17" t="n"/>
      <c r="F455" s="27" t="n"/>
      <c r="G455" s="17" t="n"/>
      <c r="H455" s="17" t="n"/>
    </row>
    <row r="456">
      <c r="B456" s="26" t="n"/>
      <c r="C456" s="17" t="n"/>
      <c r="D456" s="17" t="n"/>
      <c r="E456" s="17" t="n"/>
      <c r="F456" s="27" t="n"/>
      <c r="G456" s="17" t="n"/>
      <c r="H456" s="17" t="n"/>
    </row>
    <row r="457">
      <c r="B457" s="26" t="n"/>
      <c r="C457" s="17" t="n"/>
      <c r="D457" s="17" t="n"/>
      <c r="E457" s="17" t="n"/>
      <c r="F457" s="27" t="n"/>
      <c r="G457" s="17" t="n"/>
      <c r="H457" s="17" t="n"/>
    </row>
    <row r="458">
      <c r="B458" s="26" t="n"/>
      <c r="C458" s="17" t="n"/>
      <c r="D458" s="17" t="n"/>
      <c r="E458" s="17" t="n"/>
      <c r="F458" s="27" t="n"/>
      <c r="G458" s="17" t="n"/>
      <c r="H458" s="17" t="n"/>
    </row>
    <row r="459">
      <c r="B459" s="26" t="n"/>
      <c r="C459" s="17" t="n"/>
      <c r="D459" s="17" t="n"/>
      <c r="E459" s="17" t="n"/>
      <c r="F459" s="27" t="n"/>
      <c r="G459" s="17" t="n"/>
      <c r="H459" s="17" t="n"/>
    </row>
    <row r="460">
      <c r="B460" s="26" t="n"/>
      <c r="C460" s="17" t="n"/>
      <c r="D460" s="17" t="n"/>
      <c r="E460" s="17" t="n"/>
      <c r="F460" s="27" t="n"/>
      <c r="G460" s="17" t="n"/>
      <c r="H460" s="17" t="n"/>
    </row>
    <row r="461">
      <c r="B461" s="26" t="n"/>
      <c r="C461" s="17" t="n"/>
      <c r="D461" s="17" t="n"/>
      <c r="E461" s="17" t="n"/>
      <c r="F461" s="27" t="n"/>
      <c r="G461" s="17" t="n"/>
      <c r="H461" s="17" t="n"/>
    </row>
    <row r="462">
      <c r="B462" s="26" t="n"/>
      <c r="C462" s="17" t="n"/>
      <c r="D462" s="17" t="n"/>
      <c r="E462" s="17" t="n"/>
      <c r="F462" s="27" t="n"/>
      <c r="G462" s="17" t="n"/>
      <c r="H462" s="17" t="n"/>
    </row>
    <row r="463">
      <c r="B463" s="26" t="n"/>
      <c r="C463" s="17" t="n"/>
      <c r="D463" s="17" t="n"/>
      <c r="E463" s="17" t="n"/>
      <c r="F463" s="27" t="n"/>
      <c r="G463" s="17" t="n"/>
      <c r="H463" s="17" t="n"/>
    </row>
    <row r="464">
      <c r="B464" s="26" t="n"/>
      <c r="C464" s="17" t="n"/>
      <c r="D464" s="17" t="n"/>
      <c r="E464" s="17" t="n"/>
      <c r="F464" s="27" t="n"/>
      <c r="G464" s="17" t="n"/>
      <c r="H464" s="17" t="n"/>
    </row>
    <row r="465">
      <c r="B465" s="26" t="n"/>
      <c r="C465" s="17" t="n"/>
      <c r="D465" s="17" t="n"/>
      <c r="E465" s="17" t="n"/>
      <c r="F465" s="27" t="n"/>
      <c r="G465" s="17" t="n"/>
      <c r="H465" s="17" t="n"/>
    </row>
    <row r="466">
      <c r="B466" s="26" t="n"/>
      <c r="C466" s="17" t="n"/>
      <c r="D466" s="17" t="n"/>
      <c r="E466" s="17" t="n"/>
      <c r="F466" s="27" t="n"/>
      <c r="G466" s="17" t="n"/>
      <c r="H466" s="17" t="n"/>
    </row>
    <row r="467">
      <c r="B467" s="26" t="n"/>
      <c r="C467" s="17" t="n"/>
      <c r="D467" s="17" t="n"/>
      <c r="E467" s="17" t="n"/>
      <c r="F467" s="27" t="n"/>
      <c r="G467" s="17" t="n"/>
      <c r="H467" s="17" t="n"/>
    </row>
    <row r="468">
      <c r="B468" s="26" t="n"/>
      <c r="C468" s="17" t="n"/>
      <c r="D468" s="17" t="n"/>
      <c r="E468" s="17" t="n"/>
      <c r="F468" s="27" t="n"/>
      <c r="G468" s="17" t="n"/>
      <c r="H468" s="17" t="n"/>
    </row>
    <row r="469">
      <c r="B469" s="26" t="n"/>
      <c r="C469" s="17" t="n"/>
      <c r="D469" s="17" t="n"/>
      <c r="E469" s="17" t="n"/>
      <c r="F469" s="27" t="n"/>
      <c r="G469" s="17" t="n"/>
      <c r="H469" s="17" t="n"/>
    </row>
    <row r="470">
      <c r="B470" s="26" t="n"/>
      <c r="C470" s="17" t="n"/>
      <c r="D470" s="17" t="n"/>
      <c r="E470" s="17" t="n"/>
      <c r="F470" s="27" t="n"/>
      <c r="G470" s="17" t="n"/>
      <c r="H470" s="17" t="n"/>
    </row>
    <row r="471">
      <c r="B471" s="26" t="n"/>
      <c r="C471" s="17" t="n"/>
      <c r="D471" s="17" t="n"/>
      <c r="E471" s="17" t="n"/>
      <c r="F471" s="27" t="n"/>
      <c r="G471" s="17" t="n"/>
      <c r="H471" s="17" t="n"/>
    </row>
    <row r="472">
      <c r="B472" s="26" t="n"/>
      <c r="C472" s="17" t="n"/>
      <c r="D472" s="17" t="n"/>
      <c r="E472" s="17" t="n"/>
      <c r="F472" s="27" t="n"/>
      <c r="G472" s="17" t="n"/>
      <c r="H472" s="17" t="n"/>
    </row>
    <row r="473">
      <c r="B473" s="26" t="n"/>
      <c r="C473" s="17" t="n"/>
      <c r="D473" s="17" t="n"/>
      <c r="E473" s="17" t="n"/>
      <c r="F473" s="27" t="n"/>
      <c r="G473" s="17" t="n"/>
      <c r="H473" s="17" t="n"/>
    </row>
    <row r="474">
      <c r="B474" s="26" t="n"/>
      <c r="C474" s="17" t="n"/>
      <c r="D474" s="17" t="n"/>
      <c r="E474" s="17" t="n"/>
      <c r="F474" s="27" t="n"/>
      <c r="G474" s="17" t="n"/>
      <c r="H474" s="17" t="n"/>
    </row>
    <row r="475">
      <c r="B475" s="26" t="n"/>
      <c r="C475" s="17" t="n"/>
      <c r="D475" s="17" t="n"/>
      <c r="E475" s="17" t="n"/>
      <c r="F475" s="27" t="n"/>
      <c r="G475" s="17" t="n"/>
      <c r="H475" s="17" t="n"/>
    </row>
    <row r="476">
      <c r="B476" s="26" t="n"/>
      <c r="C476" s="17" t="n"/>
      <c r="D476" s="17" t="n"/>
      <c r="E476" s="17" t="n"/>
      <c r="F476" s="27" t="n"/>
      <c r="G476" s="17" t="n"/>
      <c r="H476" s="17" t="n"/>
    </row>
    <row r="477">
      <c r="B477" s="26" t="n"/>
      <c r="C477" s="17" t="n"/>
      <c r="D477" s="17" t="n"/>
      <c r="E477" s="17" t="n"/>
      <c r="F477" s="27" t="n"/>
      <c r="G477" s="17" t="n"/>
      <c r="H477" s="17" t="n"/>
    </row>
    <row r="478">
      <c r="B478" s="26" t="n"/>
      <c r="C478" s="17" t="n"/>
      <c r="D478" s="17" t="n"/>
      <c r="E478" s="17" t="n"/>
      <c r="F478" s="27" t="n"/>
      <c r="G478" s="17" t="n"/>
      <c r="H478" s="17" t="n"/>
    </row>
    <row r="479">
      <c r="B479" s="26" t="n"/>
      <c r="C479" s="17" t="n"/>
      <c r="D479" s="17" t="n"/>
      <c r="E479" s="17" t="n"/>
      <c r="F479" s="27" t="n"/>
      <c r="G479" s="17" t="n"/>
      <c r="H479" s="17" t="n"/>
    </row>
    <row r="480">
      <c r="B480" s="26" t="n"/>
      <c r="C480" s="17" t="n"/>
      <c r="D480" s="17" t="n"/>
      <c r="E480" s="17" t="n"/>
      <c r="F480" s="27" t="n"/>
      <c r="G480" s="17" t="n"/>
      <c r="H480" s="17" t="n"/>
    </row>
    <row r="481">
      <c r="B481" s="26" t="n"/>
      <c r="C481" s="17" t="n"/>
      <c r="D481" s="17" t="n"/>
      <c r="E481" s="17" t="n"/>
      <c r="F481" s="27" t="n"/>
      <c r="G481" s="17" t="n"/>
      <c r="H481" s="17" t="n"/>
    </row>
    <row r="482">
      <c r="B482" s="26" t="n"/>
      <c r="C482" s="17" t="n"/>
      <c r="D482" s="17" t="n"/>
      <c r="E482" s="17" t="n"/>
      <c r="F482" s="27" t="n"/>
      <c r="G482" s="17" t="n"/>
      <c r="H482" s="17" t="n"/>
    </row>
    <row r="483">
      <c r="B483" s="26" t="n"/>
      <c r="C483" s="17" t="n"/>
      <c r="D483" s="17" t="n"/>
      <c r="E483" s="17" t="n"/>
      <c r="F483" s="27" t="n"/>
      <c r="G483" s="17" t="n"/>
      <c r="H483" s="17" t="n"/>
    </row>
    <row r="484">
      <c r="B484" s="26" t="n"/>
      <c r="C484" s="17" t="n"/>
      <c r="D484" s="17" t="n"/>
      <c r="E484" s="17" t="n"/>
      <c r="F484" s="27" t="n"/>
      <c r="G484" s="17" t="n"/>
      <c r="H484" s="17" t="n"/>
    </row>
    <row r="485">
      <c r="B485" s="26" t="n"/>
      <c r="C485" s="17" t="n"/>
      <c r="D485" s="17" t="n"/>
      <c r="E485" s="17" t="n"/>
      <c r="F485" s="27" t="n"/>
      <c r="G485" s="17" t="n"/>
      <c r="H485" s="17" t="n"/>
    </row>
    <row r="486">
      <c r="B486" s="26" t="n"/>
      <c r="C486" s="17" t="n"/>
      <c r="D486" s="17" t="n"/>
      <c r="E486" s="17" t="n"/>
      <c r="F486" s="27" t="n"/>
      <c r="G486" s="17" t="n"/>
      <c r="H486" s="17" t="n"/>
    </row>
    <row r="487">
      <c r="B487" s="26" t="n"/>
      <c r="C487" s="17" t="n"/>
      <c r="D487" s="17" t="n"/>
      <c r="E487" s="17" t="n"/>
      <c r="F487" s="27" t="n"/>
      <c r="G487" s="17" t="n"/>
      <c r="H487" s="17" t="n"/>
    </row>
    <row r="488">
      <c r="B488" s="26" t="n"/>
      <c r="C488" s="17" t="n"/>
      <c r="D488" s="17" t="n"/>
      <c r="E488" s="17" t="n"/>
      <c r="F488" s="27" t="n"/>
      <c r="G488" s="17" t="n"/>
      <c r="H488" s="17" t="n"/>
    </row>
    <row r="489">
      <c r="B489" s="26" t="n"/>
      <c r="C489" s="17" t="n"/>
      <c r="D489" s="17" t="n"/>
      <c r="E489" s="17" t="n"/>
      <c r="F489" s="27" t="n"/>
      <c r="G489" s="17" t="n"/>
      <c r="H489" s="17" t="n"/>
    </row>
    <row r="490">
      <c r="B490" s="26" t="n"/>
      <c r="C490" s="17" t="n"/>
      <c r="D490" s="17" t="n"/>
      <c r="E490" s="17" t="n"/>
      <c r="F490" s="27" t="n"/>
      <c r="G490" s="17" t="n"/>
      <c r="H490" s="17" t="n"/>
    </row>
    <row r="491">
      <c r="B491" s="26" t="n"/>
      <c r="C491" s="17" t="n"/>
      <c r="D491" s="17" t="n"/>
      <c r="E491" s="17" t="n"/>
      <c r="F491" s="27" t="n"/>
      <c r="G491" s="17" t="n"/>
      <c r="H491" s="17" t="n"/>
    </row>
    <row r="492">
      <c r="B492" s="26" t="n"/>
      <c r="C492" s="17" t="n"/>
      <c r="D492" s="17" t="n"/>
      <c r="E492" s="17" t="n"/>
      <c r="F492" s="27" t="n"/>
      <c r="G492" s="17" t="n"/>
      <c r="H492" s="17" t="n"/>
    </row>
    <row r="493">
      <c r="B493" s="26" t="n"/>
      <c r="C493" s="17" t="n"/>
      <c r="D493" s="17" t="n"/>
      <c r="E493" s="17" t="n"/>
      <c r="F493" s="27" t="n"/>
      <c r="G493" s="17" t="n"/>
      <c r="H493" s="17" t="n"/>
    </row>
    <row r="494">
      <c r="B494" s="26" t="n"/>
      <c r="C494" s="17" t="n"/>
      <c r="D494" s="17" t="n"/>
      <c r="E494" s="17" t="n"/>
      <c r="F494" s="27" t="n"/>
      <c r="G494" s="17" t="n"/>
      <c r="H494" s="17" t="n"/>
    </row>
    <row r="495">
      <c r="B495" s="26" t="n"/>
      <c r="C495" s="17" t="n"/>
      <c r="D495" s="17" t="n"/>
      <c r="E495" s="17" t="n"/>
      <c r="F495" s="27" t="n"/>
      <c r="G495" s="17" t="n"/>
      <c r="H495" s="17" t="n"/>
    </row>
    <row r="496">
      <c r="B496" s="26" t="n"/>
      <c r="C496" s="17" t="n"/>
      <c r="D496" s="17" t="n"/>
      <c r="E496" s="17" t="n"/>
      <c r="F496" s="27" t="n"/>
      <c r="G496" s="17" t="n"/>
      <c r="H496" s="17" t="n"/>
    </row>
    <row r="497">
      <c r="B497" s="26" t="n"/>
      <c r="C497" s="17" t="n"/>
      <c r="D497" s="17" t="n"/>
      <c r="E497" s="17" t="n"/>
      <c r="F497" s="27" t="n"/>
      <c r="G497" s="17" t="n"/>
      <c r="H497" s="17" t="n"/>
    </row>
    <row r="498">
      <c r="B498" s="26" t="n"/>
      <c r="C498" s="17" t="n"/>
      <c r="D498" s="17" t="n"/>
      <c r="E498" s="17" t="n"/>
      <c r="F498" s="27" t="n"/>
      <c r="G498" s="17" t="n"/>
      <c r="H498" s="17" t="n"/>
    </row>
    <row r="499">
      <c r="B499" s="26" t="n"/>
      <c r="C499" s="17" t="n"/>
      <c r="D499" s="17" t="n"/>
      <c r="E499" s="17" t="n"/>
      <c r="F499" s="27" t="n"/>
      <c r="G499" s="17" t="n"/>
      <c r="H499" s="17" t="n"/>
    </row>
    <row r="500">
      <c r="B500" s="26" t="n"/>
      <c r="C500" s="17" t="n"/>
      <c r="D500" s="17" t="n"/>
      <c r="E500" s="17" t="n"/>
      <c r="F500" s="27" t="n"/>
      <c r="G500" s="17" t="n"/>
      <c r="H500" s="17" t="n"/>
    </row>
    <row r="501">
      <c r="B501" s="26" t="n"/>
      <c r="C501" s="17" t="n"/>
      <c r="D501" s="17" t="n"/>
      <c r="E501" s="17" t="n"/>
      <c r="F501" s="27" t="n"/>
      <c r="G501" s="17" t="n"/>
      <c r="H501" s="17" t="n"/>
    </row>
    <row r="502">
      <c r="B502" s="26" t="n"/>
      <c r="C502" s="17" t="n"/>
      <c r="D502" s="17" t="n"/>
      <c r="E502" s="17" t="n"/>
      <c r="F502" s="27" t="n"/>
      <c r="G502" s="17" t="n"/>
      <c r="H502" s="17" t="n"/>
    </row>
    <row r="503">
      <c r="B503" s="26" t="n"/>
      <c r="C503" s="17" t="n"/>
      <c r="D503" s="17" t="n"/>
      <c r="E503" s="17" t="n"/>
      <c r="F503" s="27" t="n"/>
      <c r="G503" s="17" t="n"/>
      <c r="H503" s="17" t="n"/>
    </row>
    <row r="504">
      <c r="B504" s="26" t="n"/>
      <c r="C504" s="17" t="n"/>
      <c r="D504" s="17" t="n"/>
      <c r="E504" s="17" t="n"/>
      <c r="F504" s="27" t="n"/>
      <c r="G504" s="17" t="n"/>
      <c r="H504" s="17" t="n"/>
    </row>
    <row r="505">
      <c r="B505" s="26" t="n"/>
      <c r="C505" s="17" t="n"/>
      <c r="D505" s="17" t="n"/>
      <c r="E505" s="17" t="n"/>
      <c r="F505" s="27" t="n"/>
      <c r="G505" s="17" t="n"/>
      <c r="H505" s="17" t="n"/>
    </row>
    <row r="506">
      <c r="B506" s="26" t="n"/>
      <c r="C506" s="17" t="n"/>
      <c r="D506" s="17" t="n"/>
      <c r="E506" s="17" t="n"/>
      <c r="F506" s="27" t="n"/>
      <c r="G506" s="17" t="n"/>
      <c r="H506" s="17" t="n"/>
    </row>
  </sheetData>
  <mergeCells count="1">
    <mergeCell ref="E5:F5"/>
  </mergeCells>
  <dataValidations count="2">
    <dataValidation sqref="C7:C506" showDropDown="0" showInputMessage="1" showErrorMessage="0" allowBlank="1" promptTitle="Pick from list" prompt="Add clients on the Setup tab." type="list">
      <formula1>=Setup!$B$14:$B$43</formula1>
    </dataValidation>
    <dataValidation sqref="G7:G506" showDropDown="0" showInputMessage="0" showErrorMessage="0" allowBlank="1" type="list">
      <formula1>"Bank transfer,Card,Payment app,Check,Cash,Other"</formula1>
    </dataValidation>
  </dataValidations>
  <printOptions horizontalCentered="1"/>
  <pageMargins left="0.4" right="0.4" top="0.5" bottom="0.5" header="0.5" footer="0.5"/>
  <pageSetup orientation="landscape" fitToHeight="0" fitToWidth="1"/>
</worksheet>
</file>

<file path=xl/worksheets/sheet5.xml><?xml version="1.0" encoding="utf-8"?>
<worksheet xmlns="http://schemas.openxmlformats.org/spreadsheetml/2006/main">
  <sheetPr>
    <tabColor rgb="00DAE8E5"/>
    <outlinePr summaryBelow="1" summaryRight="1"/>
    <pageSetUpPr fitToPage="1"/>
  </sheetPr>
  <dimension ref="B2:I506"/>
  <sheetViews>
    <sheetView showGridLines="0" workbookViewId="0">
      <pane ySplit="6" topLeftCell="A7" activePane="bottomLeft" state="frozen"/>
      <selection pane="bottomLeft" activeCell="A1" sqref="A1"/>
    </sheetView>
  </sheetViews>
  <sheetFormatPr baseColWidth="8" defaultRowHeight="15"/>
  <cols>
    <col width="2" customWidth="1" min="1" max="1"/>
    <col width="14" customWidth="1" min="2" max="2"/>
    <col width="22" customWidth="1" min="3" max="3"/>
    <col width="24" customWidth="1" min="4" max="4"/>
    <col width="30" customWidth="1" min="5" max="5"/>
    <col width="12" customWidth="1" min="6" max="6"/>
    <col width="12" customWidth="1" min="7" max="7"/>
    <col width="14" customWidth="1" min="8" max="8"/>
    <col width="12" customWidth="1" min="9" max="9"/>
  </cols>
  <sheetData>
    <row r="1" ht="10" customHeight="1"/>
    <row r="2" ht="32" customHeight="1">
      <c r="B2" s="9" t="inlineStr">
        <is>
          <t>Expenses</t>
        </is>
      </c>
    </row>
    <row r="3">
      <c r="B3" s="10" t="inlineStr">
        <is>
          <t>Every business cost. Pick a category and the deductible part fills in.</t>
        </is>
      </c>
    </row>
    <row r="4" ht="8" customHeight="1">
      <c r="B4" s="11" t="n"/>
      <c r="C4" s="11" t="n"/>
      <c r="D4" s="11" t="n"/>
      <c r="E4" s="11" t="n"/>
      <c r="F4" s="11" t="n"/>
      <c r="G4" s="11" t="n"/>
      <c r="H4" s="11" t="n"/>
      <c r="I4" s="11" t="n"/>
    </row>
    <row r="5">
      <c r="B5" s="24">
        <f>"Deductible total in "&amp;Setup!$C$6&amp;":"</f>
        <v/>
      </c>
      <c r="E5" s="25">
        <f>SUMIFS(H7:H506,B7:B506,"&gt;="&amp;DATE(Setup!$C$6,1,1),B7:B506,"&lt;"&amp;DATE(Setup!$C$6+1,1,1))</f>
        <v/>
      </c>
    </row>
    <row r="6" ht="30" customHeight="1">
      <c r="B6" s="23" t="inlineStr">
        <is>
          <t>Date</t>
        </is>
      </c>
      <c r="C6" s="23" t="inlineStr">
        <is>
          <t>Paid to</t>
        </is>
      </c>
      <c r="D6" s="23" t="inlineStr">
        <is>
          <t>Category</t>
        </is>
      </c>
      <c r="E6" s="23" t="inlineStr">
        <is>
          <t>What it was</t>
        </is>
      </c>
      <c r="F6" s="23" t="inlineStr">
        <is>
          <t>Amount</t>
        </is>
      </c>
      <c r="G6" s="23" t="inlineStr">
        <is>
          <t>Deductible %</t>
        </is>
      </c>
      <c r="H6" s="23" t="inlineStr">
        <is>
          <t>Deductible amount</t>
        </is>
      </c>
      <c r="I6" s="23" t="inlineStr">
        <is>
          <t>Receipt saved?</t>
        </is>
      </c>
    </row>
    <row r="7">
      <c r="B7" s="26" t="n"/>
      <c r="C7" s="17" t="n"/>
      <c r="D7" s="17" t="n"/>
      <c r="E7" s="17" t="n"/>
      <c r="F7" s="27" t="n"/>
      <c r="G7" s="28">
        <f>IF(D7="","",IFERROR(N(INDEX(Setup!$F$14:$F$33,MATCH(D7,Setup!$E$14:$E$33,0))),0))</f>
        <v/>
      </c>
      <c r="H7" s="29">
        <f>IF(OR(F7="",G7=""),"",F7*G7)</f>
        <v/>
      </c>
      <c r="I7" s="30" t="n"/>
    </row>
    <row r="8">
      <c r="B8" s="26" t="n"/>
      <c r="C8" s="17" t="n"/>
      <c r="D8" s="17" t="n"/>
      <c r="E8" s="17" t="n"/>
      <c r="F8" s="27" t="n"/>
      <c r="G8" s="28">
        <f>IF(D8="","",IFERROR(N(INDEX(Setup!$F$14:$F$33,MATCH(D8,Setup!$E$14:$E$33,0))),0))</f>
        <v/>
      </c>
      <c r="H8" s="29">
        <f>IF(OR(F8="",G8=""),"",F8*G8)</f>
        <v/>
      </c>
      <c r="I8" s="30" t="n"/>
    </row>
    <row r="9">
      <c r="B9" s="26" t="n"/>
      <c r="C9" s="17" t="n"/>
      <c r="D9" s="17" t="n"/>
      <c r="E9" s="17" t="n"/>
      <c r="F9" s="27" t="n"/>
      <c r="G9" s="28">
        <f>IF(D9="","",IFERROR(N(INDEX(Setup!$F$14:$F$33,MATCH(D9,Setup!$E$14:$E$33,0))),0))</f>
        <v/>
      </c>
      <c r="H9" s="29">
        <f>IF(OR(F9="",G9=""),"",F9*G9)</f>
        <v/>
      </c>
      <c r="I9" s="30" t="n"/>
    </row>
    <row r="10">
      <c r="B10" s="26" t="n"/>
      <c r="C10" s="17" t="n"/>
      <c r="D10" s="17" t="n"/>
      <c r="E10" s="17" t="n"/>
      <c r="F10" s="27" t="n"/>
      <c r="G10" s="28">
        <f>IF(D10="","",IFERROR(N(INDEX(Setup!$F$14:$F$33,MATCH(D10,Setup!$E$14:$E$33,0))),0))</f>
        <v/>
      </c>
      <c r="H10" s="29">
        <f>IF(OR(F10="",G10=""),"",F10*G10)</f>
        <v/>
      </c>
      <c r="I10" s="30" t="n"/>
    </row>
    <row r="11">
      <c r="B11" s="26" t="n"/>
      <c r="C11" s="17" t="n"/>
      <c r="D11" s="17" t="n"/>
      <c r="E11" s="17" t="n"/>
      <c r="F11" s="27" t="n"/>
      <c r="G11" s="28">
        <f>IF(D11="","",IFERROR(N(INDEX(Setup!$F$14:$F$33,MATCH(D11,Setup!$E$14:$E$33,0))),0))</f>
        <v/>
      </c>
      <c r="H11" s="29">
        <f>IF(OR(F11="",G11=""),"",F11*G11)</f>
        <v/>
      </c>
      <c r="I11" s="30" t="n"/>
    </row>
    <row r="12">
      <c r="B12" s="26" t="n"/>
      <c r="C12" s="17" t="n"/>
      <c r="D12" s="17" t="n"/>
      <c r="E12" s="17" t="n"/>
      <c r="F12" s="27" t="n"/>
      <c r="G12" s="28">
        <f>IF(D12="","",IFERROR(N(INDEX(Setup!$F$14:$F$33,MATCH(D12,Setup!$E$14:$E$33,0))),0))</f>
        <v/>
      </c>
      <c r="H12" s="29">
        <f>IF(OR(F12="",G12=""),"",F12*G12)</f>
        <v/>
      </c>
      <c r="I12" s="30" t="n"/>
    </row>
    <row r="13">
      <c r="B13" s="26" t="n"/>
      <c r="C13" s="17" t="n"/>
      <c r="D13" s="17" t="n"/>
      <c r="E13" s="17" t="n"/>
      <c r="F13" s="27" t="n"/>
      <c r="G13" s="28">
        <f>IF(D13="","",IFERROR(N(INDEX(Setup!$F$14:$F$33,MATCH(D13,Setup!$E$14:$E$33,0))),0))</f>
        <v/>
      </c>
      <c r="H13" s="29">
        <f>IF(OR(F13="",G13=""),"",F13*G13)</f>
        <v/>
      </c>
      <c r="I13" s="30" t="n"/>
    </row>
    <row r="14">
      <c r="B14" s="26" t="n"/>
      <c r="C14" s="17" t="n"/>
      <c r="D14" s="17" t="n"/>
      <c r="E14" s="17" t="n"/>
      <c r="F14" s="27" t="n"/>
      <c r="G14" s="28">
        <f>IF(D14="","",IFERROR(N(INDEX(Setup!$F$14:$F$33,MATCH(D14,Setup!$E$14:$E$33,0))),0))</f>
        <v/>
      </c>
      <c r="H14" s="29">
        <f>IF(OR(F14="",G14=""),"",F14*G14)</f>
        <v/>
      </c>
      <c r="I14" s="30" t="n"/>
    </row>
    <row r="15">
      <c r="B15" s="26" t="n"/>
      <c r="C15" s="17" t="n"/>
      <c r="D15" s="17" t="n"/>
      <c r="E15" s="17" t="n"/>
      <c r="F15" s="27" t="n"/>
      <c r="G15" s="28">
        <f>IF(D15="","",IFERROR(N(INDEX(Setup!$F$14:$F$33,MATCH(D15,Setup!$E$14:$E$33,0))),0))</f>
        <v/>
      </c>
      <c r="H15" s="29">
        <f>IF(OR(F15="",G15=""),"",F15*G15)</f>
        <v/>
      </c>
      <c r="I15" s="30" t="n"/>
    </row>
    <row r="16">
      <c r="B16" s="26" t="n"/>
      <c r="C16" s="17" t="n"/>
      <c r="D16" s="17" t="n"/>
      <c r="E16" s="17" t="n"/>
      <c r="F16" s="27" t="n"/>
      <c r="G16" s="28">
        <f>IF(D16="","",IFERROR(N(INDEX(Setup!$F$14:$F$33,MATCH(D16,Setup!$E$14:$E$33,0))),0))</f>
        <v/>
      </c>
      <c r="H16" s="29">
        <f>IF(OR(F16="",G16=""),"",F16*G16)</f>
        <v/>
      </c>
      <c r="I16" s="30" t="n"/>
    </row>
    <row r="17">
      <c r="B17" s="26" t="n"/>
      <c r="C17" s="17" t="n"/>
      <c r="D17" s="17" t="n"/>
      <c r="E17" s="17" t="n"/>
      <c r="F17" s="27" t="n"/>
      <c r="G17" s="28">
        <f>IF(D17="","",IFERROR(N(INDEX(Setup!$F$14:$F$33,MATCH(D17,Setup!$E$14:$E$33,0))),0))</f>
        <v/>
      </c>
      <c r="H17" s="29">
        <f>IF(OR(F17="",G17=""),"",F17*G17)</f>
        <v/>
      </c>
      <c r="I17" s="30" t="n"/>
    </row>
    <row r="18">
      <c r="B18" s="26" t="n"/>
      <c r="C18" s="17" t="n"/>
      <c r="D18" s="17" t="n"/>
      <c r="E18" s="17" t="n"/>
      <c r="F18" s="27" t="n"/>
      <c r="G18" s="28">
        <f>IF(D18="","",IFERROR(N(INDEX(Setup!$F$14:$F$33,MATCH(D18,Setup!$E$14:$E$33,0))),0))</f>
        <v/>
      </c>
      <c r="H18" s="29">
        <f>IF(OR(F18="",G18=""),"",F18*G18)</f>
        <v/>
      </c>
      <c r="I18" s="30" t="n"/>
    </row>
    <row r="19">
      <c r="B19" s="26" t="n"/>
      <c r="C19" s="17" t="n"/>
      <c r="D19" s="17" t="n"/>
      <c r="E19" s="17" t="n"/>
      <c r="F19" s="27" t="n"/>
      <c r="G19" s="28">
        <f>IF(D19="","",IFERROR(N(INDEX(Setup!$F$14:$F$33,MATCH(D19,Setup!$E$14:$E$33,0))),0))</f>
        <v/>
      </c>
      <c r="H19" s="29">
        <f>IF(OR(F19="",G19=""),"",F19*G19)</f>
        <v/>
      </c>
      <c r="I19" s="30" t="n"/>
    </row>
    <row r="20">
      <c r="B20" s="26" t="n"/>
      <c r="C20" s="17" t="n"/>
      <c r="D20" s="17" t="n"/>
      <c r="E20" s="17" t="n"/>
      <c r="F20" s="27" t="n"/>
      <c r="G20" s="28">
        <f>IF(D20="","",IFERROR(N(INDEX(Setup!$F$14:$F$33,MATCH(D20,Setup!$E$14:$E$33,0))),0))</f>
        <v/>
      </c>
      <c r="H20" s="29">
        <f>IF(OR(F20="",G20=""),"",F20*G20)</f>
        <v/>
      </c>
      <c r="I20" s="30" t="n"/>
    </row>
    <row r="21">
      <c r="B21" s="26" t="n"/>
      <c r="C21" s="17" t="n"/>
      <c r="D21" s="17" t="n"/>
      <c r="E21" s="17" t="n"/>
      <c r="F21" s="27" t="n"/>
      <c r="G21" s="28">
        <f>IF(D21="","",IFERROR(N(INDEX(Setup!$F$14:$F$33,MATCH(D21,Setup!$E$14:$E$33,0))),0))</f>
        <v/>
      </c>
      <c r="H21" s="29">
        <f>IF(OR(F21="",G21=""),"",F21*G21)</f>
        <v/>
      </c>
      <c r="I21" s="30" t="n"/>
    </row>
    <row r="22">
      <c r="B22" s="26" t="n"/>
      <c r="C22" s="17" t="n"/>
      <c r="D22" s="17" t="n"/>
      <c r="E22" s="17" t="n"/>
      <c r="F22" s="27" t="n"/>
      <c r="G22" s="28">
        <f>IF(D22="","",IFERROR(N(INDEX(Setup!$F$14:$F$33,MATCH(D22,Setup!$E$14:$E$33,0))),0))</f>
        <v/>
      </c>
      <c r="H22" s="29">
        <f>IF(OR(F22="",G22=""),"",F22*G22)</f>
        <v/>
      </c>
      <c r="I22" s="30" t="n"/>
    </row>
    <row r="23">
      <c r="B23" s="26" t="n"/>
      <c r="C23" s="17" t="n"/>
      <c r="D23" s="17" t="n"/>
      <c r="E23" s="17" t="n"/>
      <c r="F23" s="27" t="n"/>
      <c r="G23" s="28">
        <f>IF(D23="","",IFERROR(N(INDEX(Setup!$F$14:$F$33,MATCH(D23,Setup!$E$14:$E$33,0))),0))</f>
        <v/>
      </c>
      <c r="H23" s="29">
        <f>IF(OR(F23="",G23=""),"",F23*G23)</f>
        <v/>
      </c>
      <c r="I23" s="30" t="n"/>
    </row>
    <row r="24">
      <c r="B24" s="26" t="n"/>
      <c r="C24" s="17" t="n"/>
      <c r="D24" s="17" t="n"/>
      <c r="E24" s="17" t="n"/>
      <c r="F24" s="27" t="n"/>
      <c r="G24" s="28">
        <f>IF(D24="","",IFERROR(N(INDEX(Setup!$F$14:$F$33,MATCH(D24,Setup!$E$14:$E$33,0))),0))</f>
        <v/>
      </c>
      <c r="H24" s="29">
        <f>IF(OR(F24="",G24=""),"",F24*G24)</f>
        <v/>
      </c>
      <c r="I24" s="30" t="n"/>
    </row>
    <row r="25">
      <c r="B25" s="26" t="n"/>
      <c r="C25" s="17" t="n"/>
      <c r="D25" s="17" t="n"/>
      <c r="E25" s="17" t="n"/>
      <c r="F25" s="27" t="n"/>
      <c r="G25" s="28">
        <f>IF(D25="","",IFERROR(N(INDEX(Setup!$F$14:$F$33,MATCH(D25,Setup!$E$14:$E$33,0))),0))</f>
        <v/>
      </c>
      <c r="H25" s="29">
        <f>IF(OR(F25="",G25=""),"",F25*G25)</f>
        <v/>
      </c>
      <c r="I25" s="30" t="n"/>
    </row>
    <row r="26">
      <c r="B26" s="26" t="n"/>
      <c r="C26" s="17" t="n"/>
      <c r="D26" s="17" t="n"/>
      <c r="E26" s="17" t="n"/>
      <c r="F26" s="27" t="n"/>
      <c r="G26" s="28">
        <f>IF(D26="","",IFERROR(N(INDEX(Setup!$F$14:$F$33,MATCH(D26,Setup!$E$14:$E$33,0))),0))</f>
        <v/>
      </c>
      <c r="H26" s="29">
        <f>IF(OR(F26="",G26=""),"",F26*G26)</f>
        <v/>
      </c>
      <c r="I26" s="30" t="n"/>
    </row>
    <row r="27">
      <c r="B27" s="26" t="n"/>
      <c r="C27" s="17" t="n"/>
      <c r="D27" s="17" t="n"/>
      <c r="E27" s="17" t="n"/>
      <c r="F27" s="27" t="n"/>
      <c r="G27" s="28">
        <f>IF(D27="","",IFERROR(N(INDEX(Setup!$F$14:$F$33,MATCH(D27,Setup!$E$14:$E$33,0))),0))</f>
        <v/>
      </c>
      <c r="H27" s="29">
        <f>IF(OR(F27="",G27=""),"",F27*G27)</f>
        <v/>
      </c>
      <c r="I27" s="30" t="n"/>
    </row>
    <row r="28">
      <c r="B28" s="26" t="n"/>
      <c r="C28" s="17" t="n"/>
      <c r="D28" s="17" t="n"/>
      <c r="E28" s="17" t="n"/>
      <c r="F28" s="27" t="n"/>
      <c r="G28" s="28">
        <f>IF(D28="","",IFERROR(N(INDEX(Setup!$F$14:$F$33,MATCH(D28,Setup!$E$14:$E$33,0))),0))</f>
        <v/>
      </c>
      <c r="H28" s="29">
        <f>IF(OR(F28="",G28=""),"",F28*G28)</f>
        <v/>
      </c>
      <c r="I28" s="30" t="n"/>
    </row>
    <row r="29">
      <c r="B29" s="26" t="n"/>
      <c r="C29" s="17" t="n"/>
      <c r="D29" s="17" t="n"/>
      <c r="E29" s="17" t="n"/>
      <c r="F29" s="27" t="n"/>
      <c r="G29" s="28">
        <f>IF(D29="","",IFERROR(N(INDEX(Setup!$F$14:$F$33,MATCH(D29,Setup!$E$14:$E$33,0))),0))</f>
        <v/>
      </c>
      <c r="H29" s="29">
        <f>IF(OR(F29="",G29=""),"",F29*G29)</f>
        <v/>
      </c>
      <c r="I29" s="30" t="n"/>
    </row>
    <row r="30">
      <c r="B30" s="26" t="n"/>
      <c r="C30" s="17" t="n"/>
      <c r="D30" s="17" t="n"/>
      <c r="E30" s="17" t="n"/>
      <c r="F30" s="27" t="n"/>
      <c r="G30" s="28">
        <f>IF(D30="","",IFERROR(N(INDEX(Setup!$F$14:$F$33,MATCH(D30,Setup!$E$14:$E$33,0))),0))</f>
        <v/>
      </c>
      <c r="H30" s="29">
        <f>IF(OR(F30="",G30=""),"",F30*G30)</f>
        <v/>
      </c>
      <c r="I30" s="30" t="n"/>
    </row>
    <row r="31">
      <c r="B31" s="26" t="n"/>
      <c r="C31" s="17" t="n"/>
      <c r="D31" s="17" t="n"/>
      <c r="E31" s="17" t="n"/>
      <c r="F31" s="27" t="n"/>
      <c r="G31" s="28">
        <f>IF(D31="","",IFERROR(N(INDEX(Setup!$F$14:$F$33,MATCH(D31,Setup!$E$14:$E$33,0))),0))</f>
        <v/>
      </c>
      <c r="H31" s="29">
        <f>IF(OR(F31="",G31=""),"",F31*G31)</f>
        <v/>
      </c>
      <c r="I31" s="30" t="n"/>
    </row>
    <row r="32">
      <c r="B32" s="26" t="n"/>
      <c r="C32" s="17" t="n"/>
      <c r="D32" s="17" t="n"/>
      <c r="E32" s="17" t="n"/>
      <c r="F32" s="27" t="n"/>
      <c r="G32" s="28">
        <f>IF(D32="","",IFERROR(N(INDEX(Setup!$F$14:$F$33,MATCH(D32,Setup!$E$14:$E$33,0))),0))</f>
        <v/>
      </c>
      <c r="H32" s="29">
        <f>IF(OR(F32="",G32=""),"",F32*G32)</f>
        <v/>
      </c>
      <c r="I32" s="30" t="n"/>
    </row>
    <row r="33">
      <c r="B33" s="26" t="n"/>
      <c r="C33" s="17" t="n"/>
      <c r="D33" s="17" t="n"/>
      <c r="E33" s="17" t="n"/>
      <c r="F33" s="27" t="n"/>
      <c r="G33" s="28">
        <f>IF(D33="","",IFERROR(N(INDEX(Setup!$F$14:$F$33,MATCH(D33,Setup!$E$14:$E$33,0))),0))</f>
        <v/>
      </c>
      <c r="H33" s="29">
        <f>IF(OR(F33="",G33=""),"",F33*G33)</f>
        <v/>
      </c>
      <c r="I33" s="30" t="n"/>
    </row>
    <row r="34">
      <c r="B34" s="26" t="n"/>
      <c r="C34" s="17" t="n"/>
      <c r="D34" s="17" t="n"/>
      <c r="E34" s="17" t="n"/>
      <c r="F34" s="27" t="n"/>
      <c r="G34" s="28">
        <f>IF(D34="","",IFERROR(N(INDEX(Setup!$F$14:$F$33,MATCH(D34,Setup!$E$14:$E$33,0))),0))</f>
        <v/>
      </c>
      <c r="H34" s="29">
        <f>IF(OR(F34="",G34=""),"",F34*G34)</f>
        <v/>
      </c>
      <c r="I34" s="30" t="n"/>
    </row>
    <row r="35">
      <c r="B35" s="26" t="n"/>
      <c r="C35" s="17" t="n"/>
      <c r="D35" s="17" t="n"/>
      <c r="E35" s="17" t="n"/>
      <c r="F35" s="27" t="n"/>
      <c r="G35" s="28">
        <f>IF(D35="","",IFERROR(N(INDEX(Setup!$F$14:$F$33,MATCH(D35,Setup!$E$14:$E$33,0))),0))</f>
        <v/>
      </c>
      <c r="H35" s="29">
        <f>IF(OR(F35="",G35=""),"",F35*G35)</f>
        <v/>
      </c>
      <c r="I35" s="30" t="n"/>
    </row>
    <row r="36">
      <c r="B36" s="26" t="n"/>
      <c r="C36" s="17" t="n"/>
      <c r="D36" s="17" t="n"/>
      <c r="E36" s="17" t="n"/>
      <c r="F36" s="27" t="n"/>
      <c r="G36" s="28">
        <f>IF(D36="","",IFERROR(N(INDEX(Setup!$F$14:$F$33,MATCH(D36,Setup!$E$14:$E$33,0))),0))</f>
        <v/>
      </c>
      <c r="H36" s="29">
        <f>IF(OR(F36="",G36=""),"",F36*G36)</f>
        <v/>
      </c>
      <c r="I36" s="30" t="n"/>
    </row>
    <row r="37">
      <c r="B37" s="26" t="n"/>
      <c r="C37" s="17" t="n"/>
      <c r="D37" s="17" t="n"/>
      <c r="E37" s="17" t="n"/>
      <c r="F37" s="27" t="n"/>
      <c r="G37" s="28">
        <f>IF(D37="","",IFERROR(N(INDEX(Setup!$F$14:$F$33,MATCH(D37,Setup!$E$14:$E$33,0))),0))</f>
        <v/>
      </c>
      <c r="H37" s="29">
        <f>IF(OR(F37="",G37=""),"",F37*G37)</f>
        <v/>
      </c>
      <c r="I37" s="30" t="n"/>
    </row>
    <row r="38">
      <c r="B38" s="26" t="n"/>
      <c r="C38" s="17" t="n"/>
      <c r="D38" s="17" t="n"/>
      <c r="E38" s="17" t="n"/>
      <c r="F38" s="27" t="n"/>
      <c r="G38" s="28">
        <f>IF(D38="","",IFERROR(N(INDEX(Setup!$F$14:$F$33,MATCH(D38,Setup!$E$14:$E$33,0))),0))</f>
        <v/>
      </c>
      <c r="H38" s="29">
        <f>IF(OR(F38="",G38=""),"",F38*G38)</f>
        <v/>
      </c>
      <c r="I38" s="30" t="n"/>
    </row>
    <row r="39">
      <c r="B39" s="26" t="n"/>
      <c r="C39" s="17" t="n"/>
      <c r="D39" s="17" t="n"/>
      <c r="E39" s="17" t="n"/>
      <c r="F39" s="27" t="n"/>
      <c r="G39" s="28">
        <f>IF(D39="","",IFERROR(N(INDEX(Setup!$F$14:$F$33,MATCH(D39,Setup!$E$14:$E$33,0))),0))</f>
        <v/>
      </c>
      <c r="H39" s="29">
        <f>IF(OR(F39="",G39=""),"",F39*G39)</f>
        <v/>
      </c>
      <c r="I39" s="30" t="n"/>
    </row>
    <row r="40">
      <c r="B40" s="26" t="n"/>
      <c r="C40" s="17" t="n"/>
      <c r="D40" s="17" t="n"/>
      <c r="E40" s="17" t="n"/>
      <c r="F40" s="27" t="n"/>
      <c r="G40" s="28">
        <f>IF(D40="","",IFERROR(N(INDEX(Setup!$F$14:$F$33,MATCH(D40,Setup!$E$14:$E$33,0))),0))</f>
        <v/>
      </c>
      <c r="H40" s="29">
        <f>IF(OR(F40="",G40=""),"",F40*G40)</f>
        <v/>
      </c>
      <c r="I40" s="30" t="n"/>
    </row>
    <row r="41">
      <c r="B41" s="26" t="n"/>
      <c r="C41" s="17" t="n"/>
      <c r="D41" s="17" t="n"/>
      <c r="E41" s="17" t="n"/>
      <c r="F41" s="27" t="n"/>
      <c r="G41" s="28">
        <f>IF(D41="","",IFERROR(N(INDEX(Setup!$F$14:$F$33,MATCH(D41,Setup!$E$14:$E$33,0))),0))</f>
        <v/>
      </c>
      <c r="H41" s="29">
        <f>IF(OR(F41="",G41=""),"",F41*G41)</f>
        <v/>
      </c>
      <c r="I41" s="30" t="n"/>
    </row>
    <row r="42">
      <c r="B42" s="26" t="n"/>
      <c r="C42" s="17" t="n"/>
      <c r="D42" s="17" t="n"/>
      <c r="E42" s="17" t="n"/>
      <c r="F42" s="27" t="n"/>
      <c r="G42" s="28">
        <f>IF(D42="","",IFERROR(N(INDEX(Setup!$F$14:$F$33,MATCH(D42,Setup!$E$14:$E$33,0))),0))</f>
        <v/>
      </c>
      <c r="H42" s="29">
        <f>IF(OR(F42="",G42=""),"",F42*G42)</f>
        <v/>
      </c>
      <c r="I42" s="30" t="n"/>
    </row>
    <row r="43">
      <c r="B43" s="26" t="n"/>
      <c r="C43" s="17" t="n"/>
      <c r="D43" s="17" t="n"/>
      <c r="E43" s="17" t="n"/>
      <c r="F43" s="27" t="n"/>
      <c r="G43" s="28">
        <f>IF(D43="","",IFERROR(N(INDEX(Setup!$F$14:$F$33,MATCH(D43,Setup!$E$14:$E$33,0))),0))</f>
        <v/>
      </c>
      <c r="H43" s="29">
        <f>IF(OR(F43="",G43=""),"",F43*G43)</f>
        <v/>
      </c>
      <c r="I43" s="30" t="n"/>
    </row>
    <row r="44">
      <c r="B44" s="26" t="n"/>
      <c r="C44" s="17" t="n"/>
      <c r="D44" s="17" t="n"/>
      <c r="E44" s="17" t="n"/>
      <c r="F44" s="27" t="n"/>
      <c r="G44" s="28">
        <f>IF(D44="","",IFERROR(N(INDEX(Setup!$F$14:$F$33,MATCH(D44,Setup!$E$14:$E$33,0))),0))</f>
        <v/>
      </c>
      <c r="H44" s="29">
        <f>IF(OR(F44="",G44=""),"",F44*G44)</f>
        <v/>
      </c>
      <c r="I44" s="30" t="n"/>
    </row>
    <row r="45">
      <c r="B45" s="26" t="n"/>
      <c r="C45" s="17" t="n"/>
      <c r="D45" s="17" t="n"/>
      <c r="E45" s="17" t="n"/>
      <c r="F45" s="27" t="n"/>
      <c r="G45" s="28">
        <f>IF(D45="","",IFERROR(N(INDEX(Setup!$F$14:$F$33,MATCH(D45,Setup!$E$14:$E$33,0))),0))</f>
        <v/>
      </c>
      <c r="H45" s="29">
        <f>IF(OR(F45="",G45=""),"",F45*G45)</f>
        <v/>
      </c>
      <c r="I45" s="30" t="n"/>
    </row>
    <row r="46">
      <c r="B46" s="26" t="n"/>
      <c r="C46" s="17" t="n"/>
      <c r="D46" s="17" t="n"/>
      <c r="E46" s="17" t="n"/>
      <c r="F46" s="27" t="n"/>
      <c r="G46" s="28">
        <f>IF(D46="","",IFERROR(N(INDEX(Setup!$F$14:$F$33,MATCH(D46,Setup!$E$14:$E$33,0))),0))</f>
        <v/>
      </c>
      <c r="H46" s="29">
        <f>IF(OR(F46="",G46=""),"",F46*G46)</f>
        <v/>
      </c>
      <c r="I46" s="30" t="n"/>
    </row>
    <row r="47">
      <c r="B47" s="26" t="n"/>
      <c r="C47" s="17" t="n"/>
      <c r="D47" s="17" t="n"/>
      <c r="E47" s="17" t="n"/>
      <c r="F47" s="27" t="n"/>
      <c r="G47" s="28">
        <f>IF(D47="","",IFERROR(N(INDEX(Setup!$F$14:$F$33,MATCH(D47,Setup!$E$14:$E$33,0))),0))</f>
        <v/>
      </c>
      <c r="H47" s="29">
        <f>IF(OR(F47="",G47=""),"",F47*G47)</f>
        <v/>
      </c>
      <c r="I47" s="30" t="n"/>
    </row>
    <row r="48">
      <c r="B48" s="26" t="n"/>
      <c r="C48" s="17" t="n"/>
      <c r="D48" s="17" t="n"/>
      <c r="E48" s="17" t="n"/>
      <c r="F48" s="27" t="n"/>
      <c r="G48" s="28">
        <f>IF(D48="","",IFERROR(N(INDEX(Setup!$F$14:$F$33,MATCH(D48,Setup!$E$14:$E$33,0))),0))</f>
        <v/>
      </c>
      <c r="H48" s="29">
        <f>IF(OR(F48="",G48=""),"",F48*G48)</f>
        <v/>
      </c>
      <c r="I48" s="30" t="n"/>
    </row>
    <row r="49">
      <c r="B49" s="26" t="n"/>
      <c r="C49" s="17" t="n"/>
      <c r="D49" s="17" t="n"/>
      <c r="E49" s="17" t="n"/>
      <c r="F49" s="27" t="n"/>
      <c r="G49" s="28">
        <f>IF(D49="","",IFERROR(N(INDEX(Setup!$F$14:$F$33,MATCH(D49,Setup!$E$14:$E$33,0))),0))</f>
        <v/>
      </c>
      <c r="H49" s="29">
        <f>IF(OR(F49="",G49=""),"",F49*G49)</f>
        <v/>
      </c>
      <c r="I49" s="30" t="n"/>
    </row>
    <row r="50">
      <c r="B50" s="26" t="n"/>
      <c r="C50" s="17" t="n"/>
      <c r="D50" s="17" t="n"/>
      <c r="E50" s="17" t="n"/>
      <c r="F50" s="27" t="n"/>
      <c r="G50" s="28">
        <f>IF(D50="","",IFERROR(N(INDEX(Setup!$F$14:$F$33,MATCH(D50,Setup!$E$14:$E$33,0))),0))</f>
        <v/>
      </c>
      <c r="H50" s="29">
        <f>IF(OR(F50="",G50=""),"",F50*G50)</f>
        <v/>
      </c>
      <c r="I50" s="30" t="n"/>
    </row>
    <row r="51">
      <c r="B51" s="26" t="n"/>
      <c r="C51" s="17" t="n"/>
      <c r="D51" s="17" t="n"/>
      <c r="E51" s="17" t="n"/>
      <c r="F51" s="27" t="n"/>
      <c r="G51" s="28">
        <f>IF(D51="","",IFERROR(N(INDEX(Setup!$F$14:$F$33,MATCH(D51,Setup!$E$14:$E$33,0))),0))</f>
        <v/>
      </c>
      <c r="H51" s="29">
        <f>IF(OR(F51="",G51=""),"",F51*G51)</f>
        <v/>
      </c>
      <c r="I51" s="30" t="n"/>
    </row>
    <row r="52">
      <c r="B52" s="26" t="n"/>
      <c r="C52" s="17" t="n"/>
      <c r="D52" s="17" t="n"/>
      <c r="E52" s="17" t="n"/>
      <c r="F52" s="27" t="n"/>
      <c r="G52" s="28">
        <f>IF(D52="","",IFERROR(N(INDEX(Setup!$F$14:$F$33,MATCH(D52,Setup!$E$14:$E$33,0))),0))</f>
        <v/>
      </c>
      <c r="H52" s="29">
        <f>IF(OR(F52="",G52=""),"",F52*G52)</f>
        <v/>
      </c>
      <c r="I52" s="30" t="n"/>
    </row>
    <row r="53">
      <c r="B53" s="26" t="n"/>
      <c r="C53" s="17" t="n"/>
      <c r="D53" s="17" t="n"/>
      <c r="E53" s="17" t="n"/>
      <c r="F53" s="27" t="n"/>
      <c r="G53" s="28">
        <f>IF(D53="","",IFERROR(N(INDEX(Setup!$F$14:$F$33,MATCH(D53,Setup!$E$14:$E$33,0))),0))</f>
        <v/>
      </c>
      <c r="H53" s="29">
        <f>IF(OR(F53="",G53=""),"",F53*G53)</f>
        <v/>
      </c>
      <c r="I53" s="30" t="n"/>
    </row>
    <row r="54">
      <c r="B54" s="26" t="n"/>
      <c r="C54" s="17" t="n"/>
      <c r="D54" s="17" t="n"/>
      <c r="E54" s="17" t="n"/>
      <c r="F54" s="27" t="n"/>
      <c r="G54" s="28">
        <f>IF(D54="","",IFERROR(N(INDEX(Setup!$F$14:$F$33,MATCH(D54,Setup!$E$14:$E$33,0))),0))</f>
        <v/>
      </c>
      <c r="H54" s="29">
        <f>IF(OR(F54="",G54=""),"",F54*G54)</f>
        <v/>
      </c>
      <c r="I54" s="30" t="n"/>
    </row>
    <row r="55">
      <c r="B55" s="26" t="n"/>
      <c r="C55" s="17" t="n"/>
      <c r="D55" s="17" t="n"/>
      <c r="E55" s="17" t="n"/>
      <c r="F55" s="27" t="n"/>
      <c r="G55" s="28">
        <f>IF(D55="","",IFERROR(N(INDEX(Setup!$F$14:$F$33,MATCH(D55,Setup!$E$14:$E$33,0))),0))</f>
        <v/>
      </c>
      <c r="H55" s="29">
        <f>IF(OR(F55="",G55=""),"",F55*G55)</f>
        <v/>
      </c>
      <c r="I55" s="30" t="n"/>
    </row>
    <row r="56">
      <c r="B56" s="26" t="n"/>
      <c r="C56" s="17" t="n"/>
      <c r="D56" s="17" t="n"/>
      <c r="E56" s="17" t="n"/>
      <c r="F56" s="27" t="n"/>
      <c r="G56" s="28">
        <f>IF(D56="","",IFERROR(N(INDEX(Setup!$F$14:$F$33,MATCH(D56,Setup!$E$14:$E$33,0))),0))</f>
        <v/>
      </c>
      <c r="H56" s="29">
        <f>IF(OR(F56="",G56=""),"",F56*G56)</f>
        <v/>
      </c>
      <c r="I56" s="30" t="n"/>
    </row>
    <row r="57">
      <c r="B57" s="26" t="n"/>
      <c r="C57" s="17" t="n"/>
      <c r="D57" s="17" t="n"/>
      <c r="E57" s="17" t="n"/>
      <c r="F57" s="27" t="n"/>
      <c r="G57" s="28">
        <f>IF(D57="","",IFERROR(N(INDEX(Setup!$F$14:$F$33,MATCH(D57,Setup!$E$14:$E$33,0))),0))</f>
        <v/>
      </c>
      <c r="H57" s="29">
        <f>IF(OR(F57="",G57=""),"",F57*G57)</f>
        <v/>
      </c>
      <c r="I57" s="30" t="n"/>
    </row>
    <row r="58">
      <c r="B58" s="26" t="n"/>
      <c r="C58" s="17" t="n"/>
      <c r="D58" s="17" t="n"/>
      <c r="E58" s="17" t="n"/>
      <c r="F58" s="27" t="n"/>
      <c r="G58" s="28">
        <f>IF(D58="","",IFERROR(N(INDEX(Setup!$F$14:$F$33,MATCH(D58,Setup!$E$14:$E$33,0))),0))</f>
        <v/>
      </c>
      <c r="H58" s="29">
        <f>IF(OR(F58="",G58=""),"",F58*G58)</f>
        <v/>
      </c>
      <c r="I58" s="30" t="n"/>
    </row>
    <row r="59">
      <c r="B59" s="26" t="n"/>
      <c r="C59" s="17" t="n"/>
      <c r="D59" s="17" t="n"/>
      <c r="E59" s="17" t="n"/>
      <c r="F59" s="27" t="n"/>
      <c r="G59" s="28">
        <f>IF(D59="","",IFERROR(N(INDEX(Setup!$F$14:$F$33,MATCH(D59,Setup!$E$14:$E$33,0))),0))</f>
        <v/>
      </c>
      <c r="H59" s="29">
        <f>IF(OR(F59="",G59=""),"",F59*G59)</f>
        <v/>
      </c>
      <c r="I59" s="30" t="n"/>
    </row>
    <row r="60">
      <c r="B60" s="26" t="n"/>
      <c r="C60" s="17" t="n"/>
      <c r="D60" s="17" t="n"/>
      <c r="E60" s="17" t="n"/>
      <c r="F60" s="27" t="n"/>
      <c r="G60" s="28">
        <f>IF(D60="","",IFERROR(N(INDEX(Setup!$F$14:$F$33,MATCH(D60,Setup!$E$14:$E$33,0))),0))</f>
        <v/>
      </c>
      <c r="H60" s="29">
        <f>IF(OR(F60="",G60=""),"",F60*G60)</f>
        <v/>
      </c>
      <c r="I60" s="30" t="n"/>
    </row>
    <row r="61">
      <c r="B61" s="26" t="n"/>
      <c r="C61" s="17" t="n"/>
      <c r="D61" s="17" t="n"/>
      <c r="E61" s="17" t="n"/>
      <c r="F61" s="27" t="n"/>
      <c r="G61" s="28">
        <f>IF(D61="","",IFERROR(N(INDEX(Setup!$F$14:$F$33,MATCH(D61,Setup!$E$14:$E$33,0))),0))</f>
        <v/>
      </c>
      <c r="H61" s="29">
        <f>IF(OR(F61="",G61=""),"",F61*G61)</f>
        <v/>
      </c>
      <c r="I61" s="30" t="n"/>
    </row>
    <row r="62">
      <c r="B62" s="26" t="n"/>
      <c r="C62" s="17" t="n"/>
      <c r="D62" s="17" t="n"/>
      <c r="E62" s="17" t="n"/>
      <c r="F62" s="27" t="n"/>
      <c r="G62" s="28">
        <f>IF(D62="","",IFERROR(N(INDEX(Setup!$F$14:$F$33,MATCH(D62,Setup!$E$14:$E$33,0))),0))</f>
        <v/>
      </c>
      <c r="H62" s="29">
        <f>IF(OR(F62="",G62=""),"",F62*G62)</f>
        <v/>
      </c>
      <c r="I62" s="30" t="n"/>
    </row>
    <row r="63">
      <c r="B63" s="26" t="n"/>
      <c r="C63" s="17" t="n"/>
      <c r="D63" s="17" t="n"/>
      <c r="E63" s="17" t="n"/>
      <c r="F63" s="27" t="n"/>
      <c r="G63" s="28">
        <f>IF(D63="","",IFERROR(N(INDEX(Setup!$F$14:$F$33,MATCH(D63,Setup!$E$14:$E$33,0))),0))</f>
        <v/>
      </c>
      <c r="H63" s="29">
        <f>IF(OR(F63="",G63=""),"",F63*G63)</f>
        <v/>
      </c>
      <c r="I63" s="30" t="n"/>
    </row>
    <row r="64">
      <c r="B64" s="26" t="n"/>
      <c r="C64" s="17" t="n"/>
      <c r="D64" s="17" t="n"/>
      <c r="E64" s="17" t="n"/>
      <c r="F64" s="27" t="n"/>
      <c r="G64" s="28">
        <f>IF(D64="","",IFERROR(N(INDEX(Setup!$F$14:$F$33,MATCH(D64,Setup!$E$14:$E$33,0))),0))</f>
        <v/>
      </c>
      <c r="H64" s="29">
        <f>IF(OR(F64="",G64=""),"",F64*G64)</f>
        <v/>
      </c>
      <c r="I64" s="30" t="n"/>
    </row>
    <row r="65">
      <c r="B65" s="26" t="n"/>
      <c r="C65" s="17" t="n"/>
      <c r="D65" s="17" t="n"/>
      <c r="E65" s="17" t="n"/>
      <c r="F65" s="27" t="n"/>
      <c r="G65" s="28">
        <f>IF(D65="","",IFERROR(N(INDEX(Setup!$F$14:$F$33,MATCH(D65,Setup!$E$14:$E$33,0))),0))</f>
        <v/>
      </c>
      <c r="H65" s="29">
        <f>IF(OR(F65="",G65=""),"",F65*G65)</f>
        <v/>
      </c>
      <c r="I65" s="30" t="n"/>
    </row>
    <row r="66">
      <c r="B66" s="26" t="n"/>
      <c r="C66" s="17" t="n"/>
      <c r="D66" s="17" t="n"/>
      <c r="E66" s="17" t="n"/>
      <c r="F66" s="27" t="n"/>
      <c r="G66" s="28">
        <f>IF(D66="","",IFERROR(N(INDEX(Setup!$F$14:$F$33,MATCH(D66,Setup!$E$14:$E$33,0))),0))</f>
        <v/>
      </c>
      <c r="H66" s="29">
        <f>IF(OR(F66="",G66=""),"",F66*G66)</f>
        <v/>
      </c>
      <c r="I66" s="30" t="n"/>
    </row>
    <row r="67">
      <c r="B67" s="26" t="n"/>
      <c r="C67" s="17" t="n"/>
      <c r="D67" s="17" t="n"/>
      <c r="E67" s="17" t="n"/>
      <c r="F67" s="27" t="n"/>
      <c r="G67" s="28">
        <f>IF(D67="","",IFERROR(N(INDEX(Setup!$F$14:$F$33,MATCH(D67,Setup!$E$14:$E$33,0))),0))</f>
        <v/>
      </c>
      <c r="H67" s="29">
        <f>IF(OR(F67="",G67=""),"",F67*G67)</f>
        <v/>
      </c>
      <c r="I67" s="30" t="n"/>
    </row>
    <row r="68">
      <c r="B68" s="26" t="n"/>
      <c r="C68" s="17" t="n"/>
      <c r="D68" s="17" t="n"/>
      <c r="E68" s="17" t="n"/>
      <c r="F68" s="27" t="n"/>
      <c r="G68" s="28">
        <f>IF(D68="","",IFERROR(N(INDEX(Setup!$F$14:$F$33,MATCH(D68,Setup!$E$14:$E$33,0))),0))</f>
        <v/>
      </c>
      <c r="H68" s="29">
        <f>IF(OR(F68="",G68=""),"",F68*G68)</f>
        <v/>
      </c>
      <c r="I68" s="30" t="n"/>
    </row>
    <row r="69">
      <c r="B69" s="26" t="n"/>
      <c r="C69" s="17" t="n"/>
      <c r="D69" s="17" t="n"/>
      <c r="E69" s="17" t="n"/>
      <c r="F69" s="27" t="n"/>
      <c r="G69" s="28">
        <f>IF(D69="","",IFERROR(N(INDEX(Setup!$F$14:$F$33,MATCH(D69,Setup!$E$14:$E$33,0))),0))</f>
        <v/>
      </c>
      <c r="H69" s="29">
        <f>IF(OR(F69="",G69=""),"",F69*G69)</f>
        <v/>
      </c>
      <c r="I69" s="30" t="n"/>
    </row>
    <row r="70">
      <c r="B70" s="26" t="n"/>
      <c r="C70" s="17" t="n"/>
      <c r="D70" s="17" t="n"/>
      <c r="E70" s="17" t="n"/>
      <c r="F70" s="27" t="n"/>
      <c r="G70" s="28">
        <f>IF(D70="","",IFERROR(N(INDEX(Setup!$F$14:$F$33,MATCH(D70,Setup!$E$14:$E$33,0))),0))</f>
        <v/>
      </c>
      <c r="H70" s="29">
        <f>IF(OR(F70="",G70=""),"",F70*G70)</f>
        <v/>
      </c>
      <c r="I70" s="30" t="n"/>
    </row>
    <row r="71">
      <c r="B71" s="26" t="n"/>
      <c r="C71" s="17" t="n"/>
      <c r="D71" s="17" t="n"/>
      <c r="E71" s="17" t="n"/>
      <c r="F71" s="27" t="n"/>
      <c r="G71" s="28">
        <f>IF(D71="","",IFERROR(N(INDEX(Setup!$F$14:$F$33,MATCH(D71,Setup!$E$14:$E$33,0))),0))</f>
        <v/>
      </c>
      <c r="H71" s="29">
        <f>IF(OR(F71="",G71=""),"",F71*G71)</f>
        <v/>
      </c>
      <c r="I71" s="30" t="n"/>
    </row>
    <row r="72">
      <c r="B72" s="26" t="n"/>
      <c r="C72" s="17" t="n"/>
      <c r="D72" s="17" t="n"/>
      <c r="E72" s="17" t="n"/>
      <c r="F72" s="27" t="n"/>
      <c r="G72" s="28">
        <f>IF(D72="","",IFERROR(N(INDEX(Setup!$F$14:$F$33,MATCH(D72,Setup!$E$14:$E$33,0))),0))</f>
        <v/>
      </c>
      <c r="H72" s="29">
        <f>IF(OR(F72="",G72=""),"",F72*G72)</f>
        <v/>
      </c>
      <c r="I72" s="30" t="n"/>
    </row>
    <row r="73">
      <c r="B73" s="26" t="n"/>
      <c r="C73" s="17" t="n"/>
      <c r="D73" s="17" t="n"/>
      <c r="E73" s="17" t="n"/>
      <c r="F73" s="27" t="n"/>
      <c r="G73" s="28">
        <f>IF(D73="","",IFERROR(N(INDEX(Setup!$F$14:$F$33,MATCH(D73,Setup!$E$14:$E$33,0))),0))</f>
        <v/>
      </c>
      <c r="H73" s="29">
        <f>IF(OR(F73="",G73=""),"",F73*G73)</f>
        <v/>
      </c>
      <c r="I73" s="30" t="n"/>
    </row>
    <row r="74">
      <c r="B74" s="26" t="n"/>
      <c r="C74" s="17" t="n"/>
      <c r="D74" s="17" t="n"/>
      <c r="E74" s="17" t="n"/>
      <c r="F74" s="27" t="n"/>
      <c r="G74" s="28">
        <f>IF(D74="","",IFERROR(N(INDEX(Setup!$F$14:$F$33,MATCH(D74,Setup!$E$14:$E$33,0))),0))</f>
        <v/>
      </c>
      <c r="H74" s="29">
        <f>IF(OR(F74="",G74=""),"",F74*G74)</f>
        <v/>
      </c>
      <c r="I74" s="30" t="n"/>
    </row>
    <row r="75">
      <c r="B75" s="26" t="n"/>
      <c r="C75" s="17" t="n"/>
      <c r="D75" s="17" t="n"/>
      <c r="E75" s="17" t="n"/>
      <c r="F75" s="27" t="n"/>
      <c r="G75" s="28">
        <f>IF(D75="","",IFERROR(N(INDEX(Setup!$F$14:$F$33,MATCH(D75,Setup!$E$14:$E$33,0))),0))</f>
        <v/>
      </c>
      <c r="H75" s="29">
        <f>IF(OR(F75="",G75=""),"",F75*G75)</f>
        <v/>
      </c>
      <c r="I75" s="30" t="n"/>
    </row>
    <row r="76">
      <c r="B76" s="26" t="n"/>
      <c r="C76" s="17" t="n"/>
      <c r="D76" s="17" t="n"/>
      <c r="E76" s="17" t="n"/>
      <c r="F76" s="27" t="n"/>
      <c r="G76" s="28">
        <f>IF(D76="","",IFERROR(N(INDEX(Setup!$F$14:$F$33,MATCH(D76,Setup!$E$14:$E$33,0))),0))</f>
        <v/>
      </c>
      <c r="H76" s="29">
        <f>IF(OR(F76="",G76=""),"",F76*G76)</f>
        <v/>
      </c>
      <c r="I76" s="30" t="n"/>
    </row>
    <row r="77">
      <c r="B77" s="26" t="n"/>
      <c r="C77" s="17" t="n"/>
      <c r="D77" s="17" t="n"/>
      <c r="E77" s="17" t="n"/>
      <c r="F77" s="27" t="n"/>
      <c r="G77" s="28">
        <f>IF(D77="","",IFERROR(N(INDEX(Setup!$F$14:$F$33,MATCH(D77,Setup!$E$14:$E$33,0))),0))</f>
        <v/>
      </c>
      <c r="H77" s="29">
        <f>IF(OR(F77="",G77=""),"",F77*G77)</f>
        <v/>
      </c>
      <c r="I77" s="30" t="n"/>
    </row>
    <row r="78">
      <c r="B78" s="26" t="n"/>
      <c r="C78" s="17" t="n"/>
      <c r="D78" s="17" t="n"/>
      <c r="E78" s="17" t="n"/>
      <c r="F78" s="27" t="n"/>
      <c r="G78" s="28">
        <f>IF(D78="","",IFERROR(N(INDEX(Setup!$F$14:$F$33,MATCH(D78,Setup!$E$14:$E$33,0))),0))</f>
        <v/>
      </c>
      <c r="H78" s="29">
        <f>IF(OR(F78="",G78=""),"",F78*G78)</f>
        <v/>
      </c>
      <c r="I78" s="30" t="n"/>
    </row>
    <row r="79">
      <c r="B79" s="26" t="n"/>
      <c r="C79" s="17" t="n"/>
      <c r="D79" s="17" t="n"/>
      <c r="E79" s="17" t="n"/>
      <c r="F79" s="27" t="n"/>
      <c r="G79" s="28">
        <f>IF(D79="","",IFERROR(N(INDEX(Setup!$F$14:$F$33,MATCH(D79,Setup!$E$14:$E$33,0))),0))</f>
        <v/>
      </c>
      <c r="H79" s="29">
        <f>IF(OR(F79="",G79=""),"",F79*G79)</f>
        <v/>
      </c>
      <c r="I79" s="30" t="n"/>
    </row>
    <row r="80">
      <c r="B80" s="26" t="n"/>
      <c r="C80" s="17" t="n"/>
      <c r="D80" s="17" t="n"/>
      <c r="E80" s="17" t="n"/>
      <c r="F80" s="27" t="n"/>
      <c r="G80" s="28">
        <f>IF(D80="","",IFERROR(N(INDEX(Setup!$F$14:$F$33,MATCH(D80,Setup!$E$14:$E$33,0))),0))</f>
        <v/>
      </c>
      <c r="H80" s="29">
        <f>IF(OR(F80="",G80=""),"",F80*G80)</f>
        <v/>
      </c>
      <c r="I80" s="30" t="n"/>
    </row>
    <row r="81">
      <c r="B81" s="26" t="n"/>
      <c r="C81" s="17" t="n"/>
      <c r="D81" s="17" t="n"/>
      <c r="E81" s="17" t="n"/>
      <c r="F81" s="27" t="n"/>
      <c r="G81" s="28">
        <f>IF(D81="","",IFERROR(N(INDEX(Setup!$F$14:$F$33,MATCH(D81,Setup!$E$14:$E$33,0))),0))</f>
        <v/>
      </c>
      <c r="H81" s="29">
        <f>IF(OR(F81="",G81=""),"",F81*G81)</f>
        <v/>
      </c>
      <c r="I81" s="30" t="n"/>
    </row>
    <row r="82">
      <c r="B82" s="26" t="n"/>
      <c r="C82" s="17" t="n"/>
      <c r="D82" s="17" t="n"/>
      <c r="E82" s="17" t="n"/>
      <c r="F82" s="27" t="n"/>
      <c r="G82" s="28">
        <f>IF(D82="","",IFERROR(N(INDEX(Setup!$F$14:$F$33,MATCH(D82,Setup!$E$14:$E$33,0))),0))</f>
        <v/>
      </c>
      <c r="H82" s="29">
        <f>IF(OR(F82="",G82=""),"",F82*G82)</f>
        <v/>
      </c>
      <c r="I82" s="30" t="n"/>
    </row>
    <row r="83">
      <c r="B83" s="26" t="n"/>
      <c r="C83" s="17" t="n"/>
      <c r="D83" s="17" t="n"/>
      <c r="E83" s="17" t="n"/>
      <c r="F83" s="27" t="n"/>
      <c r="G83" s="28">
        <f>IF(D83="","",IFERROR(N(INDEX(Setup!$F$14:$F$33,MATCH(D83,Setup!$E$14:$E$33,0))),0))</f>
        <v/>
      </c>
      <c r="H83" s="29">
        <f>IF(OR(F83="",G83=""),"",F83*G83)</f>
        <v/>
      </c>
      <c r="I83" s="30" t="n"/>
    </row>
    <row r="84">
      <c r="B84" s="26" t="n"/>
      <c r="C84" s="17" t="n"/>
      <c r="D84" s="17" t="n"/>
      <c r="E84" s="17" t="n"/>
      <c r="F84" s="27" t="n"/>
      <c r="G84" s="28">
        <f>IF(D84="","",IFERROR(N(INDEX(Setup!$F$14:$F$33,MATCH(D84,Setup!$E$14:$E$33,0))),0))</f>
        <v/>
      </c>
      <c r="H84" s="29">
        <f>IF(OR(F84="",G84=""),"",F84*G84)</f>
        <v/>
      </c>
      <c r="I84" s="30" t="n"/>
    </row>
    <row r="85">
      <c r="B85" s="26" t="n"/>
      <c r="C85" s="17" t="n"/>
      <c r="D85" s="17" t="n"/>
      <c r="E85" s="17" t="n"/>
      <c r="F85" s="27" t="n"/>
      <c r="G85" s="28">
        <f>IF(D85="","",IFERROR(N(INDEX(Setup!$F$14:$F$33,MATCH(D85,Setup!$E$14:$E$33,0))),0))</f>
        <v/>
      </c>
      <c r="H85" s="29">
        <f>IF(OR(F85="",G85=""),"",F85*G85)</f>
        <v/>
      </c>
      <c r="I85" s="30" t="n"/>
    </row>
    <row r="86">
      <c r="B86" s="26" t="n"/>
      <c r="C86" s="17" t="n"/>
      <c r="D86" s="17" t="n"/>
      <c r="E86" s="17" t="n"/>
      <c r="F86" s="27" t="n"/>
      <c r="G86" s="28">
        <f>IF(D86="","",IFERROR(N(INDEX(Setup!$F$14:$F$33,MATCH(D86,Setup!$E$14:$E$33,0))),0))</f>
        <v/>
      </c>
      <c r="H86" s="29">
        <f>IF(OR(F86="",G86=""),"",F86*G86)</f>
        <v/>
      </c>
      <c r="I86" s="30" t="n"/>
    </row>
    <row r="87">
      <c r="B87" s="26" t="n"/>
      <c r="C87" s="17" t="n"/>
      <c r="D87" s="17" t="n"/>
      <c r="E87" s="17" t="n"/>
      <c r="F87" s="27" t="n"/>
      <c r="G87" s="28">
        <f>IF(D87="","",IFERROR(N(INDEX(Setup!$F$14:$F$33,MATCH(D87,Setup!$E$14:$E$33,0))),0))</f>
        <v/>
      </c>
      <c r="H87" s="29">
        <f>IF(OR(F87="",G87=""),"",F87*G87)</f>
        <v/>
      </c>
      <c r="I87" s="30" t="n"/>
    </row>
    <row r="88">
      <c r="B88" s="26" t="n"/>
      <c r="C88" s="17" t="n"/>
      <c r="D88" s="17" t="n"/>
      <c r="E88" s="17" t="n"/>
      <c r="F88" s="27" t="n"/>
      <c r="G88" s="28">
        <f>IF(D88="","",IFERROR(N(INDEX(Setup!$F$14:$F$33,MATCH(D88,Setup!$E$14:$E$33,0))),0))</f>
        <v/>
      </c>
      <c r="H88" s="29">
        <f>IF(OR(F88="",G88=""),"",F88*G88)</f>
        <v/>
      </c>
      <c r="I88" s="30" t="n"/>
    </row>
    <row r="89">
      <c r="B89" s="26" t="n"/>
      <c r="C89" s="17" t="n"/>
      <c r="D89" s="17" t="n"/>
      <c r="E89" s="17" t="n"/>
      <c r="F89" s="27" t="n"/>
      <c r="G89" s="28">
        <f>IF(D89="","",IFERROR(N(INDEX(Setup!$F$14:$F$33,MATCH(D89,Setup!$E$14:$E$33,0))),0))</f>
        <v/>
      </c>
      <c r="H89" s="29">
        <f>IF(OR(F89="",G89=""),"",F89*G89)</f>
        <v/>
      </c>
      <c r="I89" s="30" t="n"/>
    </row>
    <row r="90">
      <c r="B90" s="26" t="n"/>
      <c r="C90" s="17" t="n"/>
      <c r="D90" s="17" t="n"/>
      <c r="E90" s="17" t="n"/>
      <c r="F90" s="27" t="n"/>
      <c r="G90" s="28">
        <f>IF(D90="","",IFERROR(N(INDEX(Setup!$F$14:$F$33,MATCH(D90,Setup!$E$14:$E$33,0))),0))</f>
        <v/>
      </c>
      <c r="H90" s="29">
        <f>IF(OR(F90="",G90=""),"",F90*G90)</f>
        <v/>
      </c>
      <c r="I90" s="30" t="n"/>
    </row>
    <row r="91">
      <c r="B91" s="26" t="n"/>
      <c r="C91" s="17" t="n"/>
      <c r="D91" s="17" t="n"/>
      <c r="E91" s="17" t="n"/>
      <c r="F91" s="27" t="n"/>
      <c r="G91" s="28">
        <f>IF(D91="","",IFERROR(N(INDEX(Setup!$F$14:$F$33,MATCH(D91,Setup!$E$14:$E$33,0))),0))</f>
        <v/>
      </c>
      <c r="H91" s="29">
        <f>IF(OR(F91="",G91=""),"",F91*G91)</f>
        <v/>
      </c>
      <c r="I91" s="30" t="n"/>
    </row>
    <row r="92">
      <c r="B92" s="26" t="n"/>
      <c r="C92" s="17" t="n"/>
      <c r="D92" s="17" t="n"/>
      <c r="E92" s="17" t="n"/>
      <c r="F92" s="27" t="n"/>
      <c r="G92" s="28">
        <f>IF(D92="","",IFERROR(N(INDEX(Setup!$F$14:$F$33,MATCH(D92,Setup!$E$14:$E$33,0))),0))</f>
        <v/>
      </c>
      <c r="H92" s="29">
        <f>IF(OR(F92="",G92=""),"",F92*G92)</f>
        <v/>
      </c>
      <c r="I92" s="30" t="n"/>
    </row>
    <row r="93">
      <c r="B93" s="26" t="n"/>
      <c r="C93" s="17" t="n"/>
      <c r="D93" s="17" t="n"/>
      <c r="E93" s="17" t="n"/>
      <c r="F93" s="27" t="n"/>
      <c r="G93" s="28">
        <f>IF(D93="","",IFERROR(N(INDEX(Setup!$F$14:$F$33,MATCH(D93,Setup!$E$14:$E$33,0))),0))</f>
        <v/>
      </c>
      <c r="H93" s="29">
        <f>IF(OR(F93="",G93=""),"",F93*G93)</f>
        <v/>
      </c>
      <c r="I93" s="30" t="n"/>
    </row>
    <row r="94">
      <c r="B94" s="26" t="n"/>
      <c r="C94" s="17" t="n"/>
      <c r="D94" s="17" t="n"/>
      <c r="E94" s="17" t="n"/>
      <c r="F94" s="27" t="n"/>
      <c r="G94" s="28">
        <f>IF(D94="","",IFERROR(N(INDEX(Setup!$F$14:$F$33,MATCH(D94,Setup!$E$14:$E$33,0))),0))</f>
        <v/>
      </c>
      <c r="H94" s="29">
        <f>IF(OR(F94="",G94=""),"",F94*G94)</f>
        <v/>
      </c>
      <c r="I94" s="30" t="n"/>
    </row>
    <row r="95">
      <c r="B95" s="26" t="n"/>
      <c r="C95" s="17" t="n"/>
      <c r="D95" s="17" t="n"/>
      <c r="E95" s="17" t="n"/>
      <c r="F95" s="27" t="n"/>
      <c r="G95" s="28">
        <f>IF(D95="","",IFERROR(N(INDEX(Setup!$F$14:$F$33,MATCH(D95,Setup!$E$14:$E$33,0))),0))</f>
        <v/>
      </c>
      <c r="H95" s="29">
        <f>IF(OR(F95="",G95=""),"",F95*G95)</f>
        <v/>
      </c>
      <c r="I95" s="30" t="n"/>
    </row>
    <row r="96">
      <c r="B96" s="26" t="n"/>
      <c r="C96" s="17" t="n"/>
      <c r="D96" s="17" t="n"/>
      <c r="E96" s="17" t="n"/>
      <c r="F96" s="27" t="n"/>
      <c r="G96" s="28">
        <f>IF(D96="","",IFERROR(N(INDEX(Setup!$F$14:$F$33,MATCH(D96,Setup!$E$14:$E$33,0))),0))</f>
        <v/>
      </c>
      <c r="H96" s="29">
        <f>IF(OR(F96="",G96=""),"",F96*G96)</f>
        <v/>
      </c>
      <c r="I96" s="30" t="n"/>
    </row>
    <row r="97">
      <c r="B97" s="26" t="n"/>
      <c r="C97" s="17" t="n"/>
      <c r="D97" s="17" t="n"/>
      <c r="E97" s="17" t="n"/>
      <c r="F97" s="27" t="n"/>
      <c r="G97" s="28">
        <f>IF(D97="","",IFERROR(N(INDEX(Setup!$F$14:$F$33,MATCH(D97,Setup!$E$14:$E$33,0))),0))</f>
        <v/>
      </c>
      <c r="H97" s="29">
        <f>IF(OR(F97="",G97=""),"",F97*G97)</f>
        <v/>
      </c>
      <c r="I97" s="30" t="n"/>
    </row>
    <row r="98">
      <c r="B98" s="26" t="n"/>
      <c r="C98" s="17" t="n"/>
      <c r="D98" s="17" t="n"/>
      <c r="E98" s="17" t="n"/>
      <c r="F98" s="27" t="n"/>
      <c r="G98" s="28">
        <f>IF(D98="","",IFERROR(N(INDEX(Setup!$F$14:$F$33,MATCH(D98,Setup!$E$14:$E$33,0))),0))</f>
        <v/>
      </c>
      <c r="H98" s="29">
        <f>IF(OR(F98="",G98=""),"",F98*G98)</f>
        <v/>
      </c>
      <c r="I98" s="30" t="n"/>
    </row>
    <row r="99">
      <c r="B99" s="26" t="n"/>
      <c r="C99" s="17" t="n"/>
      <c r="D99" s="17" t="n"/>
      <c r="E99" s="17" t="n"/>
      <c r="F99" s="27" t="n"/>
      <c r="G99" s="28">
        <f>IF(D99="","",IFERROR(N(INDEX(Setup!$F$14:$F$33,MATCH(D99,Setup!$E$14:$E$33,0))),0))</f>
        <v/>
      </c>
      <c r="H99" s="29">
        <f>IF(OR(F99="",G99=""),"",F99*G99)</f>
        <v/>
      </c>
      <c r="I99" s="30" t="n"/>
    </row>
    <row r="100">
      <c r="B100" s="26" t="n"/>
      <c r="C100" s="17" t="n"/>
      <c r="D100" s="17" t="n"/>
      <c r="E100" s="17" t="n"/>
      <c r="F100" s="27" t="n"/>
      <c r="G100" s="28">
        <f>IF(D100="","",IFERROR(N(INDEX(Setup!$F$14:$F$33,MATCH(D100,Setup!$E$14:$E$33,0))),0))</f>
        <v/>
      </c>
      <c r="H100" s="29">
        <f>IF(OR(F100="",G100=""),"",F100*G100)</f>
        <v/>
      </c>
      <c r="I100" s="30" t="n"/>
    </row>
    <row r="101">
      <c r="B101" s="26" t="n"/>
      <c r="C101" s="17" t="n"/>
      <c r="D101" s="17" t="n"/>
      <c r="E101" s="17" t="n"/>
      <c r="F101" s="27" t="n"/>
      <c r="G101" s="28">
        <f>IF(D101="","",IFERROR(N(INDEX(Setup!$F$14:$F$33,MATCH(D101,Setup!$E$14:$E$33,0))),0))</f>
        <v/>
      </c>
      <c r="H101" s="29">
        <f>IF(OR(F101="",G101=""),"",F101*G101)</f>
        <v/>
      </c>
      <c r="I101" s="30" t="n"/>
    </row>
    <row r="102">
      <c r="B102" s="26" t="n"/>
      <c r="C102" s="17" t="n"/>
      <c r="D102" s="17" t="n"/>
      <c r="E102" s="17" t="n"/>
      <c r="F102" s="27" t="n"/>
      <c r="G102" s="28">
        <f>IF(D102="","",IFERROR(N(INDEX(Setup!$F$14:$F$33,MATCH(D102,Setup!$E$14:$E$33,0))),0))</f>
        <v/>
      </c>
      <c r="H102" s="29">
        <f>IF(OR(F102="",G102=""),"",F102*G102)</f>
        <v/>
      </c>
      <c r="I102" s="30" t="n"/>
    </row>
    <row r="103">
      <c r="B103" s="26" t="n"/>
      <c r="C103" s="17" t="n"/>
      <c r="D103" s="17" t="n"/>
      <c r="E103" s="17" t="n"/>
      <c r="F103" s="27" t="n"/>
      <c r="G103" s="28">
        <f>IF(D103="","",IFERROR(N(INDEX(Setup!$F$14:$F$33,MATCH(D103,Setup!$E$14:$E$33,0))),0))</f>
        <v/>
      </c>
      <c r="H103" s="29">
        <f>IF(OR(F103="",G103=""),"",F103*G103)</f>
        <v/>
      </c>
      <c r="I103" s="30" t="n"/>
    </row>
    <row r="104">
      <c r="B104" s="26" t="n"/>
      <c r="C104" s="17" t="n"/>
      <c r="D104" s="17" t="n"/>
      <c r="E104" s="17" t="n"/>
      <c r="F104" s="27" t="n"/>
      <c r="G104" s="28">
        <f>IF(D104="","",IFERROR(N(INDEX(Setup!$F$14:$F$33,MATCH(D104,Setup!$E$14:$E$33,0))),0))</f>
        <v/>
      </c>
      <c r="H104" s="29">
        <f>IF(OR(F104="",G104=""),"",F104*G104)</f>
        <v/>
      </c>
      <c r="I104" s="30" t="n"/>
    </row>
    <row r="105">
      <c r="B105" s="26" t="n"/>
      <c r="C105" s="17" t="n"/>
      <c r="D105" s="17" t="n"/>
      <c r="E105" s="17" t="n"/>
      <c r="F105" s="27" t="n"/>
      <c r="G105" s="28">
        <f>IF(D105="","",IFERROR(N(INDEX(Setup!$F$14:$F$33,MATCH(D105,Setup!$E$14:$E$33,0))),0))</f>
        <v/>
      </c>
      <c r="H105" s="29">
        <f>IF(OR(F105="",G105=""),"",F105*G105)</f>
        <v/>
      </c>
      <c r="I105" s="30" t="n"/>
    </row>
    <row r="106">
      <c r="B106" s="26" t="n"/>
      <c r="C106" s="17" t="n"/>
      <c r="D106" s="17" t="n"/>
      <c r="E106" s="17" t="n"/>
      <c r="F106" s="27" t="n"/>
      <c r="G106" s="28">
        <f>IF(D106="","",IFERROR(N(INDEX(Setup!$F$14:$F$33,MATCH(D106,Setup!$E$14:$E$33,0))),0))</f>
        <v/>
      </c>
      <c r="H106" s="29">
        <f>IF(OR(F106="",G106=""),"",F106*G106)</f>
        <v/>
      </c>
      <c r="I106" s="30" t="n"/>
    </row>
    <row r="107">
      <c r="B107" s="26" t="n"/>
      <c r="C107" s="17" t="n"/>
      <c r="D107" s="17" t="n"/>
      <c r="E107" s="17" t="n"/>
      <c r="F107" s="27" t="n"/>
      <c r="G107" s="28">
        <f>IF(D107="","",IFERROR(N(INDEX(Setup!$F$14:$F$33,MATCH(D107,Setup!$E$14:$E$33,0))),0))</f>
        <v/>
      </c>
      <c r="H107" s="29">
        <f>IF(OR(F107="",G107=""),"",F107*G107)</f>
        <v/>
      </c>
      <c r="I107" s="30" t="n"/>
    </row>
    <row r="108">
      <c r="B108" s="26" t="n"/>
      <c r="C108" s="17" t="n"/>
      <c r="D108" s="17" t="n"/>
      <c r="E108" s="17" t="n"/>
      <c r="F108" s="27" t="n"/>
      <c r="G108" s="28">
        <f>IF(D108="","",IFERROR(N(INDEX(Setup!$F$14:$F$33,MATCH(D108,Setup!$E$14:$E$33,0))),0))</f>
        <v/>
      </c>
      <c r="H108" s="29">
        <f>IF(OR(F108="",G108=""),"",F108*G108)</f>
        <v/>
      </c>
      <c r="I108" s="30" t="n"/>
    </row>
    <row r="109">
      <c r="B109" s="26" t="n"/>
      <c r="C109" s="17" t="n"/>
      <c r="D109" s="17" t="n"/>
      <c r="E109" s="17" t="n"/>
      <c r="F109" s="27" t="n"/>
      <c r="G109" s="28">
        <f>IF(D109="","",IFERROR(N(INDEX(Setup!$F$14:$F$33,MATCH(D109,Setup!$E$14:$E$33,0))),0))</f>
        <v/>
      </c>
      <c r="H109" s="29">
        <f>IF(OR(F109="",G109=""),"",F109*G109)</f>
        <v/>
      </c>
      <c r="I109" s="30" t="n"/>
    </row>
    <row r="110">
      <c r="B110" s="26" t="n"/>
      <c r="C110" s="17" t="n"/>
      <c r="D110" s="17" t="n"/>
      <c r="E110" s="17" t="n"/>
      <c r="F110" s="27" t="n"/>
      <c r="G110" s="28">
        <f>IF(D110="","",IFERROR(N(INDEX(Setup!$F$14:$F$33,MATCH(D110,Setup!$E$14:$E$33,0))),0))</f>
        <v/>
      </c>
      <c r="H110" s="29">
        <f>IF(OR(F110="",G110=""),"",F110*G110)</f>
        <v/>
      </c>
      <c r="I110" s="30" t="n"/>
    </row>
    <row r="111">
      <c r="B111" s="26" t="n"/>
      <c r="C111" s="17" t="n"/>
      <c r="D111" s="17" t="n"/>
      <c r="E111" s="17" t="n"/>
      <c r="F111" s="27" t="n"/>
      <c r="G111" s="28">
        <f>IF(D111="","",IFERROR(N(INDEX(Setup!$F$14:$F$33,MATCH(D111,Setup!$E$14:$E$33,0))),0))</f>
        <v/>
      </c>
      <c r="H111" s="29">
        <f>IF(OR(F111="",G111=""),"",F111*G111)</f>
        <v/>
      </c>
      <c r="I111" s="30" t="n"/>
    </row>
    <row r="112">
      <c r="B112" s="26" t="n"/>
      <c r="C112" s="17" t="n"/>
      <c r="D112" s="17" t="n"/>
      <c r="E112" s="17" t="n"/>
      <c r="F112" s="27" t="n"/>
      <c r="G112" s="28">
        <f>IF(D112="","",IFERROR(N(INDEX(Setup!$F$14:$F$33,MATCH(D112,Setup!$E$14:$E$33,0))),0))</f>
        <v/>
      </c>
      <c r="H112" s="29">
        <f>IF(OR(F112="",G112=""),"",F112*G112)</f>
        <v/>
      </c>
      <c r="I112" s="30" t="n"/>
    </row>
    <row r="113">
      <c r="B113" s="26" t="n"/>
      <c r="C113" s="17" t="n"/>
      <c r="D113" s="17" t="n"/>
      <c r="E113" s="17" t="n"/>
      <c r="F113" s="27" t="n"/>
      <c r="G113" s="28">
        <f>IF(D113="","",IFERROR(N(INDEX(Setup!$F$14:$F$33,MATCH(D113,Setup!$E$14:$E$33,0))),0))</f>
        <v/>
      </c>
      <c r="H113" s="29">
        <f>IF(OR(F113="",G113=""),"",F113*G113)</f>
        <v/>
      </c>
      <c r="I113" s="30" t="n"/>
    </row>
    <row r="114">
      <c r="B114" s="26" t="n"/>
      <c r="C114" s="17" t="n"/>
      <c r="D114" s="17" t="n"/>
      <c r="E114" s="17" t="n"/>
      <c r="F114" s="27" t="n"/>
      <c r="G114" s="28">
        <f>IF(D114="","",IFERROR(N(INDEX(Setup!$F$14:$F$33,MATCH(D114,Setup!$E$14:$E$33,0))),0))</f>
        <v/>
      </c>
      <c r="H114" s="29">
        <f>IF(OR(F114="",G114=""),"",F114*G114)</f>
        <v/>
      </c>
      <c r="I114" s="30" t="n"/>
    </row>
    <row r="115">
      <c r="B115" s="26" t="n"/>
      <c r="C115" s="17" t="n"/>
      <c r="D115" s="17" t="n"/>
      <c r="E115" s="17" t="n"/>
      <c r="F115" s="27" t="n"/>
      <c r="G115" s="28">
        <f>IF(D115="","",IFERROR(N(INDEX(Setup!$F$14:$F$33,MATCH(D115,Setup!$E$14:$E$33,0))),0))</f>
        <v/>
      </c>
      <c r="H115" s="29">
        <f>IF(OR(F115="",G115=""),"",F115*G115)</f>
        <v/>
      </c>
      <c r="I115" s="30" t="n"/>
    </row>
    <row r="116">
      <c r="B116" s="26" t="n"/>
      <c r="C116" s="17" t="n"/>
      <c r="D116" s="17" t="n"/>
      <c r="E116" s="17" t="n"/>
      <c r="F116" s="27" t="n"/>
      <c r="G116" s="28">
        <f>IF(D116="","",IFERROR(N(INDEX(Setup!$F$14:$F$33,MATCH(D116,Setup!$E$14:$E$33,0))),0))</f>
        <v/>
      </c>
      <c r="H116" s="29">
        <f>IF(OR(F116="",G116=""),"",F116*G116)</f>
        <v/>
      </c>
      <c r="I116" s="30" t="n"/>
    </row>
    <row r="117">
      <c r="B117" s="26" t="n"/>
      <c r="C117" s="17" t="n"/>
      <c r="D117" s="17" t="n"/>
      <c r="E117" s="17" t="n"/>
      <c r="F117" s="27" t="n"/>
      <c r="G117" s="28">
        <f>IF(D117="","",IFERROR(N(INDEX(Setup!$F$14:$F$33,MATCH(D117,Setup!$E$14:$E$33,0))),0))</f>
        <v/>
      </c>
      <c r="H117" s="29">
        <f>IF(OR(F117="",G117=""),"",F117*G117)</f>
        <v/>
      </c>
      <c r="I117" s="30" t="n"/>
    </row>
    <row r="118">
      <c r="B118" s="26" t="n"/>
      <c r="C118" s="17" t="n"/>
      <c r="D118" s="17" t="n"/>
      <c r="E118" s="17" t="n"/>
      <c r="F118" s="27" t="n"/>
      <c r="G118" s="28">
        <f>IF(D118="","",IFERROR(N(INDEX(Setup!$F$14:$F$33,MATCH(D118,Setup!$E$14:$E$33,0))),0))</f>
        <v/>
      </c>
      <c r="H118" s="29">
        <f>IF(OR(F118="",G118=""),"",F118*G118)</f>
        <v/>
      </c>
      <c r="I118" s="30" t="n"/>
    </row>
    <row r="119">
      <c r="B119" s="26" t="n"/>
      <c r="C119" s="17" t="n"/>
      <c r="D119" s="17" t="n"/>
      <c r="E119" s="17" t="n"/>
      <c r="F119" s="27" t="n"/>
      <c r="G119" s="28">
        <f>IF(D119="","",IFERROR(N(INDEX(Setup!$F$14:$F$33,MATCH(D119,Setup!$E$14:$E$33,0))),0))</f>
        <v/>
      </c>
      <c r="H119" s="29">
        <f>IF(OR(F119="",G119=""),"",F119*G119)</f>
        <v/>
      </c>
      <c r="I119" s="30" t="n"/>
    </row>
    <row r="120">
      <c r="B120" s="26" t="n"/>
      <c r="C120" s="17" t="n"/>
      <c r="D120" s="17" t="n"/>
      <c r="E120" s="17" t="n"/>
      <c r="F120" s="27" t="n"/>
      <c r="G120" s="28">
        <f>IF(D120="","",IFERROR(N(INDEX(Setup!$F$14:$F$33,MATCH(D120,Setup!$E$14:$E$33,0))),0))</f>
        <v/>
      </c>
      <c r="H120" s="29">
        <f>IF(OR(F120="",G120=""),"",F120*G120)</f>
        <v/>
      </c>
      <c r="I120" s="30" t="n"/>
    </row>
    <row r="121">
      <c r="B121" s="26" t="n"/>
      <c r="C121" s="17" t="n"/>
      <c r="D121" s="17" t="n"/>
      <c r="E121" s="17" t="n"/>
      <c r="F121" s="27" t="n"/>
      <c r="G121" s="28">
        <f>IF(D121="","",IFERROR(N(INDEX(Setup!$F$14:$F$33,MATCH(D121,Setup!$E$14:$E$33,0))),0))</f>
        <v/>
      </c>
      <c r="H121" s="29">
        <f>IF(OR(F121="",G121=""),"",F121*G121)</f>
        <v/>
      </c>
      <c r="I121" s="30" t="n"/>
    </row>
    <row r="122">
      <c r="B122" s="26" t="n"/>
      <c r="C122" s="17" t="n"/>
      <c r="D122" s="17" t="n"/>
      <c r="E122" s="17" t="n"/>
      <c r="F122" s="27" t="n"/>
      <c r="G122" s="28">
        <f>IF(D122="","",IFERROR(N(INDEX(Setup!$F$14:$F$33,MATCH(D122,Setup!$E$14:$E$33,0))),0))</f>
        <v/>
      </c>
      <c r="H122" s="29">
        <f>IF(OR(F122="",G122=""),"",F122*G122)</f>
        <v/>
      </c>
      <c r="I122" s="30" t="n"/>
    </row>
    <row r="123">
      <c r="B123" s="26" t="n"/>
      <c r="C123" s="17" t="n"/>
      <c r="D123" s="17" t="n"/>
      <c r="E123" s="17" t="n"/>
      <c r="F123" s="27" t="n"/>
      <c r="G123" s="28">
        <f>IF(D123="","",IFERROR(N(INDEX(Setup!$F$14:$F$33,MATCH(D123,Setup!$E$14:$E$33,0))),0))</f>
        <v/>
      </c>
      <c r="H123" s="29">
        <f>IF(OR(F123="",G123=""),"",F123*G123)</f>
        <v/>
      </c>
      <c r="I123" s="30" t="n"/>
    </row>
    <row r="124">
      <c r="B124" s="26" t="n"/>
      <c r="C124" s="17" t="n"/>
      <c r="D124" s="17" t="n"/>
      <c r="E124" s="17" t="n"/>
      <c r="F124" s="27" t="n"/>
      <c r="G124" s="28">
        <f>IF(D124="","",IFERROR(N(INDEX(Setup!$F$14:$F$33,MATCH(D124,Setup!$E$14:$E$33,0))),0))</f>
        <v/>
      </c>
      <c r="H124" s="29">
        <f>IF(OR(F124="",G124=""),"",F124*G124)</f>
        <v/>
      </c>
      <c r="I124" s="30" t="n"/>
    </row>
    <row r="125">
      <c r="B125" s="26" t="n"/>
      <c r="C125" s="17" t="n"/>
      <c r="D125" s="17" t="n"/>
      <c r="E125" s="17" t="n"/>
      <c r="F125" s="27" t="n"/>
      <c r="G125" s="28">
        <f>IF(D125="","",IFERROR(N(INDEX(Setup!$F$14:$F$33,MATCH(D125,Setup!$E$14:$E$33,0))),0))</f>
        <v/>
      </c>
      <c r="H125" s="29">
        <f>IF(OR(F125="",G125=""),"",F125*G125)</f>
        <v/>
      </c>
      <c r="I125" s="30" t="n"/>
    </row>
    <row r="126">
      <c r="B126" s="26" t="n"/>
      <c r="C126" s="17" t="n"/>
      <c r="D126" s="17" t="n"/>
      <c r="E126" s="17" t="n"/>
      <c r="F126" s="27" t="n"/>
      <c r="G126" s="28">
        <f>IF(D126="","",IFERROR(N(INDEX(Setup!$F$14:$F$33,MATCH(D126,Setup!$E$14:$E$33,0))),0))</f>
        <v/>
      </c>
      <c r="H126" s="29">
        <f>IF(OR(F126="",G126=""),"",F126*G126)</f>
        <v/>
      </c>
      <c r="I126" s="30" t="n"/>
    </row>
    <row r="127">
      <c r="B127" s="26" t="n"/>
      <c r="C127" s="17" t="n"/>
      <c r="D127" s="17" t="n"/>
      <c r="E127" s="17" t="n"/>
      <c r="F127" s="27" t="n"/>
      <c r="G127" s="28">
        <f>IF(D127="","",IFERROR(N(INDEX(Setup!$F$14:$F$33,MATCH(D127,Setup!$E$14:$E$33,0))),0))</f>
        <v/>
      </c>
      <c r="H127" s="29">
        <f>IF(OR(F127="",G127=""),"",F127*G127)</f>
        <v/>
      </c>
      <c r="I127" s="30" t="n"/>
    </row>
    <row r="128">
      <c r="B128" s="26" t="n"/>
      <c r="C128" s="17" t="n"/>
      <c r="D128" s="17" t="n"/>
      <c r="E128" s="17" t="n"/>
      <c r="F128" s="27" t="n"/>
      <c r="G128" s="28">
        <f>IF(D128="","",IFERROR(N(INDEX(Setup!$F$14:$F$33,MATCH(D128,Setup!$E$14:$E$33,0))),0))</f>
        <v/>
      </c>
      <c r="H128" s="29">
        <f>IF(OR(F128="",G128=""),"",F128*G128)</f>
        <v/>
      </c>
      <c r="I128" s="30" t="n"/>
    </row>
    <row r="129">
      <c r="B129" s="26" t="n"/>
      <c r="C129" s="17" t="n"/>
      <c r="D129" s="17" t="n"/>
      <c r="E129" s="17" t="n"/>
      <c r="F129" s="27" t="n"/>
      <c r="G129" s="28">
        <f>IF(D129="","",IFERROR(N(INDEX(Setup!$F$14:$F$33,MATCH(D129,Setup!$E$14:$E$33,0))),0))</f>
        <v/>
      </c>
      <c r="H129" s="29">
        <f>IF(OR(F129="",G129=""),"",F129*G129)</f>
        <v/>
      </c>
      <c r="I129" s="30" t="n"/>
    </row>
    <row r="130">
      <c r="B130" s="26" t="n"/>
      <c r="C130" s="17" t="n"/>
      <c r="D130" s="17" t="n"/>
      <c r="E130" s="17" t="n"/>
      <c r="F130" s="27" t="n"/>
      <c r="G130" s="28">
        <f>IF(D130="","",IFERROR(N(INDEX(Setup!$F$14:$F$33,MATCH(D130,Setup!$E$14:$E$33,0))),0))</f>
        <v/>
      </c>
      <c r="H130" s="29">
        <f>IF(OR(F130="",G130=""),"",F130*G130)</f>
        <v/>
      </c>
      <c r="I130" s="30" t="n"/>
    </row>
    <row r="131">
      <c r="B131" s="26" t="n"/>
      <c r="C131" s="17" t="n"/>
      <c r="D131" s="17" t="n"/>
      <c r="E131" s="17" t="n"/>
      <c r="F131" s="27" t="n"/>
      <c r="G131" s="28">
        <f>IF(D131="","",IFERROR(N(INDEX(Setup!$F$14:$F$33,MATCH(D131,Setup!$E$14:$E$33,0))),0))</f>
        <v/>
      </c>
      <c r="H131" s="29">
        <f>IF(OR(F131="",G131=""),"",F131*G131)</f>
        <v/>
      </c>
      <c r="I131" s="30" t="n"/>
    </row>
    <row r="132">
      <c r="B132" s="26" t="n"/>
      <c r="C132" s="17" t="n"/>
      <c r="D132" s="17" t="n"/>
      <c r="E132" s="17" t="n"/>
      <c r="F132" s="27" t="n"/>
      <c r="G132" s="28">
        <f>IF(D132="","",IFERROR(N(INDEX(Setup!$F$14:$F$33,MATCH(D132,Setup!$E$14:$E$33,0))),0))</f>
        <v/>
      </c>
      <c r="H132" s="29">
        <f>IF(OR(F132="",G132=""),"",F132*G132)</f>
        <v/>
      </c>
      <c r="I132" s="30" t="n"/>
    </row>
    <row r="133">
      <c r="B133" s="26" t="n"/>
      <c r="C133" s="17" t="n"/>
      <c r="D133" s="17" t="n"/>
      <c r="E133" s="17" t="n"/>
      <c r="F133" s="27" t="n"/>
      <c r="G133" s="28">
        <f>IF(D133="","",IFERROR(N(INDEX(Setup!$F$14:$F$33,MATCH(D133,Setup!$E$14:$E$33,0))),0))</f>
        <v/>
      </c>
      <c r="H133" s="29">
        <f>IF(OR(F133="",G133=""),"",F133*G133)</f>
        <v/>
      </c>
      <c r="I133" s="30" t="n"/>
    </row>
    <row r="134">
      <c r="B134" s="26" t="n"/>
      <c r="C134" s="17" t="n"/>
      <c r="D134" s="17" t="n"/>
      <c r="E134" s="17" t="n"/>
      <c r="F134" s="27" t="n"/>
      <c r="G134" s="28">
        <f>IF(D134="","",IFERROR(N(INDEX(Setup!$F$14:$F$33,MATCH(D134,Setup!$E$14:$E$33,0))),0))</f>
        <v/>
      </c>
      <c r="H134" s="29">
        <f>IF(OR(F134="",G134=""),"",F134*G134)</f>
        <v/>
      </c>
      <c r="I134" s="30" t="n"/>
    </row>
    <row r="135">
      <c r="B135" s="26" t="n"/>
      <c r="C135" s="17" t="n"/>
      <c r="D135" s="17" t="n"/>
      <c r="E135" s="17" t="n"/>
      <c r="F135" s="27" t="n"/>
      <c r="G135" s="28">
        <f>IF(D135="","",IFERROR(N(INDEX(Setup!$F$14:$F$33,MATCH(D135,Setup!$E$14:$E$33,0))),0))</f>
        <v/>
      </c>
      <c r="H135" s="29">
        <f>IF(OR(F135="",G135=""),"",F135*G135)</f>
        <v/>
      </c>
      <c r="I135" s="30" t="n"/>
    </row>
    <row r="136">
      <c r="B136" s="26" t="n"/>
      <c r="C136" s="17" t="n"/>
      <c r="D136" s="17" t="n"/>
      <c r="E136" s="17" t="n"/>
      <c r="F136" s="27" t="n"/>
      <c r="G136" s="28">
        <f>IF(D136="","",IFERROR(N(INDEX(Setup!$F$14:$F$33,MATCH(D136,Setup!$E$14:$E$33,0))),0))</f>
        <v/>
      </c>
      <c r="H136" s="29">
        <f>IF(OR(F136="",G136=""),"",F136*G136)</f>
        <v/>
      </c>
      <c r="I136" s="30" t="n"/>
    </row>
    <row r="137">
      <c r="B137" s="26" t="n"/>
      <c r="C137" s="17" t="n"/>
      <c r="D137" s="17" t="n"/>
      <c r="E137" s="17" t="n"/>
      <c r="F137" s="27" t="n"/>
      <c r="G137" s="28">
        <f>IF(D137="","",IFERROR(N(INDEX(Setup!$F$14:$F$33,MATCH(D137,Setup!$E$14:$E$33,0))),0))</f>
        <v/>
      </c>
      <c r="H137" s="29">
        <f>IF(OR(F137="",G137=""),"",F137*G137)</f>
        <v/>
      </c>
      <c r="I137" s="30" t="n"/>
    </row>
    <row r="138">
      <c r="B138" s="26" t="n"/>
      <c r="C138" s="17" t="n"/>
      <c r="D138" s="17" t="n"/>
      <c r="E138" s="17" t="n"/>
      <c r="F138" s="27" t="n"/>
      <c r="G138" s="28">
        <f>IF(D138="","",IFERROR(N(INDEX(Setup!$F$14:$F$33,MATCH(D138,Setup!$E$14:$E$33,0))),0))</f>
        <v/>
      </c>
      <c r="H138" s="29">
        <f>IF(OR(F138="",G138=""),"",F138*G138)</f>
        <v/>
      </c>
      <c r="I138" s="30" t="n"/>
    </row>
    <row r="139">
      <c r="B139" s="26" t="n"/>
      <c r="C139" s="17" t="n"/>
      <c r="D139" s="17" t="n"/>
      <c r="E139" s="17" t="n"/>
      <c r="F139" s="27" t="n"/>
      <c r="G139" s="28">
        <f>IF(D139="","",IFERROR(N(INDEX(Setup!$F$14:$F$33,MATCH(D139,Setup!$E$14:$E$33,0))),0))</f>
        <v/>
      </c>
      <c r="H139" s="29">
        <f>IF(OR(F139="",G139=""),"",F139*G139)</f>
        <v/>
      </c>
      <c r="I139" s="30" t="n"/>
    </row>
    <row r="140">
      <c r="B140" s="26" t="n"/>
      <c r="C140" s="17" t="n"/>
      <c r="D140" s="17" t="n"/>
      <c r="E140" s="17" t="n"/>
      <c r="F140" s="27" t="n"/>
      <c r="G140" s="28">
        <f>IF(D140="","",IFERROR(N(INDEX(Setup!$F$14:$F$33,MATCH(D140,Setup!$E$14:$E$33,0))),0))</f>
        <v/>
      </c>
      <c r="H140" s="29">
        <f>IF(OR(F140="",G140=""),"",F140*G140)</f>
        <v/>
      </c>
      <c r="I140" s="30" t="n"/>
    </row>
    <row r="141">
      <c r="B141" s="26" t="n"/>
      <c r="C141" s="17" t="n"/>
      <c r="D141" s="17" t="n"/>
      <c r="E141" s="17" t="n"/>
      <c r="F141" s="27" t="n"/>
      <c r="G141" s="28">
        <f>IF(D141="","",IFERROR(N(INDEX(Setup!$F$14:$F$33,MATCH(D141,Setup!$E$14:$E$33,0))),0))</f>
        <v/>
      </c>
      <c r="H141" s="29">
        <f>IF(OR(F141="",G141=""),"",F141*G141)</f>
        <v/>
      </c>
      <c r="I141" s="30" t="n"/>
    </row>
    <row r="142">
      <c r="B142" s="26" t="n"/>
      <c r="C142" s="17" t="n"/>
      <c r="D142" s="17" t="n"/>
      <c r="E142" s="17" t="n"/>
      <c r="F142" s="27" t="n"/>
      <c r="G142" s="28">
        <f>IF(D142="","",IFERROR(N(INDEX(Setup!$F$14:$F$33,MATCH(D142,Setup!$E$14:$E$33,0))),0))</f>
        <v/>
      </c>
      <c r="H142" s="29">
        <f>IF(OR(F142="",G142=""),"",F142*G142)</f>
        <v/>
      </c>
      <c r="I142" s="30" t="n"/>
    </row>
    <row r="143">
      <c r="B143" s="26" t="n"/>
      <c r="C143" s="17" t="n"/>
      <c r="D143" s="17" t="n"/>
      <c r="E143" s="17" t="n"/>
      <c r="F143" s="27" t="n"/>
      <c r="G143" s="28">
        <f>IF(D143="","",IFERROR(N(INDEX(Setup!$F$14:$F$33,MATCH(D143,Setup!$E$14:$E$33,0))),0))</f>
        <v/>
      </c>
      <c r="H143" s="29">
        <f>IF(OR(F143="",G143=""),"",F143*G143)</f>
        <v/>
      </c>
      <c r="I143" s="30" t="n"/>
    </row>
    <row r="144">
      <c r="B144" s="26" t="n"/>
      <c r="C144" s="17" t="n"/>
      <c r="D144" s="17" t="n"/>
      <c r="E144" s="17" t="n"/>
      <c r="F144" s="27" t="n"/>
      <c r="G144" s="28">
        <f>IF(D144="","",IFERROR(N(INDEX(Setup!$F$14:$F$33,MATCH(D144,Setup!$E$14:$E$33,0))),0))</f>
        <v/>
      </c>
      <c r="H144" s="29">
        <f>IF(OR(F144="",G144=""),"",F144*G144)</f>
        <v/>
      </c>
      <c r="I144" s="30" t="n"/>
    </row>
    <row r="145">
      <c r="B145" s="26" t="n"/>
      <c r="C145" s="17" t="n"/>
      <c r="D145" s="17" t="n"/>
      <c r="E145" s="17" t="n"/>
      <c r="F145" s="27" t="n"/>
      <c r="G145" s="28">
        <f>IF(D145="","",IFERROR(N(INDEX(Setup!$F$14:$F$33,MATCH(D145,Setup!$E$14:$E$33,0))),0))</f>
        <v/>
      </c>
      <c r="H145" s="29">
        <f>IF(OR(F145="",G145=""),"",F145*G145)</f>
        <v/>
      </c>
      <c r="I145" s="30" t="n"/>
    </row>
    <row r="146">
      <c r="B146" s="26" t="n"/>
      <c r="C146" s="17" t="n"/>
      <c r="D146" s="17" t="n"/>
      <c r="E146" s="17" t="n"/>
      <c r="F146" s="27" t="n"/>
      <c r="G146" s="28">
        <f>IF(D146="","",IFERROR(N(INDEX(Setup!$F$14:$F$33,MATCH(D146,Setup!$E$14:$E$33,0))),0))</f>
        <v/>
      </c>
      <c r="H146" s="29">
        <f>IF(OR(F146="",G146=""),"",F146*G146)</f>
        <v/>
      </c>
      <c r="I146" s="30" t="n"/>
    </row>
    <row r="147">
      <c r="B147" s="26" t="n"/>
      <c r="C147" s="17" t="n"/>
      <c r="D147" s="17" t="n"/>
      <c r="E147" s="17" t="n"/>
      <c r="F147" s="27" t="n"/>
      <c r="G147" s="28">
        <f>IF(D147="","",IFERROR(N(INDEX(Setup!$F$14:$F$33,MATCH(D147,Setup!$E$14:$E$33,0))),0))</f>
        <v/>
      </c>
      <c r="H147" s="29">
        <f>IF(OR(F147="",G147=""),"",F147*G147)</f>
        <v/>
      </c>
      <c r="I147" s="30" t="n"/>
    </row>
    <row r="148">
      <c r="B148" s="26" t="n"/>
      <c r="C148" s="17" t="n"/>
      <c r="D148" s="17" t="n"/>
      <c r="E148" s="17" t="n"/>
      <c r="F148" s="27" t="n"/>
      <c r="G148" s="28">
        <f>IF(D148="","",IFERROR(N(INDEX(Setup!$F$14:$F$33,MATCH(D148,Setup!$E$14:$E$33,0))),0))</f>
        <v/>
      </c>
      <c r="H148" s="29">
        <f>IF(OR(F148="",G148=""),"",F148*G148)</f>
        <v/>
      </c>
      <c r="I148" s="30" t="n"/>
    </row>
    <row r="149">
      <c r="B149" s="26" t="n"/>
      <c r="C149" s="17" t="n"/>
      <c r="D149" s="17" t="n"/>
      <c r="E149" s="17" t="n"/>
      <c r="F149" s="27" t="n"/>
      <c r="G149" s="28">
        <f>IF(D149="","",IFERROR(N(INDEX(Setup!$F$14:$F$33,MATCH(D149,Setup!$E$14:$E$33,0))),0))</f>
        <v/>
      </c>
      <c r="H149" s="29">
        <f>IF(OR(F149="",G149=""),"",F149*G149)</f>
        <v/>
      </c>
      <c r="I149" s="30" t="n"/>
    </row>
    <row r="150">
      <c r="B150" s="26" t="n"/>
      <c r="C150" s="17" t="n"/>
      <c r="D150" s="17" t="n"/>
      <c r="E150" s="17" t="n"/>
      <c r="F150" s="27" t="n"/>
      <c r="G150" s="28">
        <f>IF(D150="","",IFERROR(N(INDEX(Setup!$F$14:$F$33,MATCH(D150,Setup!$E$14:$E$33,0))),0))</f>
        <v/>
      </c>
      <c r="H150" s="29">
        <f>IF(OR(F150="",G150=""),"",F150*G150)</f>
        <v/>
      </c>
      <c r="I150" s="30" t="n"/>
    </row>
    <row r="151">
      <c r="B151" s="26" t="n"/>
      <c r="C151" s="17" t="n"/>
      <c r="D151" s="17" t="n"/>
      <c r="E151" s="17" t="n"/>
      <c r="F151" s="27" t="n"/>
      <c r="G151" s="28">
        <f>IF(D151="","",IFERROR(N(INDEX(Setup!$F$14:$F$33,MATCH(D151,Setup!$E$14:$E$33,0))),0))</f>
        <v/>
      </c>
      <c r="H151" s="29">
        <f>IF(OR(F151="",G151=""),"",F151*G151)</f>
        <v/>
      </c>
      <c r="I151" s="30" t="n"/>
    </row>
    <row r="152">
      <c r="B152" s="26" t="n"/>
      <c r="C152" s="17" t="n"/>
      <c r="D152" s="17" t="n"/>
      <c r="E152" s="17" t="n"/>
      <c r="F152" s="27" t="n"/>
      <c r="G152" s="28">
        <f>IF(D152="","",IFERROR(N(INDEX(Setup!$F$14:$F$33,MATCH(D152,Setup!$E$14:$E$33,0))),0))</f>
        <v/>
      </c>
      <c r="H152" s="29">
        <f>IF(OR(F152="",G152=""),"",F152*G152)</f>
        <v/>
      </c>
      <c r="I152" s="30" t="n"/>
    </row>
    <row r="153">
      <c r="B153" s="26" t="n"/>
      <c r="C153" s="17" t="n"/>
      <c r="D153" s="17" t="n"/>
      <c r="E153" s="17" t="n"/>
      <c r="F153" s="27" t="n"/>
      <c r="G153" s="28">
        <f>IF(D153="","",IFERROR(N(INDEX(Setup!$F$14:$F$33,MATCH(D153,Setup!$E$14:$E$33,0))),0))</f>
        <v/>
      </c>
      <c r="H153" s="29">
        <f>IF(OR(F153="",G153=""),"",F153*G153)</f>
        <v/>
      </c>
      <c r="I153" s="30" t="n"/>
    </row>
    <row r="154">
      <c r="B154" s="26" t="n"/>
      <c r="C154" s="17" t="n"/>
      <c r="D154" s="17" t="n"/>
      <c r="E154" s="17" t="n"/>
      <c r="F154" s="27" t="n"/>
      <c r="G154" s="28">
        <f>IF(D154="","",IFERROR(N(INDEX(Setup!$F$14:$F$33,MATCH(D154,Setup!$E$14:$E$33,0))),0))</f>
        <v/>
      </c>
      <c r="H154" s="29">
        <f>IF(OR(F154="",G154=""),"",F154*G154)</f>
        <v/>
      </c>
      <c r="I154" s="30" t="n"/>
    </row>
    <row r="155">
      <c r="B155" s="26" t="n"/>
      <c r="C155" s="17" t="n"/>
      <c r="D155" s="17" t="n"/>
      <c r="E155" s="17" t="n"/>
      <c r="F155" s="27" t="n"/>
      <c r="G155" s="28">
        <f>IF(D155="","",IFERROR(N(INDEX(Setup!$F$14:$F$33,MATCH(D155,Setup!$E$14:$E$33,0))),0))</f>
        <v/>
      </c>
      <c r="H155" s="29">
        <f>IF(OR(F155="",G155=""),"",F155*G155)</f>
        <v/>
      </c>
      <c r="I155" s="30" t="n"/>
    </row>
    <row r="156">
      <c r="B156" s="26" t="n"/>
      <c r="C156" s="17" t="n"/>
      <c r="D156" s="17" t="n"/>
      <c r="E156" s="17" t="n"/>
      <c r="F156" s="27" t="n"/>
      <c r="G156" s="28">
        <f>IF(D156="","",IFERROR(N(INDEX(Setup!$F$14:$F$33,MATCH(D156,Setup!$E$14:$E$33,0))),0))</f>
        <v/>
      </c>
      <c r="H156" s="29">
        <f>IF(OR(F156="",G156=""),"",F156*G156)</f>
        <v/>
      </c>
      <c r="I156" s="30" t="n"/>
    </row>
    <row r="157">
      <c r="B157" s="26" t="n"/>
      <c r="C157" s="17" t="n"/>
      <c r="D157" s="17" t="n"/>
      <c r="E157" s="17" t="n"/>
      <c r="F157" s="27" t="n"/>
      <c r="G157" s="28">
        <f>IF(D157="","",IFERROR(N(INDEX(Setup!$F$14:$F$33,MATCH(D157,Setup!$E$14:$E$33,0))),0))</f>
        <v/>
      </c>
      <c r="H157" s="29">
        <f>IF(OR(F157="",G157=""),"",F157*G157)</f>
        <v/>
      </c>
      <c r="I157" s="30" t="n"/>
    </row>
    <row r="158">
      <c r="B158" s="26" t="n"/>
      <c r="C158" s="17" t="n"/>
      <c r="D158" s="17" t="n"/>
      <c r="E158" s="17" t="n"/>
      <c r="F158" s="27" t="n"/>
      <c r="G158" s="28">
        <f>IF(D158="","",IFERROR(N(INDEX(Setup!$F$14:$F$33,MATCH(D158,Setup!$E$14:$E$33,0))),0))</f>
        <v/>
      </c>
      <c r="H158" s="29">
        <f>IF(OR(F158="",G158=""),"",F158*G158)</f>
        <v/>
      </c>
      <c r="I158" s="30" t="n"/>
    </row>
    <row r="159">
      <c r="B159" s="26" t="n"/>
      <c r="C159" s="17" t="n"/>
      <c r="D159" s="17" t="n"/>
      <c r="E159" s="17" t="n"/>
      <c r="F159" s="27" t="n"/>
      <c r="G159" s="28">
        <f>IF(D159="","",IFERROR(N(INDEX(Setup!$F$14:$F$33,MATCH(D159,Setup!$E$14:$E$33,0))),0))</f>
        <v/>
      </c>
      <c r="H159" s="29">
        <f>IF(OR(F159="",G159=""),"",F159*G159)</f>
        <v/>
      </c>
      <c r="I159" s="30" t="n"/>
    </row>
    <row r="160">
      <c r="B160" s="26" t="n"/>
      <c r="C160" s="17" t="n"/>
      <c r="D160" s="17" t="n"/>
      <c r="E160" s="17" t="n"/>
      <c r="F160" s="27" t="n"/>
      <c r="G160" s="28">
        <f>IF(D160="","",IFERROR(N(INDEX(Setup!$F$14:$F$33,MATCH(D160,Setup!$E$14:$E$33,0))),0))</f>
        <v/>
      </c>
      <c r="H160" s="29">
        <f>IF(OR(F160="",G160=""),"",F160*G160)</f>
        <v/>
      </c>
      <c r="I160" s="30" t="n"/>
    </row>
    <row r="161">
      <c r="B161" s="26" t="n"/>
      <c r="C161" s="17" t="n"/>
      <c r="D161" s="17" t="n"/>
      <c r="E161" s="17" t="n"/>
      <c r="F161" s="27" t="n"/>
      <c r="G161" s="28">
        <f>IF(D161="","",IFERROR(N(INDEX(Setup!$F$14:$F$33,MATCH(D161,Setup!$E$14:$E$33,0))),0))</f>
        <v/>
      </c>
      <c r="H161" s="29">
        <f>IF(OR(F161="",G161=""),"",F161*G161)</f>
        <v/>
      </c>
      <c r="I161" s="30" t="n"/>
    </row>
    <row r="162">
      <c r="B162" s="26" t="n"/>
      <c r="C162" s="17" t="n"/>
      <c r="D162" s="17" t="n"/>
      <c r="E162" s="17" t="n"/>
      <c r="F162" s="27" t="n"/>
      <c r="G162" s="28">
        <f>IF(D162="","",IFERROR(N(INDEX(Setup!$F$14:$F$33,MATCH(D162,Setup!$E$14:$E$33,0))),0))</f>
        <v/>
      </c>
      <c r="H162" s="29">
        <f>IF(OR(F162="",G162=""),"",F162*G162)</f>
        <v/>
      </c>
      <c r="I162" s="30" t="n"/>
    </row>
    <row r="163">
      <c r="B163" s="26" t="n"/>
      <c r="C163" s="17" t="n"/>
      <c r="D163" s="17" t="n"/>
      <c r="E163" s="17" t="n"/>
      <c r="F163" s="27" t="n"/>
      <c r="G163" s="28">
        <f>IF(D163="","",IFERROR(N(INDEX(Setup!$F$14:$F$33,MATCH(D163,Setup!$E$14:$E$33,0))),0))</f>
        <v/>
      </c>
      <c r="H163" s="29">
        <f>IF(OR(F163="",G163=""),"",F163*G163)</f>
        <v/>
      </c>
      <c r="I163" s="30" t="n"/>
    </row>
    <row r="164">
      <c r="B164" s="26" t="n"/>
      <c r="C164" s="17" t="n"/>
      <c r="D164" s="17" t="n"/>
      <c r="E164" s="17" t="n"/>
      <c r="F164" s="27" t="n"/>
      <c r="G164" s="28">
        <f>IF(D164="","",IFERROR(N(INDEX(Setup!$F$14:$F$33,MATCH(D164,Setup!$E$14:$E$33,0))),0))</f>
        <v/>
      </c>
      <c r="H164" s="29">
        <f>IF(OR(F164="",G164=""),"",F164*G164)</f>
        <v/>
      </c>
      <c r="I164" s="30" t="n"/>
    </row>
    <row r="165">
      <c r="B165" s="26" t="n"/>
      <c r="C165" s="17" t="n"/>
      <c r="D165" s="17" t="n"/>
      <c r="E165" s="17" t="n"/>
      <c r="F165" s="27" t="n"/>
      <c r="G165" s="28">
        <f>IF(D165="","",IFERROR(N(INDEX(Setup!$F$14:$F$33,MATCH(D165,Setup!$E$14:$E$33,0))),0))</f>
        <v/>
      </c>
      <c r="H165" s="29">
        <f>IF(OR(F165="",G165=""),"",F165*G165)</f>
        <v/>
      </c>
      <c r="I165" s="30" t="n"/>
    </row>
    <row r="166">
      <c r="B166" s="26" t="n"/>
      <c r="C166" s="17" t="n"/>
      <c r="D166" s="17" t="n"/>
      <c r="E166" s="17" t="n"/>
      <c r="F166" s="27" t="n"/>
      <c r="G166" s="28">
        <f>IF(D166="","",IFERROR(N(INDEX(Setup!$F$14:$F$33,MATCH(D166,Setup!$E$14:$E$33,0))),0))</f>
        <v/>
      </c>
      <c r="H166" s="29">
        <f>IF(OR(F166="",G166=""),"",F166*G166)</f>
        <v/>
      </c>
      <c r="I166" s="30" t="n"/>
    </row>
    <row r="167">
      <c r="B167" s="26" t="n"/>
      <c r="C167" s="17" t="n"/>
      <c r="D167" s="17" t="n"/>
      <c r="E167" s="17" t="n"/>
      <c r="F167" s="27" t="n"/>
      <c r="G167" s="28">
        <f>IF(D167="","",IFERROR(N(INDEX(Setup!$F$14:$F$33,MATCH(D167,Setup!$E$14:$E$33,0))),0))</f>
        <v/>
      </c>
      <c r="H167" s="29">
        <f>IF(OR(F167="",G167=""),"",F167*G167)</f>
        <v/>
      </c>
      <c r="I167" s="30" t="n"/>
    </row>
    <row r="168">
      <c r="B168" s="26" t="n"/>
      <c r="C168" s="17" t="n"/>
      <c r="D168" s="17" t="n"/>
      <c r="E168" s="17" t="n"/>
      <c r="F168" s="27" t="n"/>
      <c r="G168" s="28">
        <f>IF(D168="","",IFERROR(N(INDEX(Setup!$F$14:$F$33,MATCH(D168,Setup!$E$14:$E$33,0))),0))</f>
        <v/>
      </c>
      <c r="H168" s="29">
        <f>IF(OR(F168="",G168=""),"",F168*G168)</f>
        <v/>
      </c>
      <c r="I168" s="30" t="n"/>
    </row>
    <row r="169">
      <c r="B169" s="26" t="n"/>
      <c r="C169" s="17" t="n"/>
      <c r="D169" s="17" t="n"/>
      <c r="E169" s="17" t="n"/>
      <c r="F169" s="27" t="n"/>
      <c r="G169" s="28">
        <f>IF(D169="","",IFERROR(N(INDEX(Setup!$F$14:$F$33,MATCH(D169,Setup!$E$14:$E$33,0))),0))</f>
        <v/>
      </c>
      <c r="H169" s="29">
        <f>IF(OR(F169="",G169=""),"",F169*G169)</f>
        <v/>
      </c>
      <c r="I169" s="30" t="n"/>
    </row>
    <row r="170">
      <c r="B170" s="26" t="n"/>
      <c r="C170" s="17" t="n"/>
      <c r="D170" s="17" t="n"/>
      <c r="E170" s="17" t="n"/>
      <c r="F170" s="27" t="n"/>
      <c r="G170" s="28">
        <f>IF(D170="","",IFERROR(N(INDEX(Setup!$F$14:$F$33,MATCH(D170,Setup!$E$14:$E$33,0))),0))</f>
        <v/>
      </c>
      <c r="H170" s="29">
        <f>IF(OR(F170="",G170=""),"",F170*G170)</f>
        <v/>
      </c>
      <c r="I170" s="30" t="n"/>
    </row>
    <row r="171">
      <c r="B171" s="26" t="n"/>
      <c r="C171" s="17" t="n"/>
      <c r="D171" s="17" t="n"/>
      <c r="E171" s="17" t="n"/>
      <c r="F171" s="27" t="n"/>
      <c r="G171" s="28">
        <f>IF(D171="","",IFERROR(N(INDEX(Setup!$F$14:$F$33,MATCH(D171,Setup!$E$14:$E$33,0))),0))</f>
        <v/>
      </c>
      <c r="H171" s="29">
        <f>IF(OR(F171="",G171=""),"",F171*G171)</f>
        <v/>
      </c>
      <c r="I171" s="30" t="n"/>
    </row>
    <row r="172">
      <c r="B172" s="26" t="n"/>
      <c r="C172" s="17" t="n"/>
      <c r="D172" s="17" t="n"/>
      <c r="E172" s="17" t="n"/>
      <c r="F172" s="27" t="n"/>
      <c r="G172" s="28">
        <f>IF(D172="","",IFERROR(N(INDEX(Setup!$F$14:$F$33,MATCH(D172,Setup!$E$14:$E$33,0))),0))</f>
        <v/>
      </c>
      <c r="H172" s="29">
        <f>IF(OR(F172="",G172=""),"",F172*G172)</f>
        <v/>
      </c>
      <c r="I172" s="30" t="n"/>
    </row>
    <row r="173">
      <c r="B173" s="26" t="n"/>
      <c r="C173" s="17" t="n"/>
      <c r="D173" s="17" t="n"/>
      <c r="E173" s="17" t="n"/>
      <c r="F173" s="27" t="n"/>
      <c r="G173" s="28">
        <f>IF(D173="","",IFERROR(N(INDEX(Setup!$F$14:$F$33,MATCH(D173,Setup!$E$14:$E$33,0))),0))</f>
        <v/>
      </c>
      <c r="H173" s="29">
        <f>IF(OR(F173="",G173=""),"",F173*G173)</f>
        <v/>
      </c>
      <c r="I173" s="30" t="n"/>
    </row>
    <row r="174">
      <c r="B174" s="26" t="n"/>
      <c r="C174" s="17" t="n"/>
      <c r="D174" s="17" t="n"/>
      <c r="E174" s="17" t="n"/>
      <c r="F174" s="27" t="n"/>
      <c r="G174" s="28">
        <f>IF(D174="","",IFERROR(N(INDEX(Setup!$F$14:$F$33,MATCH(D174,Setup!$E$14:$E$33,0))),0))</f>
        <v/>
      </c>
      <c r="H174" s="29">
        <f>IF(OR(F174="",G174=""),"",F174*G174)</f>
        <v/>
      </c>
      <c r="I174" s="30" t="n"/>
    </row>
    <row r="175">
      <c r="B175" s="26" t="n"/>
      <c r="C175" s="17" t="n"/>
      <c r="D175" s="17" t="n"/>
      <c r="E175" s="17" t="n"/>
      <c r="F175" s="27" t="n"/>
      <c r="G175" s="28">
        <f>IF(D175="","",IFERROR(N(INDEX(Setup!$F$14:$F$33,MATCH(D175,Setup!$E$14:$E$33,0))),0))</f>
        <v/>
      </c>
      <c r="H175" s="29">
        <f>IF(OR(F175="",G175=""),"",F175*G175)</f>
        <v/>
      </c>
      <c r="I175" s="30" t="n"/>
    </row>
    <row r="176">
      <c r="B176" s="26" t="n"/>
      <c r="C176" s="17" t="n"/>
      <c r="D176" s="17" t="n"/>
      <c r="E176" s="17" t="n"/>
      <c r="F176" s="27" t="n"/>
      <c r="G176" s="28">
        <f>IF(D176="","",IFERROR(N(INDEX(Setup!$F$14:$F$33,MATCH(D176,Setup!$E$14:$E$33,0))),0))</f>
        <v/>
      </c>
      <c r="H176" s="29">
        <f>IF(OR(F176="",G176=""),"",F176*G176)</f>
        <v/>
      </c>
      <c r="I176" s="30" t="n"/>
    </row>
    <row r="177">
      <c r="B177" s="26" t="n"/>
      <c r="C177" s="17" t="n"/>
      <c r="D177" s="17" t="n"/>
      <c r="E177" s="17" t="n"/>
      <c r="F177" s="27" t="n"/>
      <c r="G177" s="28">
        <f>IF(D177="","",IFERROR(N(INDEX(Setup!$F$14:$F$33,MATCH(D177,Setup!$E$14:$E$33,0))),0))</f>
        <v/>
      </c>
      <c r="H177" s="29">
        <f>IF(OR(F177="",G177=""),"",F177*G177)</f>
        <v/>
      </c>
      <c r="I177" s="30" t="n"/>
    </row>
    <row r="178">
      <c r="B178" s="26" t="n"/>
      <c r="C178" s="17" t="n"/>
      <c r="D178" s="17" t="n"/>
      <c r="E178" s="17" t="n"/>
      <c r="F178" s="27" t="n"/>
      <c r="G178" s="28">
        <f>IF(D178="","",IFERROR(N(INDEX(Setup!$F$14:$F$33,MATCH(D178,Setup!$E$14:$E$33,0))),0))</f>
        <v/>
      </c>
      <c r="H178" s="29">
        <f>IF(OR(F178="",G178=""),"",F178*G178)</f>
        <v/>
      </c>
      <c r="I178" s="30" t="n"/>
    </row>
    <row r="179">
      <c r="B179" s="26" t="n"/>
      <c r="C179" s="17" t="n"/>
      <c r="D179" s="17" t="n"/>
      <c r="E179" s="17" t="n"/>
      <c r="F179" s="27" t="n"/>
      <c r="G179" s="28">
        <f>IF(D179="","",IFERROR(N(INDEX(Setup!$F$14:$F$33,MATCH(D179,Setup!$E$14:$E$33,0))),0))</f>
        <v/>
      </c>
      <c r="H179" s="29">
        <f>IF(OR(F179="",G179=""),"",F179*G179)</f>
        <v/>
      </c>
      <c r="I179" s="30" t="n"/>
    </row>
    <row r="180">
      <c r="B180" s="26" t="n"/>
      <c r="C180" s="17" t="n"/>
      <c r="D180" s="17" t="n"/>
      <c r="E180" s="17" t="n"/>
      <c r="F180" s="27" t="n"/>
      <c r="G180" s="28">
        <f>IF(D180="","",IFERROR(N(INDEX(Setup!$F$14:$F$33,MATCH(D180,Setup!$E$14:$E$33,0))),0))</f>
        <v/>
      </c>
      <c r="H180" s="29">
        <f>IF(OR(F180="",G180=""),"",F180*G180)</f>
        <v/>
      </c>
      <c r="I180" s="30" t="n"/>
    </row>
    <row r="181">
      <c r="B181" s="26" t="n"/>
      <c r="C181" s="17" t="n"/>
      <c r="D181" s="17" t="n"/>
      <c r="E181" s="17" t="n"/>
      <c r="F181" s="27" t="n"/>
      <c r="G181" s="28">
        <f>IF(D181="","",IFERROR(N(INDEX(Setup!$F$14:$F$33,MATCH(D181,Setup!$E$14:$E$33,0))),0))</f>
        <v/>
      </c>
      <c r="H181" s="29">
        <f>IF(OR(F181="",G181=""),"",F181*G181)</f>
        <v/>
      </c>
      <c r="I181" s="30" t="n"/>
    </row>
    <row r="182">
      <c r="B182" s="26" t="n"/>
      <c r="C182" s="17" t="n"/>
      <c r="D182" s="17" t="n"/>
      <c r="E182" s="17" t="n"/>
      <c r="F182" s="27" t="n"/>
      <c r="G182" s="28">
        <f>IF(D182="","",IFERROR(N(INDEX(Setup!$F$14:$F$33,MATCH(D182,Setup!$E$14:$E$33,0))),0))</f>
        <v/>
      </c>
      <c r="H182" s="29">
        <f>IF(OR(F182="",G182=""),"",F182*G182)</f>
        <v/>
      </c>
      <c r="I182" s="30" t="n"/>
    </row>
    <row r="183">
      <c r="B183" s="26" t="n"/>
      <c r="C183" s="17" t="n"/>
      <c r="D183" s="17" t="n"/>
      <c r="E183" s="17" t="n"/>
      <c r="F183" s="27" t="n"/>
      <c r="G183" s="28">
        <f>IF(D183="","",IFERROR(N(INDEX(Setup!$F$14:$F$33,MATCH(D183,Setup!$E$14:$E$33,0))),0))</f>
        <v/>
      </c>
      <c r="H183" s="29">
        <f>IF(OR(F183="",G183=""),"",F183*G183)</f>
        <v/>
      </c>
      <c r="I183" s="30" t="n"/>
    </row>
    <row r="184">
      <c r="B184" s="26" t="n"/>
      <c r="C184" s="17" t="n"/>
      <c r="D184" s="17" t="n"/>
      <c r="E184" s="17" t="n"/>
      <c r="F184" s="27" t="n"/>
      <c r="G184" s="28">
        <f>IF(D184="","",IFERROR(N(INDEX(Setup!$F$14:$F$33,MATCH(D184,Setup!$E$14:$E$33,0))),0))</f>
        <v/>
      </c>
      <c r="H184" s="29">
        <f>IF(OR(F184="",G184=""),"",F184*G184)</f>
        <v/>
      </c>
      <c r="I184" s="30" t="n"/>
    </row>
    <row r="185">
      <c r="B185" s="26" t="n"/>
      <c r="C185" s="17" t="n"/>
      <c r="D185" s="17" t="n"/>
      <c r="E185" s="17" t="n"/>
      <c r="F185" s="27" t="n"/>
      <c r="G185" s="28">
        <f>IF(D185="","",IFERROR(N(INDEX(Setup!$F$14:$F$33,MATCH(D185,Setup!$E$14:$E$33,0))),0))</f>
        <v/>
      </c>
      <c r="H185" s="29">
        <f>IF(OR(F185="",G185=""),"",F185*G185)</f>
        <v/>
      </c>
      <c r="I185" s="30" t="n"/>
    </row>
    <row r="186">
      <c r="B186" s="26" t="n"/>
      <c r="C186" s="17" t="n"/>
      <c r="D186" s="17" t="n"/>
      <c r="E186" s="17" t="n"/>
      <c r="F186" s="27" t="n"/>
      <c r="G186" s="28">
        <f>IF(D186="","",IFERROR(N(INDEX(Setup!$F$14:$F$33,MATCH(D186,Setup!$E$14:$E$33,0))),0))</f>
        <v/>
      </c>
      <c r="H186" s="29">
        <f>IF(OR(F186="",G186=""),"",F186*G186)</f>
        <v/>
      </c>
      <c r="I186" s="30" t="n"/>
    </row>
    <row r="187">
      <c r="B187" s="26" t="n"/>
      <c r="C187" s="17" t="n"/>
      <c r="D187" s="17" t="n"/>
      <c r="E187" s="17" t="n"/>
      <c r="F187" s="27" t="n"/>
      <c r="G187" s="28">
        <f>IF(D187="","",IFERROR(N(INDEX(Setup!$F$14:$F$33,MATCH(D187,Setup!$E$14:$E$33,0))),0))</f>
        <v/>
      </c>
      <c r="H187" s="29">
        <f>IF(OR(F187="",G187=""),"",F187*G187)</f>
        <v/>
      </c>
      <c r="I187" s="30" t="n"/>
    </row>
    <row r="188">
      <c r="B188" s="26" t="n"/>
      <c r="C188" s="17" t="n"/>
      <c r="D188" s="17" t="n"/>
      <c r="E188" s="17" t="n"/>
      <c r="F188" s="27" t="n"/>
      <c r="G188" s="28">
        <f>IF(D188="","",IFERROR(N(INDEX(Setup!$F$14:$F$33,MATCH(D188,Setup!$E$14:$E$33,0))),0))</f>
        <v/>
      </c>
      <c r="H188" s="29">
        <f>IF(OR(F188="",G188=""),"",F188*G188)</f>
        <v/>
      </c>
      <c r="I188" s="30" t="n"/>
    </row>
    <row r="189">
      <c r="B189" s="26" t="n"/>
      <c r="C189" s="17" t="n"/>
      <c r="D189" s="17" t="n"/>
      <c r="E189" s="17" t="n"/>
      <c r="F189" s="27" t="n"/>
      <c r="G189" s="28">
        <f>IF(D189="","",IFERROR(N(INDEX(Setup!$F$14:$F$33,MATCH(D189,Setup!$E$14:$E$33,0))),0))</f>
        <v/>
      </c>
      <c r="H189" s="29">
        <f>IF(OR(F189="",G189=""),"",F189*G189)</f>
        <v/>
      </c>
      <c r="I189" s="30" t="n"/>
    </row>
    <row r="190">
      <c r="B190" s="26" t="n"/>
      <c r="C190" s="17" t="n"/>
      <c r="D190" s="17" t="n"/>
      <c r="E190" s="17" t="n"/>
      <c r="F190" s="27" t="n"/>
      <c r="G190" s="28">
        <f>IF(D190="","",IFERROR(N(INDEX(Setup!$F$14:$F$33,MATCH(D190,Setup!$E$14:$E$33,0))),0))</f>
        <v/>
      </c>
      <c r="H190" s="29">
        <f>IF(OR(F190="",G190=""),"",F190*G190)</f>
        <v/>
      </c>
      <c r="I190" s="30" t="n"/>
    </row>
    <row r="191">
      <c r="B191" s="26" t="n"/>
      <c r="C191" s="17" t="n"/>
      <c r="D191" s="17" t="n"/>
      <c r="E191" s="17" t="n"/>
      <c r="F191" s="27" t="n"/>
      <c r="G191" s="28">
        <f>IF(D191="","",IFERROR(N(INDEX(Setup!$F$14:$F$33,MATCH(D191,Setup!$E$14:$E$33,0))),0))</f>
        <v/>
      </c>
      <c r="H191" s="29">
        <f>IF(OR(F191="",G191=""),"",F191*G191)</f>
        <v/>
      </c>
      <c r="I191" s="30" t="n"/>
    </row>
    <row r="192">
      <c r="B192" s="26" t="n"/>
      <c r="C192" s="17" t="n"/>
      <c r="D192" s="17" t="n"/>
      <c r="E192" s="17" t="n"/>
      <c r="F192" s="27" t="n"/>
      <c r="G192" s="28">
        <f>IF(D192="","",IFERROR(N(INDEX(Setup!$F$14:$F$33,MATCH(D192,Setup!$E$14:$E$33,0))),0))</f>
        <v/>
      </c>
      <c r="H192" s="29">
        <f>IF(OR(F192="",G192=""),"",F192*G192)</f>
        <v/>
      </c>
      <c r="I192" s="30" t="n"/>
    </row>
    <row r="193">
      <c r="B193" s="26" t="n"/>
      <c r="C193" s="17" t="n"/>
      <c r="D193" s="17" t="n"/>
      <c r="E193" s="17" t="n"/>
      <c r="F193" s="27" t="n"/>
      <c r="G193" s="28">
        <f>IF(D193="","",IFERROR(N(INDEX(Setup!$F$14:$F$33,MATCH(D193,Setup!$E$14:$E$33,0))),0))</f>
        <v/>
      </c>
      <c r="H193" s="29">
        <f>IF(OR(F193="",G193=""),"",F193*G193)</f>
        <v/>
      </c>
      <c r="I193" s="30" t="n"/>
    </row>
    <row r="194">
      <c r="B194" s="26" t="n"/>
      <c r="C194" s="17" t="n"/>
      <c r="D194" s="17" t="n"/>
      <c r="E194" s="17" t="n"/>
      <c r="F194" s="27" t="n"/>
      <c r="G194" s="28">
        <f>IF(D194="","",IFERROR(N(INDEX(Setup!$F$14:$F$33,MATCH(D194,Setup!$E$14:$E$33,0))),0))</f>
        <v/>
      </c>
      <c r="H194" s="29">
        <f>IF(OR(F194="",G194=""),"",F194*G194)</f>
        <v/>
      </c>
      <c r="I194" s="30" t="n"/>
    </row>
    <row r="195">
      <c r="B195" s="26" t="n"/>
      <c r="C195" s="17" t="n"/>
      <c r="D195" s="17" t="n"/>
      <c r="E195" s="17" t="n"/>
      <c r="F195" s="27" t="n"/>
      <c r="G195" s="28">
        <f>IF(D195="","",IFERROR(N(INDEX(Setup!$F$14:$F$33,MATCH(D195,Setup!$E$14:$E$33,0))),0))</f>
        <v/>
      </c>
      <c r="H195" s="29">
        <f>IF(OR(F195="",G195=""),"",F195*G195)</f>
        <v/>
      </c>
      <c r="I195" s="30" t="n"/>
    </row>
    <row r="196">
      <c r="B196" s="26" t="n"/>
      <c r="C196" s="17" t="n"/>
      <c r="D196" s="17" t="n"/>
      <c r="E196" s="17" t="n"/>
      <c r="F196" s="27" t="n"/>
      <c r="G196" s="28">
        <f>IF(D196="","",IFERROR(N(INDEX(Setup!$F$14:$F$33,MATCH(D196,Setup!$E$14:$E$33,0))),0))</f>
        <v/>
      </c>
      <c r="H196" s="29">
        <f>IF(OR(F196="",G196=""),"",F196*G196)</f>
        <v/>
      </c>
      <c r="I196" s="30" t="n"/>
    </row>
    <row r="197">
      <c r="B197" s="26" t="n"/>
      <c r="C197" s="17" t="n"/>
      <c r="D197" s="17" t="n"/>
      <c r="E197" s="17" t="n"/>
      <c r="F197" s="27" t="n"/>
      <c r="G197" s="28">
        <f>IF(D197="","",IFERROR(N(INDEX(Setup!$F$14:$F$33,MATCH(D197,Setup!$E$14:$E$33,0))),0))</f>
        <v/>
      </c>
      <c r="H197" s="29">
        <f>IF(OR(F197="",G197=""),"",F197*G197)</f>
        <v/>
      </c>
      <c r="I197" s="30" t="n"/>
    </row>
    <row r="198">
      <c r="B198" s="26" t="n"/>
      <c r="C198" s="17" t="n"/>
      <c r="D198" s="17" t="n"/>
      <c r="E198" s="17" t="n"/>
      <c r="F198" s="27" t="n"/>
      <c r="G198" s="28">
        <f>IF(D198="","",IFERROR(N(INDEX(Setup!$F$14:$F$33,MATCH(D198,Setup!$E$14:$E$33,0))),0))</f>
        <v/>
      </c>
      <c r="H198" s="29">
        <f>IF(OR(F198="",G198=""),"",F198*G198)</f>
        <v/>
      </c>
      <c r="I198" s="30" t="n"/>
    </row>
    <row r="199">
      <c r="B199" s="26" t="n"/>
      <c r="C199" s="17" t="n"/>
      <c r="D199" s="17" t="n"/>
      <c r="E199" s="17" t="n"/>
      <c r="F199" s="27" t="n"/>
      <c r="G199" s="28">
        <f>IF(D199="","",IFERROR(N(INDEX(Setup!$F$14:$F$33,MATCH(D199,Setup!$E$14:$E$33,0))),0))</f>
        <v/>
      </c>
      <c r="H199" s="29">
        <f>IF(OR(F199="",G199=""),"",F199*G199)</f>
        <v/>
      </c>
      <c r="I199" s="30" t="n"/>
    </row>
    <row r="200">
      <c r="B200" s="26" t="n"/>
      <c r="C200" s="17" t="n"/>
      <c r="D200" s="17" t="n"/>
      <c r="E200" s="17" t="n"/>
      <c r="F200" s="27" t="n"/>
      <c r="G200" s="28">
        <f>IF(D200="","",IFERROR(N(INDEX(Setup!$F$14:$F$33,MATCH(D200,Setup!$E$14:$E$33,0))),0))</f>
        <v/>
      </c>
      <c r="H200" s="29">
        <f>IF(OR(F200="",G200=""),"",F200*G200)</f>
        <v/>
      </c>
      <c r="I200" s="30" t="n"/>
    </row>
    <row r="201">
      <c r="B201" s="26" t="n"/>
      <c r="C201" s="17" t="n"/>
      <c r="D201" s="17" t="n"/>
      <c r="E201" s="17" t="n"/>
      <c r="F201" s="27" t="n"/>
      <c r="G201" s="28">
        <f>IF(D201="","",IFERROR(N(INDEX(Setup!$F$14:$F$33,MATCH(D201,Setup!$E$14:$E$33,0))),0))</f>
        <v/>
      </c>
      <c r="H201" s="29">
        <f>IF(OR(F201="",G201=""),"",F201*G201)</f>
        <v/>
      </c>
      <c r="I201" s="30" t="n"/>
    </row>
    <row r="202">
      <c r="B202" s="26" t="n"/>
      <c r="C202" s="17" t="n"/>
      <c r="D202" s="17" t="n"/>
      <c r="E202" s="17" t="n"/>
      <c r="F202" s="27" t="n"/>
      <c r="G202" s="28">
        <f>IF(D202="","",IFERROR(N(INDEX(Setup!$F$14:$F$33,MATCH(D202,Setup!$E$14:$E$33,0))),0))</f>
        <v/>
      </c>
      <c r="H202" s="29">
        <f>IF(OR(F202="",G202=""),"",F202*G202)</f>
        <v/>
      </c>
      <c r="I202" s="30" t="n"/>
    </row>
    <row r="203">
      <c r="B203" s="26" t="n"/>
      <c r="C203" s="17" t="n"/>
      <c r="D203" s="17" t="n"/>
      <c r="E203" s="17" t="n"/>
      <c r="F203" s="27" t="n"/>
      <c r="G203" s="28">
        <f>IF(D203="","",IFERROR(N(INDEX(Setup!$F$14:$F$33,MATCH(D203,Setup!$E$14:$E$33,0))),0))</f>
        <v/>
      </c>
      <c r="H203" s="29">
        <f>IF(OR(F203="",G203=""),"",F203*G203)</f>
        <v/>
      </c>
      <c r="I203" s="30" t="n"/>
    </row>
    <row r="204">
      <c r="B204" s="26" t="n"/>
      <c r="C204" s="17" t="n"/>
      <c r="D204" s="17" t="n"/>
      <c r="E204" s="17" t="n"/>
      <c r="F204" s="27" t="n"/>
      <c r="G204" s="28">
        <f>IF(D204="","",IFERROR(N(INDEX(Setup!$F$14:$F$33,MATCH(D204,Setup!$E$14:$E$33,0))),0))</f>
        <v/>
      </c>
      <c r="H204" s="29">
        <f>IF(OR(F204="",G204=""),"",F204*G204)</f>
        <v/>
      </c>
      <c r="I204" s="30" t="n"/>
    </row>
    <row r="205">
      <c r="B205" s="26" t="n"/>
      <c r="C205" s="17" t="n"/>
      <c r="D205" s="17" t="n"/>
      <c r="E205" s="17" t="n"/>
      <c r="F205" s="27" t="n"/>
      <c r="G205" s="28">
        <f>IF(D205="","",IFERROR(N(INDEX(Setup!$F$14:$F$33,MATCH(D205,Setup!$E$14:$E$33,0))),0))</f>
        <v/>
      </c>
      <c r="H205" s="29">
        <f>IF(OR(F205="",G205=""),"",F205*G205)</f>
        <v/>
      </c>
      <c r="I205" s="30" t="n"/>
    </row>
    <row r="206">
      <c r="B206" s="26" t="n"/>
      <c r="C206" s="17" t="n"/>
      <c r="D206" s="17" t="n"/>
      <c r="E206" s="17" t="n"/>
      <c r="F206" s="27" t="n"/>
      <c r="G206" s="28">
        <f>IF(D206="","",IFERROR(N(INDEX(Setup!$F$14:$F$33,MATCH(D206,Setup!$E$14:$E$33,0))),0))</f>
        <v/>
      </c>
      <c r="H206" s="29">
        <f>IF(OR(F206="",G206=""),"",F206*G206)</f>
        <v/>
      </c>
      <c r="I206" s="30" t="n"/>
    </row>
    <row r="207">
      <c r="B207" s="26" t="n"/>
      <c r="C207" s="17" t="n"/>
      <c r="D207" s="17" t="n"/>
      <c r="E207" s="17" t="n"/>
      <c r="F207" s="27" t="n"/>
      <c r="G207" s="28">
        <f>IF(D207="","",IFERROR(N(INDEX(Setup!$F$14:$F$33,MATCH(D207,Setup!$E$14:$E$33,0))),0))</f>
        <v/>
      </c>
      <c r="H207" s="29">
        <f>IF(OR(F207="",G207=""),"",F207*G207)</f>
        <v/>
      </c>
      <c r="I207" s="30" t="n"/>
    </row>
    <row r="208">
      <c r="B208" s="26" t="n"/>
      <c r="C208" s="17" t="n"/>
      <c r="D208" s="17" t="n"/>
      <c r="E208" s="17" t="n"/>
      <c r="F208" s="27" t="n"/>
      <c r="G208" s="28">
        <f>IF(D208="","",IFERROR(N(INDEX(Setup!$F$14:$F$33,MATCH(D208,Setup!$E$14:$E$33,0))),0))</f>
        <v/>
      </c>
      <c r="H208" s="29">
        <f>IF(OR(F208="",G208=""),"",F208*G208)</f>
        <v/>
      </c>
      <c r="I208" s="30" t="n"/>
    </row>
    <row r="209">
      <c r="B209" s="26" t="n"/>
      <c r="C209" s="17" t="n"/>
      <c r="D209" s="17" t="n"/>
      <c r="E209" s="17" t="n"/>
      <c r="F209" s="27" t="n"/>
      <c r="G209" s="28">
        <f>IF(D209="","",IFERROR(N(INDEX(Setup!$F$14:$F$33,MATCH(D209,Setup!$E$14:$E$33,0))),0))</f>
        <v/>
      </c>
      <c r="H209" s="29">
        <f>IF(OR(F209="",G209=""),"",F209*G209)</f>
        <v/>
      </c>
      <c r="I209" s="30" t="n"/>
    </row>
    <row r="210">
      <c r="B210" s="26" t="n"/>
      <c r="C210" s="17" t="n"/>
      <c r="D210" s="17" t="n"/>
      <c r="E210" s="17" t="n"/>
      <c r="F210" s="27" t="n"/>
      <c r="G210" s="28">
        <f>IF(D210="","",IFERROR(N(INDEX(Setup!$F$14:$F$33,MATCH(D210,Setup!$E$14:$E$33,0))),0))</f>
        <v/>
      </c>
      <c r="H210" s="29">
        <f>IF(OR(F210="",G210=""),"",F210*G210)</f>
        <v/>
      </c>
      <c r="I210" s="30" t="n"/>
    </row>
    <row r="211">
      <c r="B211" s="26" t="n"/>
      <c r="C211" s="17" t="n"/>
      <c r="D211" s="17" t="n"/>
      <c r="E211" s="17" t="n"/>
      <c r="F211" s="27" t="n"/>
      <c r="G211" s="28">
        <f>IF(D211="","",IFERROR(N(INDEX(Setup!$F$14:$F$33,MATCH(D211,Setup!$E$14:$E$33,0))),0))</f>
        <v/>
      </c>
      <c r="H211" s="29">
        <f>IF(OR(F211="",G211=""),"",F211*G211)</f>
        <v/>
      </c>
      <c r="I211" s="30" t="n"/>
    </row>
    <row r="212">
      <c r="B212" s="26" t="n"/>
      <c r="C212" s="17" t="n"/>
      <c r="D212" s="17" t="n"/>
      <c r="E212" s="17" t="n"/>
      <c r="F212" s="27" t="n"/>
      <c r="G212" s="28">
        <f>IF(D212="","",IFERROR(N(INDEX(Setup!$F$14:$F$33,MATCH(D212,Setup!$E$14:$E$33,0))),0))</f>
        <v/>
      </c>
      <c r="H212" s="29">
        <f>IF(OR(F212="",G212=""),"",F212*G212)</f>
        <v/>
      </c>
      <c r="I212" s="30" t="n"/>
    </row>
    <row r="213">
      <c r="B213" s="26" t="n"/>
      <c r="C213" s="17" t="n"/>
      <c r="D213" s="17" t="n"/>
      <c r="E213" s="17" t="n"/>
      <c r="F213" s="27" t="n"/>
      <c r="G213" s="28">
        <f>IF(D213="","",IFERROR(N(INDEX(Setup!$F$14:$F$33,MATCH(D213,Setup!$E$14:$E$33,0))),0))</f>
        <v/>
      </c>
      <c r="H213" s="29">
        <f>IF(OR(F213="",G213=""),"",F213*G213)</f>
        <v/>
      </c>
      <c r="I213" s="30" t="n"/>
    </row>
    <row r="214">
      <c r="B214" s="26" t="n"/>
      <c r="C214" s="17" t="n"/>
      <c r="D214" s="17" t="n"/>
      <c r="E214" s="17" t="n"/>
      <c r="F214" s="27" t="n"/>
      <c r="G214" s="28">
        <f>IF(D214="","",IFERROR(N(INDEX(Setup!$F$14:$F$33,MATCH(D214,Setup!$E$14:$E$33,0))),0))</f>
        <v/>
      </c>
      <c r="H214" s="29">
        <f>IF(OR(F214="",G214=""),"",F214*G214)</f>
        <v/>
      </c>
      <c r="I214" s="30" t="n"/>
    </row>
    <row r="215">
      <c r="B215" s="26" t="n"/>
      <c r="C215" s="17" t="n"/>
      <c r="D215" s="17" t="n"/>
      <c r="E215" s="17" t="n"/>
      <c r="F215" s="27" t="n"/>
      <c r="G215" s="28">
        <f>IF(D215="","",IFERROR(N(INDEX(Setup!$F$14:$F$33,MATCH(D215,Setup!$E$14:$E$33,0))),0))</f>
        <v/>
      </c>
      <c r="H215" s="29">
        <f>IF(OR(F215="",G215=""),"",F215*G215)</f>
        <v/>
      </c>
      <c r="I215" s="30" t="n"/>
    </row>
    <row r="216">
      <c r="B216" s="26" t="n"/>
      <c r="C216" s="17" t="n"/>
      <c r="D216" s="17" t="n"/>
      <c r="E216" s="17" t="n"/>
      <c r="F216" s="27" t="n"/>
      <c r="G216" s="28">
        <f>IF(D216="","",IFERROR(N(INDEX(Setup!$F$14:$F$33,MATCH(D216,Setup!$E$14:$E$33,0))),0))</f>
        <v/>
      </c>
      <c r="H216" s="29">
        <f>IF(OR(F216="",G216=""),"",F216*G216)</f>
        <v/>
      </c>
      <c r="I216" s="30" t="n"/>
    </row>
    <row r="217">
      <c r="B217" s="26" t="n"/>
      <c r="C217" s="17" t="n"/>
      <c r="D217" s="17" t="n"/>
      <c r="E217" s="17" t="n"/>
      <c r="F217" s="27" t="n"/>
      <c r="G217" s="28">
        <f>IF(D217="","",IFERROR(N(INDEX(Setup!$F$14:$F$33,MATCH(D217,Setup!$E$14:$E$33,0))),0))</f>
        <v/>
      </c>
      <c r="H217" s="29">
        <f>IF(OR(F217="",G217=""),"",F217*G217)</f>
        <v/>
      </c>
      <c r="I217" s="30" t="n"/>
    </row>
    <row r="218">
      <c r="B218" s="26" t="n"/>
      <c r="C218" s="17" t="n"/>
      <c r="D218" s="17" t="n"/>
      <c r="E218" s="17" t="n"/>
      <c r="F218" s="27" t="n"/>
      <c r="G218" s="28">
        <f>IF(D218="","",IFERROR(N(INDEX(Setup!$F$14:$F$33,MATCH(D218,Setup!$E$14:$E$33,0))),0))</f>
        <v/>
      </c>
      <c r="H218" s="29">
        <f>IF(OR(F218="",G218=""),"",F218*G218)</f>
        <v/>
      </c>
      <c r="I218" s="30" t="n"/>
    </row>
    <row r="219">
      <c r="B219" s="26" t="n"/>
      <c r="C219" s="17" t="n"/>
      <c r="D219" s="17" t="n"/>
      <c r="E219" s="17" t="n"/>
      <c r="F219" s="27" t="n"/>
      <c r="G219" s="28">
        <f>IF(D219="","",IFERROR(N(INDEX(Setup!$F$14:$F$33,MATCH(D219,Setup!$E$14:$E$33,0))),0))</f>
        <v/>
      </c>
      <c r="H219" s="29">
        <f>IF(OR(F219="",G219=""),"",F219*G219)</f>
        <v/>
      </c>
      <c r="I219" s="30" t="n"/>
    </row>
    <row r="220">
      <c r="B220" s="26" t="n"/>
      <c r="C220" s="17" t="n"/>
      <c r="D220" s="17" t="n"/>
      <c r="E220" s="17" t="n"/>
      <c r="F220" s="27" t="n"/>
      <c r="G220" s="28">
        <f>IF(D220="","",IFERROR(N(INDEX(Setup!$F$14:$F$33,MATCH(D220,Setup!$E$14:$E$33,0))),0))</f>
        <v/>
      </c>
      <c r="H220" s="29">
        <f>IF(OR(F220="",G220=""),"",F220*G220)</f>
        <v/>
      </c>
      <c r="I220" s="30" t="n"/>
    </row>
    <row r="221">
      <c r="B221" s="26" t="n"/>
      <c r="C221" s="17" t="n"/>
      <c r="D221" s="17" t="n"/>
      <c r="E221" s="17" t="n"/>
      <c r="F221" s="27" t="n"/>
      <c r="G221" s="28">
        <f>IF(D221="","",IFERROR(N(INDEX(Setup!$F$14:$F$33,MATCH(D221,Setup!$E$14:$E$33,0))),0))</f>
        <v/>
      </c>
      <c r="H221" s="29">
        <f>IF(OR(F221="",G221=""),"",F221*G221)</f>
        <v/>
      </c>
      <c r="I221" s="30" t="n"/>
    </row>
    <row r="222">
      <c r="B222" s="26" t="n"/>
      <c r="C222" s="17" t="n"/>
      <c r="D222" s="17" t="n"/>
      <c r="E222" s="17" t="n"/>
      <c r="F222" s="27" t="n"/>
      <c r="G222" s="28">
        <f>IF(D222="","",IFERROR(N(INDEX(Setup!$F$14:$F$33,MATCH(D222,Setup!$E$14:$E$33,0))),0))</f>
        <v/>
      </c>
      <c r="H222" s="29">
        <f>IF(OR(F222="",G222=""),"",F222*G222)</f>
        <v/>
      </c>
      <c r="I222" s="30" t="n"/>
    </row>
    <row r="223">
      <c r="B223" s="26" t="n"/>
      <c r="C223" s="17" t="n"/>
      <c r="D223" s="17" t="n"/>
      <c r="E223" s="17" t="n"/>
      <c r="F223" s="27" t="n"/>
      <c r="G223" s="28">
        <f>IF(D223="","",IFERROR(N(INDEX(Setup!$F$14:$F$33,MATCH(D223,Setup!$E$14:$E$33,0))),0))</f>
        <v/>
      </c>
      <c r="H223" s="29">
        <f>IF(OR(F223="",G223=""),"",F223*G223)</f>
        <v/>
      </c>
      <c r="I223" s="30" t="n"/>
    </row>
    <row r="224">
      <c r="B224" s="26" t="n"/>
      <c r="C224" s="17" t="n"/>
      <c r="D224" s="17" t="n"/>
      <c r="E224" s="17" t="n"/>
      <c r="F224" s="27" t="n"/>
      <c r="G224" s="28">
        <f>IF(D224="","",IFERROR(N(INDEX(Setup!$F$14:$F$33,MATCH(D224,Setup!$E$14:$E$33,0))),0))</f>
        <v/>
      </c>
      <c r="H224" s="29">
        <f>IF(OR(F224="",G224=""),"",F224*G224)</f>
        <v/>
      </c>
      <c r="I224" s="30" t="n"/>
    </row>
    <row r="225">
      <c r="B225" s="26" t="n"/>
      <c r="C225" s="17" t="n"/>
      <c r="D225" s="17" t="n"/>
      <c r="E225" s="17" t="n"/>
      <c r="F225" s="27" t="n"/>
      <c r="G225" s="28">
        <f>IF(D225="","",IFERROR(N(INDEX(Setup!$F$14:$F$33,MATCH(D225,Setup!$E$14:$E$33,0))),0))</f>
        <v/>
      </c>
      <c r="H225" s="29">
        <f>IF(OR(F225="",G225=""),"",F225*G225)</f>
        <v/>
      </c>
      <c r="I225" s="30" t="n"/>
    </row>
    <row r="226">
      <c r="B226" s="26" t="n"/>
      <c r="C226" s="17" t="n"/>
      <c r="D226" s="17" t="n"/>
      <c r="E226" s="17" t="n"/>
      <c r="F226" s="27" t="n"/>
      <c r="G226" s="28">
        <f>IF(D226="","",IFERROR(N(INDEX(Setup!$F$14:$F$33,MATCH(D226,Setup!$E$14:$E$33,0))),0))</f>
        <v/>
      </c>
      <c r="H226" s="29">
        <f>IF(OR(F226="",G226=""),"",F226*G226)</f>
        <v/>
      </c>
      <c r="I226" s="30" t="n"/>
    </row>
    <row r="227">
      <c r="B227" s="26" t="n"/>
      <c r="C227" s="17" t="n"/>
      <c r="D227" s="17" t="n"/>
      <c r="E227" s="17" t="n"/>
      <c r="F227" s="27" t="n"/>
      <c r="G227" s="28">
        <f>IF(D227="","",IFERROR(N(INDEX(Setup!$F$14:$F$33,MATCH(D227,Setup!$E$14:$E$33,0))),0))</f>
        <v/>
      </c>
      <c r="H227" s="29">
        <f>IF(OR(F227="",G227=""),"",F227*G227)</f>
        <v/>
      </c>
      <c r="I227" s="30" t="n"/>
    </row>
    <row r="228">
      <c r="B228" s="26" t="n"/>
      <c r="C228" s="17" t="n"/>
      <c r="D228" s="17" t="n"/>
      <c r="E228" s="17" t="n"/>
      <c r="F228" s="27" t="n"/>
      <c r="G228" s="28">
        <f>IF(D228="","",IFERROR(N(INDEX(Setup!$F$14:$F$33,MATCH(D228,Setup!$E$14:$E$33,0))),0))</f>
        <v/>
      </c>
      <c r="H228" s="29">
        <f>IF(OR(F228="",G228=""),"",F228*G228)</f>
        <v/>
      </c>
      <c r="I228" s="30" t="n"/>
    </row>
    <row r="229">
      <c r="B229" s="26" t="n"/>
      <c r="C229" s="17" t="n"/>
      <c r="D229" s="17" t="n"/>
      <c r="E229" s="17" t="n"/>
      <c r="F229" s="27" t="n"/>
      <c r="G229" s="28">
        <f>IF(D229="","",IFERROR(N(INDEX(Setup!$F$14:$F$33,MATCH(D229,Setup!$E$14:$E$33,0))),0))</f>
        <v/>
      </c>
      <c r="H229" s="29">
        <f>IF(OR(F229="",G229=""),"",F229*G229)</f>
        <v/>
      </c>
      <c r="I229" s="30" t="n"/>
    </row>
    <row r="230">
      <c r="B230" s="26" t="n"/>
      <c r="C230" s="17" t="n"/>
      <c r="D230" s="17" t="n"/>
      <c r="E230" s="17" t="n"/>
      <c r="F230" s="27" t="n"/>
      <c r="G230" s="28">
        <f>IF(D230="","",IFERROR(N(INDEX(Setup!$F$14:$F$33,MATCH(D230,Setup!$E$14:$E$33,0))),0))</f>
        <v/>
      </c>
      <c r="H230" s="29">
        <f>IF(OR(F230="",G230=""),"",F230*G230)</f>
        <v/>
      </c>
      <c r="I230" s="30" t="n"/>
    </row>
    <row r="231">
      <c r="B231" s="26" t="n"/>
      <c r="C231" s="17" t="n"/>
      <c r="D231" s="17" t="n"/>
      <c r="E231" s="17" t="n"/>
      <c r="F231" s="27" t="n"/>
      <c r="G231" s="28">
        <f>IF(D231="","",IFERROR(N(INDEX(Setup!$F$14:$F$33,MATCH(D231,Setup!$E$14:$E$33,0))),0))</f>
        <v/>
      </c>
      <c r="H231" s="29">
        <f>IF(OR(F231="",G231=""),"",F231*G231)</f>
        <v/>
      </c>
      <c r="I231" s="30" t="n"/>
    </row>
    <row r="232">
      <c r="B232" s="26" t="n"/>
      <c r="C232" s="17" t="n"/>
      <c r="D232" s="17" t="n"/>
      <c r="E232" s="17" t="n"/>
      <c r="F232" s="27" t="n"/>
      <c r="G232" s="28">
        <f>IF(D232="","",IFERROR(N(INDEX(Setup!$F$14:$F$33,MATCH(D232,Setup!$E$14:$E$33,0))),0))</f>
        <v/>
      </c>
      <c r="H232" s="29">
        <f>IF(OR(F232="",G232=""),"",F232*G232)</f>
        <v/>
      </c>
      <c r="I232" s="30" t="n"/>
    </row>
    <row r="233">
      <c r="B233" s="26" t="n"/>
      <c r="C233" s="17" t="n"/>
      <c r="D233" s="17" t="n"/>
      <c r="E233" s="17" t="n"/>
      <c r="F233" s="27" t="n"/>
      <c r="G233" s="28">
        <f>IF(D233="","",IFERROR(N(INDEX(Setup!$F$14:$F$33,MATCH(D233,Setup!$E$14:$E$33,0))),0))</f>
        <v/>
      </c>
      <c r="H233" s="29">
        <f>IF(OR(F233="",G233=""),"",F233*G233)</f>
        <v/>
      </c>
      <c r="I233" s="30" t="n"/>
    </row>
    <row r="234">
      <c r="B234" s="26" t="n"/>
      <c r="C234" s="17" t="n"/>
      <c r="D234" s="17" t="n"/>
      <c r="E234" s="17" t="n"/>
      <c r="F234" s="27" t="n"/>
      <c r="G234" s="28">
        <f>IF(D234="","",IFERROR(N(INDEX(Setup!$F$14:$F$33,MATCH(D234,Setup!$E$14:$E$33,0))),0))</f>
        <v/>
      </c>
      <c r="H234" s="29">
        <f>IF(OR(F234="",G234=""),"",F234*G234)</f>
        <v/>
      </c>
      <c r="I234" s="30" t="n"/>
    </row>
    <row r="235">
      <c r="B235" s="26" t="n"/>
      <c r="C235" s="17" t="n"/>
      <c r="D235" s="17" t="n"/>
      <c r="E235" s="17" t="n"/>
      <c r="F235" s="27" t="n"/>
      <c r="G235" s="28">
        <f>IF(D235="","",IFERROR(N(INDEX(Setup!$F$14:$F$33,MATCH(D235,Setup!$E$14:$E$33,0))),0))</f>
        <v/>
      </c>
      <c r="H235" s="29">
        <f>IF(OR(F235="",G235=""),"",F235*G235)</f>
        <v/>
      </c>
      <c r="I235" s="30" t="n"/>
    </row>
    <row r="236">
      <c r="B236" s="26" t="n"/>
      <c r="C236" s="17" t="n"/>
      <c r="D236" s="17" t="n"/>
      <c r="E236" s="17" t="n"/>
      <c r="F236" s="27" t="n"/>
      <c r="G236" s="28">
        <f>IF(D236="","",IFERROR(N(INDEX(Setup!$F$14:$F$33,MATCH(D236,Setup!$E$14:$E$33,0))),0))</f>
        <v/>
      </c>
      <c r="H236" s="29">
        <f>IF(OR(F236="",G236=""),"",F236*G236)</f>
        <v/>
      </c>
      <c r="I236" s="30" t="n"/>
    </row>
    <row r="237">
      <c r="B237" s="26" t="n"/>
      <c r="C237" s="17" t="n"/>
      <c r="D237" s="17" t="n"/>
      <c r="E237" s="17" t="n"/>
      <c r="F237" s="27" t="n"/>
      <c r="G237" s="28">
        <f>IF(D237="","",IFERROR(N(INDEX(Setup!$F$14:$F$33,MATCH(D237,Setup!$E$14:$E$33,0))),0))</f>
        <v/>
      </c>
      <c r="H237" s="29">
        <f>IF(OR(F237="",G237=""),"",F237*G237)</f>
        <v/>
      </c>
      <c r="I237" s="30" t="n"/>
    </row>
    <row r="238">
      <c r="B238" s="26" t="n"/>
      <c r="C238" s="17" t="n"/>
      <c r="D238" s="17" t="n"/>
      <c r="E238" s="17" t="n"/>
      <c r="F238" s="27" t="n"/>
      <c r="G238" s="28">
        <f>IF(D238="","",IFERROR(N(INDEX(Setup!$F$14:$F$33,MATCH(D238,Setup!$E$14:$E$33,0))),0))</f>
        <v/>
      </c>
      <c r="H238" s="29">
        <f>IF(OR(F238="",G238=""),"",F238*G238)</f>
        <v/>
      </c>
      <c r="I238" s="30" t="n"/>
    </row>
    <row r="239">
      <c r="B239" s="26" t="n"/>
      <c r="C239" s="17" t="n"/>
      <c r="D239" s="17" t="n"/>
      <c r="E239" s="17" t="n"/>
      <c r="F239" s="27" t="n"/>
      <c r="G239" s="28">
        <f>IF(D239="","",IFERROR(N(INDEX(Setup!$F$14:$F$33,MATCH(D239,Setup!$E$14:$E$33,0))),0))</f>
        <v/>
      </c>
      <c r="H239" s="29">
        <f>IF(OR(F239="",G239=""),"",F239*G239)</f>
        <v/>
      </c>
      <c r="I239" s="30" t="n"/>
    </row>
    <row r="240">
      <c r="B240" s="26" t="n"/>
      <c r="C240" s="17" t="n"/>
      <c r="D240" s="17" t="n"/>
      <c r="E240" s="17" t="n"/>
      <c r="F240" s="27" t="n"/>
      <c r="G240" s="28">
        <f>IF(D240="","",IFERROR(N(INDEX(Setup!$F$14:$F$33,MATCH(D240,Setup!$E$14:$E$33,0))),0))</f>
        <v/>
      </c>
      <c r="H240" s="29">
        <f>IF(OR(F240="",G240=""),"",F240*G240)</f>
        <v/>
      </c>
      <c r="I240" s="30" t="n"/>
    </row>
    <row r="241">
      <c r="B241" s="26" t="n"/>
      <c r="C241" s="17" t="n"/>
      <c r="D241" s="17" t="n"/>
      <c r="E241" s="17" t="n"/>
      <c r="F241" s="27" t="n"/>
      <c r="G241" s="28">
        <f>IF(D241="","",IFERROR(N(INDEX(Setup!$F$14:$F$33,MATCH(D241,Setup!$E$14:$E$33,0))),0))</f>
        <v/>
      </c>
      <c r="H241" s="29">
        <f>IF(OR(F241="",G241=""),"",F241*G241)</f>
        <v/>
      </c>
      <c r="I241" s="30" t="n"/>
    </row>
    <row r="242">
      <c r="B242" s="26" t="n"/>
      <c r="C242" s="17" t="n"/>
      <c r="D242" s="17" t="n"/>
      <c r="E242" s="17" t="n"/>
      <c r="F242" s="27" t="n"/>
      <c r="G242" s="28">
        <f>IF(D242="","",IFERROR(N(INDEX(Setup!$F$14:$F$33,MATCH(D242,Setup!$E$14:$E$33,0))),0))</f>
        <v/>
      </c>
      <c r="H242" s="29">
        <f>IF(OR(F242="",G242=""),"",F242*G242)</f>
        <v/>
      </c>
      <c r="I242" s="30" t="n"/>
    </row>
    <row r="243">
      <c r="B243" s="26" t="n"/>
      <c r="C243" s="17" t="n"/>
      <c r="D243" s="17" t="n"/>
      <c r="E243" s="17" t="n"/>
      <c r="F243" s="27" t="n"/>
      <c r="G243" s="28">
        <f>IF(D243="","",IFERROR(N(INDEX(Setup!$F$14:$F$33,MATCH(D243,Setup!$E$14:$E$33,0))),0))</f>
        <v/>
      </c>
      <c r="H243" s="29">
        <f>IF(OR(F243="",G243=""),"",F243*G243)</f>
        <v/>
      </c>
      <c r="I243" s="30" t="n"/>
    </row>
    <row r="244">
      <c r="B244" s="26" t="n"/>
      <c r="C244" s="17" t="n"/>
      <c r="D244" s="17" t="n"/>
      <c r="E244" s="17" t="n"/>
      <c r="F244" s="27" t="n"/>
      <c r="G244" s="28">
        <f>IF(D244="","",IFERROR(N(INDEX(Setup!$F$14:$F$33,MATCH(D244,Setup!$E$14:$E$33,0))),0))</f>
        <v/>
      </c>
      <c r="H244" s="29">
        <f>IF(OR(F244="",G244=""),"",F244*G244)</f>
        <v/>
      </c>
      <c r="I244" s="30" t="n"/>
    </row>
    <row r="245">
      <c r="B245" s="26" t="n"/>
      <c r="C245" s="17" t="n"/>
      <c r="D245" s="17" t="n"/>
      <c r="E245" s="17" t="n"/>
      <c r="F245" s="27" t="n"/>
      <c r="G245" s="28">
        <f>IF(D245="","",IFERROR(N(INDEX(Setup!$F$14:$F$33,MATCH(D245,Setup!$E$14:$E$33,0))),0))</f>
        <v/>
      </c>
      <c r="H245" s="29">
        <f>IF(OR(F245="",G245=""),"",F245*G245)</f>
        <v/>
      </c>
      <c r="I245" s="30" t="n"/>
    </row>
    <row r="246">
      <c r="B246" s="26" t="n"/>
      <c r="C246" s="17" t="n"/>
      <c r="D246" s="17" t="n"/>
      <c r="E246" s="17" t="n"/>
      <c r="F246" s="27" t="n"/>
      <c r="G246" s="28">
        <f>IF(D246="","",IFERROR(N(INDEX(Setup!$F$14:$F$33,MATCH(D246,Setup!$E$14:$E$33,0))),0))</f>
        <v/>
      </c>
      <c r="H246" s="29">
        <f>IF(OR(F246="",G246=""),"",F246*G246)</f>
        <v/>
      </c>
      <c r="I246" s="30" t="n"/>
    </row>
    <row r="247">
      <c r="B247" s="26" t="n"/>
      <c r="C247" s="17" t="n"/>
      <c r="D247" s="17" t="n"/>
      <c r="E247" s="17" t="n"/>
      <c r="F247" s="27" t="n"/>
      <c r="G247" s="28">
        <f>IF(D247="","",IFERROR(N(INDEX(Setup!$F$14:$F$33,MATCH(D247,Setup!$E$14:$E$33,0))),0))</f>
        <v/>
      </c>
      <c r="H247" s="29">
        <f>IF(OR(F247="",G247=""),"",F247*G247)</f>
        <v/>
      </c>
      <c r="I247" s="30" t="n"/>
    </row>
    <row r="248">
      <c r="B248" s="26" t="n"/>
      <c r="C248" s="17" t="n"/>
      <c r="D248" s="17" t="n"/>
      <c r="E248" s="17" t="n"/>
      <c r="F248" s="27" t="n"/>
      <c r="G248" s="28">
        <f>IF(D248="","",IFERROR(N(INDEX(Setup!$F$14:$F$33,MATCH(D248,Setup!$E$14:$E$33,0))),0))</f>
        <v/>
      </c>
      <c r="H248" s="29">
        <f>IF(OR(F248="",G248=""),"",F248*G248)</f>
        <v/>
      </c>
      <c r="I248" s="30" t="n"/>
    </row>
    <row r="249">
      <c r="B249" s="26" t="n"/>
      <c r="C249" s="17" t="n"/>
      <c r="D249" s="17" t="n"/>
      <c r="E249" s="17" t="n"/>
      <c r="F249" s="27" t="n"/>
      <c r="G249" s="28">
        <f>IF(D249="","",IFERROR(N(INDEX(Setup!$F$14:$F$33,MATCH(D249,Setup!$E$14:$E$33,0))),0))</f>
        <v/>
      </c>
      <c r="H249" s="29">
        <f>IF(OR(F249="",G249=""),"",F249*G249)</f>
        <v/>
      </c>
      <c r="I249" s="30" t="n"/>
    </row>
    <row r="250">
      <c r="B250" s="26" t="n"/>
      <c r="C250" s="17" t="n"/>
      <c r="D250" s="17" t="n"/>
      <c r="E250" s="17" t="n"/>
      <c r="F250" s="27" t="n"/>
      <c r="G250" s="28">
        <f>IF(D250="","",IFERROR(N(INDEX(Setup!$F$14:$F$33,MATCH(D250,Setup!$E$14:$E$33,0))),0))</f>
        <v/>
      </c>
      <c r="H250" s="29">
        <f>IF(OR(F250="",G250=""),"",F250*G250)</f>
        <v/>
      </c>
      <c r="I250" s="30" t="n"/>
    </row>
    <row r="251">
      <c r="B251" s="26" t="n"/>
      <c r="C251" s="17" t="n"/>
      <c r="D251" s="17" t="n"/>
      <c r="E251" s="17" t="n"/>
      <c r="F251" s="27" t="n"/>
      <c r="G251" s="28">
        <f>IF(D251="","",IFERROR(N(INDEX(Setup!$F$14:$F$33,MATCH(D251,Setup!$E$14:$E$33,0))),0))</f>
        <v/>
      </c>
      <c r="H251" s="29">
        <f>IF(OR(F251="",G251=""),"",F251*G251)</f>
        <v/>
      </c>
      <c r="I251" s="30" t="n"/>
    </row>
    <row r="252">
      <c r="B252" s="26" t="n"/>
      <c r="C252" s="17" t="n"/>
      <c r="D252" s="17" t="n"/>
      <c r="E252" s="17" t="n"/>
      <c r="F252" s="27" t="n"/>
      <c r="G252" s="28">
        <f>IF(D252="","",IFERROR(N(INDEX(Setup!$F$14:$F$33,MATCH(D252,Setup!$E$14:$E$33,0))),0))</f>
        <v/>
      </c>
      <c r="H252" s="29">
        <f>IF(OR(F252="",G252=""),"",F252*G252)</f>
        <v/>
      </c>
      <c r="I252" s="30" t="n"/>
    </row>
    <row r="253">
      <c r="B253" s="26" t="n"/>
      <c r="C253" s="17" t="n"/>
      <c r="D253" s="17" t="n"/>
      <c r="E253" s="17" t="n"/>
      <c r="F253" s="27" t="n"/>
      <c r="G253" s="28">
        <f>IF(D253="","",IFERROR(N(INDEX(Setup!$F$14:$F$33,MATCH(D253,Setup!$E$14:$E$33,0))),0))</f>
        <v/>
      </c>
      <c r="H253" s="29">
        <f>IF(OR(F253="",G253=""),"",F253*G253)</f>
        <v/>
      </c>
      <c r="I253" s="30" t="n"/>
    </row>
    <row r="254">
      <c r="B254" s="26" t="n"/>
      <c r="C254" s="17" t="n"/>
      <c r="D254" s="17" t="n"/>
      <c r="E254" s="17" t="n"/>
      <c r="F254" s="27" t="n"/>
      <c r="G254" s="28">
        <f>IF(D254="","",IFERROR(N(INDEX(Setup!$F$14:$F$33,MATCH(D254,Setup!$E$14:$E$33,0))),0))</f>
        <v/>
      </c>
      <c r="H254" s="29">
        <f>IF(OR(F254="",G254=""),"",F254*G254)</f>
        <v/>
      </c>
      <c r="I254" s="30" t="n"/>
    </row>
    <row r="255">
      <c r="B255" s="26" t="n"/>
      <c r="C255" s="17" t="n"/>
      <c r="D255" s="17" t="n"/>
      <c r="E255" s="17" t="n"/>
      <c r="F255" s="27" t="n"/>
      <c r="G255" s="28">
        <f>IF(D255="","",IFERROR(N(INDEX(Setup!$F$14:$F$33,MATCH(D255,Setup!$E$14:$E$33,0))),0))</f>
        <v/>
      </c>
      <c r="H255" s="29">
        <f>IF(OR(F255="",G255=""),"",F255*G255)</f>
        <v/>
      </c>
      <c r="I255" s="30" t="n"/>
    </row>
    <row r="256">
      <c r="B256" s="26" t="n"/>
      <c r="C256" s="17" t="n"/>
      <c r="D256" s="17" t="n"/>
      <c r="E256" s="17" t="n"/>
      <c r="F256" s="27" t="n"/>
      <c r="G256" s="28">
        <f>IF(D256="","",IFERROR(N(INDEX(Setup!$F$14:$F$33,MATCH(D256,Setup!$E$14:$E$33,0))),0))</f>
        <v/>
      </c>
      <c r="H256" s="29">
        <f>IF(OR(F256="",G256=""),"",F256*G256)</f>
        <v/>
      </c>
      <c r="I256" s="30" t="n"/>
    </row>
    <row r="257">
      <c r="B257" s="26" t="n"/>
      <c r="C257" s="17" t="n"/>
      <c r="D257" s="17" t="n"/>
      <c r="E257" s="17" t="n"/>
      <c r="F257" s="27" t="n"/>
      <c r="G257" s="28">
        <f>IF(D257="","",IFERROR(N(INDEX(Setup!$F$14:$F$33,MATCH(D257,Setup!$E$14:$E$33,0))),0))</f>
        <v/>
      </c>
      <c r="H257" s="29">
        <f>IF(OR(F257="",G257=""),"",F257*G257)</f>
        <v/>
      </c>
      <c r="I257" s="30" t="n"/>
    </row>
    <row r="258">
      <c r="B258" s="26" t="n"/>
      <c r="C258" s="17" t="n"/>
      <c r="D258" s="17" t="n"/>
      <c r="E258" s="17" t="n"/>
      <c r="F258" s="27" t="n"/>
      <c r="G258" s="28">
        <f>IF(D258="","",IFERROR(N(INDEX(Setup!$F$14:$F$33,MATCH(D258,Setup!$E$14:$E$33,0))),0))</f>
        <v/>
      </c>
      <c r="H258" s="29">
        <f>IF(OR(F258="",G258=""),"",F258*G258)</f>
        <v/>
      </c>
      <c r="I258" s="30" t="n"/>
    </row>
    <row r="259">
      <c r="B259" s="26" t="n"/>
      <c r="C259" s="17" t="n"/>
      <c r="D259" s="17" t="n"/>
      <c r="E259" s="17" t="n"/>
      <c r="F259" s="27" t="n"/>
      <c r="G259" s="28">
        <f>IF(D259="","",IFERROR(N(INDEX(Setup!$F$14:$F$33,MATCH(D259,Setup!$E$14:$E$33,0))),0))</f>
        <v/>
      </c>
      <c r="H259" s="29">
        <f>IF(OR(F259="",G259=""),"",F259*G259)</f>
        <v/>
      </c>
      <c r="I259" s="30" t="n"/>
    </row>
    <row r="260">
      <c r="B260" s="26" t="n"/>
      <c r="C260" s="17" t="n"/>
      <c r="D260" s="17" t="n"/>
      <c r="E260" s="17" t="n"/>
      <c r="F260" s="27" t="n"/>
      <c r="G260" s="28">
        <f>IF(D260="","",IFERROR(N(INDEX(Setup!$F$14:$F$33,MATCH(D260,Setup!$E$14:$E$33,0))),0))</f>
        <v/>
      </c>
      <c r="H260" s="29">
        <f>IF(OR(F260="",G260=""),"",F260*G260)</f>
        <v/>
      </c>
      <c r="I260" s="30" t="n"/>
    </row>
    <row r="261">
      <c r="B261" s="26" t="n"/>
      <c r="C261" s="17" t="n"/>
      <c r="D261" s="17" t="n"/>
      <c r="E261" s="17" t="n"/>
      <c r="F261" s="27" t="n"/>
      <c r="G261" s="28">
        <f>IF(D261="","",IFERROR(N(INDEX(Setup!$F$14:$F$33,MATCH(D261,Setup!$E$14:$E$33,0))),0))</f>
        <v/>
      </c>
      <c r="H261" s="29">
        <f>IF(OR(F261="",G261=""),"",F261*G261)</f>
        <v/>
      </c>
      <c r="I261" s="30" t="n"/>
    </row>
    <row r="262">
      <c r="B262" s="26" t="n"/>
      <c r="C262" s="17" t="n"/>
      <c r="D262" s="17" t="n"/>
      <c r="E262" s="17" t="n"/>
      <c r="F262" s="27" t="n"/>
      <c r="G262" s="28">
        <f>IF(D262="","",IFERROR(N(INDEX(Setup!$F$14:$F$33,MATCH(D262,Setup!$E$14:$E$33,0))),0))</f>
        <v/>
      </c>
      <c r="H262" s="29">
        <f>IF(OR(F262="",G262=""),"",F262*G262)</f>
        <v/>
      </c>
      <c r="I262" s="30" t="n"/>
    </row>
    <row r="263">
      <c r="B263" s="26" t="n"/>
      <c r="C263" s="17" t="n"/>
      <c r="D263" s="17" t="n"/>
      <c r="E263" s="17" t="n"/>
      <c r="F263" s="27" t="n"/>
      <c r="G263" s="28">
        <f>IF(D263="","",IFERROR(N(INDEX(Setup!$F$14:$F$33,MATCH(D263,Setup!$E$14:$E$33,0))),0))</f>
        <v/>
      </c>
      <c r="H263" s="29">
        <f>IF(OR(F263="",G263=""),"",F263*G263)</f>
        <v/>
      </c>
      <c r="I263" s="30" t="n"/>
    </row>
    <row r="264">
      <c r="B264" s="26" t="n"/>
      <c r="C264" s="17" t="n"/>
      <c r="D264" s="17" t="n"/>
      <c r="E264" s="17" t="n"/>
      <c r="F264" s="27" t="n"/>
      <c r="G264" s="28">
        <f>IF(D264="","",IFERROR(N(INDEX(Setup!$F$14:$F$33,MATCH(D264,Setup!$E$14:$E$33,0))),0))</f>
        <v/>
      </c>
      <c r="H264" s="29">
        <f>IF(OR(F264="",G264=""),"",F264*G264)</f>
        <v/>
      </c>
      <c r="I264" s="30" t="n"/>
    </row>
    <row r="265">
      <c r="B265" s="26" t="n"/>
      <c r="C265" s="17" t="n"/>
      <c r="D265" s="17" t="n"/>
      <c r="E265" s="17" t="n"/>
      <c r="F265" s="27" t="n"/>
      <c r="G265" s="28">
        <f>IF(D265="","",IFERROR(N(INDEX(Setup!$F$14:$F$33,MATCH(D265,Setup!$E$14:$E$33,0))),0))</f>
        <v/>
      </c>
      <c r="H265" s="29">
        <f>IF(OR(F265="",G265=""),"",F265*G265)</f>
        <v/>
      </c>
      <c r="I265" s="30" t="n"/>
    </row>
    <row r="266">
      <c r="B266" s="26" t="n"/>
      <c r="C266" s="17" t="n"/>
      <c r="D266" s="17" t="n"/>
      <c r="E266" s="17" t="n"/>
      <c r="F266" s="27" t="n"/>
      <c r="G266" s="28">
        <f>IF(D266="","",IFERROR(N(INDEX(Setup!$F$14:$F$33,MATCH(D266,Setup!$E$14:$E$33,0))),0))</f>
        <v/>
      </c>
      <c r="H266" s="29">
        <f>IF(OR(F266="",G266=""),"",F266*G266)</f>
        <v/>
      </c>
      <c r="I266" s="30" t="n"/>
    </row>
    <row r="267">
      <c r="B267" s="26" t="n"/>
      <c r="C267" s="17" t="n"/>
      <c r="D267" s="17" t="n"/>
      <c r="E267" s="17" t="n"/>
      <c r="F267" s="27" t="n"/>
      <c r="G267" s="28">
        <f>IF(D267="","",IFERROR(N(INDEX(Setup!$F$14:$F$33,MATCH(D267,Setup!$E$14:$E$33,0))),0))</f>
        <v/>
      </c>
      <c r="H267" s="29">
        <f>IF(OR(F267="",G267=""),"",F267*G267)</f>
        <v/>
      </c>
      <c r="I267" s="30" t="n"/>
    </row>
    <row r="268">
      <c r="B268" s="26" t="n"/>
      <c r="C268" s="17" t="n"/>
      <c r="D268" s="17" t="n"/>
      <c r="E268" s="17" t="n"/>
      <c r="F268" s="27" t="n"/>
      <c r="G268" s="28">
        <f>IF(D268="","",IFERROR(N(INDEX(Setup!$F$14:$F$33,MATCH(D268,Setup!$E$14:$E$33,0))),0))</f>
        <v/>
      </c>
      <c r="H268" s="29">
        <f>IF(OR(F268="",G268=""),"",F268*G268)</f>
        <v/>
      </c>
      <c r="I268" s="30" t="n"/>
    </row>
    <row r="269">
      <c r="B269" s="26" t="n"/>
      <c r="C269" s="17" t="n"/>
      <c r="D269" s="17" t="n"/>
      <c r="E269" s="17" t="n"/>
      <c r="F269" s="27" t="n"/>
      <c r="G269" s="28">
        <f>IF(D269="","",IFERROR(N(INDEX(Setup!$F$14:$F$33,MATCH(D269,Setup!$E$14:$E$33,0))),0))</f>
        <v/>
      </c>
      <c r="H269" s="29">
        <f>IF(OR(F269="",G269=""),"",F269*G269)</f>
        <v/>
      </c>
      <c r="I269" s="30" t="n"/>
    </row>
    <row r="270">
      <c r="B270" s="26" t="n"/>
      <c r="C270" s="17" t="n"/>
      <c r="D270" s="17" t="n"/>
      <c r="E270" s="17" t="n"/>
      <c r="F270" s="27" t="n"/>
      <c r="G270" s="28">
        <f>IF(D270="","",IFERROR(N(INDEX(Setup!$F$14:$F$33,MATCH(D270,Setup!$E$14:$E$33,0))),0))</f>
        <v/>
      </c>
      <c r="H270" s="29">
        <f>IF(OR(F270="",G270=""),"",F270*G270)</f>
        <v/>
      </c>
      <c r="I270" s="30" t="n"/>
    </row>
    <row r="271">
      <c r="B271" s="26" t="n"/>
      <c r="C271" s="17" t="n"/>
      <c r="D271" s="17" t="n"/>
      <c r="E271" s="17" t="n"/>
      <c r="F271" s="27" t="n"/>
      <c r="G271" s="28">
        <f>IF(D271="","",IFERROR(N(INDEX(Setup!$F$14:$F$33,MATCH(D271,Setup!$E$14:$E$33,0))),0))</f>
        <v/>
      </c>
      <c r="H271" s="29">
        <f>IF(OR(F271="",G271=""),"",F271*G271)</f>
        <v/>
      </c>
      <c r="I271" s="30" t="n"/>
    </row>
    <row r="272">
      <c r="B272" s="26" t="n"/>
      <c r="C272" s="17" t="n"/>
      <c r="D272" s="17" t="n"/>
      <c r="E272" s="17" t="n"/>
      <c r="F272" s="27" t="n"/>
      <c r="G272" s="28">
        <f>IF(D272="","",IFERROR(N(INDEX(Setup!$F$14:$F$33,MATCH(D272,Setup!$E$14:$E$33,0))),0))</f>
        <v/>
      </c>
      <c r="H272" s="29">
        <f>IF(OR(F272="",G272=""),"",F272*G272)</f>
        <v/>
      </c>
      <c r="I272" s="30" t="n"/>
    </row>
    <row r="273">
      <c r="B273" s="26" t="n"/>
      <c r="C273" s="17" t="n"/>
      <c r="D273" s="17" t="n"/>
      <c r="E273" s="17" t="n"/>
      <c r="F273" s="27" t="n"/>
      <c r="G273" s="28">
        <f>IF(D273="","",IFERROR(N(INDEX(Setup!$F$14:$F$33,MATCH(D273,Setup!$E$14:$E$33,0))),0))</f>
        <v/>
      </c>
      <c r="H273" s="29">
        <f>IF(OR(F273="",G273=""),"",F273*G273)</f>
        <v/>
      </c>
      <c r="I273" s="30" t="n"/>
    </row>
    <row r="274">
      <c r="B274" s="26" t="n"/>
      <c r="C274" s="17" t="n"/>
      <c r="D274" s="17" t="n"/>
      <c r="E274" s="17" t="n"/>
      <c r="F274" s="27" t="n"/>
      <c r="G274" s="28">
        <f>IF(D274="","",IFERROR(N(INDEX(Setup!$F$14:$F$33,MATCH(D274,Setup!$E$14:$E$33,0))),0))</f>
        <v/>
      </c>
      <c r="H274" s="29">
        <f>IF(OR(F274="",G274=""),"",F274*G274)</f>
        <v/>
      </c>
      <c r="I274" s="30" t="n"/>
    </row>
    <row r="275">
      <c r="B275" s="26" t="n"/>
      <c r="C275" s="17" t="n"/>
      <c r="D275" s="17" t="n"/>
      <c r="E275" s="17" t="n"/>
      <c r="F275" s="27" t="n"/>
      <c r="G275" s="28">
        <f>IF(D275="","",IFERROR(N(INDEX(Setup!$F$14:$F$33,MATCH(D275,Setup!$E$14:$E$33,0))),0))</f>
        <v/>
      </c>
      <c r="H275" s="29">
        <f>IF(OR(F275="",G275=""),"",F275*G275)</f>
        <v/>
      </c>
      <c r="I275" s="30" t="n"/>
    </row>
    <row r="276">
      <c r="B276" s="26" t="n"/>
      <c r="C276" s="17" t="n"/>
      <c r="D276" s="17" t="n"/>
      <c r="E276" s="17" t="n"/>
      <c r="F276" s="27" t="n"/>
      <c r="G276" s="28">
        <f>IF(D276="","",IFERROR(N(INDEX(Setup!$F$14:$F$33,MATCH(D276,Setup!$E$14:$E$33,0))),0))</f>
        <v/>
      </c>
      <c r="H276" s="29">
        <f>IF(OR(F276="",G276=""),"",F276*G276)</f>
        <v/>
      </c>
      <c r="I276" s="30" t="n"/>
    </row>
    <row r="277">
      <c r="B277" s="26" t="n"/>
      <c r="C277" s="17" t="n"/>
      <c r="D277" s="17" t="n"/>
      <c r="E277" s="17" t="n"/>
      <c r="F277" s="27" t="n"/>
      <c r="G277" s="28">
        <f>IF(D277="","",IFERROR(N(INDEX(Setup!$F$14:$F$33,MATCH(D277,Setup!$E$14:$E$33,0))),0))</f>
        <v/>
      </c>
      <c r="H277" s="29">
        <f>IF(OR(F277="",G277=""),"",F277*G277)</f>
        <v/>
      </c>
      <c r="I277" s="30" t="n"/>
    </row>
    <row r="278">
      <c r="B278" s="26" t="n"/>
      <c r="C278" s="17" t="n"/>
      <c r="D278" s="17" t="n"/>
      <c r="E278" s="17" t="n"/>
      <c r="F278" s="27" t="n"/>
      <c r="G278" s="28">
        <f>IF(D278="","",IFERROR(N(INDEX(Setup!$F$14:$F$33,MATCH(D278,Setup!$E$14:$E$33,0))),0))</f>
        <v/>
      </c>
      <c r="H278" s="29">
        <f>IF(OR(F278="",G278=""),"",F278*G278)</f>
        <v/>
      </c>
      <c r="I278" s="30" t="n"/>
    </row>
    <row r="279">
      <c r="B279" s="26" t="n"/>
      <c r="C279" s="17" t="n"/>
      <c r="D279" s="17" t="n"/>
      <c r="E279" s="17" t="n"/>
      <c r="F279" s="27" t="n"/>
      <c r="G279" s="28">
        <f>IF(D279="","",IFERROR(N(INDEX(Setup!$F$14:$F$33,MATCH(D279,Setup!$E$14:$E$33,0))),0))</f>
        <v/>
      </c>
      <c r="H279" s="29">
        <f>IF(OR(F279="",G279=""),"",F279*G279)</f>
        <v/>
      </c>
      <c r="I279" s="30" t="n"/>
    </row>
    <row r="280">
      <c r="B280" s="26" t="n"/>
      <c r="C280" s="17" t="n"/>
      <c r="D280" s="17" t="n"/>
      <c r="E280" s="17" t="n"/>
      <c r="F280" s="27" t="n"/>
      <c r="G280" s="28">
        <f>IF(D280="","",IFERROR(N(INDEX(Setup!$F$14:$F$33,MATCH(D280,Setup!$E$14:$E$33,0))),0))</f>
        <v/>
      </c>
      <c r="H280" s="29">
        <f>IF(OR(F280="",G280=""),"",F280*G280)</f>
        <v/>
      </c>
      <c r="I280" s="30" t="n"/>
    </row>
    <row r="281">
      <c r="B281" s="26" t="n"/>
      <c r="C281" s="17" t="n"/>
      <c r="D281" s="17" t="n"/>
      <c r="E281" s="17" t="n"/>
      <c r="F281" s="27" t="n"/>
      <c r="G281" s="28">
        <f>IF(D281="","",IFERROR(N(INDEX(Setup!$F$14:$F$33,MATCH(D281,Setup!$E$14:$E$33,0))),0))</f>
        <v/>
      </c>
      <c r="H281" s="29">
        <f>IF(OR(F281="",G281=""),"",F281*G281)</f>
        <v/>
      </c>
      <c r="I281" s="30" t="n"/>
    </row>
    <row r="282">
      <c r="B282" s="26" t="n"/>
      <c r="C282" s="17" t="n"/>
      <c r="D282" s="17" t="n"/>
      <c r="E282" s="17" t="n"/>
      <c r="F282" s="27" t="n"/>
      <c r="G282" s="28">
        <f>IF(D282="","",IFERROR(N(INDEX(Setup!$F$14:$F$33,MATCH(D282,Setup!$E$14:$E$33,0))),0))</f>
        <v/>
      </c>
      <c r="H282" s="29">
        <f>IF(OR(F282="",G282=""),"",F282*G282)</f>
        <v/>
      </c>
      <c r="I282" s="30" t="n"/>
    </row>
    <row r="283">
      <c r="B283" s="26" t="n"/>
      <c r="C283" s="17" t="n"/>
      <c r="D283" s="17" t="n"/>
      <c r="E283" s="17" t="n"/>
      <c r="F283" s="27" t="n"/>
      <c r="G283" s="28">
        <f>IF(D283="","",IFERROR(N(INDEX(Setup!$F$14:$F$33,MATCH(D283,Setup!$E$14:$E$33,0))),0))</f>
        <v/>
      </c>
      <c r="H283" s="29">
        <f>IF(OR(F283="",G283=""),"",F283*G283)</f>
        <v/>
      </c>
      <c r="I283" s="30" t="n"/>
    </row>
    <row r="284">
      <c r="B284" s="26" t="n"/>
      <c r="C284" s="17" t="n"/>
      <c r="D284" s="17" t="n"/>
      <c r="E284" s="17" t="n"/>
      <c r="F284" s="27" t="n"/>
      <c r="G284" s="28">
        <f>IF(D284="","",IFERROR(N(INDEX(Setup!$F$14:$F$33,MATCH(D284,Setup!$E$14:$E$33,0))),0))</f>
        <v/>
      </c>
      <c r="H284" s="29">
        <f>IF(OR(F284="",G284=""),"",F284*G284)</f>
        <v/>
      </c>
      <c r="I284" s="30" t="n"/>
    </row>
    <row r="285">
      <c r="B285" s="26" t="n"/>
      <c r="C285" s="17" t="n"/>
      <c r="D285" s="17" t="n"/>
      <c r="E285" s="17" t="n"/>
      <c r="F285" s="27" t="n"/>
      <c r="G285" s="28">
        <f>IF(D285="","",IFERROR(N(INDEX(Setup!$F$14:$F$33,MATCH(D285,Setup!$E$14:$E$33,0))),0))</f>
        <v/>
      </c>
      <c r="H285" s="29">
        <f>IF(OR(F285="",G285=""),"",F285*G285)</f>
        <v/>
      </c>
      <c r="I285" s="30" t="n"/>
    </row>
    <row r="286">
      <c r="B286" s="26" t="n"/>
      <c r="C286" s="17" t="n"/>
      <c r="D286" s="17" t="n"/>
      <c r="E286" s="17" t="n"/>
      <c r="F286" s="27" t="n"/>
      <c r="G286" s="28">
        <f>IF(D286="","",IFERROR(N(INDEX(Setup!$F$14:$F$33,MATCH(D286,Setup!$E$14:$E$33,0))),0))</f>
        <v/>
      </c>
      <c r="H286" s="29">
        <f>IF(OR(F286="",G286=""),"",F286*G286)</f>
        <v/>
      </c>
      <c r="I286" s="30" t="n"/>
    </row>
    <row r="287">
      <c r="B287" s="26" t="n"/>
      <c r="C287" s="17" t="n"/>
      <c r="D287" s="17" t="n"/>
      <c r="E287" s="17" t="n"/>
      <c r="F287" s="27" t="n"/>
      <c r="G287" s="28">
        <f>IF(D287="","",IFERROR(N(INDEX(Setup!$F$14:$F$33,MATCH(D287,Setup!$E$14:$E$33,0))),0))</f>
        <v/>
      </c>
      <c r="H287" s="29">
        <f>IF(OR(F287="",G287=""),"",F287*G287)</f>
        <v/>
      </c>
      <c r="I287" s="30" t="n"/>
    </row>
    <row r="288">
      <c r="B288" s="26" t="n"/>
      <c r="C288" s="17" t="n"/>
      <c r="D288" s="17" t="n"/>
      <c r="E288" s="17" t="n"/>
      <c r="F288" s="27" t="n"/>
      <c r="G288" s="28">
        <f>IF(D288="","",IFERROR(N(INDEX(Setup!$F$14:$F$33,MATCH(D288,Setup!$E$14:$E$33,0))),0))</f>
        <v/>
      </c>
      <c r="H288" s="29">
        <f>IF(OR(F288="",G288=""),"",F288*G288)</f>
        <v/>
      </c>
      <c r="I288" s="30" t="n"/>
    </row>
    <row r="289">
      <c r="B289" s="26" t="n"/>
      <c r="C289" s="17" t="n"/>
      <c r="D289" s="17" t="n"/>
      <c r="E289" s="17" t="n"/>
      <c r="F289" s="27" t="n"/>
      <c r="G289" s="28">
        <f>IF(D289="","",IFERROR(N(INDEX(Setup!$F$14:$F$33,MATCH(D289,Setup!$E$14:$E$33,0))),0))</f>
        <v/>
      </c>
      <c r="H289" s="29">
        <f>IF(OR(F289="",G289=""),"",F289*G289)</f>
        <v/>
      </c>
      <c r="I289" s="30" t="n"/>
    </row>
    <row r="290">
      <c r="B290" s="26" t="n"/>
      <c r="C290" s="17" t="n"/>
      <c r="D290" s="17" t="n"/>
      <c r="E290" s="17" t="n"/>
      <c r="F290" s="27" t="n"/>
      <c r="G290" s="28">
        <f>IF(D290="","",IFERROR(N(INDEX(Setup!$F$14:$F$33,MATCH(D290,Setup!$E$14:$E$33,0))),0))</f>
        <v/>
      </c>
      <c r="H290" s="29">
        <f>IF(OR(F290="",G290=""),"",F290*G290)</f>
        <v/>
      </c>
      <c r="I290" s="30" t="n"/>
    </row>
    <row r="291">
      <c r="B291" s="26" t="n"/>
      <c r="C291" s="17" t="n"/>
      <c r="D291" s="17" t="n"/>
      <c r="E291" s="17" t="n"/>
      <c r="F291" s="27" t="n"/>
      <c r="G291" s="28">
        <f>IF(D291="","",IFERROR(N(INDEX(Setup!$F$14:$F$33,MATCH(D291,Setup!$E$14:$E$33,0))),0))</f>
        <v/>
      </c>
      <c r="H291" s="29">
        <f>IF(OR(F291="",G291=""),"",F291*G291)</f>
        <v/>
      </c>
      <c r="I291" s="30" t="n"/>
    </row>
    <row r="292">
      <c r="B292" s="26" t="n"/>
      <c r="C292" s="17" t="n"/>
      <c r="D292" s="17" t="n"/>
      <c r="E292" s="17" t="n"/>
      <c r="F292" s="27" t="n"/>
      <c r="G292" s="28">
        <f>IF(D292="","",IFERROR(N(INDEX(Setup!$F$14:$F$33,MATCH(D292,Setup!$E$14:$E$33,0))),0))</f>
        <v/>
      </c>
      <c r="H292" s="29">
        <f>IF(OR(F292="",G292=""),"",F292*G292)</f>
        <v/>
      </c>
      <c r="I292" s="30" t="n"/>
    </row>
    <row r="293">
      <c r="B293" s="26" t="n"/>
      <c r="C293" s="17" t="n"/>
      <c r="D293" s="17" t="n"/>
      <c r="E293" s="17" t="n"/>
      <c r="F293" s="27" t="n"/>
      <c r="G293" s="28">
        <f>IF(D293="","",IFERROR(N(INDEX(Setup!$F$14:$F$33,MATCH(D293,Setup!$E$14:$E$33,0))),0))</f>
        <v/>
      </c>
      <c r="H293" s="29">
        <f>IF(OR(F293="",G293=""),"",F293*G293)</f>
        <v/>
      </c>
      <c r="I293" s="30" t="n"/>
    </row>
    <row r="294">
      <c r="B294" s="26" t="n"/>
      <c r="C294" s="17" t="n"/>
      <c r="D294" s="17" t="n"/>
      <c r="E294" s="17" t="n"/>
      <c r="F294" s="27" t="n"/>
      <c r="G294" s="28">
        <f>IF(D294="","",IFERROR(N(INDEX(Setup!$F$14:$F$33,MATCH(D294,Setup!$E$14:$E$33,0))),0))</f>
        <v/>
      </c>
      <c r="H294" s="29">
        <f>IF(OR(F294="",G294=""),"",F294*G294)</f>
        <v/>
      </c>
      <c r="I294" s="30" t="n"/>
    </row>
    <row r="295">
      <c r="B295" s="26" t="n"/>
      <c r="C295" s="17" t="n"/>
      <c r="D295" s="17" t="n"/>
      <c r="E295" s="17" t="n"/>
      <c r="F295" s="27" t="n"/>
      <c r="G295" s="28">
        <f>IF(D295="","",IFERROR(N(INDEX(Setup!$F$14:$F$33,MATCH(D295,Setup!$E$14:$E$33,0))),0))</f>
        <v/>
      </c>
      <c r="H295" s="29">
        <f>IF(OR(F295="",G295=""),"",F295*G295)</f>
        <v/>
      </c>
      <c r="I295" s="30" t="n"/>
    </row>
    <row r="296">
      <c r="B296" s="26" t="n"/>
      <c r="C296" s="17" t="n"/>
      <c r="D296" s="17" t="n"/>
      <c r="E296" s="17" t="n"/>
      <c r="F296" s="27" t="n"/>
      <c r="G296" s="28">
        <f>IF(D296="","",IFERROR(N(INDEX(Setup!$F$14:$F$33,MATCH(D296,Setup!$E$14:$E$33,0))),0))</f>
        <v/>
      </c>
      <c r="H296" s="29">
        <f>IF(OR(F296="",G296=""),"",F296*G296)</f>
        <v/>
      </c>
      <c r="I296" s="30" t="n"/>
    </row>
    <row r="297">
      <c r="B297" s="26" t="n"/>
      <c r="C297" s="17" t="n"/>
      <c r="D297" s="17" t="n"/>
      <c r="E297" s="17" t="n"/>
      <c r="F297" s="27" t="n"/>
      <c r="G297" s="28">
        <f>IF(D297="","",IFERROR(N(INDEX(Setup!$F$14:$F$33,MATCH(D297,Setup!$E$14:$E$33,0))),0))</f>
        <v/>
      </c>
      <c r="H297" s="29">
        <f>IF(OR(F297="",G297=""),"",F297*G297)</f>
        <v/>
      </c>
      <c r="I297" s="30" t="n"/>
    </row>
    <row r="298">
      <c r="B298" s="26" t="n"/>
      <c r="C298" s="17" t="n"/>
      <c r="D298" s="17" t="n"/>
      <c r="E298" s="17" t="n"/>
      <c r="F298" s="27" t="n"/>
      <c r="G298" s="28">
        <f>IF(D298="","",IFERROR(N(INDEX(Setup!$F$14:$F$33,MATCH(D298,Setup!$E$14:$E$33,0))),0))</f>
        <v/>
      </c>
      <c r="H298" s="29">
        <f>IF(OR(F298="",G298=""),"",F298*G298)</f>
        <v/>
      </c>
      <c r="I298" s="30" t="n"/>
    </row>
    <row r="299">
      <c r="B299" s="26" t="n"/>
      <c r="C299" s="17" t="n"/>
      <c r="D299" s="17" t="n"/>
      <c r="E299" s="17" t="n"/>
      <c r="F299" s="27" t="n"/>
      <c r="G299" s="28">
        <f>IF(D299="","",IFERROR(N(INDEX(Setup!$F$14:$F$33,MATCH(D299,Setup!$E$14:$E$33,0))),0))</f>
        <v/>
      </c>
      <c r="H299" s="29">
        <f>IF(OR(F299="",G299=""),"",F299*G299)</f>
        <v/>
      </c>
      <c r="I299" s="30" t="n"/>
    </row>
    <row r="300">
      <c r="B300" s="26" t="n"/>
      <c r="C300" s="17" t="n"/>
      <c r="D300" s="17" t="n"/>
      <c r="E300" s="17" t="n"/>
      <c r="F300" s="27" t="n"/>
      <c r="G300" s="28">
        <f>IF(D300="","",IFERROR(N(INDEX(Setup!$F$14:$F$33,MATCH(D300,Setup!$E$14:$E$33,0))),0))</f>
        <v/>
      </c>
      <c r="H300" s="29">
        <f>IF(OR(F300="",G300=""),"",F300*G300)</f>
        <v/>
      </c>
      <c r="I300" s="30" t="n"/>
    </row>
    <row r="301">
      <c r="B301" s="26" t="n"/>
      <c r="C301" s="17" t="n"/>
      <c r="D301" s="17" t="n"/>
      <c r="E301" s="17" t="n"/>
      <c r="F301" s="27" t="n"/>
      <c r="G301" s="28">
        <f>IF(D301="","",IFERROR(N(INDEX(Setup!$F$14:$F$33,MATCH(D301,Setup!$E$14:$E$33,0))),0))</f>
        <v/>
      </c>
      <c r="H301" s="29">
        <f>IF(OR(F301="",G301=""),"",F301*G301)</f>
        <v/>
      </c>
      <c r="I301" s="30" t="n"/>
    </row>
    <row r="302">
      <c r="B302" s="26" t="n"/>
      <c r="C302" s="17" t="n"/>
      <c r="D302" s="17" t="n"/>
      <c r="E302" s="17" t="n"/>
      <c r="F302" s="27" t="n"/>
      <c r="G302" s="28">
        <f>IF(D302="","",IFERROR(N(INDEX(Setup!$F$14:$F$33,MATCH(D302,Setup!$E$14:$E$33,0))),0))</f>
        <v/>
      </c>
      <c r="H302" s="29">
        <f>IF(OR(F302="",G302=""),"",F302*G302)</f>
        <v/>
      </c>
      <c r="I302" s="30" t="n"/>
    </row>
    <row r="303">
      <c r="B303" s="26" t="n"/>
      <c r="C303" s="17" t="n"/>
      <c r="D303" s="17" t="n"/>
      <c r="E303" s="17" t="n"/>
      <c r="F303" s="27" t="n"/>
      <c r="G303" s="28">
        <f>IF(D303="","",IFERROR(N(INDEX(Setup!$F$14:$F$33,MATCH(D303,Setup!$E$14:$E$33,0))),0))</f>
        <v/>
      </c>
      <c r="H303" s="29">
        <f>IF(OR(F303="",G303=""),"",F303*G303)</f>
        <v/>
      </c>
      <c r="I303" s="30" t="n"/>
    </row>
    <row r="304">
      <c r="B304" s="26" t="n"/>
      <c r="C304" s="17" t="n"/>
      <c r="D304" s="17" t="n"/>
      <c r="E304" s="17" t="n"/>
      <c r="F304" s="27" t="n"/>
      <c r="G304" s="28">
        <f>IF(D304="","",IFERROR(N(INDEX(Setup!$F$14:$F$33,MATCH(D304,Setup!$E$14:$E$33,0))),0))</f>
        <v/>
      </c>
      <c r="H304" s="29">
        <f>IF(OR(F304="",G304=""),"",F304*G304)</f>
        <v/>
      </c>
      <c r="I304" s="30" t="n"/>
    </row>
    <row r="305">
      <c r="B305" s="26" t="n"/>
      <c r="C305" s="17" t="n"/>
      <c r="D305" s="17" t="n"/>
      <c r="E305" s="17" t="n"/>
      <c r="F305" s="27" t="n"/>
      <c r="G305" s="28">
        <f>IF(D305="","",IFERROR(N(INDEX(Setup!$F$14:$F$33,MATCH(D305,Setup!$E$14:$E$33,0))),0))</f>
        <v/>
      </c>
      <c r="H305" s="29">
        <f>IF(OR(F305="",G305=""),"",F305*G305)</f>
        <v/>
      </c>
      <c r="I305" s="30" t="n"/>
    </row>
    <row r="306">
      <c r="B306" s="26" t="n"/>
      <c r="C306" s="17" t="n"/>
      <c r="D306" s="17" t="n"/>
      <c r="E306" s="17" t="n"/>
      <c r="F306" s="27" t="n"/>
      <c r="G306" s="28">
        <f>IF(D306="","",IFERROR(N(INDEX(Setup!$F$14:$F$33,MATCH(D306,Setup!$E$14:$E$33,0))),0))</f>
        <v/>
      </c>
      <c r="H306" s="29">
        <f>IF(OR(F306="",G306=""),"",F306*G306)</f>
        <v/>
      </c>
      <c r="I306" s="30" t="n"/>
    </row>
    <row r="307">
      <c r="B307" s="26" t="n"/>
      <c r="C307" s="17" t="n"/>
      <c r="D307" s="17" t="n"/>
      <c r="E307" s="17" t="n"/>
      <c r="F307" s="27" t="n"/>
      <c r="G307" s="28">
        <f>IF(D307="","",IFERROR(N(INDEX(Setup!$F$14:$F$33,MATCH(D307,Setup!$E$14:$E$33,0))),0))</f>
        <v/>
      </c>
      <c r="H307" s="29">
        <f>IF(OR(F307="",G307=""),"",F307*G307)</f>
        <v/>
      </c>
      <c r="I307" s="30" t="n"/>
    </row>
    <row r="308">
      <c r="B308" s="26" t="n"/>
      <c r="C308" s="17" t="n"/>
      <c r="D308" s="17" t="n"/>
      <c r="E308" s="17" t="n"/>
      <c r="F308" s="27" t="n"/>
      <c r="G308" s="28">
        <f>IF(D308="","",IFERROR(N(INDEX(Setup!$F$14:$F$33,MATCH(D308,Setup!$E$14:$E$33,0))),0))</f>
        <v/>
      </c>
      <c r="H308" s="29">
        <f>IF(OR(F308="",G308=""),"",F308*G308)</f>
        <v/>
      </c>
      <c r="I308" s="30" t="n"/>
    </row>
    <row r="309">
      <c r="B309" s="26" t="n"/>
      <c r="C309" s="17" t="n"/>
      <c r="D309" s="17" t="n"/>
      <c r="E309" s="17" t="n"/>
      <c r="F309" s="27" t="n"/>
      <c r="G309" s="28">
        <f>IF(D309="","",IFERROR(N(INDEX(Setup!$F$14:$F$33,MATCH(D309,Setup!$E$14:$E$33,0))),0))</f>
        <v/>
      </c>
      <c r="H309" s="29">
        <f>IF(OR(F309="",G309=""),"",F309*G309)</f>
        <v/>
      </c>
      <c r="I309" s="30" t="n"/>
    </row>
    <row r="310">
      <c r="B310" s="26" t="n"/>
      <c r="C310" s="17" t="n"/>
      <c r="D310" s="17" t="n"/>
      <c r="E310" s="17" t="n"/>
      <c r="F310" s="27" t="n"/>
      <c r="G310" s="28">
        <f>IF(D310="","",IFERROR(N(INDEX(Setup!$F$14:$F$33,MATCH(D310,Setup!$E$14:$E$33,0))),0))</f>
        <v/>
      </c>
      <c r="H310" s="29">
        <f>IF(OR(F310="",G310=""),"",F310*G310)</f>
        <v/>
      </c>
      <c r="I310" s="30" t="n"/>
    </row>
    <row r="311">
      <c r="B311" s="26" t="n"/>
      <c r="C311" s="17" t="n"/>
      <c r="D311" s="17" t="n"/>
      <c r="E311" s="17" t="n"/>
      <c r="F311" s="27" t="n"/>
      <c r="G311" s="28">
        <f>IF(D311="","",IFERROR(N(INDEX(Setup!$F$14:$F$33,MATCH(D311,Setup!$E$14:$E$33,0))),0))</f>
        <v/>
      </c>
      <c r="H311" s="29">
        <f>IF(OR(F311="",G311=""),"",F311*G311)</f>
        <v/>
      </c>
      <c r="I311" s="30" t="n"/>
    </row>
    <row r="312">
      <c r="B312" s="26" t="n"/>
      <c r="C312" s="17" t="n"/>
      <c r="D312" s="17" t="n"/>
      <c r="E312" s="17" t="n"/>
      <c r="F312" s="27" t="n"/>
      <c r="G312" s="28">
        <f>IF(D312="","",IFERROR(N(INDEX(Setup!$F$14:$F$33,MATCH(D312,Setup!$E$14:$E$33,0))),0))</f>
        <v/>
      </c>
      <c r="H312" s="29">
        <f>IF(OR(F312="",G312=""),"",F312*G312)</f>
        <v/>
      </c>
      <c r="I312" s="30" t="n"/>
    </row>
    <row r="313">
      <c r="B313" s="26" t="n"/>
      <c r="C313" s="17" t="n"/>
      <c r="D313" s="17" t="n"/>
      <c r="E313" s="17" t="n"/>
      <c r="F313" s="27" t="n"/>
      <c r="G313" s="28">
        <f>IF(D313="","",IFERROR(N(INDEX(Setup!$F$14:$F$33,MATCH(D313,Setup!$E$14:$E$33,0))),0))</f>
        <v/>
      </c>
      <c r="H313" s="29">
        <f>IF(OR(F313="",G313=""),"",F313*G313)</f>
        <v/>
      </c>
      <c r="I313" s="30" t="n"/>
    </row>
    <row r="314">
      <c r="B314" s="26" t="n"/>
      <c r="C314" s="17" t="n"/>
      <c r="D314" s="17" t="n"/>
      <c r="E314" s="17" t="n"/>
      <c r="F314" s="27" t="n"/>
      <c r="G314" s="28">
        <f>IF(D314="","",IFERROR(N(INDEX(Setup!$F$14:$F$33,MATCH(D314,Setup!$E$14:$E$33,0))),0))</f>
        <v/>
      </c>
      <c r="H314" s="29">
        <f>IF(OR(F314="",G314=""),"",F314*G314)</f>
        <v/>
      </c>
      <c r="I314" s="30" t="n"/>
    </row>
    <row r="315">
      <c r="B315" s="26" t="n"/>
      <c r="C315" s="17" t="n"/>
      <c r="D315" s="17" t="n"/>
      <c r="E315" s="17" t="n"/>
      <c r="F315" s="27" t="n"/>
      <c r="G315" s="28">
        <f>IF(D315="","",IFERROR(N(INDEX(Setup!$F$14:$F$33,MATCH(D315,Setup!$E$14:$E$33,0))),0))</f>
        <v/>
      </c>
      <c r="H315" s="29">
        <f>IF(OR(F315="",G315=""),"",F315*G315)</f>
        <v/>
      </c>
      <c r="I315" s="30" t="n"/>
    </row>
    <row r="316">
      <c r="B316" s="26" t="n"/>
      <c r="C316" s="17" t="n"/>
      <c r="D316" s="17" t="n"/>
      <c r="E316" s="17" t="n"/>
      <c r="F316" s="27" t="n"/>
      <c r="G316" s="28">
        <f>IF(D316="","",IFERROR(N(INDEX(Setup!$F$14:$F$33,MATCH(D316,Setup!$E$14:$E$33,0))),0))</f>
        <v/>
      </c>
      <c r="H316" s="29">
        <f>IF(OR(F316="",G316=""),"",F316*G316)</f>
        <v/>
      </c>
      <c r="I316" s="30" t="n"/>
    </row>
    <row r="317">
      <c r="B317" s="26" t="n"/>
      <c r="C317" s="17" t="n"/>
      <c r="D317" s="17" t="n"/>
      <c r="E317" s="17" t="n"/>
      <c r="F317" s="27" t="n"/>
      <c r="G317" s="28">
        <f>IF(D317="","",IFERROR(N(INDEX(Setup!$F$14:$F$33,MATCH(D317,Setup!$E$14:$E$33,0))),0))</f>
        <v/>
      </c>
      <c r="H317" s="29">
        <f>IF(OR(F317="",G317=""),"",F317*G317)</f>
        <v/>
      </c>
      <c r="I317" s="30" t="n"/>
    </row>
    <row r="318">
      <c r="B318" s="26" t="n"/>
      <c r="C318" s="17" t="n"/>
      <c r="D318" s="17" t="n"/>
      <c r="E318" s="17" t="n"/>
      <c r="F318" s="27" t="n"/>
      <c r="G318" s="28">
        <f>IF(D318="","",IFERROR(N(INDEX(Setup!$F$14:$F$33,MATCH(D318,Setup!$E$14:$E$33,0))),0))</f>
        <v/>
      </c>
      <c r="H318" s="29">
        <f>IF(OR(F318="",G318=""),"",F318*G318)</f>
        <v/>
      </c>
      <c r="I318" s="30" t="n"/>
    </row>
    <row r="319">
      <c r="B319" s="26" t="n"/>
      <c r="C319" s="17" t="n"/>
      <c r="D319" s="17" t="n"/>
      <c r="E319" s="17" t="n"/>
      <c r="F319" s="27" t="n"/>
      <c r="G319" s="28">
        <f>IF(D319="","",IFERROR(N(INDEX(Setup!$F$14:$F$33,MATCH(D319,Setup!$E$14:$E$33,0))),0))</f>
        <v/>
      </c>
      <c r="H319" s="29">
        <f>IF(OR(F319="",G319=""),"",F319*G319)</f>
        <v/>
      </c>
      <c r="I319" s="30" t="n"/>
    </row>
    <row r="320">
      <c r="B320" s="26" t="n"/>
      <c r="C320" s="17" t="n"/>
      <c r="D320" s="17" t="n"/>
      <c r="E320" s="17" t="n"/>
      <c r="F320" s="27" t="n"/>
      <c r="G320" s="28">
        <f>IF(D320="","",IFERROR(N(INDEX(Setup!$F$14:$F$33,MATCH(D320,Setup!$E$14:$E$33,0))),0))</f>
        <v/>
      </c>
      <c r="H320" s="29">
        <f>IF(OR(F320="",G320=""),"",F320*G320)</f>
        <v/>
      </c>
      <c r="I320" s="30" t="n"/>
    </row>
    <row r="321">
      <c r="B321" s="26" t="n"/>
      <c r="C321" s="17" t="n"/>
      <c r="D321" s="17" t="n"/>
      <c r="E321" s="17" t="n"/>
      <c r="F321" s="27" t="n"/>
      <c r="G321" s="28">
        <f>IF(D321="","",IFERROR(N(INDEX(Setup!$F$14:$F$33,MATCH(D321,Setup!$E$14:$E$33,0))),0))</f>
        <v/>
      </c>
      <c r="H321" s="29">
        <f>IF(OR(F321="",G321=""),"",F321*G321)</f>
        <v/>
      </c>
      <c r="I321" s="30" t="n"/>
    </row>
    <row r="322">
      <c r="B322" s="26" t="n"/>
      <c r="C322" s="17" t="n"/>
      <c r="D322" s="17" t="n"/>
      <c r="E322" s="17" t="n"/>
      <c r="F322" s="27" t="n"/>
      <c r="G322" s="28">
        <f>IF(D322="","",IFERROR(N(INDEX(Setup!$F$14:$F$33,MATCH(D322,Setup!$E$14:$E$33,0))),0))</f>
        <v/>
      </c>
      <c r="H322" s="29">
        <f>IF(OR(F322="",G322=""),"",F322*G322)</f>
        <v/>
      </c>
      <c r="I322" s="30" t="n"/>
    </row>
    <row r="323">
      <c r="B323" s="26" t="n"/>
      <c r="C323" s="17" t="n"/>
      <c r="D323" s="17" t="n"/>
      <c r="E323" s="17" t="n"/>
      <c r="F323" s="27" t="n"/>
      <c r="G323" s="28">
        <f>IF(D323="","",IFERROR(N(INDEX(Setup!$F$14:$F$33,MATCH(D323,Setup!$E$14:$E$33,0))),0))</f>
        <v/>
      </c>
      <c r="H323" s="29">
        <f>IF(OR(F323="",G323=""),"",F323*G323)</f>
        <v/>
      </c>
      <c r="I323" s="30" t="n"/>
    </row>
    <row r="324">
      <c r="B324" s="26" t="n"/>
      <c r="C324" s="17" t="n"/>
      <c r="D324" s="17" t="n"/>
      <c r="E324" s="17" t="n"/>
      <c r="F324" s="27" t="n"/>
      <c r="G324" s="28">
        <f>IF(D324="","",IFERROR(N(INDEX(Setup!$F$14:$F$33,MATCH(D324,Setup!$E$14:$E$33,0))),0))</f>
        <v/>
      </c>
      <c r="H324" s="29">
        <f>IF(OR(F324="",G324=""),"",F324*G324)</f>
        <v/>
      </c>
      <c r="I324" s="30" t="n"/>
    </row>
    <row r="325">
      <c r="B325" s="26" t="n"/>
      <c r="C325" s="17" t="n"/>
      <c r="D325" s="17" t="n"/>
      <c r="E325" s="17" t="n"/>
      <c r="F325" s="27" t="n"/>
      <c r="G325" s="28">
        <f>IF(D325="","",IFERROR(N(INDEX(Setup!$F$14:$F$33,MATCH(D325,Setup!$E$14:$E$33,0))),0))</f>
        <v/>
      </c>
      <c r="H325" s="29">
        <f>IF(OR(F325="",G325=""),"",F325*G325)</f>
        <v/>
      </c>
      <c r="I325" s="30" t="n"/>
    </row>
    <row r="326">
      <c r="B326" s="26" t="n"/>
      <c r="C326" s="17" t="n"/>
      <c r="D326" s="17" t="n"/>
      <c r="E326" s="17" t="n"/>
      <c r="F326" s="27" t="n"/>
      <c r="G326" s="28">
        <f>IF(D326="","",IFERROR(N(INDEX(Setup!$F$14:$F$33,MATCH(D326,Setup!$E$14:$E$33,0))),0))</f>
        <v/>
      </c>
      <c r="H326" s="29">
        <f>IF(OR(F326="",G326=""),"",F326*G326)</f>
        <v/>
      </c>
      <c r="I326" s="30" t="n"/>
    </row>
    <row r="327">
      <c r="B327" s="26" t="n"/>
      <c r="C327" s="17" t="n"/>
      <c r="D327" s="17" t="n"/>
      <c r="E327" s="17" t="n"/>
      <c r="F327" s="27" t="n"/>
      <c r="G327" s="28">
        <f>IF(D327="","",IFERROR(N(INDEX(Setup!$F$14:$F$33,MATCH(D327,Setup!$E$14:$E$33,0))),0))</f>
        <v/>
      </c>
      <c r="H327" s="29">
        <f>IF(OR(F327="",G327=""),"",F327*G327)</f>
        <v/>
      </c>
      <c r="I327" s="30" t="n"/>
    </row>
    <row r="328">
      <c r="B328" s="26" t="n"/>
      <c r="C328" s="17" t="n"/>
      <c r="D328" s="17" t="n"/>
      <c r="E328" s="17" t="n"/>
      <c r="F328" s="27" t="n"/>
      <c r="G328" s="28">
        <f>IF(D328="","",IFERROR(N(INDEX(Setup!$F$14:$F$33,MATCH(D328,Setup!$E$14:$E$33,0))),0))</f>
        <v/>
      </c>
      <c r="H328" s="29">
        <f>IF(OR(F328="",G328=""),"",F328*G328)</f>
        <v/>
      </c>
      <c r="I328" s="30" t="n"/>
    </row>
    <row r="329">
      <c r="B329" s="26" t="n"/>
      <c r="C329" s="17" t="n"/>
      <c r="D329" s="17" t="n"/>
      <c r="E329" s="17" t="n"/>
      <c r="F329" s="27" t="n"/>
      <c r="G329" s="28">
        <f>IF(D329="","",IFERROR(N(INDEX(Setup!$F$14:$F$33,MATCH(D329,Setup!$E$14:$E$33,0))),0))</f>
        <v/>
      </c>
      <c r="H329" s="29">
        <f>IF(OR(F329="",G329=""),"",F329*G329)</f>
        <v/>
      </c>
      <c r="I329" s="30" t="n"/>
    </row>
    <row r="330">
      <c r="B330" s="26" t="n"/>
      <c r="C330" s="17" t="n"/>
      <c r="D330" s="17" t="n"/>
      <c r="E330" s="17" t="n"/>
      <c r="F330" s="27" t="n"/>
      <c r="G330" s="28">
        <f>IF(D330="","",IFERROR(N(INDEX(Setup!$F$14:$F$33,MATCH(D330,Setup!$E$14:$E$33,0))),0))</f>
        <v/>
      </c>
      <c r="H330" s="29">
        <f>IF(OR(F330="",G330=""),"",F330*G330)</f>
        <v/>
      </c>
      <c r="I330" s="30" t="n"/>
    </row>
    <row r="331">
      <c r="B331" s="26" t="n"/>
      <c r="C331" s="17" t="n"/>
      <c r="D331" s="17" t="n"/>
      <c r="E331" s="17" t="n"/>
      <c r="F331" s="27" t="n"/>
      <c r="G331" s="28">
        <f>IF(D331="","",IFERROR(N(INDEX(Setup!$F$14:$F$33,MATCH(D331,Setup!$E$14:$E$33,0))),0))</f>
        <v/>
      </c>
      <c r="H331" s="29">
        <f>IF(OR(F331="",G331=""),"",F331*G331)</f>
        <v/>
      </c>
      <c r="I331" s="30" t="n"/>
    </row>
    <row r="332">
      <c r="B332" s="26" t="n"/>
      <c r="C332" s="17" t="n"/>
      <c r="D332" s="17" t="n"/>
      <c r="E332" s="17" t="n"/>
      <c r="F332" s="27" t="n"/>
      <c r="G332" s="28">
        <f>IF(D332="","",IFERROR(N(INDEX(Setup!$F$14:$F$33,MATCH(D332,Setup!$E$14:$E$33,0))),0))</f>
        <v/>
      </c>
      <c r="H332" s="29">
        <f>IF(OR(F332="",G332=""),"",F332*G332)</f>
        <v/>
      </c>
      <c r="I332" s="30" t="n"/>
    </row>
    <row r="333">
      <c r="B333" s="26" t="n"/>
      <c r="C333" s="17" t="n"/>
      <c r="D333" s="17" t="n"/>
      <c r="E333" s="17" t="n"/>
      <c r="F333" s="27" t="n"/>
      <c r="G333" s="28">
        <f>IF(D333="","",IFERROR(N(INDEX(Setup!$F$14:$F$33,MATCH(D333,Setup!$E$14:$E$33,0))),0))</f>
        <v/>
      </c>
      <c r="H333" s="29">
        <f>IF(OR(F333="",G333=""),"",F333*G333)</f>
        <v/>
      </c>
      <c r="I333" s="30" t="n"/>
    </row>
    <row r="334">
      <c r="B334" s="26" t="n"/>
      <c r="C334" s="17" t="n"/>
      <c r="D334" s="17" t="n"/>
      <c r="E334" s="17" t="n"/>
      <c r="F334" s="27" t="n"/>
      <c r="G334" s="28">
        <f>IF(D334="","",IFERROR(N(INDEX(Setup!$F$14:$F$33,MATCH(D334,Setup!$E$14:$E$33,0))),0))</f>
        <v/>
      </c>
      <c r="H334" s="29">
        <f>IF(OR(F334="",G334=""),"",F334*G334)</f>
        <v/>
      </c>
      <c r="I334" s="30" t="n"/>
    </row>
    <row r="335">
      <c r="B335" s="26" t="n"/>
      <c r="C335" s="17" t="n"/>
      <c r="D335" s="17" t="n"/>
      <c r="E335" s="17" t="n"/>
      <c r="F335" s="27" t="n"/>
      <c r="G335" s="28">
        <f>IF(D335="","",IFERROR(N(INDEX(Setup!$F$14:$F$33,MATCH(D335,Setup!$E$14:$E$33,0))),0))</f>
        <v/>
      </c>
      <c r="H335" s="29">
        <f>IF(OR(F335="",G335=""),"",F335*G335)</f>
        <v/>
      </c>
      <c r="I335" s="30" t="n"/>
    </row>
    <row r="336">
      <c r="B336" s="26" t="n"/>
      <c r="C336" s="17" t="n"/>
      <c r="D336" s="17" t="n"/>
      <c r="E336" s="17" t="n"/>
      <c r="F336" s="27" t="n"/>
      <c r="G336" s="28">
        <f>IF(D336="","",IFERROR(N(INDEX(Setup!$F$14:$F$33,MATCH(D336,Setup!$E$14:$E$33,0))),0))</f>
        <v/>
      </c>
      <c r="H336" s="29">
        <f>IF(OR(F336="",G336=""),"",F336*G336)</f>
        <v/>
      </c>
      <c r="I336" s="30" t="n"/>
    </row>
    <row r="337">
      <c r="B337" s="26" t="n"/>
      <c r="C337" s="17" t="n"/>
      <c r="D337" s="17" t="n"/>
      <c r="E337" s="17" t="n"/>
      <c r="F337" s="27" t="n"/>
      <c r="G337" s="28">
        <f>IF(D337="","",IFERROR(N(INDEX(Setup!$F$14:$F$33,MATCH(D337,Setup!$E$14:$E$33,0))),0))</f>
        <v/>
      </c>
      <c r="H337" s="29">
        <f>IF(OR(F337="",G337=""),"",F337*G337)</f>
        <v/>
      </c>
      <c r="I337" s="30" t="n"/>
    </row>
    <row r="338">
      <c r="B338" s="26" t="n"/>
      <c r="C338" s="17" t="n"/>
      <c r="D338" s="17" t="n"/>
      <c r="E338" s="17" t="n"/>
      <c r="F338" s="27" t="n"/>
      <c r="G338" s="28">
        <f>IF(D338="","",IFERROR(N(INDEX(Setup!$F$14:$F$33,MATCH(D338,Setup!$E$14:$E$33,0))),0))</f>
        <v/>
      </c>
      <c r="H338" s="29">
        <f>IF(OR(F338="",G338=""),"",F338*G338)</f>
        <v/>
      </c>
      <c r="I338" s="30" t="n"/>
    </row>
    <row r="339">
      <c r="B339" s="26" t="n"/>
      <c r="C339" s="17" t="n"/>
      <c r="D339" s="17" t="n"/>
      <c r="E339" s="17" t="n"/>
      <c r="F339" s="27" t="n"/>
      <c r="G339" s="28">
        <f>IF(D339="","",IFERROR(N(INDEX(Setup!$F$14:$F$33,MATCH(D339,Setup!$E$14:$E$33,0))),0))</f>
        <v/>
      </c>
      <c r="H339" s="29">
        <f>IF(OR(F339="",G339=""),"",F339*G339)</f>
        <v/>
      </c>
      <c r="I339" s="30" t="n"/>
    </row>
    <row r="340">
      <c r="B340" s="26" t="n"/>
      <c r="C340" s="17" t="n"/>
      <c r="D340" s="17" t="n"/>
      <c r="E340" s="17" t="n"/>
      <c r="F340" s="27" t="n"/>
      <c r="G340" s="28">
        <f>IF(D340="","",IFERROR(N(INDEX(Setup!$F$14:$F$33,MATCH(D340,Setup!$E$14:$E$33,0))),0))</f>
        <v/>
      </c>
      <c r="H340" s="29">
        <f>IF(OR(F340="",G340=""),"",F340*G340)</f>
        <v/>
      </c>
      <c r="I340" s="30" t="n"/>
    </row>
    <row r="341">
      <c r="B341" s="26" t="n"/>
      <c r="C341" s="17" t="n"/>
      <c r="D341" s="17" t="n"/>
      <c r="E341" s="17" t="n"/>
      <c r="F341" s="27" t="n"/>
      <c r="G341" s="28">
        <f>IF(D341="","",IFERROR(N(INDEX(Setup!$F$14:$F$33,MATCH(D341,Setup!$E$14:$E$33,0))),0))</f>
        <v/>
      </c>
      <c r="H341" s="29">
        <f>IF(OR(F341="",G341=""),"",F341*G341)</f>
        <v/>
      </c>
      <c r="I341" s="30" t="n"/>
    </row>
    <row r="342">
      <c r="B342" s="26" t="n"/>
      <c r="C342" s="17" t="n"/>
      <c r="D342" s="17" t="n"/>
      <c r="E342" s="17" t="n"/>
      <c r="F342" s="27" t="n"/>
      <c r="G342" s="28">
        <f>IF(D342="","",IFERROR(N(INDEX(Setup!$F$14:$F$33,MATCH(D342,Setup!$E$14:$E$33,0))),0))</f>
        <v/>
      </c>
      <c r="H342" s="29">
        <f>IF(OR(F342="",G342=""),"",F342*G342)</f>
        <v/>
      </c>
      <c r="I342" s="30" t="n"/>
    </row>
    <row r="343">
      <c r="B343" s="26" t="n"/>
      <c r="C343" s="17" t="n"/>
      <c r="D343" s="17" t="n"/>
      <c r="E343" s="17" t="n"/>
      <c r="F343" s="27" t="n"/>
      <c r="G343" s="28">
        <f>IF(D343="","",IFERROR(N(INDEX(Setup!$F$14:$F$33,MATCH(D343,Setup!$E$14:$E$33,0))),0))</f>
        <v/>
      </c>
      <c r="H343" s="29">
        <f>IF(OR(F343="",G343=""),"",F343*G343)</f>
        <v/>
      </c>
      <c r="I343" s="30" t="n"/>
    </row>
    <row r="344">
      <c r="B344" s="26" t="n"/>
      <c r="C344" s="17" t="n"/>
      <c r="D344" s="17" t="n"/>
      <c r="E344" s="17" t="n"/>
      <c r="F344" s="27" t="n"/>
      <c r="G344" s="28">
        <f>IF(D344="","",IFERROR(N(INDEX(Setup!$F$14:$F$33,MATCH(D344,Setup!$E$14:$E$33,0))),0))</f>
        <v/>
      </c>
      <c r="H344" s="29">
        <f>IF(OR(F344="",G344=""),"",F344*G344)</f>
        <v/>
      </c>
      <c r="I344" s="30" t="n"/>
    </row>
    <row r="345">
      <c r="B345" s="26" t="n"/>
      <c r="C345" s="17" t="n"/>
      <c r="D345" s="17" t="n"/>
      <c r="E345" s="17" t="n"/>
      <c r="F345" s="27" t="n"/>
      <c r="G345" s="28">
        <f>IF(D345="","",IFERROR(N(INDEX(Setup!$F$14:$F$33,MATCH(D345,Setup!$E$14:$E$33,0))),0))</f>
        <v/>
      </c>
      <c r="H345" s="29">
        <f>IF(OR(F345="",G345=""),"",F345*G345)</f>
        <v/>
      </c>
      <c r="I345" s="30" t="n"/>
    </row>
    <row r="346">
      <c r="B346" s="26" t="n"/>
      <c r="C346" s="17" t="n"/>
      <c r="D346" s="17" t="n"/>
      <c r="E346" s="17" t="n"/>
      <c r="F346" s="27" t="n"/>
      <c r="G346" s="28">
        <f>IF(D346="","",IFERROR(N(INDEX(Setup!$F$14:$F$33,MATCH(D346,Setup!$E$14:$E$33,0))),0))</f>
        <v/>
      </c>
      <c r="H346" s="29">
        <f>IF(OR(F346="",G346=""),"",F346*G346)</f>
        <v/>
      </c>
      <c r="I346" s="30" t="n"/>
    </row>
    <row r="347">
      <c r="B347" s="26" t="n"/>
      <c r="C347" s="17" t="n"/>
      <c r="D347" s="17" t="n"/>
      <c r="E347" s="17" t="n"/>
      <c r="F347" s="27" t="n"/>
      <c r="G347" s="28">
        <f>IF(D347="","",IFERROR(N(INDEX(Setup!$F$14:$F$33,MATCH(D347,Setup!$E$14:$E$33,0))),0))</f>
        <v/>
      </c>
      <c r="H347" s="29">
        <f>IF(OR(F347="",G347=""),"",F347*G347)</f>
        <v/>
      </c>
      <c r="I347" s="30" t="n"/>
    </row>
    <row r="348">
      <c r="B348" s="26" t="n"/>
      <c r="C348" s="17" t="n"/>
      <c r="D348" s="17" t="n"/>
      <c r="E348" s="17" t="n"/>
      <c r="F348" s="27" t="n"/>
      <c r="G348" s="28">
        <f>IF(D348="","",IFERROR(N(INDEX(Setup!$F$14:$F$33,MATCH(D348,Setup!$E$14:$E$33,0))),0))</f>
        <v/>
      </c>
      <c r="H348" s="29">
        <f>IF(OR(F348="",G348=""),"",F348*G348)</f>
        <v/>
      </c>
      <c r="I348" s="30" t="n"/>
    </row>
    <row r="349">
      <c r="B349" s="26" t="n"/>
      <c r="C349" s="17" t="n"/>
      <c r="D349" s="17" t="n"/>
      <c r="E349" s="17" t="n"/>
      <c r="F349" s="27" t="n"/>
      <c r="G349" s="28">
        <f>IF(D349="","",IFERROR(N(INDEX(Setup!$F$14:$F$33,MATCH(D349,Setup!$E$14:$E$33,0))),0))</f>
        <v/>
      </c>
      <c r="H349" s="29">
        <f>IF(OR(F349="",G349=""),"",F349*G349)</f>
        <v/>
      </c>
      <c r="I349" s="30" t="n"/>
    </row>
    <row r="350">
      <c r="B350" s="26" t="n"/>
      <c r="C350" s="17" t="n"/>
      <c r="D350" s="17" t="n"/>
      <c r="E350" s="17" t="n"/>
      <c r="F350" s="27" t="n"/>
      <c r="G350" s="28">
        <f>IF(D350="","",IFERROR(N(INDEX(Setup!$F$14:$F$33,MATCH(D350,Setup!$E$14:$E$33,0))),0))</f>
        <v/>
      </c>
      <c r="H350" s="29">
        <f>IF(OR(F350="",G350=""),"",F350*G350)</f>
        <v/>
      </c>
      <c r="I350" s="30" t="n"/>
    </row>
    <row r="351">
      <c r="B351" s="26" t="n"/>
      <c r="C351" s="17" t="n"/>
      <c r="D351" s="17" t="n"/>
      <c r="E351" s="17" t="n"/>
      <c r="F351" s="27" t="n"/>
      <c r="G351" s="28">
        <f>IF(D351="","",IFERROR(N(INDEX(Setup!$F$14:$F$33,MATCH(D351,Setup!$E$14:$E$33,0))),0))</f>
        <v/>
      </c>
      <c r="H351" s="29">
        <f>IF(OR(F351="",G351=""),"",F351*G351)</f>
        <v/>
      </c>
      <c r="I351" s="30" t="n"/>
    </row>
    <row r="352">
      <c r="B352" s="26" t="n"/>
      <c r="C352" s="17" t="n"/>
      <c r="D352" s="17" t="n"/>
      <c r="E352" s="17" t="n"/>
      <c r="F352" s="27" t="n"/>
      <c r="G352" s="28">
        <f>IF(D352="","",IFERROR(N(INDEX(Setup!$F$14:$F$33,MATCH(D352,Setup!$E$14:$E$33,0))),0))</f>
        <v/>
      </c>
      <c r="H352" s="29">
        <f>IF(OR(F352="",G352=""),"",F352*G352)</f>
        <v/>
      </c>
      <c r="I352" s="30" t="n"/>
    </row>
    <row r="353">
      <c r="B353" s="26" t="n"/>
      <c r="C353" s="17" t="n"/>
      <c r="D353" s="17" t="n"/>
      <c r="E353" s="17" t="n"/>
      <c r="F353" s="27" t="n"/>
      <c r="G353" s="28">
        <f>IF(D353="","",IFERROR(N(INDEX(Setup!$F$14:$F$33,MATCH(D353,Setup!$E$14:$E$33,0))),0))</f>
        <v/>
      </c>
      <c r="H353" s="29">
        <f>IF(OR(F353="",G353=""),"",F353*G353)</f>
        <v/>
      </c>
      <c r="I353" s="30" t="n"/>
    </row>
    <row r="354">
      <c r="B354" s="26" t="n"/>
      <c r="C354" s="17" t="n"/>
      <c r="D354" s="17" t="n"/>
      <c r="E354" s="17" t="n"/>
      <c r="F354" s="27" t="n"/>
      <c r="G354" s="28">
        <f>IF(D354="","",IFERROR(N(INDEX(Setup!$F$14:$F$33,MATCH(D354,Setup!$E$14:$E$33,0))),0))</f>
        <v/>
      </c>
      <c r="H354" s="29">
        <f>IF(OR(F354="",G354=""),"",F354*G354)</f>
        <v/>
      </c>
      <c r="I354" s="30" t="n"/>
    </row>
    <row r="355">
      <c r="B355" s="26" t="n"/>
      <c r="C355" s="17" t="n"/>
      <c r="D355" s="17" t="n"/>
      <c r="E355" s="17" t="n"/>
      <c r="F355" s="27" t="n"/>
      <c r="G355" s="28">
        <f>IF(D355="","",IFERROR(N(INDEX(Setup!$F$14:$F$33,MATCH(D355,Setup!$E$14:$E$33,0))),0))</f>
        <v/>
      </c>
      <c r="H355" s="29">
        <f>IF(OR(F355="",G355=""),"",F355*G355)</f>
        <v/>
      </c>
      <c r="I355" s="30" t="n"/>
    </row>
    <row r="356">
      <c r="B356" s="26" t="n"/>
      <c r="C356" s="17" t="n"/>
      <c r="D356" s="17" t="n"/>
      <c r="E356" s="17" t="n"/>
      <c r="F356" s="27" t="n"/>
      <c r="G356" s="28">
        <f>IF(D356="","",IFERROR(N(INDEX(Setup!$F$14:$F$33,MATCH(D356,Setup!$E$14:$E$33,0))),0))</f>
        <v/>
      </c>
      <c r="H356" s="29">
        <f>IF(OR(F356="",G356=""),"",F356*G356)</f>
        <v/>
      </c>
      <c r="I356" s="30" t="n"/>
    </row>
    <row r="357">
      <c r="B357" s="26" t="n"/>
      <c r="C357" s="17" t="n"/>
      <c r="D357" s="17" t="n"/>
      <c r="E357" s="17" t="n"/>
      <c r="F357" s="27" t="n"/>
      <c r="G357" s="28">
        <f>IF(D357="","",IFERROR(N(INDEX(Setup!$F$14:$F$33,MATCH(D357,Setup!$E$14:$E$33,0))),0))</f>
        <v/>
      </c>
      <c r="H357" s="29">
        <f>IF(OR(F357="",G357=""),"",F357*G357)</f>
        <v/>
      </c>
      <c r="I357" s="30" t="n"/>
    </row>
    <row r="358">
      <c r="B358" s="26" t="n"/>
      <c r="C358" s="17" t="n"/>
      <c r="D358" s="17" t="n"/>
      <c r="E358" s="17" t="n"/>
      <c r="F358" s="27" t="n"/>
      <c r="G358" s="28">
        <f>IF(D358="","",IFERROR(N(INDEX(Setup!$F$14:$F$33,MATCH(D358,Setup!$E$14:$E$33,0))),0))</f>
        <v/>
      </c>
      <c r="H358" s="29">
        <f>IF(OR(F358="",G358=""),"",F358*G358)</f>
        <v/>
      </c>
      <c r="I358" s="30" t="n"/>
    </row>
    <row r="359">
      <c r="B359" s="26" t="n"/>
      <c r="C359" s="17" t="n"/>
      <c r="D359" s="17" t="n"/>
      <c r="E359" s="17" t="n"/>
      <c r="F359" s="27" t="n"/>
      <c r="G359" s="28">
        <f>IF(D359="","",IFERROR(N(INDEX(Setup!$F$14:$F$33,MATCH(D359,Setup!$E$14:$E$33,0))),0))</f>
        <v/>
      </c>
      <c r="H359" s="29">
        <f>IF(OR(F359="",G359=""),"",F359*G359)</f>
        <v/>
      </c>
      <c r="I359" s="30" t="n"/>
    </row>
    <row r="360">
      <c r="B360" s="26" t="n"/>
      <c r="C360" s="17" t="n"/>
      <c r="D360" s="17" t="n"/>
      <c r="E360" s="17" t="n"/>
      <c r="F360" s="27" t="n"/>
      <c r="G360" s="28">
        <f>IF(D360="","",IFERROR(N(INDEX(Setup!$F$14:$F$33,MATCH(D360,Setup!$E$14:$E$33,0))),0))</f>
        <v/>
      </c>
      <c r="H360" s="29">
        <f>IF(OR(F360="",G360=""),"",F360*G360)</f>
        <v/>
      </c>
      <c r="I360" s="30" t="n"/>
    </row>
    <row r="361">
      <c r="B361" s="26" t="n"/>
      <c r="C361" s="17" t="n"/>
      <c r="D361" s="17" t="n"/>
      <c r="E361" s="17" t="n"/>
      <c r="F361" s="27" t="n"/>
      <c r="G361" s="28">
        <f>IF(D361="","",IFERROR(N(INDEX(Setup!$F$14:$F$33,MATCH(D361,Setup!$E$14:$E$33,0))),0))</f>
        <v/>
      </c>
      <c r="H361" s="29">
        <f>IF(OR(F361="",G361=""),"",F361*G361)</f>
        <v/>
      </c>
      <c r="I361" s="30" t="n"/>
    </row>
    <row r="362">
      <c r="B362" s="26" t="n"/>
      <c r="C362" s="17" t="n"/>
      <c r="D362" s="17" t="n"/>
      <c r="E362" s="17" t="n"/>
      <c r="F362" s="27" t="n"/>
      <c r="G362" s="28">
        <f>IF(D362="","",IFERROR(N(INDEX(Setup!$F$14:$F$33,MATCH(D362,Setup!$E$14:$E$33,0))),0))</f>
        <v/>
      </c>
      <c r="H362" s="29">
        <f>IF(OR(F362="",G362=""),"",F362*G362)</f>
        <v/>
      </c>
      <c r="I362" s="30" t="n"/>
    </row>
    <row r="363">
      <c r="B363" s="26" t="n"/>
      <c r="C363" s="17" t="n"/>
      <c r="D363" s="17" t="n"/>
      <c r="E363" s="17" t="n"/>
      <c r="F363" s="27" t="n"/>
      <c r="G363" s="28">
        <f>IF(D363="","",IFERROR(N(INDEX(Setup!$F$14:$F$33,MATCH(D363,Setup!$E$14:$E$33,0))),0))</f>
        <v/>
      </c>
      <c r="H363" s="29">
        <f>IF(OR(F363="",G363=""),"",F363*G363)</f>
        <v/>
      </c>
      <c r="I363" s="30" t="n"/>
    </row>
    <row r="364">
      <c r="B364" s="26" t="n"/>
      <c r="C364" s="17" t="n"/>
      <c r="D364" s="17" t="n"/>
      <c r="E364" s="17" t="n"/>
      <c r="F364" s="27" t="n"/>
      <c r="G364" s="28">
        <f>IF(D364="","",IFERROR(N(INDEX(Setup!$F$14:$F$33,MATCH(D364,Setup!$E$14:$E$33,0))),0))</f>
        <v/>
      </c>
      <c r="H364" s="29">
        <f>IF(OR(F364="",G364=""),"",F364*G364)</f>
        <v/>
      </c>
      <c r="I364" s="30" t="n"/>
    </row>
    <row r="365">
      <c r="B365" s="26" t="n"/>
      <c r="C365" s="17" t="n"/>
      <c r="D365" s="17" t="n"/>
      <c r="E365" s="17" t="n"/>
      <c r="F365" s="27" t="n"/>
      <c r="G365" s="28">
        <f>IF(D365="","",IFERROR(N(INDEX(Setup!$F$14:$F$33,MATCH(D365,Setup!$E$14:$E$33,0))),0))</f>
        <v/>
      </c>
      <c r="H365" s="29">
        <f>IF(OR(F365="",G365=""),"",F365*G365)</f>
        <v/>
      </c>
      <c r="I365" s="30" t="n"/>
    </row>
    <row r="366">
      <c r="B366" s="26" t="n"/>
      <c r="C366" s="17" t="n"/>
      <c r="D366" s="17" t="n"/>
      <c r="E366" s="17" t="n"/>
      <c r="F366" s="27" t="n"/>
      <c r="G366" s="28">
        <f>IF(D366="","",IFERROR(N(INDEX(Setup!$F$14:$F$33,MATCH(D366,Setup!$E$14:$E$33,0))),0))</f>
        <v/>
      </c>
      <c r="H366" s="29">
        <f>IF(OR(F366="",G366=""),"",F366*G366)</f>
        <v/>
      </c>
      <c r="I366" s="30" t="n"/>
    </row>
    <row r="367">
      <c r="B367" s="26" t="n"/>
      <c r="C367" s="17" t="n"/>
      <c r="D367" s="17" t="n"/>
      <c r="E367" s="17" t="n"/>
      <c r="F367" s="27" t="n"/>
      <c r="G367" s="28">
        <f>IF(D367="","",IFERROR(N(INDEX(Setup!$F$14:$F$33,MATCH(D367,Setup!$E$14:$E$33,0))),0))</f>
        <v/>
      </c>
      <c r="H367" s="29">
        <f>IF(OR(F367="",G367=""),"",F367*G367)</f>
        <v/>
      </c>
      <c r="I367" s="30" t="n"/>
    </row>
    <row r="368">
      <c r="B368" s="26" t="n"/>
      <c r="C368" s="17" t="n"/>
      <c r="D368" s="17" t="n"/>
      <c r="E368" s="17" t="n"/>
      <c r="F368" s="27" t="n"/>
      <c r="G368" s="28">
        <f>IF(D368="","",IFERROR(N(INDEX(Setup!$F$14:$F$33,MATCH(D368,Setup!$E$14:$E$33,0))),0))</f>
        <v/>
      </c>
      <c r="H368" s="29">
        <f>IF(OR(F368="",G368=""),"",F368*G368)</f>
        <v/>
      </c>
      <c r="I368" s="30" t="n"/>
    </row>
    <row r="369">
      <c r="B369" s="26" t="n"/>
      <c r="C369" s="17" t="n"/>
      <c r="D369" s="17" t="n"/>
      <c r="E369" s="17" t="n"/>
      <c r="F369" s="27" t="n"/>
      <c r="G369" s="28">
        <f>IF(D369="","",IFERROR(N(INDEX(Setup!$F$14:$F$33,MATCH(D369,Setup!$E$14:$E$33,0))),0))</f>
        <v/>
      </c>
      <c r="H369" s="29">
        <f>IF(OR(F369="",G369=""),"",F369*G369)</f>
        <v/>
      </c>
      <c r="I369" s="30" t="n"/>
    </row>
    <row r="370">
      <c r="B370" s="26" t="n"/>
      <c r="C370" s="17" t="n"/>
      <c r="D370" s="17" t="n"/>
      <c r="E370" s="17" t="n"/>
      <c r="F370" s="27" t="n"/>
      <c r="G370" s="28">
        <f>IF(D370="","",IFERROR(N(INDEX(Setup!$F$14:$F$33,MATCH(D370,Setup!$E$14:$E$33,0))),0))</f>
        <v/>
      </c>
      <c r="H370" s="29">
        <f>IF(OR(F370="",G370=""),"",F370*G370)</f>
        <v/>
      </c>
      <c r="I370" s="30" t="n"/>
    </row>
    <row r="371">
      <c r="B371" s="26" t="n"/>
      <c r="C371" s="17" t="n"/>
      <c r="D371" s="17" t="n"/>
      <c r="E371" s="17" t="n"/>
      <c r="F371" s="27" t="n"/>
      <c r="G371" s="28">
        <f>IF(D371="","",IFERROR(N(INDEX(Setup!$F$14:$F$33,MATCH(D371,Setup!$E$14:$E$33,0))),0))</f>
        <v/>
      </c>
      <c r="H371" s="29">
        <f>IF(OR(F371="",G371=""),"",F371*G371)</f>
        <v/>
      </c>
      <c r="I371" s="30" t="n"/>
    </row>
    <row r="372">
      <c r="B372" s="26" t="n"/>
      <c r="C372" s="17" t="n"/>
      <c r="D372" s="17" t="n"/>
      <c r="E372" s="17" t="n"/>
      <c r="F372" s="27" t="n"/>
      <c r="G372" s="28">
        <f>IF(D372="","",IFERROR(N(INDEX(Setup!$F$14:$F$33,MATCH(D372,Setup!$E$14:$E$33,0))),0))</f>
        <v/>
      </c>
      <c r="H372" s="29">
        <f>IF(OR(F372="",G372=""),"",F372*G372)</f>
        <v/>
      </c>
      <c r="I372" s="30" t="n"/>
    </row>
    <row r="373">
      <c r="B373" s="26" t="n"/>
      <c r="C373" s="17" t="n"/>
      <c r="D373" s="17" t="n"/>
      <c r="E373" s="17" t="n"/>
      <c r="F373" s="27" t="n"/>
      <c r="G373" s="28">
        <f>IF(D373="","",IFERROR(N(INDEX(Setup!$F$14:$F$33,MATCH(D373,Setup!$E$14:$E$33,0))),0))</f>
        <v/>
      </c>
      <c r="H373" s="29">
        <f>IF(OR(F373="",G373=""),"",F373*G373)</f>
        <v/>
      </c>
      <c r="I373" s="30" t="n"/>
    </row>
    <row r="374">
      <c r="B374" s="26" t="n"/>
      <c r="C374" s="17" t="n"/>
      <c r="D374" s="17" t="n"/>
      <c r="E374" s="17" t="n"/>
      <c r="F374" s="27" t="n"/>
      <c r="G374" s="28">
        <f>IF(D374="","",IFERROR(N(INDEX(Setup!$F$14:$F$33,MATCH(D374,Setup!$E$14:$E$33,0))),0))</f>
        <v/>
      </c>
      <c r="H374" s="29">
        <f>IF(OR(F374="",G374=""),"",F374*G374)</f>
        <v/>
      </c>
      <c r="I374" s="30" t="n"/>
    </row>
    <row r="375">
      <c r="B375" s="26" t="n"/>
      <c r="C375" s="17" t="n"/>
      <c r="D375" s="17" t="n"/>
      <c r="E375" s="17" t="n"/>
      <c r="F375" s="27" t="n"/>
      <c r="G375" s="28">
        <f>IF(D375="","",IFERROR(N(INDEX(Setup!$F$14:$F$33,MATCH(D375,Setup!$E$14:$E$33,0))),0))</f>
        <v/>
      </c>
      <c r="H375" s="29">
        <f>IF(OR(F375="",G375=""),"",F375*G375)</f>
        <v/>
      </c>
      <c r="I375" s="30" t="n"/>
    </row>
    <row r="376">
      <c r="B376" s="26" t="n"/>
      <c r="C376" s="17" t="n"/>
      <c r="D376" s="17" t="n"/>
      <c r="E376" s="17" t="n"/>
      <c r="F376" s="27" t="n"/>
      <c r="G376" s="28">
        <f>IF(D376="","",IFERROR(N(INDEX(Setup!$F$14:$F$33,MATCH(D376,Setup!$E$14:$E$33,0))),0))</f>
        <v/>
      </c>
      <c r="H376" s="29">
        <f>IF(OR(F376="",G376=""),"",F376*G376)</f>
        <v/>
      </c>
      <c r="I376" s="30" t="n"/>
    </row>
    <row r="377">
      <c r="B377" s="26" t="n"/>
      <c r="C377" s="17" t="n"/>
      <c r="D377" s="17" t="n"/>
      <c r="E377" s="17" t="n"/>
      <c r="F377" s="27" t="n"/>
      <c r="G377" s="28">
        <f>IF(D377="","",IFERROR(N(INDEX(Setup!$F$14:$F$33,MATCH(D377,Setup!$E$14:$E$33,0))),0))</f>
        <v/>
      </c>
      <c r="H377" s="29">
        <f>IF(OR(F377="",G377=""),"",F377*G377)</f>
        <v/>
      </c>
      <c r="I377" s="30" t="n"/>
    </row>
    <row r="378">
      <c r="B378" s="26" t="n"/>
      <c r="C378" s="17" t="n"/>
      <c r="D378" s="17" t="n"/>
      <c r="E378" s="17" t="n"/>
      <c r="F378" s="27" t="n"/>
      <c r="G378" s="28">
        <f>IF(D378="","",IFERROR(N(INDEX(Setup!$F$14:$F$33,MATCH(D378,Setup!$E$14:$E$33,0))),0))</f>
        <v/>
      </c>
      <c r="H378" s="29">
        <f>IF(OR(F378="",G378=""),"",F378*G378)</f>
        <v/>
      </c>
      <c r="I378" s="30" t="n"/>
    </row>
    <row r="379">
      <c r="B379" s="26" t="n"/>
      <c r="C379" s="17" t="n"/>
      <c r="D379" s="17" t="n"/>
      <c r="E379" s="17" t="n"/>
      <c r="F379" s="27" t="n"/>
      <c r="G379" s="28">
        <f>IF(D379="","",IFERROR(N(INDEX(Setup!$F$14:$F$33,MATCH(D379,Setup!$E$14:$E$33,0))),0))</f>
        <v/>
      </c>
      <c r="H379" s="29">
        <f>IF(OR(F379="",G379=""),"",F379*G379)</f>
        <v/>
      </c>
      <c r="I379" s="30" t="n"/>
    </row>
    <row r="380">
      <c r="B380" s="26" t="n"/>
      <c r="C380" s="17" t="n"/>
      <c r="D380" s="17" t="n"/>
      <c r="E380" s="17" t="n"/>
      <c r="F380" s="27" t="n"/>
      <c r="G380" s="28">
        <f>IF(D380="","",IFERROR(N(INDEX(Setup!$F$14:$F$33,MATCH(D380,Setup!$E$14:$E$33,0))),0))</f>
        <v/>
      </c>
      <c r="H380" s="29">
        <f>IF(OR(F380="",G380=""),"",F380*G380)</f>
        <v/>
      </c>
      <c r="I380" s="30" t="n"/>
    </row>
    <row r="381">
      <c r="B381" s="26" t="n"/>
      <c r="C381" s="17" t="n"/>
      <c r="D381" s="17" t="n"/>
      <c r="E381" s="17" t="n"/>
      <c r="F381" s="27" t="n"/>
      <c r="G381" s="28">
        <f>IF(D381="","",IFERROR(N(INDEX(Setup!$F$14:$F$33,MATCH(D381,Setup!$E$14:$E$33,0))),0))</f>
        <v/>
      </c>
      <c r="H381" s="29">
        <f>IF(OR(F381="",G381=""),"",F381*G381)</f>
        <v/>
      </c>
      <c r="I381" s="30" t="n"/>
    </row>
    <row r="382">
      <c r="B382" s="26" t="n"/>
      <c r="C382" s="17" t="n"/>
      <c r="D382" s="17" t="n"/>
      <c r="E382" s="17" t="n"/>
      <c r="F382" s="27" t="n"/>
      <c r="G382" s="28">
        <f>IF(D382="","",IFERROR(N(INDEX(Setup!$F$14:$F$33,MATCH(D382,Setup!$E$14:$E$33,0))),0))</f>
        <v/>
      </c>
      <c r="H382" s="29">
        <f>IF(OR(F382="",G382=""),"",F382*G382)</f>
        <v/>
      </c>
      <c r="I382" s="30" t="n"/>
    </row>
    <row r="383">
      <c r="B383" s="26" t="n"/>
      <c r="C383" s="17" t="n"/>
      <c r="D383" s="17" t="n"/>
      <c r="E383" s="17" t="n"/>
      <c r="F383" s="27" t="n"/>
      <c r="G383" s="28">
        <f>IF(D383="","",IFERROR(N(INDEX(Setup!$F$14:$F$33,MATCH(D383,Setup!$E$14:$E$33,0))),0))</f>
        <v/>
      </c>
      <c r="H383" s="29">
        <f>IF(OR(F383="",G383=""),"",F383*G383)</f>
        <v/>
      </c>
      <c r="I383" s="30" t="n"/>
    </row>
    <row r="384">
      <c r="B384" s="26" t="n"/>
      <c r="C384" s="17" t="n"/>
      <c r="D384" s="17" t="n"/>
      <c r="E384" s="17" t="n"/>
      <c r="F384" s="27" t="n"/>
      <c r="G384" s="28">
        <f>IF(D384="","",IFERROR(N(INDEX(Setup!$F$14:$F$33,MATCH(D384,Setup!$E$14:$E$33,0))),0))</f>
        <v/>
      </c>
      <c r="H384" s="29">
        <f>IF(OR(F384="",G384=""),"",F384*G384)</f>
        <v/>
      </c>
      <c r="I384" s="30" t="n"/>
    </row>
    <row r="385">
      <c r="B385" s="26" t="n"/>
      <c r="C385" s="17" t="n"/>
      <c r="D385" s="17" t="n"/>
      <c r="E385" s="17" t="n"/>
      <c r="F385" s="27" t="n"/>
      <c r="G385" s="28">
        <f>IF(D385="","",IFERROR(N(INDEX(Setup!$F$14:$F$33,MATCH(D385,Setup!$E$14:$E$33,0))),0))</f>
        <v/>
      </c>
      <c r="H385" s="29">
        <f>IF(OR(F385="",G385=""),"",F385*G385)</f>
        <v/>
      </c>
      <c r="I385" s="30" t="n"/>
    </row>
    <row r="386">
      <c r="B386" s="26" t="n"/>
      <c r="C386" s="17" t="n"/>
      <c r="D386" s="17" t="n"/>
      <c r="E386" s="17" t="n"/>
      <c r="F386" s="27" t="n"/>
      <c r="G386" s="28">
        <f>IF(D386="","",IFERROR(N(INDEX(Setup!$F$14:$F$33,MATCH(D386,Setup!$E$14:$E$33,0))),0))</f>
        <v/>
      </c>
      <c r="H386" s="29">
        <f>IF(OR(F386="",G386=""),"",F386*G386)</f>
        <v/>
      </c>
      <c r="I386" s="30" t="n"/>
    </row>
    <row r="387">
      <c r="B387" s="26" t="n"/>
      <c r="C387" s="17" t="n"/>
      <c r="D387" s="17" t="n"/>
      <c r="E387" s="17" t="n"/>
      <c r="F387" s="27" t="n"/>
      <c r="G387" s="28">
        <f>IF(D387="","",IFERROR(N(INDEX(Setup!$F$14:$F$33,MATCH(D387,Setup!$E$14:$E$33,0))),0))</f>
        <v/>
      </c>
      <c r="H387" s="29">
        <f>IF(OR(F387="",G387=""),"",F387*G387)</f>
        <v/>
      </c>
      <c r="I387" s="30" t="n"/>
    </row>
    <row r="388">
      <c r="B388" s="26" t="n"/>
      <c r="C388" s="17" t="n"/>
      <c r="D388" s="17" t="n"/>
      <c r="E388" s="17" t="n"/>
      <c r="F388" s="27" t="n"/>
      <c r="G388" s="28">
        <f>IF(D388="","",IFERROR(N(INDEX(Setup!$F$14:$F$33,MATCH(D388,Setup!$E$14:$E$33,0))),0))</f>
        <v/>
      </c>
      <c r="H388" s="29">
        <f>IF(OR(F388="",G388=""),"",F388*G388)</f>
        <v/>
      </c>
      <c r="I388" s="30" t="n"/>
    </row>
    <row r="389">
      <c r="B389" s="26" t="n"/>
      <c r="C389" s="17" t="n"/>
      <c r="D389" s="17" t="n"/>
      <c r="E389" s="17" t="n"/>
      <c r="F389" s="27" t="n"/>
      <c r="G389" s="28">
        <f>IF(D389="","",IFERROR(N(INDEX(Setup!$F$14:$F$33,MATCH(D389,Setup!$E$14:$E$33,0))),0))</f>
        <v/>
      </c>
      <c r="H389" s="29">
        <f>IF(OR(F389="",G389=""),"",F389*G389)</f>
        <v/>
      </c>
      <c r="I389" s="30" t="n"/>
    </row>
    <row r="390">
      <c r="B390" s="26" t="n"/>
      <c r="C390" s="17" t="n"/>
      <c r="D390" s="17" t="n"/>
      <c r="E390" s="17" t="n"/>
      <c r="F390" s="27" t="n"/>
      <c r="G390" s="28">
        <f>IF(D390="","",IFERROR(N(INDEX(Setup!$F$14:$F$33,MATCH(D390,Setup!$E$14:$E$33,0))),0))</f>
        <v/>
      </c>
      <c r="H390" s="29">
        <f>IF(OR(F390="",G390=""),"",F390*G390)</f>
        <v/>
      </c>
      <c r="I390" s="30" t="n"/>
    </row>
    <row r="391">
      <c r="B391" s="26" t="n"/>
      <c r="C391" s="17" t="n"/>
      <c r="D391" s="17" t="n"/>
      <c r="E391" s="17" t="n"/>
      <c r="F391" s="27" t="n"/>
      <c r="G391" s="28">
        <f>IF(D391="","",IFERROR(N(INDEX(Setup!$F$14:$F$33,MATCH(D391,Setup!$E$14:$E$33,0))),0))</f>
        <v/>
      </c>
      <c r="H391" s="29">
        <f>IF(OR(F391="",G391=""),"",F391*G391)</f>
        <v/>
      </c>
      <c r="I391" s="30" t="n"/>
    </row>
    <row r="392">
      <c r="B392" s="26" t="n"/>
      <c r="C392" s="17" t="n"/>
      <c r="D392" s="17" t="n"/>
      <c r="E392" s="17" t="n"/>
      <c r="F392" s="27" t="n"/>
      <c r="G392" s="28">
        <f>IF(D392="","",IFERROR(N(INDEX(Setup!$F$14:$F$33,MATCH(D392,Setup!$E$14:$E$33,0))),0))</f>
        <v/>
      </c>
      <c r="H392" s="29">
        <f>IF(OR(F392="",G392=""),"",F392*G392)</f>
        <v/>
      </c>
      <c r="I392" s="30" t="n"/>
    </row>
    <row r="393">
      <c r="B393" s="26" t="n"/>
      <c r="C393" s="17" t="n"/>
      <c r="D393" s="17" t="n"/>
      <c r="E393" s="17" t="n"/>
      <c r="F393" s="27" t="n"/>
      <c r="G393" s="28">
        <f>IF(D393="","",IFERROR(N(INDEX(Setup!$F$14:$F$33,MATCH(D393,Setup!$E$14:$E$33,0))),0))</f>
        <v/>
      </c>
      <c r="H393" s="29">
        <f>IF(OR(F393="",G393=""),"",F393*G393)</f>
        <v/>
      </c>
      <c r="I393" s="30" t="n"/>
    </row>
    <row r="394">
      <c r="B394" s="26" t="n"/>
      <c r="C394" s="17" t="n"/>
      <c r="D394" s="17" t="n"/>
      <c r="E394" s="17" t="n"/>
      <c r="F394" s="27" t="n"/>
      <c r="G394" s="28">
        <f>IF(D394="","",IFERROR(N(INDEX(Setup!$F$14:$F$33,MATCH(D394,Setup!$E$14:$E$33,0))),0))</f>
        <v/>
      </c>
      <c r="H394" s="29">
        <f>IF(OR(F394="",G394=""),"",F394*G394)</f>
        <v/>
      </c>
      <c r="I394" s="30" t="n"/>
    </row>
    <row r="395">
      <c r="B395" s="26" t="n"/>
      <c r="C395" s="17" t="n"/>
      <c r="D395" s="17" t="n"/>
      <c r="E395" s="17" t="n"/>
      <c r="F395" s="27" t="n"/>
      <c r="G395" s="28">
        <f>IF(D395="","",IFERROR(N(INDEX(Setup!$F$14:$F$33,MATCH(D395,Setup!$E$14:$E$33,0))),0))</f>
        <v/>
      </c>
      <c r="H395" s="29">
        <f>IF(OR(F395="",G395=""),"",F395*G395)</f>
        <v/>
      </c>
      <c r="I395" s="30" t="n"/>
    </row>
    <row r="396">
      <c r="B396" s="26" t="n"/>
      <c r="C396" s="17" t="n"/>
      <c r="D396" s="17" t="n"/>
      <c r="E396" s="17" t="n"/>
      <c r="F396" s="27" t="n"/>
      <c r="G396" s="28">
        <f>IF(D396="","",IFERROR(N(INDEX(Setup!$F$14:$F$33,MATCH(D396,Setup!$E$14:$E$33,0))),0))</f>
        <v/>
      </c>
      <c r="H396" s="29">
        <f>IF(OR(F396="",G396=""),"",F396*G396)</f>
        <v/>
      </c>
      <c r="I396" s="30" t="n"/>
    </row>
    <row r="397">
      <c r="B397" s="26" t="n"/>
      <c r="C397" s="17" t="n"/>
      <c r="D397" s="17" t="n"/>
      <c r="E397" s="17" t="n"/>
      <c r="F397" s="27" t="n"/>
      <c r="G397" s="28">
        <f>IF(D397="","",IFERROR(N(INDEX(Setup!$F$14:$F$33,MATCH(D397,Setup!$E$14:$E$33,0))),0))</f>
        <v/>
      </c>
      <c r="H397" s="29">
        <f>IF(OR(F397="",G397=""),"",F397*G397)</f>
        <v/>
      </c>
      <c r="I397" s="30" t="n"/>
    </row>
    <row r="398">
      <c r="B398" s="26" t="n"/>
      <c r="C398" s="17" t="n"/>
      <c r="D398" s="17" t="n"/>
      <c r="E398" s="17" t="n"/>
      <c r="F398" s="27" t="n"/>
      <c r="G398" s="28">
        <f>IF(D398="","",IFERROR(N(INDEX(Setup!$F$14:$F$33,MATCH(D398,Setup!$E$14:$E$33,0))),0))</f>
        <v/>
      </c>
      <c r="H398" s="29">
        <f>IF(OR(F398="",G398=""),"",F398*G398)</f>
        <v/>
      </c>
      <c r="I398" s="30" t="n"/>
    </row>
    <row r="399">
      <c r="B399" s="26" t="n"/>
      <c r="C399" s="17" t="n"/>
      <c r="D399" s="17" t="n"/>
      <c r="E399" s="17" t="n"/>
      <c r="F399" s="27" t="n"/>
      <c r="G399" s="28">
        <f>IF(D399="","",IFERROR(N(INDEX(Setup!$F$14:$F$33,MATCH(D399,Setup!$E$14:$E$33,0))),0))</f>
        <v/>
      </c>
      <c r="H399" s="29">
        <f>IF(OR(F399="",G399=""),"",F399*G399)</f>
        <v/>
      </c>
      <c r="I399" s="30" t="n"/>
    </row>
    <row r="400">
      <c r="B400" s="26" t="n"/>
      <c r="C400" s="17" t="n"/>
      <c r="D400" s="17" t="n"/>
      <c r="E400" s="17" t="n"/>
      <c r="F400" s="27" t="n"/>
      <c r="G400" s="28">
        <f>IF(D400="","",IFERROR(N(INDEX(Setup!$F$14:$F$33,MATCH(D400,Setup!$E$14:$E$33,0))),0))</f>
        <v/>
      </c>
      <c r="H400" s="29">
        <f>IF(OR(F400="",G400=""),"",F400*G400)</f>
        <v/>
      </c>
      <c r="I400" s="30" t="n"/>
    </row>
    <row r="401">
      <c r="B401" s="26" t="n"/>
      <c r="C401" s="17" t="n"/>
      <c r="D401" s="17" t="n"/>
      <c r="E401" s="17" t="n"/>
      <c r="F401" s="27" t="n"/>
      <c r="G401" s="28">
        <f>IF(D401="","",IFERROR(N(INDEX(Setup!$F$14:$F$33,MATCH(D401,Setup!$E$14:$E$33,0))),0))</f>
        <v/>
      </c>
      <c r="H401" s="29">
        <f>IF(OR(F401="",G401=""),"",F401*G401)</f>
        <v/>
      </c>
      <c r="I401" s="30" t="n"/>
    </row>
    <row r="402">
      <c r="B402" s="26" t="n"/>
      <c r="C402" s="17" t="n"/>
      <c r="D402" s="17" t="n"/>
      <c r="E402" s="17" t="n"/>
      <c r="F402" s="27" t="n"/>
      <c r="G402" s="28">
        <f>IF(D402="","",IFERROR(N(INDEX(Setup!$F$14:$F$33,MATCH(D402,Setup!$E$14:$E$33,0))),0))</f>
        <v/>
      </c>
      <c r="H402" s="29">
        <f>IF(OR(F402="",G402=""),"",F402*G402)</f>
        <v/>
      </c>
      <c r="I402" s="30" t="n"/>
    </row>
    <row r="403">
      <c r="B403" s="26" t="n"/>
      <c r="C403" s="17" t="n"/>
      <c r="D403" s="17" t="n"/>
      <c r="E403" s="17" t="n"/>
      <c r="F403" s="27" t="n"/>
      <c r="G403" s="28">
        <f>IF(D403="","",IFERROR(N(INDEX(Setup!$F$14:$F$33,MATCH(D403,Setup!$E$14:$E$33,0))),0))</f>
        <v/>
      </c>
      <c r="H403" s="29">
        <f>IF(OR(F403="",G403=""),"",F403*G403)</f>
        <v/>
      </c>
      <c r="I403" s="30" t="n"/>
    </row>
    <row r="404">
      <c r="B404" s="26" t="n"/>
      <c r="C404" s="17" t="n"/>
      <c r="D404" s="17" t="n"/>
      <c r="E404" s="17" t="n"/>
      <c r="F404" s="27" t="n"/>
      <c r="G404" s="28">
        <f>IF(D404="","",IFERROR(N(INDEX(Setup!$F$14:$F$33,MATCH(D404,Setup!$E$14:$E$33,0))),0))</f>
        <v/>
      </c>
      <c r="H404" s="29">
        <f>IF(OR(F404="",G404=""),"",F404*G404)</f>
        <v/>
      </c>
      <c r="I404" s="30" t="n"/>
    </row>
    <row r="405">
      <c r="B405" s="26" t="n"/>
      <c r="C405" s="17" t="n"/>
      <c r="D405" s="17" t="n"/>
      <c r="E405" s="17" t="n"/>
      <c r="F405" s="27" t="n"/>
      <c r="G405" s="28">
        <f>IF(D405="","",IFERROR(N(INDEX(Setup!$F$14:$F$33,MATCH(D405,Setup!$E$14:$E$33,0))),0))</f>
        <v/>
      </c>
      <c r="H405" s="29">
        <f>IF(OR(F405="",G405=""),"",F405*G405)</f>
        <v/>
      </c>
      <c r="I405" s="30" t="n"/>
    </row>
    <row r="406">
      <c r="B406" s="26" t="n"/>
      <c r="C406" s="17" t="n"/>
      <c r="D406" s="17" t="n"/>
      <c r="E406" s="17" t="n"/>
      <c r="F406" s="27" t="n"/>
      <c r="G406" s="28">
        <f>IF(D406="","",IFERROR(N(INDEX(Setup!$F$14:$F$33,MATCH(D406,Setup!$E$14:$E$33,0))),0))</f>
        <v/>
      </c>
      <c r="H406" s="29">
        <f>IF(OR(F406="",G406=""),"",F406*G406)</f>
        <v/>
      </c>
      <c r="I406" s="30" t="n"/>
    </row>
    <row r="407">
      <c r="B407" s="26" t="n"/>
      <c r="C407" s="17" t="n"/>
      <c r="D407" s="17" t="n"/>
      <c r="E407" s="17" t="n"/>
      <c r="F407" s="27" t="n"/>
      <c r="G407" s="28">
        <f>IF(D407="","",IFERROR(N(INDEX(Setup!$F$14:$F$33,MATCH(D407,Setup!$E$14:$E$33,0))),0))</f>
        <v/>
      </c>
      <c r="H407" s="29">
        <f>IF(OR(F407="",G407=""),"",F407*G407)</f>
        <v/>
      </c>
      <c r="I407" s="30" t="n"/>
    </row>
    <row r="408">
      <c r="B408" s="26" t="n"/>
      <c r="C408" s="17" t="n"/>
      <c r="D408" s="17" t="n"/>
      <c r="E408" s="17" t="n"/>
      <c r="F408" s="27" t="n"/>
      <c r="G408" s="28">
        <f>IF(D408="","",IFERROR(N(INDEX(Setup!$F$14:$F$33,MATCH(D408,Setup!$E$14:$E$33,0))),0))</f>
        <v/>
      </c>
      <c r="H408" s="29">
        <f>IF(OR(F408="",G408=""),"",F408*G408)</f>
        <v/>
      </c>
      <c r="I408" s="30" t="n"/>
    </row>
    <row r="409">
      <c r="B409" s="26" t="n"/>
      <c r="C409" s="17" t="n"/>
      <c r="D409" s="17" t="n"/>
      <c r="E409" s="17" t="n"/>
      <c r="F409" s="27" t="n"/>
      <c r="G409" s="28">
        <f>IF(D409="","",IFERROR(N(INDEX(Setup!$F$14:$F$33,MATCH(D409,Setup!$E$14:$E$33,0))),0))</f>
        <v/>
      </c>
      <c r="H409" s="29">
        <f>IF(OR(F409="",G409=""),"",F409*G409)</f>
        <v/>
      </c>
      <c r="I409" s="30" t="n"/>
    </row>
    <row r="410">
      <c r="B410" s="26" t="n"/>
      <c r="C410" s="17" t="n"/>
      <c r="D410" s="17" t="n"/>
      <c r="E410" s="17" t="n"/>
      <c r="F410" s="27" t="n"/>
      <c r="G410" s="28">
        <f>IF(D410="","",IFERROR(N(INDEX(Setup!$F$14:$F$33,MATCH(D410,Setup!$E$14:$E$33,0))),0))</f>
        <v/>
      </c>
      <c r="H410" s="29">
        <f>IF(OR(F410="",G410=""),"",F410*G410)</f>
        <v/>
      </c>
      <c r="I410" s="30" t="n"/>
    </row>
    <row r="411">
      <c r="B411" s="26" t="n"/>
      <c r="C411" s="17" t="n"/>
      <c r="D411" s="17" t="n"/>
      <c r="E411" s="17" t="n"/>
      <c r="F411" s="27" t="n"/>
      <c r="G411" s="28">
        <f>IF(D411="","",IFERROR(N(INDEX(Setup!$F$14:$F$33,MATCH(D411,Setup!$E$14:$E$33,0))),0))</f>
        <v/>
      </c>
      <c r="H411" s="29">
        <f>IF(OR(F411="",G411=""),"",F411*G411)</f>
        <v/>
      </c>
      <c r="I411" s="30" t="n"/>
    </row>
    <row r="412">
      <c r="B412" s="26" t="n"/>
      <c r="C412" s="17" t="n"/>
      <c r="D412" s="17" t="n"/>
      <c r="E412" s="17" t="n"/>
      <c r="F412" s="27" t="n"/>
      <c r="G412" s="28">
        <f>IF(D412="","",IFERROR(N(INDEX(Setup!$F$14:$F$33,MATCH(D412,Setup!$E$14:$E$33,0))),0))</f>
        <v/>
      </c>
      <c r="H412" s="29">
        <f>IF(OR(F412="",G412=""),"",F412*G412)</f>
        <v/>
      </c>
      <c r="I412" s="30" t="n"/>
    </row>
    <row r="413">
      <c r="B413" s="26" t="n"/>
      <c r="C413" s="17" t="n"/>
      <c r="D413" s="17" t="n"/>
      <c r="E413" s="17" t="n"/>
      <c r="F413" s="27" t="n"/>
      <c r="G413" s="28">
        <f>IF(D413="","",IFERROR(N(INDEX(Setup!$F$14:$F$33,MATCH(D413,Setup!$E$14:$E$33,0))),0))</f>
        <v/>
      </c>
      <c r="H413" s="29">
        <f>IF(OR(F413="",G413=""),"",F413*G413)</f>
        <v/>
      </c>
      <c r="I413" s="30" t="n"/>
    </row>
    <row r="414">
      <c r="B414" s="26" t="n"/>
      <c r="C414" s="17" t="n"/>
      <c r="D414" s="17" t="n"/>
      <c r="E414" s="17" t="n"/>
      <c r="F414" s="27" t="n"/>
      <c r="G414" s="28">
        <f>IF(D414="","",IFERROR(N(INDEX(Setup!$F$14:$F$33,MATCH(D414,Setup!$E$14:$E$33,0))),0))</f>
        <v/>
      </c>
      <c r="H414" s="29">
        <f>IF(OR(F414="",G414=""),"",F414*G414)</f>
        <v/>
      </c>
      <c r="I414" s="30" t="n"/>
    </row>
    <row r="415">
      <c r="B415" s="26" t="n"/>
      <c r="C415" s="17" t="n"/>
      <c r="D415" s="17" t="n"/>
      <c r="E415" s="17" t="n"/>
      <c r="F415" s="27" t="n"/>
      <c r="G415" s="28">
        <f>IF(D415="","",IFERROR(N(INDEX(Setup!$F$14:$F$33,MATCH(D415,Setup!$E$14:$E$33,0))),0))</f>
        <v/>
      </c>
      <c r="H415" s="29">
        <f>IF(OR(F415="",G415=""),"",F415*G415)</f>
        <v/>
      </c>
      <c r="I415" s="30" t="n"/>
    </row>
    <row r="416">
      <c r="B416" s="26" t="n"/>
      <c r="C416" s="17" t="n"/>
      <c r="D416" s="17" t="n"/>
      <c r="E416" s="17" t="n"/>
      <c r="F416" s="27" t="n"/>
      <c r="G416" s="28">
        <f>IF(D416="","",IFERROR(N(INDEX(Setup!$F$14:$F$33,MATCH(D416,Setup!$E$14:$E$33,0))),0))</f>
        <v/>
      </c>
      <c r="H416" s="29">
        <f>IF(OR(F416="",G416=""),"",F416*G416)</f>
        <v/>
      </c>
      <c r="I416" s="30" t="n"/>
    </row>
    <row r="417">
      <c r="B417" s="26" t="n"/>
      <c r="C417" s="17" t="n"/>
      <c r="D417" s="17" t="n"/>
      <c r="E417" s="17" t="n"/>
      <c r="F417" s="27" t="n"/>
      <c r="G417" s="28">
        <f>IF(D417="","",IFERROR(N(INDEX(Setup!$F$14:$F$33,MATCH(D417,Setup!$E$14:$E$33,0))),0))</f>
        <v/>
      </c>
      <c r="H417" s="29">
        <f>IF(OR(F417="",G417=""),"",F417*G417)</f>
        <v/>
      </c>
      <c r="I417" s="30" t="n"/>
    </row>
    <row r="418">
      <c r="B418" s="26" t="n"/>
      <c r="C418" s="17" t="n"/>
      <c r="D418" s="17" t="n"/>
      <c r="E418" s="17" t="n"/>
      <c r="F418" s="27" t="n"/>
      <c r="G418" s="28">
        <f>IF(D418="","",IFERROR(N(INDEX(Setup!$F$14:$F$33,MATCH(D418,Setup!$E$14:$E$33,0))),0))</f>
        <v/>
      </c>
      <c r="H418" s="29">
        <f>IF(OR(F418="",G418=""),"",F418*G418)</f>
        <v/>
      </c>
      <c r="I418" s="30" t="n"/>
    </row>
    <row r="419">
      <c r="B419" s="26" t="n"/>
      <c r="C419" s="17" t="n"/>
      <c r="D419" s="17" t="n"/>
      <c r="E419" s="17" t="n"/>
      <c r="F419" s="27" t="n"/>
      <c r="G419" s="28">
        <f>IF(D419="","",IFERROR(N(INDEX(Setup!$F$14:$F$33,MATCH(D419,Setup!$E$14:$E$33,0))),0))</f>
        <v/>
      </c>
      <c r="H419" s="29">
        <f>IF(OR(F419="",G419=""),"",F419*G419)</f>
        <v/>
      </c>
      <c r="I419" s="30" t="n"/>
    </row>
    <row r="420">
      <c r="B420" s="26" t="n"/>
      <c r="C420" s="17" t="n"/>
      <c r="D420" s="17" t="n"/>
      <c r="E420" s="17" t="n"/>
      <c r="F420" s="27" t="n"/>
      <c r="G420" s="28">
        <f>IF(D420="","",IFERROR(N(INDEX(Setup!$F$14:$F$33,MATCH(D420,Setup!$E$14:$E$33,0))),0))</f>
        <v/>
      </c>
      <c r="H420" s="29">
        <f>IF(OR(F420="",G420=""),"",F420*G420)</f>
        <v/>
      </c>
      <c r="I420" s="30" t="n"/>
    </row>
    <row r="421">
      <c r="B421" s="26" t="n"/>
      <c r="C421" s="17" t="n"/>
      <c r="D421" s="17" t="n"/>
      <c r="E421" s="17" t="n"/>
      <c r="F421" s="27" t="n"/>
      <c r="G421" s="28">
        <f>IF(D421="","",IFERROR(N(INDEX(Setup!$F$14:$F$33,MATCH(D421,Setup!$E$14:$E$33,0))),0))</f>
        <v/>
      </c>
      <c r="H421" s="29">
        <f>IF(OR(F421="",G421=""),"",F421*G421)</f>
        <v/>
      </c>
      <c r="I421" s="30" t="n"/>
    </row>
    <row r="422">
      <c r="B422" s="26" t="n"/>
      <c r="C422" s="17" t="n"/>
      <c r="D422" s="17" t="n"/>
      <c r="E422" s="17" t="n"/>
      <c r="F422" s="27" t="n"/>
      <c r="G422" s="28">
        <f>IF(D422="","",IFERROR(N(INDEX(Setup!$F$14:$F$33,MATCH(D422,Setup!$E$14:$E$33,0))),0))</f>
        <v/>
      </c>
      <c r="H422" s="29">
        <f>IF(OR(F422="",G422=""),"",F422*G422)</f>
        <v/>
      </c>
      <c r="I422" s="30" t="n"/>
    </row>
    <row r="423">
      <c r="B423" s="26" t="n"/>
      <c r="C423" s="17" t="n"/>
      <c r="D423" s="17" t="n"/>
      <c r="E423" s="17" t="n"/>
      <c r="F423" s="27" t="n"/>
      <c r="G423" s="28">
        <f>IF(D423="","",IFERROR(N(INDEX(Setup!$F$14:$F$33,MATCH(D423,Setup!$E$14:$E$33,0))),0))</f>
        <v/>
      </c>
      <c r="H423" s="29">
        <f>IF(OR(F423="",G423=""),"",F423*G423)</f>
        <v/>
      </c>
      <c r="I423" s="30" t="n"/>
    </row>
    <row r="424">
      <c r="B424" s="26" t="n"/>
      <c r="C424" s="17" t="n"/>
      <c r="D424" s="17" t="n"/>
      <c r="E424" s="17" t="n"/>
      <c r="F424" s="27" t="n"/>
      <c r="G424" s="28">
        <f>IF(D424="","",IFERROR(N(INDEX(Setup!$F$14:$F$33,MATCH(D424,Setup!$E$14:$E$33,0))),0))</f>
        <v/>
      </c>
      <c r="H424" s="29">
        <f>IF(OR(F424="",G424=""),"",F424*G424)</f>
        <v/>
      </c>
      <c r="I424" s="30" t="n"/>
    </row>
    <row r="425">
      <c r="B425" s="26" t="n"/>
      <c r="C425" s="17" t="n"/>
      <c r="D425" s="17" t="n"/>
      <c r="E425" s="17" t="n"/>
      <c r="F425" s="27" t="n"/>
      <c r="G425" s="28">
        <f>IF(D425="","",IFERROR(N(INDEX(Setup!$F$14:$F$33,MATCH(D425,Setup!$E$14:$E$33,0))),0))</f>
        <v/>
      </c>
      <c r="H425" s="29">
        <f>IF(OR(F425="",G425=""),"",F425*G425)</f>
        <v/>
      </c>
      <c r="I425" s="30" t="n"/>
    </row>
    <row r="426">
      <c r="B426" s="26" t="n"/>
      <c r="C426" s="17" t="n"/>
      <c r="D426" s="17" t="n"/>
      <c r="E426" s="17" t="n"/>
      <c r="F426" s="27" t="n"/>
      <c r="G426" s="28">
        <f>IF(D426="","",IFERROR(N(INDEX(Setup!$F$14:$F$33,MATCH(D426,Setup!$E$14:$E$33,0))),0))</f>
        <v/>
      </c>
      <c r="H426" s="29">
        <f>IF(OR(F426="",G426=""),"",F426*G426)</f>
        <v/>
      </c>
      <c r="I426" s="30" t="n"/>
    </row>
    <row r="427">
      <c r="B427" s="26" t="n"/>
      <c r="C427" s="17" t="n"/>
      <c r="D427" s="17" t="n"/>
      <c r="E427" s="17" t="n"/>
      <c r="F427" s="27" t="n"/>
      <c r="G427" s="28">
        <f>IF(D427="","",IFERROR(N(INDEX(Setup!$F$14:$F$33,MATCH(D427,Setup!$E$14:$E$33,0))),0))</f>
        <v/>
      </c>
      <c r="H427" s="29">
        <f>IF(OR(F427="",G427=""),"",F427*G427)</f>
        <v/>
      </c>
      <c r="I427" s="30" t="n"/>
    </row>
    <row r="428">
      <c r="B428" s="26" t="n"/>
      <c r="C428" s="17" t="n"/>
      <c r="D428" s="17" t="n"/>
      <c r="E428" s="17" t="n"/>
      <c r="F428" s="27" t="n"/>
      <c r="G428" s="28">
        <f>IF(D428="","",IFERROR(N(INDEX(Setup!$F$14:$F$33,MATCH(D428,Setup!$E$14:$E$33,0))),0))</f>
        <v/>
      </c>
      <c r="H428" s="29">
        <f>IF(OR(F428="",G428=""),"",F428*G428)</f>
        <v/>
      </c>
      <c r="I428" s="30" t="n"/>
    </row>
    <row r="429">
      <c r="B429" s="26" t="n"/>
      <c r="C429" s="17" t="n"/>
      <c r="D429" s="17" t="n"/>
      <c r="E429" s="17" t="n"/>
      <c r="F429" s="27" t="n"/>
      <c r="G429" s="28">
        <f>IF(D429="","",IFERROR(N(INDEX(Setup!$F$14:$F$33,MATCH(D429,Setup!$E$14:$E$33,0))),0))</f>
        <v/>
      </c>
      <c r="H429" s="29">
        <f>IF(OR(F429="",G429=""),"",F429*G429)</f>
        <v/>
      </c>
      <c r="I429" s="30" t="n"/>
    </row>
    <row r="430">
      <c r="B430" s="26" t="n"/>
      <c r="C430" s="17" t="n"/>
      <c r="D430" s="17" t="n"/>
      <c r="E430" s="17" t="n"/>
      <c r="F430" s="27" t="n"/>
      <c r="G430" s="28">
        <f>IF(D430="","",IFERROR(N(INDEX(Setup!$F$14:$F$33,MATCH(D430,Setup!$E$14:$E$33,0))),0))</f>
        <v/>
      </c>
      <c r="H430" s="29">
        <f>IF(OR(F430="",G430=""),"",F430*G430)</f>
        <v/>
      </c>
      <c r="I430" s="30" t="n"/>
    </row>
    <row r="431">
      <c r="B431" s="26" t="n"/>
      <c r="C431" s="17" t="n"/>
      <c r="D431" s="17" t="n"/>
      <c r="E431" s="17" t="n"/>
      <c r="F431" s="27" t="n"/>
      <c r="G431" s="28">
        <f>IF(D431="","",IFERROR(N(INDEX(Setup!$F$14:$F$33,MATCH(D431,Setup!$E$14:$E$33,0))),0))</f>
        <v/>
      </c>
      <c r="H431" s="29">
        <f>IF(OR(F431="",G431=""),"",F431*G431)</f>
        <v/>
      </c>
      <c r="I431" s="30" t="n"/>
    </row>
    <row r="432">
      <c r="B432" s="26" t="n"/>
      <c r="C432" s="17" t="n"/>
      <c r="D432" s="17" t="n"/>
      <c r="E432" s="17" t="n"/>
      <c r="F432" s="27" t="n"/>
      <c r="G432" s="28">
        <f>IF(D432="","",IFERROR(N(INDEX(Setup!$F$14:$F$33,MATCH(D432,Setup!$E$14:$E$33,0))),0))</f>
        <v/>
      </c>
      <c r="H432" s="29">
        <f>IF(OR(F432="",G432=""),"",F432*G432)</f>
        <v/>
      </c>
      <c r="I432" s="30" t="n"/>
    </row>
    <row r="433">
      <c r="B433" s="26" t="n"/>
      <c r="C433" s="17" t="n"/>
      <c r="D433" s="17" t="n"/>
      <c r="E433" s="17" t="n"/>
      <c r="F433" s="27" t="n"/>
      <c r="G433" s="28">
        <f>IF(D433="","",IFERROR(N(INDEX(Setup!$F$14:$F$33,MATCH(D433,Setup!$E$14:$E$33,0))),0))</f>
        <v/>
      </c>
      <c r="H433" s="29">
        <f>IF(OR(F433="",G433=""),"",F433*G433)</f>
        <v/>
      </c>
      <c r="I433" s="30" t="n"/>
    </row>
    <row r="434">
      <c r="B434" s="26" t="n"/>
      <c r="C434" s="17" t="n"/>
      <c r="D434" s="17" t="n"/>
      <c r="E434" s="17" t="n"/>
      <c r="F434" s="27" t="n"/>
      <c r="G434" s="28">
        <f>IF(D434="","",IFERROR(N(INDEX(Setup!$F$14:$F$33,MATCH(D434,Setup!$E$14:$E$33,0))),0))</f>
        <v/>
      </c>
      <c r="H434" s="29">
        <f>IF(OR(F434="",G434=""),"",F434*G434)</f>
        <v/>
      </c>
      <c r="I434" s="30" t="n"/>
    </row>
    <row r="435">
      <c r="B435" s="26" t="n"/>
      <c r="C435" s="17" t="n"/>
      <c r="D435" s="17" t="n"/>
      <c r="E435" s="17" t="n"/>
      <c r="F435" s="27" t="n"/>
      <c r="G435" s="28">
        <f>IF(D435="","",IFERROR(N(INDEX(Setup!$F$14:$F$33,MATCH(D435,Setup!$E$14:$E$33,0))),0))</f>
        <v/>
      </c>
      <c r="H435" s="29">
        <f>IF(OR(F435="",G435=""),"",F435*G435)</f>
        <v/>
      </c>
      <c r="I435" s="30" t="n"/>
    </row>
    <row r="436">
      <c r="B436" s="26" t="n"/>
      <c r="C436" s="17" t="n"/>
      <c r="D436" s="17" t="n"/>
      <c r="E436" s="17" t="n"/>
      <c r="F436" s="27" t="n"/>
      <c r="G436" s="28">
        <f>IF(D436="","",IFERROR(N(INDEX(Setup!$F$14:$F$33,MATCH(D436,Setup!$E$14:$E$33,0))),0))</f>
        <v/>
      </c>
      <c r="H436" s="29">
        <f>IF(OR(F436="",G436=""),"",F436*G436)</f>
        <v/>
      </c>
      <c r="I436" s="30" t="n"/>
    </row>
    <row r="437">
      <c r="B437" s="26" t="n"/>
      <c r="C437" s="17" t="n"/>
      <c r="D437" s="17" t="n"/>
      <c r="E437" s="17" t="n"/>
      <c r="F437" s="27" t="n"/>
      <c r="G437" s="28">
        <f>IF(D437="","",IFERROR(N(INDEX(Setup!$F$14:$F$33,MATCH(D437,Setup!$E$14:$E$33,0))),0))</f>
        <v/>
      </c>
      <c r="H437" s="29">
        <f>IF(OR(F437="",G437=""),"",F437*G437)</f>
        <v/>
      </c>
      <c r="I437" s="30" t="n"/>
    </row>
    <row r="438">
      <c r="B438" s="26" t="n"/>
      <c r="C438" s="17" t="n"/>
      <c r="D438" s="17" t="n"/>
      <c r="E438" s="17" t="n"/>
      <c r="F438" s="27" t="n"/>
      <c r="G438" s="28">
        <f>IF(D438="","",IFERROR(N(INDEX(Setup!$F$14:$F$33,MATCH(D438,Setup!$E$14:$E$33,0))),0))</f>
        <v/>
      </c>
      <c r="H438" s="29">
        <f>IF(OR(F438="",G438=""),"",F438*G438)</f>
        <v/>
      </c>
      <c r="I438" s="30" t="n"/>
    </row>
    <row r="439">
      <c r="B439" s="26" t="n"/>
      <c r="C439" s="17" t="n"/>
      <c r="D439" s="17" t="n"/>
      <c r="E439" s="17" t="n"/>
      <c r="F439" s="27" t="n"/>
      <c r="G439" s="28">
        <f>IF(D439="","",IFERROR(N(INDEX(Setup!$F$14:$F$33,MATCH(D439,Setup!$E$14:$E$33,0))),0))</f>
        <v/>
      </c>
      <c r="H439" s="29">
        <f>IF(OR(F439="",G439=""),"",F439*G439)</f>
        <v/>
      </c>
      <c r="I439" s="30" t="n"/>
    </row>
    <row r="440">
      <c r="B440" s="26" t="n"/>
      <c r="C440" s="17" t="n"/>
      <c r="D440" s="17" t="n"/>
      <c r="E440" s="17" t="n"/>
      <c r="F440" s="27" t="n"/>
      <c r="G440" s="28">
        <f>IF(D440="","",IFERROR(N(INDEX(Setup!$F$14:$F$33,MATCH(D440,Setup!$E$14:$E$33,0))),0))</f>
        <v/>
      </c>
      <c r="H440" s="29">
        <f>IF(OR(F440="",G440=""),"",F440*G440)</f>
        <v/>
      </c>
      <c r="I440" s="30" t="n"/>
    </row>
    <row r="441">
      <c r="B441" s="26" t="n"/>
      <c r="C441" s="17" t="n"/>
      <c r="D441" s="17" t="n"/>
      <c r="E441" s="17" t="n"/>
      <c r="F441" s="27" t="n"/>
      <c r="G441" s="28">
        <f>IF(D441="","",IFERROR(N(INDEX(Setup!$F$14:$F$33,MATCH(D441,Setup!$E$14:$E$33,0))),0))</f>
        <v/>
      </c>
      <c r="H441" s="29">
        <f>IF(OR(F441="",G441=""),"",F441*G441)</f>
        <v/>
      </c>
      <c r="I441" s="30" t="n"/>
    </row>
    <row r="442">
      <c r="B442" s="26" t="n"/>
      <c r="C442" s="17" t="n"/>
      <c r="D442" s="17" t="n"/>
      <c r="E442" s="17" t="n"/>
      <c r="F442" s="27" t="n"/>
      <c r="G442" s="28">
        <f>IF(D442="","",IFERROR(N(INDEX(Setup!$F$14:$F$33,MATCH(D442,Setup!$E$14:$E$33,0))),0))</f>
        <v/>
      </c>
      <c r="H442" s="29">
        <f>IF(OR(F442="",G442=""),"",F442*G442)</f>
        <v/>
      </c>
      <c r="I442" s="30" t="n"/>
    </row>
    <row r="443">
      <c r="B443" s="26" t="n"/>
      <c r="C443" s="17" t="n"/>
      <c r="D443" s="17" t="n"/>
      <c r="E443" s="17" t="n"/>
      <c r="F443" s="27" t="n"/>
      <c r="G443" s="28">
        <f>IF(D443="","",IFERROR(N(INDEX(Setup!$F$14:$F$33,MATCH(D443,Setup!$E$14:$E$33,0))),0))</f>
        <v/>
      </c>
      <c r="H443" s="29">
        <f>IF(OR(F443="",G443=""),"",F443*G443)</f>
        <v/>
      </c>
      <c r="I443" s="30" t="n"/>
    </row>
    <row r="444">
      <c r="B444" s="26" t="n"/>
      <c r="C444" s="17" t="n"/>
      <c r="D444" s="17" t="n"/>
      <c r="E444" s="17" t="n"/>
      <c r="F444" s="27" t="n"/>
      <c r="G444" s="28">
        <f>IF(D444="","",IFERROR(N(INDEX(Setup!$F$14:$F$33,MATCH(D444,Setup!$E$14:$E$33,0))),0))</f>
        <v/>
      </c>
      <c r="H444" s="29">
        <f>IF(OR(F444="",G444=""),"",F444*G444)</f>
        <v/>
      </c>
      <c r="I444" s="30" t="n"/>
    </row>
    <row r="445">
      <c r="B445" s="26" t="n"/>
      <c r="C445" s="17" t="n"/>
      <c r="D445" s="17" t="n"/>
      <c r="E445" s="17" t="n"/>
      <c r="F445" s="27" t="n"/>
      <c r="G445" s="28">
        <f>IF(D445="","",IFERROR(N(INDEX(Setup!$F$14:$F$33,MATCH(D445,Setup!$E$14:$E$33,0))),0))</f>
        <v/>
      </c>
      <c r="H445" s="29">
        <f>IF(OR(F445="",G445=""),"",F445*G445)</f>
        <v/>
      </c>
      <c r="I445" s="30" t="n"/>
    </row>
    <row r="446">
      <c r="B446" s="26" t="n"/>
      <c r="C446" s="17" t="n"/>
      <c r="D446" s="17" t="n"/>
      <c r="E446" s="17" t="n"/>
      <c r="F446" s="27" t="n"/>
      <c r="G446" s="28">
        <f>IF(D446="","",IFERROR(N(INDEX(Setup!$F$14:$F$33,MATCH(D446,Setup!$E$14:$E$33,0))),0))</f>
        <v/>
      </c>
      <c r="H446" s="29">
        <f>IF(OR(F446="",G446=""),"",F446*G446)</f>
        <v/>
      </c>
      <c r="I446" s="30" t="n"/>
    </row>
    <row r="447">
      <c r="B447" s="26" t="n"/>
      <c r="C447" s="17" t="n"/>
      <c r="D447" s="17" t="n"/>
      <c r="E447" s="17" t="n"/>
      <c r="F447" s="27" t="n"/>
      <c r="G447" s="28">
        <f>IF(D447="","",IFERROR(N(INDEX(Setup!$F$14:$F$33,MATCH(D447,Setup!$E$14:$E$33,0))),0))</f>
        <v/>
      </c>
      <c r="H447" s="29">
        <f>IF(OR(F447="",G447=""),"",F447*G447)</f>
        <v/>
      </c>
      <c r="I447" s="30" t="n"/>
    </row>
    <row r="448">
      <c r="B448" s="26" t="n"/>
      <c r="C448" s="17" t="n"/>
      <c r="D448" s="17" t="n"/>
      <c r="E448" s="17" t="n"/>
      <c r="F448" s="27" t="n"/>
      <c r="G448" s="28">
        <f>IF(D448="","",IFERROR(N(INDEX(Setup!$F$14:$F$33,MATCH(D448,Setup!$E$14:$E$33,0))),0))</f>
        <v/>
      </c>
      <c r="H448" s="29">
        <f>IF(OR(F448="",G448=""),"",F448*G448)</f>
        <v/>
      </c>
      <c r="I448" s="30" t="n"/>
    </row>
    <row r="449">
      <c r="B449" s="26" t="n"/>
      <c r="C449" s="17" t="n"/>
      <c r="D449" s="17" t="n"/>
      <c r="E449" s="17" t="n"/>
      <c r="F449" s="27" t="n"/>
      <c r="G449" s="28">
        <f>IF(D449="","",IFERROR(N(INDEX(Setup!$F$14:$F$33,MATCH(D449,Setup!$E$14:$E$33,0))),0))</f>
        <v/>
      </c>
      <c r="H449" s="29">
        <f>IF(OR(F449="",G449=""),"",F449*G449)</f>
        <v/>
      </c>
      <c r="I449" s="30" t="n"/>
    </row>
    <row r="450">
      <c r="B450" s="26" t="n"/>
      <c r="C450" s="17" t="n"/>
      <c r="D450" s="17" t="n"/>
      <c r="E450" s="17" t="n"/>
      <c r="F450" s="27" t="n"/>
      <c r="G450" s="28">
        <f>IF(D450="","",IFERROR(N(INDEX(Setup!$F$14:$F$33,MATCH(D450,Setup!$E$14:$E$33,0))),0))</f>
        <v/>
      </c>
      <c r="H450" s="29">
        <f>IF(OR(F450="",G450=""),"",F450*G450)</f>
        <v/>
      </c>
      <c r="I450" s="30" t="n"/>
    </row>
    <row r="451">
      <c r="B451" s="26" t="n"/>
      <c r="C451" s="17" t="n"/>
      <c r="D451" s="17" t="n"/>
      <c r="E451" s="17" t="n"/>
      <c r="F451" s="27" t="n"/>
      <c r="G451" s="28">
        <f>IF(D451="","",IFERROR(N(INDEX(Setup!$F$14:$F$33,MATCH(D451,Setup!$E$14:$E$33,0))),0))</f>
        <v/>
      </c>
      <c r="H451" s="29">
        <f>IF(OR(F451="",G451=""),"",F451*G451)</f>
        <v/>
      </c>
      <c r="I451" s="30" t="n"/>
    </row>
    <row r="452">
      <c r="B452" s="26" t="n"/>
      <c r="C452" s="17" t="n"/>
      <c r="D452" s="17" t="n"/>
      <c r="E452" s="17" t="n"/>
      <c r="F452" s="27" t="n"/>
      <c r="G452" s="28">
        <f>IF(D452="","",IFERROR(N(INDEX(Setup!$F$14:$F$33,MATCH(D452,Setup!$E$14:$E$33,0))),0))</f>
        <v/>
      </c>
      <c r="H452" s="29">
        <f>IF(OR(F452="",G452=""),"",F452*G452)</f>
        <v/>
      </c>
      <c r="I452" s="30" t="n"/>
    </row>
    <row r="453">
      <c r="B453" s="26" t="n"/>
      <c r="C453" s="17" t="n"/>
      <c r="D453" s="17" t="n"/>
      <c r="E453" s="17" t="n"/>
      <c r="F453" s="27" t="n"/>
      <c r="G453" s="28">
        <f>IF(D453="","",IFERROR(N(INDEX(Setup!$F$14:$F$33,MATCH(D453,Setup!$E$14:$E$33,0))),0))</f>
        <v/>
      </c>
      <c r="H453" s="29">
        <f>IF(OR(F453="",G453=""),"",F453*G453)</f>
        <v/>
      </c>
      <c r="I453" s="30" t="n"/>
    </row>
    <row r="454">
      <c r="B454" s="26" t="n"/>
      <c r="C454" s="17" t="n"/>
      <c r="D454" s="17" t="n"/>
      <c r="E454" s="17" t="n"/>
      <c r="F454" s="27" t="n"/>
      <c r="G454" s="28">
        <f>IF(D454="","",IFERROR(N(INDEX(Setup!$F$14:$F$33,MATCH(D454,Setup!$E$14:$E$33,0))),0))</f>
        <v/>
      </c>
      <c r="H454" s="29">
        <f>IF(OR(F454="",G454=""),"",F454*G454)</f>
        <v/>
      </c>
      <c r="I454" s="30" t="n"/>
    </row>
    <row r="455">
      <c r="B455" s="26" t="n"/>
      <c r="C455" s="17" t="n"/>
      <c r="D455" s="17" t="n"/>
      <c r="E455" s="17" t="n"/>
      <c r="F455" s="27" t="n"/>
      <c r="G455" s="28">
        <f>IF(D455="","",IFERROR(N(INDEX(Setup!$F$14:$F$33,MATCH(D455,Setup!$E$14:$E$33,0))),0))</f>
        <v/>
      </c>
      <c r="H455" s="29">
        <f>IF(OR(F455="",G455=""),"",F455*G455)</f>
        <v/>
      </c>
      <c r="I455" s="30" t="n"/>
    </row>
    <row r="456">
      <c r="B456" s="26" t="n"/>
      <c r="C456" s="17" t="n"/>
      <c r="D456" s="17" t="n"/>
      <c r="E456" s="17" t="n"/>
      <c r="F456" s="27" t="n"/>
      <c r="G456" s="28">
        <f>IF(D456="","",IFERROR(N(INDEX(Setup!$F$14:$F$33,MATCH(D456,Setup!$E$14:$E$33,0))),0))</f>
        <v/>
      </c>
      <c r="H456" s="29">
        <f>IF(OR(F456="",G456=""),"",F456*G456)</f>
        <v/>
      </c>
      <c r="I456" s="30" t="n"/>
    </row>
    <row r="457">
      <c r="B457" s="26" t="n"/>
      <c r="C457" s="17" t="n"/>
      <c r="D457" s="17" t="n"/>
      <c r="E457" s="17" t="n"/>
      <c r="F457" s="27" t="n"/>
      <c r="G457" s="28">
        <f>IF(D457="","",IFERROR(N(INDEX(Setup!$F$14:$F$33,MATCH(D457,Setup!$E$14:$E$33,0))),0))</f>
        <v/>
      </c>
      <c r="H457" s="29">
        <f>IF(OR(F457="",G457=""),"",F457*G457)</f>
        <v/>
      </c>
      <c r="I457" s="30" t="n"/>
    </row>
    <row r="458">
      <c r="B458" s="26" t="n"/>
      <c r="C458" s="17" t="n"/>
      <c r="D458" s="17" t="n"/>
      <c r="E458" s="17" t="n"/>
      <c r="F458" s="27" t="n"/>
      <c r="G458" s="28">
        <f>IF(D458="","",IFERROR(N(INDEX(Setup!$F$14:$F$33,MATCH(D458,Setup!$E$14:$E$33,0))),0))</f>
        <v/>
      </c>
      <c r="H458" s="29">
        <f>IF(OR(F458="",G458=""),"",F458*G458)</f>
        <v/>
      </c>
      <c r="I458" s="30" t="n"/>
    </row>
    <row r="459">
      <c r="B459" s="26" t="n"/>
      <c r="C459" s="17" t="n"/>
      <c r="D459" s="17" t="n"/>
      <c r="E459" s="17" t="n"/>
      <c r="F459" s="27" t="n"/>
      <c r="G459" s="28">
        <f>IF(D459="","",IFERROR(N(INDEX(Setup!$F$14:$F$33,MATCH(D459,Setup!$E$14:$E$33,0))),0))</f>
        <v/>
      </c>
      <c r="H459" s="29">
        <f>IF(OR(F459="",G459=""),"",F459*G459)</f>
        <v/>
      </c>
      <c r="I459" s="30" t="n"/>
    </row>
    <row r="460">
      <c r="B460" s="26" t="n"/>
      <c r="C460" s="17" t="n"/>
      <c r="D460" s="17" t="n"/>
      <c r="E460" s="17" t="n"/>
      <c r="F460" s="27" t="n"/>
      <c r="G460" s="28">
        <f>IF(D460="","",IFERROR(N(INDEX(Setup!$F$14:$F$33,MATCH(D460,Setup!$E$14:$E$33,0))),0))</f>
        <v/>
      </c>
      <c r="H460" s="29">
        <f>IF(OR(F460="",G460=""),"",F460*G460)</f>
        <v/>
      </c>
      <c r="I460" s="30" t="n"/>
    </row>
    <row r="461">
      <c r="B461" s="26" t="n"/>
      <c r="C461" s="17" t="n"/>
      <c r="D461" s="17" t="n"/>
      <c r="E461" s="17" t="n"/>
      <c r="F461" s="27" t="n"/>
      <c r="G461" s="28">
        <f>IF(D461="","",IFERROR(N(INDEX(Setup!$F$14:$F$33,MATCH(D461,Setup!$E$14:$E$33,0))),0))</f>
        <v/>
      </c>
      <c r="H461" s="29">
        <f>IF(OR(F461="",G461=""),"",F461*G461)</f>
        <v/>
      </c>
      <c r="I461" s="30" t="n"/>
    </row>
    <row r="462">
      <c r="B462" s="26" t="n"/>
      <c r="C462" s="17" t="n"/>
      <c r="D462" s="17" t="n"/>
      <c r="E462" s="17" t="n"/>
      <c r="F462" s="27" t="n"/>
      <c r="G462" s="28">
        <f>IF(D462="","",IFERROR(N(INDEX(Setup!$F$14:$F$33,MATCH(D462,Setup!$E$14:$E$33,0))),0))</f>
        <v/>
      </c>
      <c r="H462" s="29">
        <f>IF(OR(F462="",G462=""),"",F462*G462)</f>
        <v/>
      </c>
      <c r="I462" s="30" t="n"/>
    </row>
    <row r="463">
      <c r="B463" s="26" t="n"/>
      <c r="C463" s="17" t="n"/>
      <c r="D463" s="17" t="n"/>
      <c r="E463" s="17" t="n"/>
      <c r="F463" s="27" t="n"/>
      <c r="G463" s="28">
        <f>IF(D463="","",IFERROR(N(INDEX(Setup!$F$14:$F$33,MATCH(D463,Setup!$E$14:$E$33,0))),0))</f>
        <v/>
      </c>
      <c r="H463" s="29">
        <f>IF(OR(F463="",G463=""),"",F463*G463)</f>
        <v/>
      </c>
      <c r="I463" s="30" t="n"/>
    </row>
    <row r="464">
      <c r="B464" s="26" t="n"/>
      <c r="C464" s="17" t="n"/>
      <c r="D464" s="17" t="n"/>
      <c r="E464" s="17" t="n"/>
      <c r="F464" s="27" t="n"/>
      <c r="G464" s="28">
        <f>IF(D464="","",IFERROR(N(INDEX(Setup!$F$14:$F$33,MATCH(D464,Setup!$E$14:$E$33,0))),0))</f>
        <v/>
      </c>
      <c r="H464" s="29">
        <f>IF(OR(F464="",G464=""),"",F464*G464)</f>
        <v/>
      </c>
      <c r="I464" s="30" t="n"/>
    </row>
    <row r="465">
      <c r="B465" s="26" t="n"/>
      <c r="C465" s="17" t="n"/>
      <c r="D465" s="17" t="n"/>
      <c r="E465" s="17" t="n"/>
      <c r="F465" s="27" t="n"/>
      <c r="G465" s="28">
        <f>IF(D465="","",IFERROR(N(INDEX(Setup!$F$14:$F$33,MATCH(D465,Setup!$E$14:$E$33,0))),0))</f>
        <v/>
      </c>
      <c r="H465" s="29">
        <f>IF(OR(F465="",G465=""),"",F465*G465)</f>
        <v/>
      </c>
      <c r="I465" s="30" t="n"/>
    </row>
    <row r="466">
      <c r="B466" s="26" t="n"/>
      <c r="C466" s="17" t="n"/>
      <c r="D466" s="17" t="n"/>
      <c r="E466" s="17" t="n"/>
      <c r="F466" s="27" t="n"/>
      <c r="G466" s="28">
        <f>IF(D466="","",IFERROR(N(INDEX(Setup!$F$14:$F$33,MATCH(D466,Setup!$E$14:$E$33,0))),0))</f>
        <v/>
      </c>
      <c r="H466" s="29">
        <f>IF(OR(F466="",G466=""),"",F466*G466)</f>
        <v/>
      </c>
      <c r="I466" s="30" t="n"/>
    </row>
    <row r="467">
      <c r="B467" s="26" t="n"/>
      <c r="C467" s="17" t="n"/>
      <c r="D467" s="17" t="n"/>
      <c r="E467" s="17" t="n"/>
      <c r="F467" s="27" t="n"/>
      <c r="G467" s="28">
        <f>IF(D467="","",IFERROR(N(INDEX(Setup!$F$14:$F$33,MATCH(D467,Setup!$E$14:$E$33,0))),0))</f>
        <v/>
      </c>
      <c r="H467" s="29">
        <f>IF(OR(F467="",G467=""),"",F467*G467)</f>
        <v/>
      </c>
      <c r="I467" s="30" t="n"/>
    </row>
    <row r="468">
      <c r="B468" s="26" t="n"/>
      <c r="C468" s="17" t="n"/>
      <c r="D468" s="17" t="n"/>
      <c r="E468" s="17" t="n"/>
      <c r="F468" s="27" t="n"/>
      <c r="G468" s="28">
        <f>IF(D468="","",IFERROR(N(INDEX(Setup!$F$14:$F$33,MATCH(D468,Setup!$E$14:$E$33,0))),0))</f>
        <v/>
      </c>
      <c r="H468" s="29">
        <f>IF(OR(F468="",G468=""),"",F468*G468)</f>
        <v/>
      </c>
      <c r="I468" s="30" t="n"/>
    </row>
    <row r="469">
      <c r="B469" s="26" t="n"/>
      <c r="C469" s="17" t="n"/>
      <c r="D469" s="17" t="n"/>
      <c r="E469" s="17" t="n"/>
      <c r="F469" s="27" t="n"/>
      <c r="G469" s="28">
        <f>IF(D469="","",IFERROR(N(INDEX(Setup!$F$14:$F$33,MATCH(D469,Setup!$E$14:$E$33,0))),0))</f>
        <v/>
      </c>
      <c r="H469" s="29">
        <f>IF(OR(F469="",G469=""),"",F469*G469)</f>
        <v/>
      </c>
      <c r="I469" s="30" t="n"/>
    </row>
    <row r="470">
      <c r="B470" s="26" t="n"/>
      <c r="C470" s="17" t="n"/>
      <c r="D470" s="17" t="n"/>
      <c r="E470" s="17" t="n"/>
      <c r="F470" s="27" t="n"/>
      <c r="G470" s="28">
        <f>IF(D470="","",IFERROR(N(INDEX(Setup!$F$14:$F$33,MATCH(D470,Setup!$E$14:$E$33,0))),0))</f>
        <v/>
      </c>
      <c r="H470" s="29">
        <f>IF(OR(F470="",G470=""),"",F470*G470)</f>
        <v/>
      </c>
      <c r="I470" s="30" t="n"/>
    </row>
    <row r="471">
      <c r="B471" s="26" t="n"/>
      <c r="C471" s="17" t="n"/>
      <c r="D471" s="17" t="n"/>
      <c r="E471" s="17" t="n"/>
      <c r="F471" s="27" t="n"/>
      <c r="G471" s="28">
        <f>IF(D471="","",IFERROR(N(INDEX(Setup!$F$14:$F$33,MATCH(D471,Setup!$E$14:$E$33,0))),0))</f>
        <v/>
      </c>
      <c r="H471" s="29">
        <f>IF(OR(F471="",G471=""),"",F471*G471)</f>
        <v/>
      </c>
      <c r="I471" s="30" t="n"/>
    </row>
    <row r="472">
      <c r="B472" s="26" t="n"/>
      <c r="C472" s="17" t="n"/>
      <c r="D472" s="17" t="n"/>
      <c r="E472" s="17" t="n"/>
      <c r="F472" s="27" t="n"/>
      <c r="G472" s="28">
        <f>IF(D472="","",IFERROR(N(INDEX(Setup!$F$14:$F$33,MATCH(D472,Setup!$E$14:$E$33,0))),0))</f>
        <v/>
      </c>
      <c r="H472" s="29">
        <f>IF(OR(F472="",G472=""),"",F472*G472)</f>
        <v/>
      </c>
      <c r="I472" s="30" t="n"/>
    </row>
    <row r="473">
      <c r="B473" s="26" t="n"/>
      <c r="C473" s="17" t="n"/>
      <c r="D473" s="17" t="n"/>
      <c r="E473" s="17" t="n"/>
      <c r="F473" s="27" t="n"/>
      <c r="G473" s="28">
        <f>IF(D473="","",IFERROR(N(INDEX(Setup!$F$14:$F$33,MATCH(D473,Setup!$E$14:$E$33,0))),0))</f>
        <v/>
      </c>
      <c r="H473" s="29">
        <f>IF(OR(F473="",G473=""),"",F473*G473)</f>
        <v/>
      </c>
      <c r="I473" s="30" t="n"/>
    </row>
    <row r="474">
      <c r="B474" s="26" t="n"/>
      <c r="C474" s="17" t="n"/>
      <c r="D474" s="17" t="n"/>
      <c r="E474" s="17" t="n"/>
      <c r="F474" s="27" t="n"/>
      <c r="G474" s="28">
        <f>IF(D474="","",IFERROR(N(INDEX(Setup!$F$14:$F$33,MATCH(D474,Setup!$E$14:$E$33,0))),0))</f>
        <v/>
      </c>
      <c r="H474" s="29">
        <f>IF(OR(F474="",G474=""),"",F474*G474)</f>
        <v/>
      </c>
      <c r="I474" s="30" t="n"/>
    </row>
    <row r="475">
      <c r="B475" s="26" t="n"/>
      <c r="C475" s="17" t="n"/>
      <c r="D475" s="17" t="n"/>
      <c r="E475" s="17" t="n"/>
      <c r="F475" s="27" t="n"/>
      <c r="G475" s="28">
        <f>IF(D475="","",IFERROR(N(INDEX(Setup!$F$14:$F$33,MATCH(D475,Setup!$E$14:$E$33,0))),0))</f>
        <v/>
      </c>
      <c r="H475" s="29">
        <f>IF(OR(F475="",G475=""),"",F475*G475)</f>
        <v/>
      </c>
      <c r="I475" s="30" t="n"/>
    </row>
    <row r="476">
      <c r="B476" s="26" t="n"/>
      <c r="C476" s="17" t="n"/>
      <c r="D476" s="17" t="n"/>
      <c r="E476" s="17" t="n"/>
      <c r="F476" s="27" t="n"/>
      <c r="G476" s="28">
        <f>IF(D476="","",IFERROR(N(INDEX(Setup!$F$14:$F$33,MATCH(D476,Setup!$E$14:$E$33,0))),0))</f>
        <v/>
      </c>
      <c r="H476" s="29">
        <f>IF(OR(F476="",G476=""),"",F476*G476)</f>
        <v/>
      </c>
      <c r="I476" s="30" t="n"/>
    </row>
    <row r="477">
      <c r="B477" s="26" t="n"/>
      <c r="C477" s="17" t="n"/>
      <c r="D477" s="17" t="n"/>
      <c r="E477" s="17" t="n"/>
      <c r="F477" s="27" t="n"/>
      <c r="G477" s="28">
        <f>IF(D477="","",IFERROR(N(INDEX(Setup!$F$14:$F$33,MATCH(D477,Setup!$E$14:$E$33,0))),0))</f>
        <v/>
      </c>
      <c r="H477" s="29">
        <f>IF(OR(F477="",G477=""),"",F477*G477)</f>
        <v/>
      </c>
      <c r="I477" s="30" t="n"/>
    </row>
    <row r="478">
      <c r="B478" s="26" t="n"/>
      <c r="C478" s="17" t="n"/>
      <c r="D478" s="17" t="n"/>
      <c r="E478" s="17" t="n"/>
      <c r="F478" s="27" t="n"/>
      <c r="G478" s="28">
        <f>IF(D478="","",IFERROR(N(INDEX(Setup!$F$14:$F$33,MATCH(D478,Setup!$E$14:$E$33,0))),0))</f>
        <v/>
      </c>
      <c r="H478" s="29">
        <f>IF(OR(F478="",G478=""),"",F478*G478)</f>
        <v/>
      </c>
      <c r="I478" s="30" t="n"/>
    </row>
    <row r="479">
      <c r="B479" s="26" t="n"/>
      <c r="C479" s="17" t="n"/>
      <c r="D479" s="17" t="n"/>
      <c r="E479" s="17" t="n"/>
      <c r="F479" s="27" t="n"/>
      <c r="G479" s="28">
        <f>IF(D479="","",IFERROR(N(INDEX(Setup!$F$14:$F$33,MATCH(D479,Setup!$E$14:$E$33,0))),0))</f>
        <v/>
      </c>
      <c r="H479" s="29">
        <f>IF(OR(F479="",G479=""),"",F479*G479)</f>
        <v/>
      </c>
      <c r="I479" s="30" t="n"/>
    </row>
    <row r="480">
      <c r="B480" s="26" t="n"/>
      <c r="C480" s="17" t="n"/>
      <c r="D480" s="17" t="n"/>
      <c r="E480" s="17" t="n"/>
      <c r="F480" s="27" t="n"/>
      <c r="G480" s="28">
        <f>IF(D480="","",IFERROR(N(INDEX(Setup!$F$14:$F$33,MATCH(D480,Setup!$E$14:$E$33,0))),0))</f>
        <v/>
      </c>
      <c r="H480" s="29">
        <f>IF(OR(F480="",G480=""),"",F480*G480)</f>
        <v/>
      </c>
      <c r="I480" s="30" t="n"/>
    </row>
    <row r="481">
      <c r="B481" s="26" t="n"/>
      <c r="C481" s="17" t="n"/>
      <c r="D481" s="17" t="n"/>
      <c r="E481" s="17" t="n"/>
      <c r="F481" s="27" t="n"/>
      <c r="G481" s="28">
        <f>IF(D481="","",IFERROR(N(INDEX(Setup!$F$14:$F$33,MATCH(D481,Setup!$E$14:$E$33,0))),0))</f>
        <v/>
      </c>
      <c r="H481" s="29">
        <f>IF(OR(F481="",G481=""),"",F481*G481)</f>
        <v/>
      </c>
      <c r="I481" s="30" t="n"/>
    </row>
    <row r="482">
      <c r="B482" s="26" t="n"/>
      <c r="C482" s="17" t="n"/>
      <c r="D482" s="17" t="n"/>
      <c r="E482" s="17" t="n"/>
      <c r="F482" s="27" t="n"/>
      <c r="G482" s="28">
        <f>IF(D482="","",IFERROR(N(INDEX(Setup!$F$14:$F$33,MATCH(D482,Setup!$E$14:$E$33,0))),0))</f>
        <v/>
      </c>
      <c r="H482" s="29">
        <f>IF(OR(F482="",G482=""),"",F482*G482)</f>
        <v/>
      </c>
      <c r="I482" s="30" t="n"/>
    </row>
    <row r="483">
      <c r="B483" s="26" t="n"/>
      <c r="C483" s="17" t="n"/>
      <c r="D483" s="17" t="n"/>
      <c r="E483" s="17" t="n"/>
      <c r="F483" s="27" t="n"/>
      <c r="G483" s="28">
        <f>IF(D483="","",IFERROR(N(INDEX(Setup!$F$14:$F$33,MATCH(D483,Setup!$E$14:$E$33,0))),0))</f>
        <v/>
      </c>
      <c r="H483" s="29">
        <f>IF(OR(F483="",G483=""),"",F483*G483)</f>
        <v/>
      </c>
      <c r="I483" s="30" t="n"/>
    </row>
    <row r="484">
      <c r="B484" s="26" t="n"/>
      <c r="C484" s="17" t="n"/>
      <c r="D484" s="17" t="n"/>
      <c r="E484" s="17" t="n"/>
      <c r="F484" s="27" t="n"/>
      <c r="G484" s="28">
        <f>IF(D484="","",IFERROR(N(INDEX(Setup!$F$14:$F$33,MATCH(D484,Setup!$E$14:$E$33,0))),0))</f>
        <v/>
      </c>
      <c r="H484" s="29">
        <f>IF(OR(F484="",G484=""),"",F484*G484)</f>
        <v/>
      </c>
      <c r="I484" s="30" t="n"/>
    </row>
    <row r="485">
      <c r="B485" s="26" t="n"/>
      <c r="C485" s="17" t="n"/>
      <c r="D485" s="17" t="n"/>
      <c r="E485" s="17" t="n"/>
      <c r="F485" s="27" t="n"/>
      <c r="G485" s="28">
        <f>IF(D485="","",IFERROR(N(INDEX(Setup!$F$14:$F$33,MATCH(D485,Setup!$E$14:$E$33,0))),0))</f>
        <v/>
      </c>
      <c r="H485" s="29">
        <f>IF(OR(F485="",G485=""),"",F485*G485)</f>
        <v/>
      </c>
      <c r="I485" s="30" t="n"/>
    </row>
    <row r="486">
      <c r="B486" s="26" t="n"/>
      <c r="C486" s="17" t="n"/>
      <c r="D486" s="17" t="n"/>
      <c r="E486" s="17" t="n"/>
      <c r="F486" s="27" t="n"/>
      <c r="G486" s="28">
        <f>IF(D486="","",IFERROR(N(INDEX(Setup!$F$14:$F$33,MATCH(D486,Setup!$E$14:$E$33,0))),0))</f>
        <v/>
      </c>
      <c r="H486" s="29">
        <f>IF(OR(F486="",G486=""),"",F486*G486)</f>
        <v/>
      </c>
      <c r="I486" s="30" t="n"/>
    </row>
    <row r="487">
      <c r="B487" s="26" t="n"/>
      <c r="C487" s="17" t="n"/>
      <c r="D487" s="17" t="n"/>
      <c r="E487" s="17" t="n"/>
      <c r="F487" s="27" t="n"/>
      <c r="G487" s="28">
        <f>IF(D487="","",IFERROR(N(INDEX(Setup!$F$14:$F$33,MATCH(D487,Setup!$E$14:$E$33,0))),0))</f>
        <v/>
      </c>
      <c r="H487" s="29">
        <f>IF(OR(F487="",G487=""),"",F487*G487)</f>
        <v/>
      </c>
      <c r="I487" s="30" t="n"/>
    </row>
    <row r="488">
      <c r="B488" s="26" t="n"/>
      <c r="C488" s="17" t="n"/>
      <c r="D488" s="17" t="n"/>
      <c r="E488" s="17" t="n"/>
      <c r="F488" s="27" t="n"/>
      <c r="G488" s="28">
        <f>IF(D488="","",IFERROR(N(INDEX(Setup!$F$14:$F$33,MATCH(D488,Setup!$E$14:$E$33,0))),0))</f>
        <v/>
      </c>
      <c r="H488" s="29">
        <f>IF(OR(F488="",G488=""),"",F488*G488)</f>
        <v/>
      </c>
      <c r="I488" s="30" t="n"/>
    </row>
    <row r="489">
      <c r="B489" s="26" t="n"/>
      <c r="C489" s="17" t="n"/>
      <c r="D489" s="17" t="n"/>
      <c r="E489" s="17" t="n"/>
      <c r="F489" s="27" t="n"/>
      <c r="G489" s="28">
        <f>IF(D489="","",IFERROR(N(INDEX(Setup!$F$14:$F$33,MATCH(D489,Setup!$E$14:$E$33,0))),0))</f>
        <v/>
      </c>
      <c r="H489" s="29">
        <f>IF(OR(F489="",G489=""),"",F489*G489)</f>
        <v/>
      </c>
      <c r="I489" s="30" t="n"/>
    </row>
    <row r="490">
      <c r="B490" s="26" t="n"/>
      <c r="C490" s="17" t="n"/>
      <c r="D490" s="17" t="n"/>
      <c r="E490" s="17" t="n"/>
      <c r="F490" s="27" t="n"/>
      <c r="G490" s="28">
        <f>IF(D490="","",IFERROR(N(INDEX(Setup!$F$14:$F$33,MATCH(D490,Setup!$E$14:$E$33,0))),0))</f>
        <v/>
      </c>
      <c r="H490" s="29">
        <f>IF(OR(F490="",G490=""),"",F490*G490)</f>
        <v/>
      </c>
      <c r="I490" s="30" t="n"/>
    </row>
    <row r="491">
      <c r="B491" s="26" t="n"/>
      <c r="C491" s="17" t="n"/>
      <c r="D491" s="17" t="n"/>
      <c r="E491" s="17" t="n"/>
      <c r="F491" s="27" t="n"/>
      <c r="G491" s="28">
        <f>IF(D491="","",IFERROR(N(INDEX(Setup!$F$14:$F$33,MATCH(D491,Setup!$E$14:$E$33,0))),0))</f>
        <v/>
      </c>
      <c r="H491" s="29">
        <f>IF(OR(F491="",G491=""),"",F491*G491)</f>
        <v/>
      </c>
      <c r="I491" s="30" t="n"/>
    </row>
    <row r="492">
      <c r="B492" s="26" t="n"/>
      <c r="C492" s="17" t="n"/>
      <c r="D492" s="17" t="n"/>
      <c r="E492" s="17" t="n"/>
      <c r="F492" s="27" t="n"/>
      <c r="G492" s="28">
        <f>IF(D492="","",IFERROR(N(INDEX(Setup!$F$14:$F$33,MATCH(D492,Setup!$E$14:$E$33,0))),0))</f>
        <v/>
      </c>
      <c r="H492" s="29">
        <f>IF(OR(F492="",G492=""),"",F492*G492)</f>
        <v/>
      </c>
      <c r="I492" s="30" t="n"/>
    </row>
    <row r="493">
      <c r="B493" s="26" t="n"/>
      <c r="C493" s="17" t="n"/>
      <c r="D493" s="17" t="n"/>
      <c r="E493" s="17" t="n"/>
      <c r="F493" s="27" t="n"/>
      <c r="G493" s="28">
        <f>IF(D493="","",IFERROR(N(INDEX(Setup!$F$14:$F$33,MATCH(D493,Setup!$E$14:$E$33,0))),0))</f>
        <v/>
      </c>
      <c r="H493" s="29">
        <f>IF(OR(F493="",G493=""),"",F493*G493)</f>
        <v/>
      </c>
      <c r="I493" s="30" t="n"/>
    </row>
    <row r="494">
      <c r="B494" s="26" t="n"/>
      <c r="C494" s="17" t="n"/>
      <c r="D494" s="17" t="n"/>
      <c r="E494" s="17" t="n"/>
      <c r="F494" s="27" t="n"/>
      <c r="G494" s="28">
        <f>IF(D494="","",IFERROR(N(INDEX(Setup!$F$14:$F$33,MATCH(D494,Setup!$E$14:$E$33,0))),0))</f>
        <v/>
      </c>
      <c r="H494" s="29">
        <f>IF(OR(F494="",G494=""),"",F494*G494)</f>
        <v/>
      </c>
      <c r="I494" s="30" t="n"/>
    </row>
    <row r="495">
      <c r="B495" s="26" t="n"/>
      <c r="C495" s="17" t="n"/>
      <c r="D495" s="17" t="n"/>
      <c r="E495" s="17" t="n"/>
      <c r="F495" s="27" t="n"/>
      <c r="G495" s="28">
        <f>IF(D495="","",IFERROR(N(INDEX(Setup!$F$14:$F$33,MATCH(D495,Setup!$E$14:$E$33,0))),0))</f>
        <v/>
      </c>
      <c r="H495" s="29">
        <f>IF(OR(F495="",G495=""),"",F495*G495)</f>
        <v/>
      </c>
      <c r="I495" s="30" t="n"/>
    </row>
    <row r="496">
      <c r="B496" s="26" t="n"/>
      <c r="C496" s="17" t="n"/>
      <c r="D496" s="17" t="n"/>
      <c r="E496" s="17" t="n"/>
      <c r="F496" s="27" t="n"/>
      <c r="G496" s="28">
        <f>IF(D496="","",IFERROR(N(INDEX(Setup!$F$14:$F$33,MATCH(D496,Setup!$E$14:$E$33,0))),0))</f>
        <v/>
      </c>
      <c r="H496" s="29">
        <f>IF(OR(F496="",G496=""),"",F496*G496)</f>
        <v/>
      </c>
      <c r="I496" s="30" t="n"/>
    </row>
    <row r="497">
      <c r="B497" s="26" t="n"/>
      <c r="C497" s="17" t="n"/>
      <c r="D497" s="17" t="n"/>
      <c r="E497" s="17" t="n"/>
      <c r="F497" s="27" t="n"/>
      <c r="G497" s="28">
        <f>IF(D497="","",IFERROR(N(INDEX(Setup!$F$14:$F$33,MATCH(D497,Setup!$E$14:$E$33,0))),0))</f>
        <v/>
      </c>
      <c r="H497" s="29">
        <f>IF(OR(F497="",G497=""),"",F497*G497)</f>
        <v/>
      </c>
      <c r="I497" s="30" t="n"/>
    </row>
    <row r="498">
      <c r="B498" s="26" t="n"/>
      <c r="C498" s="17" t="n"/>
      <c r="D498" s="17" t="n"/>
      <c r="E498" s="17" t="n"/>
      <c r="F498" s="27" t="n"/>
      <c r="G498" s="28">
        <f>IF(D498="","",IFERROR(N(INDEX(Setup!$F$14:$F$33,MATCH(D498,Setup!$E$14:$E$33,0))),0))</f>
        <v/>
      </c>
      <c r="H498" s="29">
        <f>IF(OR(F498="",G498=""),"",F498*G498)</f>
        <v/>
      </c>
      <c r="I498" s="30" t="n"/>
    </row>
    <row r="499">
      <c r="B499" s="26" t="n"/>
      <c r="C499" s="17" t="n"/>
      <c r="D499" s="17" t="n"/>
      <c r="E499" s="17" t="n"/>
      <c r="F499" s="27" t="n"/>
      <c r="G499" s="28">
        <f>IF(D499="","",IFERROR(N(INDEX(Setup!$F$14:$F$33,MATCH(D499,Setup!$E$14:$E$33,0))),0))</f>
        <v/>
      </c>
      <c r="H499" s="29">
        <f>IF(OR(F499="",G499=""),"",F499*G499)</f>
        <v/>
      </c>
      <c r="I499" s="30" t="n"/>
    </row>
    <row r="500">
      <c r="B500" s="26" t="n"/>
      <c r="C500" s="17" t="n"/>
      <c r="D500" s="17" t="n"/>
      <c r="E500" s="17" t="n"/>
      <c r="F500" s="27" t="n"/>
      <c r="G500" s="28">
        <f>IF(D500="","",IFERROR(N(INDEX(Setup!$F$14:$F$33,MATCH(D500,Setup!$E$14:$E$33,0))),0))</f>
        <v/>
      </c>
      <c r="H500" s="29">
        <f>IF(OR(F500="",G500=""),"",F500*G500)</f>
        <v/>
      </c>
      <c r="I500" s="30" t="n"/>
    </row>
    <row r="501">
      <c r="B501" s="26" t="n"/>
      <c r="C501" s="17" t="n"/>
      <c r="D501" s="17" t="n"/>
      <c r="E501" s="17" t="n"/>
      <c r="F501" s="27" t="n"/>
      <c r="G501" s="28">
        <f>IF(D501="","",IFERROR(N(INDEX(Setup!$F$14:$F$33,MATCH(D501,Setup!$E$14:$E$33,0))),0))</f>
        <v/>
      </c>
      <c r="H501" s="29">
        <f>IF(OR(F501="",G501=""),"",F501*G501)</f>
        <v/>
      </c>
      <c r="I501" s="30" t="n"/>
    </row>
    <row r="502">
      <c r="B502" s="26" t="n"/>
      <c r="C502" s="17" t="n"/>
      <c r="D502" s="17" t="n"/>
      <c r="E502" s="17" t="n"/>
      <c r="F502" s="27" t="n"/>
      <c r="G502" s="28">
        <f>IF(D502="","",IFERROR(N(INDEX(Setup!$F$14:$F$33,MATCH(D502,Setup!$E$14:$E$33,0))),0))</f>
        <v/>
      </c>
      <c r="H502" s="29">
        <f>IF(OR(F502="",G502=""),"",F502*G502)</f>
        <v/>
      </c>
      <c r="I502" s="30" t="n"/>
    </row>
    <row r="503">
      <c r="B503" s="26" t="n"/>
      <c r="C503" s="17" t="n"/>
      <c r="D503" s="17" t="n"/>
      <c r="E503" s="17" t="n"/>
      <c r="F503" s="27" t="n"/>
      <c r="G503" s="28">
        <f>IF(D503="","",IFERROR(N(INDEX(Setup!$F$14:$F$33,MATCH(D503,Setup!$E$14:$E$33,0))),0))</f>
        <v/>
      </c>
      <c r="H503" s="29">
        <f>IF(OR(F503="",G503=""),"",F503*G503)</f>
        <v/>
      </c>
      <c r="I503" s="30" t="n"/>
    </row>
    <row r="504">
      <c r="B504" s="26" t="n"/>
      <c r="C504" s="17" t="n"/>
      <c r="D504" s="17" t="n"/>
      <c r="E504" s="17" t="n"/>
      <c r="F504" s="27" t="n"/>
      <c r="G504" s="28">
        <f>IF(D504="","",IFERROR(N(INDEX(Setup!$F$14:$F$33,MATCH(D504,Setup!$E$14:$E$33,0))),0))</f>
        <v/>
      </c>
      <c r="H504" s="29">
        <f>IF(OR(F504="",G504=""),"",F504*G504)</f>
        <v/>
      </c>
      <c r="I504" s="30" t="n"/>
    </row>
    <row r="505">
      <c r="B505" s="26" t="n"/>
      <c r="C505" s="17" t="n"/>
      <c r="D505" s="17" t="n"/>
      <c r="E505" s="17" t="n"/>
      <c r="F505" s="27" t="n"/>
      <c r="G505" s="28">
        <f>IF(D505="","",IFERROR(N(INDEX(Setup!$F$14:$F$33,MATCH(D505,Setup!$E$14:$E$33,0))),0))</f>
        <v/>
      </c>
      <c r="H505" s="29">
        <f>IF(OR(F505="",G505=""),"",F505*G505)</f>
        <v/>
      </c>
      <c r="I505" s="30" t="n"/>
    </row>
    <row r="506">
      <c r="B506" s="26" t="n"/>
      <c r="C506" s="17" t="n"/>
      <c r="D506" s="17" t="n"/>
      <c r="E506" s="17" t="n"/>
      <c r="F506" s="27" t="n"/>
      <c r="G506" s="28">
        <f>IF(D506="","",IFERROR(N(INDEX(Setup!$F$14:$F$33,MATCH(D506,Setup!$E$14:$E$33,0))),0))</f>
        <v/>
      </c>
      <c r="H506" s="29">
        <f>IF(OR(F506="",G506=""),"",F506*G506)</f>
        <v/>
      </c>
      <c r="I506" s="30" t="n"/>
    </row>
  </sheetData>
  <conditionalFormatting sqref="I7:I506">
    <cfRule type="expression" priority="1" dxfId="0">
      <formula>AND($F7&lt;&gt;"",$I7&lt;&gt;"Yes")</formula>
    </cfRule>
  </conditionalFormatting>
  <dataValidations count="2">
    <dataValidation sqref="D7:D506" showDropDown="0" showInputMessage="1" showErrorMessage="0" allowBlank="1" promptTitle="Pick from list" prompt="Edit categories on the Setup tab." type="list">
      <formula1>=Setup!$E$14:$E$33</formula1>
    </dataValidation>
    <dataValidation sqref="I7:I506" showDropDown="0" showInputMessage="0" showErrorMessage="0" allowBlank="1" type="list">
      <formula1>"Yes,No"</formula1>
    </dataValidation>
  </dataValidations>
  <printOptions horizontalCentered="1"/>
  <pageMargins left="0.4" right="0.4" top="0.5" bottom="0.5" header="0.5" footer="0.5"/>
  <pageSetup orientation="landscape" fitToHeight="0" fitToWidth="1"/>
</worksheet>
</file>

<file path=xl/worksheets/sheet6.xml><?xml version="1.0" encoding="utf-8"?>
<worksheet xmlns="http://schemas.openxmlformats.org/spreadsheetml/2006/main">
  <sheetPr>
    <tabColor rgb="00DAE8E5"/>
    <outlinePr summaryBelow="1" summaryRight="1"/>
    <pageSetUpPr fitToPage="1"/>
  </sheetPr>
  <dimension ref="B2:J206"/>
  <sheetViews>
    <sheetView showGridLines="0" workbookViewId="0">
      <pane ySplit="6" topLeftCell="A7" activePane="bottomLeft" state="frozen"/>
      <selection pane="bottomLeft" activeCell="A1" sqref="A1"/>
    </sheetView>
  </sheetViews>
  <sheetFormatPr baseColWidth="8" defaultRowHeight="15"/>
  <cols>
    <col width="2" customWidth="1" min="1" max="1"/>
    <col width="12" customWidth="1" min="2" max="2"/>
    <col width="24" customWidth="1" min="3" max="3"/>
    <col width="14" customWidth="1" min="4" max="4"/>
    <col width="14" customWidth="1" min="5" max="5"/>
    <col width="13" customWidth="1" min="6" max="6"/>
    <col width="10" customWidth="1" min="7" max="7"/>
    <col width="14" customWidth="1" min="8" max="8"/>
    <col width="16" customWidth="1" min="9" max="9"/>
    <col width="30" customWidth="1" min="10" max="10"/>
  </cols>
  <sheetData>
    <row r="1" ht="10" customHeight="1"/>
    <row r="2" ht="32" customHeight="1">
      <c r="B2" s="9" t="inlineStr">
        <is>
          <t>Invoices</t>
        </is>
      </c>
    </row>
    <row r="3">
      <c r="B3" s="10" t="inlineStr">
        <is>
          <t>Track what you have billed and who still owes you.</t>
        </is>
      </c>
    </row>
    <row r="4" ht="8" customHeight="1">
      <c r="B4" s="11" t="n"/>
      <c r="C4" s="11" t="n"/>
      <c r="D4" s="11" t="n"/>
      <c r="E4" s="11" t="n"/>
      <c r="F4" s="11" t="n"/>
      <c r="G4" s="11" t="n"/>
      <c r="H4" s="11" t="n"/>
      <c r="I4" s="11" t="n"/>
      <c r="J4" s="11" t="n"/>
    </row>
    <row r="5">
      <c r="B5" s="15" t="inlineStr">
        <is>
          <t>Still unpaid:</t>
        </is>
      </c>
      <c r="D5" s="25">
        <f>SUMIFS(F7:F206,G7:G206,"&lt;&gt;Yes")</f>
        <v/>
      </c>
      <c r="F5" s="15" t="inlineStr">
        <is>
          <t>Overdue:</t>
        </is>
      </c>
      <c r="G5" s="31">
        <f>COUNTIF(I7:I206,"Overdue*")</f>
        <v/>
      </c>
    </row>
    <row r="6" ht="30" customHeight="1">
      <c r="B6" s="23" t="inlineStr">
        <is>
          <t>Invoice #</t>
        </is>
      </c>
      <c r="C6" s="23" t="inlineStr">
        <is>
          <t>Client</t>
        </is>
      </c>
      <c r="D6" s="23" t="inlineStr">
        <is>
          <t>Date sent</t>
        </is>
      </c>
      <c r="E6" s="23" t="inlineStr">
        <is>
          <t>Due date</t>
        </is>
      </c>
      <c r="F6" s="23" t="inlineStr">
        <is>
          <t>Amount</t>
        </is>
      </c>
      <c r="G6" s="23" t="inlineStr">
        <is>
          <t>Paid?</t>
        </is>
      </c>
      <c r="H6" s="23" t="inlineStr">
        <is>
          <t>Date paid</t>
        </is>
      </c>
      <c r="I6" s="23" t="inlineStr">
        <is>
          <t>Status</t>
        </is>
      </c>
      <c r="J6" s="23" t="inlineStr">
        <is>
          <t>Notes</t>
        </is>
      </c>
    </row>
    <row r="7">
      <c r="B7" s="17" t="n"/>
      <c r="C7" s="17" t="n"/>
      <c r="D7" s="26" t="n"/>
      <c r="E7" s="26" t="n"/>
      <c r="F7" s="27" t="n"/>
      <c r="G7" s="30" t="n"/>
      <c r="H7" s="26" t="n"/>
      <c r="I7" s="32">
        <f>IF(F7="","",IF(G7="Yes","Paid",IF(E7="","Unpaid",IF(TODAY()&gt;E7,"Overdue "&amp;(TODAY()-E7)&amp;" days","Due in "&amp;(E7-TODAY())&amp;" days"))))</f>
        <v/>
      </c>
      <c r="J7" s="17" t="n"/>
    </row>
    <row r="8">
      <c r="B8" s="17" t="n"/>
      <c r="C8" s="17" t="n"/>
      <c r="D8" s="26" t="n"/>
      <c r="E8" s="26" t="n"/>
      <c r="F8" s="27" t="n"/>
      <c r="G8" s="30" t="n"/>
      <c r="H8" s="26" t="n"/>
      <c r="I8" s="32">
        <f>IF(F8="","",IF(G8="Yes","Paid",IF(E8="","Unpaid",IF(TODAY()&gt;E8,"Overdue "&amp;(TODAY()-E8)&amp;" days","Due in "&amp;(E8-TODAY())&amp;" days"))))</f>
        <v/>
      </c>
      <c r="J8" s="17" t="n"/>
    </row>
    <row r="9">
      <c r="B9" s="17" t="n"/>
      <c r="C9" s="17" t="n"/>
      <c r="D9" s="26" t="n"/>
      <c r="E9" s="26" t="n"/>
      <c r="F9" s="27" t="n"/>
      <c r="G9" s="30" t="n"/>
      <c r="H9" s="26" t="n"/>
      <c r="I9" s="32">
        <f>IF(F9="","",IF(G9="Yes","Paid",IF(E9="","Unpaid",IF(TODAY()&gt;E9,"Overdue "&amp;(TODAY()-E9)&amp;" days","Due in "&amp;(E9-TODAY())&amp;" days"))))</f>
        <v/>
      </c>
      <c r="J9" s="17" t="n"/>
    </row>
    <row r="10">
      <c r="B10" s="17" t="n"/>
      <c r="C10" s="17" t="n"/>
      <c r="D10" s="26" t="n"/>
      <c r="E10" s="26" t="n"/>
      <c r="F10" s="27" t="n"/>
      <c r="G10" s="30" t="n"/>
      <c r="H10" s="26" t="n"/>
      <c r="I10" s="32">
        <f>IF(F10="","",IF(G10="Yes","Paid",IF(E10="","Unpaid",IF(TODAY()&gt;E10,"Overdue "&amp;(TODAY()-E10)&amp;" days","Due in "&amp;(E10-TODAY())&amp;" days"))))</f>
        <v/>
      </c>
      <c r="J10" s="17" t="n"/>
    </row>
    <row r="11">
      <c r="B11" s="17" t="n"/>
      <c r="C11" s="17" t="n"/>
      <c r="D11" s="26" t="n"/>
      <c r="E11" s="26" t="n"/>
      <c r="F11" s="27" t="n"/>
      <c r="G11" s="30" t="n"/>
      <c r="H11" s="26" t="n"/>
      <c r="I11" s="32">
        <f>IF(F11="","",IF(G11="Yes","Paid",IF(E11="","Unpaid",IF(TODAY()&gt;E11,"Overdue "&amp;(TODAY()-E11)&amp;" days","Due in "&amp;(E11-TODAY())&amp;" days"))))</f>
        <v/>
      </c>
      <c r="J11" s="17" t="n"/>
    </row>
    <row r="12">
      <c r="B12" s="17" t="n"/>
      <c r="C12" s="17" t="n"/>
      <c r="D12" s="26" t="n"/>
      <c r="E12" s="26" t="n"/>
      <c r="F12" s="27" t="n"/>
      <c r="G12" s="30" t="n"/>
      <c r="H12" s="26" t="n"/>
      <c r="I12" s="32">
        <f>IF(F12="","",IF(G12="Yes","Paid",IF(E12="","Unpaid",IF(TODAY()&gt;E12,"Overdue "&amp;(TODAY()-E12)&amp;" days","Due in "&amp;(E12-TODAY())&amp;" days"))))</f>
        <v/>
      </c>
      <c r="J12" s="17" t="n"/>
    </row>
    <row r="13">
      <c r="B13" s="17" t="n"/>
      <c r="C13" s="17" t="n"/>
      <c r="D13" s="26" t="n"/>
      <c r="E13" s="26" t="n"/>
      <c r="F13" s="27" t="n"/>
      <c r="G13" s="30" t="n"/>
      <c r="H13" s="26" t="n"/>
      <c r="I13" s="32">
        <f>IF(F13="","",IF(G13="Yes","Paid",IF(E13="","Unpaid",IF(TODAY()&gt;E13,"Overdue "&amp;(TODAY()-E13)&amp;" days","Due in "&amp;(E13-TODAY())&amp;" days"))))</f>
        <v/>
      </c>
      <c r="J13" s="17" t="n"/>
    </row>
    <row r="14">
      <c r="B14" s="17" t="n"/>
      <c r="C14" s="17" t="n"/>
      <c r="D14" s="26" t="n"/>
      <c r="E14" s="26" t="n"/>
      <c r="F14" s="27" t="n"/>
      <c r="G14" s="30" t="n"/>
      <c r="H14" s="26" t="n"/>
      <c r="I14" s="32">
        <f>IF(F14="","",IF(G14="Yes","Paid",IF(E14="","Unpaid",IF(TODAY()&gt;E14,"Overdue "&amp;(TODAY()-E14)&amp;" days","Due in "&amp;(E14-TODAY())&amp;" days"))))</f>
        <v/>
      </c>
      <c r="J14" s="17" t="n"/>
    </row>
    <row r="15">
      <c r="B15" s="17" t="n"/>
      <c r="C15" s="17" t="n"/>
      <c r="D15" s="26" t="n"/>
      <c r="E15" s="26" t="n"/>
      <c r="F15" s="27" t="n"/>
      <c r="G15" s="30" t="n"/>
      <c r="H15" s="26" t="n"/>
      <c r="I15" s="32">
        <f>IF(F15="","",IF(G15="Yes","Paid",IF(E15="","Unpaid",IF(TODAY()&gt;E15,"Overdue "&amp;(TODAY()-E15)&amp;" days","Due in "&amp;(E15-TODAY())&amp;" days"))))</f>
        <v/>
      </c>
      <c r="J15" s="17" t="n"/>
    </row>
    <row r="16">
      <c r="B16" s="17" t="n"/>
      <c r="C16" s="17" t="n"/>
      <c r="D16" s="26" t="n"/>
      <c r="E16" s="26" t="n"/>
      <c r="F16" s="27" t="n"/>
      <c r="G16" s="30" t="n"/>
      <c r="H16" s="26" t="n"/>
      <c r="I16" s="32">
        <f>IF(F16="","",IF(G16="Yes","Paid",IF(E16="","Unpaid",IF(TODAY()&gt;E16,"Overdue "&amp;(TODAY()-E16)&amp;" days","Due in "&amp;(E16-TODAY())&amp;" days"))))</f>
        <v/>
      </c>
      <c r="J16" s="17" t="n"/>
    </row>
    <row r="17">
      <c r="B17" s="17" t="n"/>
      <c r="C17" s="17" t="n"/>
      <c r="D17" s="26" t="n"/>
      <c r="E17" s="26" t="n"/>
      <c r="F17" s="27" t="n"/>
      <c r="G17" s="30" t="n"/>
      <c r="H17" s="26" t="n"/>
      <c r="I17" s="32">
        <f>IF(F17="","",IF(G17="Yes","Paid",IF(E17="","Unpaid",IF(TODAY()&gt;E17,"Overdue "&amp;(TODAY()-E17)&amp;" days","Due in "&amp;(E17-TODAY())&amp;" days"))))</f>
        <v/>
      </c>
      <c r="J17" s="17" t="n"/>
    </row>
    <row r="18">
      <c r="B18" s="17" t="n"/>
      <c r="C18" s="17" t="n"/>
      <c r="D18" s="26" t="n"/>
      <c r="E18" s="26" t="n"/>
      <c r="F18" s="27" t="n"/>
      <c r="G18" s="30" t="n"/>
      <c r="H18" s="26" t="n"/>
      <c r="I18" s="32">
        <f>IF(F18="","",IF(G18="Yes","Paid",IF(E18="","Unpaid",IF(TODAY()&gt;E18,"Overdue "&amp;(TODAY()-E18)&amp;" days","Due in "&amp;(E18-TODAY())&amp;" days"))))</f>
        <v/>
      </c>
      <c r="J18" s="17" t="n"/>
    </row>
    <row r="19">
      <c r="B19" s="17" t="n"/>
      <c r="C19" s="17" t="n"/>
      <c r="D19" s="26" t="n"/>
      <c r="E19" s="26" t="n"/>
      <c r="F19" s="27" t="n"/>
      <c r="G19" s="30" t="n"/>
      <c r="H19" s="26" t="n"/>
      <c r="I19" s="32">
        <f>IF(F19="","",IF(G19="Yes","Paid",IF(E19="","Unpaid",IF(TODAY()&gt;E19,"Overdue "&amp;(TODAY()-E19)&amp;" days","Due in "&amp;(E19-TODAY())&amp;" days"))))</f>
        <v/>
      </c>
      <c r="J19" s="17" t="n"/>
    </row>
    <row r="20">
      <c r="B20" s="17" t="n"/>
      <c r="C20" s="17" t="n"/>
      <c r="D20" s="26" t="n"/>
      <c r="E20" s="26" t="n"/>
      <c r="F20" s="27" t="n"/>
      <c r="G20" s="30" t="n"/>
      <c r="H20" s="26" t="n"/>
      <c r="I20" s="32">
        <f>IF(F20="","",IF(G20="Yes","Paid",IF(E20="","Unpaid",IF(TODAY()&gt;E20,"Overdue "&amp;(TODAY()-E20)&amp;" days","Due in "&amp;(E20-TODAY())&amp;" days"))))</f>
        <v/>
      </c>
      <c r="J20" s="17" t="n"/>
    </row>
    <row r="21">
      <c r="B21" s="17" t="n"/>
      <c r="C21" s="17" t="n"/>
      <c r="D21" s="26" t="n"/>
      <c r="E21" s="26" t="n"/>
      <c r="F21" s="27" t="n"/>
      <c r="G21" s="30" t="n"/>
      <c r="H21" s="26" t="n"/>
      <c r="I21" s="32">
        <f>IF(F21="","",IF(G21="Yes","Paid",IF(E21="","Unpaid",IF(TODAY()&gt;E21,"Overdue "&amp;(TODAY()-E21)&amp;" days","Due in "&amp;(E21-TODAY())&amp;" days"))))</f>
        <v/>
      </c>
      <c r="J21" s="17" t="n"/>
    </row>
    <row r="22">
      <c r="B22" s="17" t="n"/>
      <c r="C22" s="17" t="n"/>
      <c r="D22" s="26" t="n"/>
      <c r="E22" s="26" t="n"/>
      <c r="F22" s="27" t="n"/>
      <c r="G22" s="30" t="n"/>
      <c r="H22" s="26" t="n"/>
      <c r="I22" s="32">
        <f>IF(F22="","",IF(G22="Yes","Paid",IF(E22="","Unpaid",IF(TODAY()&gt;E22,"Overdue "&amp;(TODAY()-E22)&amp;" days","Due in "&amp;(E22-TODAY())&amp;" days"))))</f>
        <v/>
      </c>
      <c r="J22" s="17" t="n"/>
    </row>
    <row r="23">
      <c r="B23" s="17" t="n"/>
      <c r="C23" s="17" t="n"/>
      <c r="D23" s="26" t="n"/>
      <c r="E23" s="26" t="n"/>
      <c r="F23" s="27" t="n"/>
      <c r="G23" s="30" t="n"/>
      <c r="H23" s="26" t="n"/>
      <c r="I23" s="32">
        <f>IF(F23="","",IF(G23="Yes","Paid",IF(E23="","Unpaid",IF(TODAY()&gt;E23,"Overdue "&amp;(TODAY()-E23)&amp;" days","Due in "&amp;(E23-TODAY())&amp;" days"))))</f>
        <v/>
      </c>
      <c r="J23" s="17" t="n"/>
    </row>
    <row r="24">
      <c r="B24" s="17" t="n"/>
      <c r="C24" s="17" t="n"/>
      <c r="D24" s="26" t="n"/>
      <c r="E24" s="26" t="n"/>
      <c r="F24" s="27" t="n"/>
      <c r="G24" s="30" t="n"/>
      <c r="H24" s="26" t="n"/>
      <c r="I24" s="32">
        <f>IF(F24="","",IF(G24="Yes","Paid",IF(E24="","Unpaid",IF(TODAY()&gt;E24,"Overdue "&amp;(TODAY()-E24)&amp;" days","Due in "&amp;(E24-TODAY())&amp;" days"))))</f>
        <v/>
      </c>
      <c r="J24" s="17" t="n"/>
    </row>
    <row r="25">
      <c r="B25" s="17" t="n"/>
      <c r="C25" s="17" t="n"/>
      <c r="D25" s="26" t="n"/>
      <c r="E25" s="26" t="n"/>
      <c r="F25" s="27" t="n"/>
      <c r="G25" s="30" t="n"/>
      <c r="H25" s="26" t="n"/>
      <c r="I25" s="32">
        <f>IF(F25="","",IF(G25="Yes","Paid",IF(E25="","Unpaid",IF(TODAY()&gt;E25,"Overdue "&amp;(TODAY()-E25)&amp;" days","Due in "&amp;(E25-TODAY())&amp;" days"))))</f>
        <v/>
      </c>
      <c r="J25" s="17" t="n"/>
    </row>
    <row r="26">
      <c r="B26" s="17" t="n"/>
      <c r="C26" s="17" t="n"/>
      <c r="D26" s="26" t="n"/>
      <c r="E26" s="26" t="n"/>
      <c r="F26" s="27" t="n"/>
      <c r="G26" s="30" t="n"/>
      <c r="H26" s="26" t="n"/>
      <c r="I26" s="32">
        <f>IF(F26="","",IF(G26="Yes","Paid",IF(E26="","Unpaid",IF(TODAY()&gt;E26,"Overdue "&amp;(TODAY()-E26)&amp;" days","Due in "&amp;(E26-TODAY())&amp;" days"))))</f>
        <v/>
      </c>
      <c r="J26" s="17" t="n"/>
    </row>
    <row r="27">
      <c r="B27" s="17" t="n"/>
      <c r="C27" s="17" t="n"/>
      <c r="D27" s="26" t="n"/>
      <c r="E27" s="26" t="n"/>
      <c r="F27" s="27" t="n"/>
      <c r="G27" s="30" t="n"/>
      <c r="H27" s="26" t="n"/>
      <c r="I27" s="32">
        <f>IF(F27="","",IF(G27="Yes","Paid",IF(E27="","Unpaid",IF(TODAY()&gt;E27,"Overdue "&amp;(TODAY()-E27)&amp;" days","Due in "&amp;(E27-TODAY())&amp;" days"))))</f>
        <v/>
      </c>
      <c r="J27" s="17" t="n"/>
    </row>
    <row r="28">
      <c r="B28" s="17" t="n"/>
      <c r="C28" s="17" t="n"/>
      <c r="D28" s="26" t="n"/>
      <c r="E28" s="26" t="n"/>
      <c r="F28" s="27" t="n"/>
      <c r="G28" s="30" t="n"/>
      <c r="H28" s="26" t="n"/>
      <c r="I28" s="32">
        <f>IF(F28="","",IF(G28="Yes","Paid",IF(E28="","Unpaid",IF(TODAY()&gt;E28,"Overdue "&amp;(TODAY()-E28)&amp;" days","Due in "&amp;(E28-TODAY())&amp;" days"))))</f>
        <v/>
      </c>
      <c r="J28" s="17" t="n"/>
    </row>
    <row r="29">
      <c r="B29" s="17" t="n"/>
      <c r="C29" s="17" t="n"/>
      <c r="D29" s="26" t="n"/>
      <c r="E29" s="26" t="n"/>
      <c r="F29" s="27" t="n"/>
      <c r="G29" s="30" t="n"/>
      <c r="H29" s="26" t="n"/>
      <c r="I29" s="32">
        <f>IF(F29="","",IF(G29="Yes","Paid",IF(E29="","Unpaid",IF(TODAY()&gt;E29,"Overdue "&amp;(TODAY()-E29)&amp;" days","Due in "&amp;(E29-TODAY())&amp;" days"))))</f>
        <v/>
      </c>
      <c r="J29" s="17" t="n"/>
    </row>
    <row r="30">
      <c r="B30" s="17" t="n"/>
      <c r="C30" s="17" t="n"/>
      <c r="D30" s="26" t="n"/>
      <c r="E30" s="26" t="n"/>
      <c r="F30" s="27" t="n"/>
      <c r="G30" s="30" t="n"/>
      <c r="H30" s="26" t="n"/>
      <c r="I30" s="32">
        <f>IF(F30="","",IF(G30="Yes","Paid",IF(E30="","Unpaid",IF(TODAY()&gt;E30,"Overdue "&amp;(TODAY()-E30)&amp;" days","Due in "&amp;(E30-TODAY())&amp;" days"))))</f>
        <v/>
      </c>
      <c r="J30" s="17" t="n"/>
    </row>
    <row r="31">
      <c r="B31" s="17" t="n"/>
      <c r="C31" s="17" t="n"/>
      <c r="D31" s="26" t="n"/>
      <c r="E31" s="26" t="n"/>
      <c r="F31" s="27" t="n"/>
      <c r="G31" s="30" t="n"/>
      <c r="H31" s="26" t="n"/>
      <c r="I31" s="32">
        <f>IF(F31="","",IF(G31="Yes","Paid",IF(E31="","Unpaid",IF(TODAY()&gt;E31,"Overdue "&amp;(TODAY()-E31)&amp;" days","Due in "&amp;(E31-TODAY())&amp;" days"))))</f>
        <v/>
      </c>
      <c r="J31" s="17" t="n"/>
    </row>
    <row r="32">
      <c r="B32" s="17" t="n"/>
      <c r="C32" s="17" t="n"/>
      <c r="D32" s="26" t="n"/>
      <c r="E32" s="26" t="n"/>
      <c r="F32" s="27" t="n"/>
      <c r="G32" s="30" t="n"/>
      <c r="H32" s="26" t="n"/>
      <c r="I32" s="32">
        <f>IF(F32="","",IF(G32="Yes","Paid",IF(E32="","Unpaid",IF(TODAY()&gt;E32,"Overdue "&amp;(TODAY()-E32)&amp;" days","Due in "&amp;(E32-TODAY())&amp;" days"))))</f>
        <v/>
      </c>
      <c r="J32" s="17" t="n"/>
    </row>
    <row r="33">
      <c r="B33" s="17" t="n"/>
      <c r="C33" s="17" t="n"/>
      <c r="D33" s="26" t="n"/>
      <c r="E33" s="26" t="n"/>
      <c r="F33" s="27" t="n"/>
      <c r="G33" s="30" t="n"/>
      <c r="H33" s="26" t="n"/>
      <c r="I33" s="32">
        <f>IF(F33="","",IF(G33="Yes","Paid",IF(E33="","Unpaid",IF(TODAY()&gt;E33,"Overdue "&amp;(TODAY()-E33)&amp;" days","Due in "&amp;(E33-TODAY())&amp;" days"))))</f>
        <v/>
      </c>
      <c r="J33" s="17" t="n"/>
    </row>
    <row r="34">
      <c r="B34" s="17" t="n"/>
      <c r="C34" s="17" t="n"/>
      <c r="D34" s="26" t="n"/>
      <c r="E34" s="26" t="n"/>
      <c r="F34" s="27" t="n"/>
      <c r="G34" s="30" t="n"/>
      <c r="H34" s="26" t="n"/>
      <c r="I34" s="32">
        <f>IF(F34="","",IF(G34="Yes","Paid",IF(E34="","Unpaid",IF(TODAY()&gt;E34,"Overdue "&amp;(TODAY()-E34)&amp;" days","Due in "&amp;(E34-TODAY())&amp;" days"))))</f>
        <v/>
      </c>
      <c r="J34" s="17" t="n"/>
    </row>
    <row r="35">
      <c r="B35" s="17" t="n"/>
      <c r="C35" s="17" t="n"/>
      <c r="D35" s="26" t="n"/>
      <c r="E35" s="26" t="n"/>
      <c r="F35" s="27" t="n"/>
      <c r="G35" s="30" t="n"/>
      <c r="H35" s="26" t="n"/>
      <c r="I35" s="32">
        <f>IF(F35="","",IF(G35="Yes","Paid",IF(E35="","Unpaid",IF(TODAY()&gt;E35,"Overdue "&amp;(TODAY()-E35)&amp;" days","Due in "&amp;(E35-TODAY())&amp;" days"))))</f>
        <v/>
      </c>
      <c r="J35" s="17" t="n"/>
    </row>
    <row r="36">
      <c r="B36" s="17" t="n"/>
      <c r="C36" s="17" t="n"/>
      <c r="D36" s="26" t="n"/>
      <c r="E36" s="26" t="n"/>
      <c r="F36" s="27" t="n"/>
      <c r="G36" s="30" t="n"/>
      <c r="H36" s="26" t="n"/>
      <c r="I36" s="32">
        <f>IF(F36="","",IF(G36="Yes","Paid",IF(E36="","Unpaid",IF(TODAY()&gt;E36,"Overdue "&amp;(TODAY()-E36)&amp;" days","Due in "&amp;(E36-TODAY())&amp;" days"))))</f>
        <v/>
      </c>
      <c r="J36" s="17" t="n"/>
    </row>
    <row r="37">
      <c r="B37" s="17" t="n"/>
      <c r="C37" s="17" t="n"/>
      <c r="D37" s="26" t="n"/>
      <c r="E37" s="26" t="n"/>
      <c r="F37" s="27" t="n"/>
      <c r="G37" s="30" t="n"/>
      <c r="H37" s="26" t="n"/>
      <c r="I37" s="32">
        <f>IF(F37="","",IF(G37="Yes","Paid",IF(E37="","Unpaid",IF(TODAY()&gt;E37,"Overdue "&amp;(TODAY()-E37)&amp;" days","Due in "&amp;(E37-TODAY())&amp;" days"))))</f>
        <v/>
      </c>
      <c r="J37" s="17" t="n"/>
    </row>
    <row r="38">
      <c r="B38" s="17" t="n"/>
      <c r="C38" s="17" t="n"/>
      <c r="D38" s="26" t="n"/>
      <c r="E38" s="26" t="n"/>
      <c r="F38" s="27" t="n"/>
      <c r="G38" s="30" t="n"/>
      <c r="H38" s="26" t="n"/>
      <c r="I38" s="32">
        <f>IF(F38="","",IF(G38="Yes","Paid",IF(E38="","Unpaid",IF(TODAY()&gt;E38,"Overdue "&amp;(TODAY()-E38)&amp;" days","Due in "&amp;(E38-TODAY())&amp;" days"))))</f>
        <v/>
      </c>
      <c r="J38" s="17" t="n"/>
    </row>
    <row r="39">
      <c r="B39" s="17" t="n"/>
      <c r="C39" s="17" t="n"/>
      <c r="D39" s="26" t="n"/>
      <c r="E39" s="26" t="n"/>
      <c r="F39" s="27" t="n"/>
      <c r="G39" s="30" t="n"/>
      <c r="H39" s="26" t="n"/>
      <c r="I39" s="32">
        <f>IF(F39="","",IF(G39="Yes","Paid",IF(E39="","Unpaid",IF(TODAY()&gt;E39,"Overdue "&amp;(TODAY()-E39)&amp;" days","Due in "&amp;(E39-TODAY())&amp;" days"))))</f>
        <v/>
      </c>
      <c r="J39" s="17" t="n"/>
    </row>
    <row r="40">
      <c r="B40" s="17" t="n"/>
      <c r="C40" s="17" t="n"/>
      <c r="D40" s="26" t="n"/>
      <c r="E40" s="26" t="n"/>
      <c r="F40" s="27" t="n"/>
      <c r="G40" s="30" t="n"/>
      <c r="H40" s="26" t="n"/>
      <c r="I40" s="32">
        <f>IF(F40="","",IF(G40="Yes","Paid",IF(E40="","Unpaid",IF(TODAY()&gt;E40,"Overdue "&amp;(TODAY()-E40)&amp;" days","Due in "&amp;(E40-TODAY())&amp;" days"))))</f>
        <v/>
      </c>
      <c r="J40" s="17" t="n"/>
    </row>
    <row r="41">
      <c r="B41" s="17" t="n"/>
      <c r="C41" s="17" t="n"/>
      <c r="D41" s="26" t="n"/>
      <c r="E41" s="26" t="n"/>
      <c r="F41" s="27" t="n"/>
      <c r="G41" s="30" t="n"/>
      <c r="H41" s="26" t="n"/>
      <c r="I41" s="32">
        <f>IF(F41="","",IF(G41="Yes","Paid",IF(E41="","Unpaid",IF(TODAY()&gt;E41,"Overdue "&amp;(TODAY()-E41)&amp;" days","Due in "&amp;(E41-TODAY())&amp;" days"))))</f>
        <v/>
      </c>
      <c r="J41" s="17" t="n"/>
    </row>
    <row r="42">
      <c r="B42" s="17" t="n"/>
      <c r="C42" s="17" t="n"/>
      <c r="D42" s="26" t="n"/>
      <c r="E42" s="26" t="n"/>
      <c r="F42" s="27" t="n"/>
      <c r="G42" s="30" t="n"/>
      <c r="H42" s="26" t="n"/>
      <c r="I42" s="32">
        <f>IF(F42="","",IF(G42="Yes","Paid",IF(E42="","Unpaid",IF(TODAY()&gt;E42,"Overdue "&amp;(TODAY()-E42)&amp;" days","Due in "&amp;(E42-TODAY())&amp;" days"))))</f>
        <v/>
      </c>
      <c r="J42" s="17" t="n"/>
    </row>
    <row r="43">
      <c r="B43" s="17" t="n"/>
      <c r="C43" s="17" t="n"/>
      <c r="D43" s="26" t="n"/>
      <c r="E43" s="26" t="n"/>
      <c r="F43" s="27" t="n"/>
      <c r="G43" s="30" t="n"/>
      <c r="H43" s="26" t="n"/>
      <c r="I43" s="32">
        <f>IF(F43="","",IF(G43="Yes","Paid",IF(E43="","Unpaid",IF(TODAY()&gt;E43,"Overdue "&amp;(TODAY()-E43)&amp;" days","Due in "&amp;(E43-TODAY())&amp;" days"))))</f>
        <v/>
      </c>
      <c r="J43" s="17" t="n"/>
    </row>
    <row r="44">
      <c r="B44" s="17" t="n"/>
      <c r="C44" s="17" t="n"/>
      <c r="D44" s="26" t="n"/>
      <c r="E44" s="26" t="n"/>
      <c r="F44" s="27" t="n"/>
      <c r="G44" s="30" t="n"/>
      <c r="H44" s="26" t="n"/>
      <c r="I44" s="32">
        <f>IF(F44="","",IF(G44="Yes","Paid",IF(E44="","Unpaid",IF(TODAY()&gt;E44,"Overdue "&amp;(TODAY()-E44)&amp;" days","Due in "&amp;(E44-TODAY())&amp;" days"))))</f>
        <v/>
      </c>
      <c r="J44" s="17" t="n"/>
    </row>
    <row r="45">
      <c r="B45" s="17" t="n"/>
      <c r="C45" s="17" t="n"/>
      <c r="D45" s="26" t="n"/>
      <c r="E45" s="26" t="n"/>
      <c r="F45" s="27" t="n"/>
      <c r="G45" s="30" t="n"/>
      <c r="H45" s="26" t="n"/>
      <c r="I45" s="32">
        <f>IF(F45="","",IF(G45="Yes","Paid",IF(E45="","Unpaid",IF(TODAY()&gt;E45,"Overdue "&amp;(TODAY()-E45)&amp;" days","Due in "&amp;(E45-TODAY())&amp;" days"))))</f>
        <v/>
      </c>
      <c r="J45" s="17" t="n"/>
    </row>
    <row r="46">
      <c r="B46" s="17" t="n"/>
      <c r="C46" s="17" t="n"/>
      <c r="D46" s="26" t="n"/>
      <c r="E46" s="26" t="n"/>
      <c r="F46" s="27" t="n"/>
      <c r="G46" s="30" t="n"/>
      <c r="H46" s="26" t="n"/>
      <c r="I46" s="32">
        <f>IF(F46="","",IF(G46="Yes","Paid",IF(E46="","Unpaid",IF(TODAY()&gt;E46,"Overdue "&amp;(TODAY()-E46)&amp;" days","Due in "&amp;(E46-TODAY())&amp;" days"))))</f>
        <v/>
      </c>
      <c r="J46" s="17" t="n"/>
    </row>
    <row r="47">
      <c r="B47" s="17" t="n"/>
      <c r="C47" s="17" t="n"/>
      <c r="D47" s="26" t="n"/>
      <c r="E47" s="26" t="n"/>
      <c r="F47" s="27" t="n"/>
      <c r="G47" s="30" t="n"/>
      <c r="H47" s="26" t="n"/>
      <c r="I47" s="32">
        <f>IF(F47="","",IF(G47="Yes","Paid",IF(E47="","Unpaid",IF(TODAY()&gt;E47,"Overdue "&amp;(TODAY()-E47)&amp;" days","Due in "&amp;(E47-TODAY())&amp;" days"))))</f>
        <v/>
      </c>
      <c r="J47" s="17" t="n"/>
    </row>
    <row r="48">
      <c r="B48" s="17" t="n"/>
      <c r="C48" s="17" t="n"/>
      <c r="D48" s="26" t="n"/>
      <c r="E48" s="26" t="n"/>
      <c r="F48" s="27" t="n"/>
      <c r="G48" s="30" t="n"/>
      <c r="H48" s="26" t="n"/>
      <c r="I48" s="32">
        <f>IF(F48="","",IF(G48="Yes","Paid",IF(E48="","Unpaid",IF(TODAY()&gt;E48,"Overdue "&amp;(TODAY()-E48)&amp;" days","Due in "&amp;(E48-TODAY())&amp;" days"))))</f>
        <v/>
      </c>
      <c r="J48" s="17" t="n"/>
    </row>
    <row r="49">
      <c r="B49" s="17" t="n"/>
      <c r="C49" s="17" t="n"/>
      <c r="D49" s="26" t="n"/>
      <c r="E49" s="26" t="n"/>
      <c r="F49" s="27" t="n"/>
      <c r="G49" s="30" t="n"/>
      <c r="H49" s="26" t="n"/>
      <c r="I49" s="32">
        <f>IF(F49="","",IF(G49="Yes","Paid",IF(E49="","Unpaid",IF(TODAY()&gt;E49,"Overdue "&amp;(TODAY()-E49)&amp;" days","Due in "&amp;(E49-TODAY())&amp;" days"))))</f>
        <v/>
      </c>
      <c r="J49" s="17" t="n"/>
    </row>
    <row r="50">
      <c r="B50" s="17" t="n"/>
      <c r="C50" s="17" t="n"/>
      <c r="D50" s="26" t="n"/>
      <c r="E50" s="26" t="n"/>
      <c r="F50" s="27" t="n"/>
      <c r="G50" s="30" t="n"/>
      <c r="H50" s="26" t="n"/>
      <c r="I50" s="32">
        <f>IF(F50="","",IF(G50="Yes","Paid",IF(E50="","Unpaid",IF(TODAY()&gt;E50,"Overdue "&amp;(TODAY()-E50)&amp;" days","Due in "&amp;(E50-TODAY())&amp;" days"))))</f>
        <v/>
      </c>
      <c r="J50" s="17" t="n"/>
    </row>
    <row r="51">
      <c r="B51" s="17" t="n"/>
      <c r="C51" s="17" t="n"/>
      <c r="D51" s="26" t="n"/>
      <c r="E51" s="26" t="n"/>
      <c r="F51" s="27" t="n"/>
      <c r="G51" s="30" t="n"/>
      <c r="H51" s="26" t="n"/>
      <c r="I51" s="32">
        <f>IF(F51="","",IF(G51="Yes","Paid",IF(E51="","Unpaid",IF(TODAY()&gt;E51,"Overdue "&amp;(TODAY()-E51)&amp;" days","Due in "&amp;(E51-TODAY())&amp;" days"))))</f>
        <v/>
      </c>
      <c r="J51" s="17" t="n"/>
    </row>
    <row r="52">
      <c r="B52" s="17" t="n"/>
      <c r="C52" s="17" t="n"/>
      <c r="D52" s="26" t="n"/>
      <c r="E52" s="26" t="n"/>
      <c r="F52" s="27" t="n"/>
      <c r="G52" s="30" t="n"/>
      <c r="H52" s="26" t="n"/>
      <c r="I52" s="32">
        <f>IF(F52="","",IF(G52="Yes","Paid",IF(E52="","Unpaid",IF(TODAY()&gt;E52,"Overdue "&amp;(TODAY()-E52)&amp;" days","Due in "&amp;(E52-TODAY())&amp;" days"))))</f>
        <v/>
      </c>
      <c r="J52" s="17" t="n"/>
    </row>
    <row r="53">
      <c r="B53" s="17" t="n"/>
      <c r="C53" s="17" t="n"/>
      <c r="D53" s="26" t="n"/>
      <c r="E53" s="26" t="n"/>
      <c r="F53" s="27" t="n"/>
      <c r="G53" s="30" t="n"/>
      <c r="H53" s="26" t="n"/>
      <c r="I53" s="32">
        <f>IF(F53="","",IF(G53="Yes","Paid",IF(E53="","Unpaid",IF(TODAY()&gt;E53,"Overdue "&amp;(TODAY()-E53)&amp;" days","Due in "&amp;(E53-TODAY())&amp;" days"))))</f>
        <v/>
      </c>
      <c r="J53" s="17" t="n"/>
    </row>
    <row r="54">
      <c r="B54" s="17" t="n"/>
      <c r="C54" s="17" t="n"/>
      <c r="D54" s="26" t="n"/>
      <c r="E54" s="26" t="n"/>
      <c r="F54" s="27" t="n"/>
      <c r="G54" s="30" t="n"/>
      <c r="H54" s="26" t="n"/>
      <c r="I54" s="32">
        <f>IF(F54="","",IF(G54="Yes","Paid",IF(E54="","Unpaid",IF(TODAY()&gt;E54,"Overdue "&amp;(TODAY()-E54)&amp;" days","Due in "&amp;(E54-TODAY())&amp;" days"))))</f>
        <v/>
      </c>
      <c r="J54" s="17" t="n"/>
    </row>
    <row r="55">
      <c r="B55" s="17" t="n"/>
      <c r="C55" s="17" t="n"/>
      <c r="D55" s="26" t="n"/>
      <c r="E55" s="26" t="n"/>
      <c r="F55" s="27" t="n"/>
      <c r="G55" s="30" t="n"/>
      <c r="H55" s="26" t="n"/>
      <c r="I55" s="32">
        <f>IF(F55="","",IF(G55="Yes","Paid",IF(E55="","Unpaid",IF(TODAY()&gt;E55,"Overdue "&amp;(TODAY()-E55)&amp;" days","Due in "&amp;(E55-TODAY())&amp;" days"))))</f>
        <v/>
      </c>
      <c r="J55" s="17" t="n"/>
    </row>
    <row r="56">
      <c r="B56" s="17" t="n"/>
      <c r="C56" s="17" t="n"/>
      <c r="D56" s="26" t="n"/>
      <c r="E56" s="26" t="n"/>
      <c r="F56" s="27" t="n"/>
      <c r="G56" s="30" t="n"/>
      <c r="H56" s="26" t="n"/>
      <c r="I56" s="32">
        <f>IF(F56="","",IF(G56="Yes","Paid",IF(E56="","Unpaid",IF(TODAY()&gt;E56,"Overdue "&amp;(TODAY()-E56)&amp;" days","Due in "&amp;(E56-TODAY())&amp;" days"))))</f>
        <v/>
      </c>
      <c r="J56" s="17" t="n"/>
    </row>
    <row r="57">
      <c r="B57" s="17" t="n"/>
      <c r="C57" s="17" t="n"/>
      <c r="D57" s="26" t="n"/>
      <c r="E57" s="26" t="n"/>
      <c r="F57" s="27" t="n"/>
      <c r="G57" s="30" t="n"/>
      <c r="H57" s="26" t="n"/>
      <c r="I57" s="32">
        <f>IF(F57="","",IF(G57="Yes","Paid",IF(E57="","Unpaid",IF(TODAY()&gt;E57,"Overdue "&amp;(TODAY()-E57)&amp;" days","Due in "&amp;(E57-TODAY())&amp;" days"))))</f>
        <v/>
      </c>
      <c r="J57" s="17" t="n"/>
    </row>
    <row r="58">
      <c r="B58" s="17" t="n"/>
      <c r="C58" s="17" t="n"/>
      <c r="D58" s="26" t="n"/>
      <c r="E58" s="26" t="n"/>
      <c r="F58" s="27" t="n"/>
      <c r="G58" s="30" t="n"/>
      <c r="H58" s="26" t="n"/>
      <c r="I58" s="32">
        <f>IF(F58="","",IF(G58="Yes","Paid",IF(E58="","Unpaid",IF(TODAY()&gt;E58,"Overdue "&amp;(TODAY()-E58)&amp;" days","Due in "&amp;(E58-TODAY())&amp;" days"))))</f>
        <v/>
      </c>
      <c r="J58" s="17" t="n"/>
    </row>
    <row r="59">
      <c r="B59" s="17" t="n"/>
      <c r="C59" s="17" t="n"/>
      <c r="D59" s="26" t="n"/>
      <c r="E59" s="26" t="n"/>
      <c r="F59" s="27" t="n"/>
      <c r="G59" s="30" t="n"/>
      <c r="H59" s="26" t="n"/>
      <c r="I59" s="32">
        <f>IF(F59="","",IF(G59="Yes","Paid",IF(E59="","Unpaid",IF(TODAY()&gt;E59,"Overdue "&amp;(TODAY()-E59)&amp;" days","Due in "&amp;(E59-TODAY())&amp;" days"))))</f>
        <v/>
      </c>
      <c r="J59" s="17" t="n"/>
    </row>
    <row r="60">
      <c r="B60" s="17" t="n"/>
      <c r="C60" s="17" t="n"/>
      <c r="D60" s="26" t="n"/>
      <c r="E60" s="26" t="n"/>
      <c r="F60" s="27" t="n"/>
      <c r="G60" s="30" t="n"/>
      <c r="H60" s="26" t="n"/>
      <c r="I60" s="32">
        <f>IF(F60="","",IF(G60="Yes","Paid",IF(E60="","Unpaid",IF(TODAY()&gt;E60,"Overdue "&amp;(TODAY()-E60)&amp;" days","Due in "&amp;(E60-TODAY())&amp;" days"))))</f>
        <v/>
      </c>
      <c r="J60" s="17" t="n"/>
    </row>
    <row r="61">
      <c r="B61" s="17" t="n"/>
      <c r="C61" s="17" t="n"/>
      <c r="D61" s="26" t="n"/>
      <c r="E61" s="26" t="n"/>
      <c r="F61" s="27" t="n"/>
      <c r="G61" s="30" t="n"/>
      <c r="H61" s="26" t="n"/>
      <c r="I61" s="32">
        <f>IF(F61="","",IF(G61="Yes","Paid",IF(E61="","Unpaid",IF(TODAY()&gt;E61,"Overdue "&amp;(TODAY()-E61)&amp;" days","Due in "&amp;(E61-TODAY())&amp;" days"))))</f>
        <v/>
      </c>
      <c r="J61" s="17" t="n"/>
    </row>
    <row r="62">
      <c r="B62" s="17" t="n"/>
      <c r="C62" s="17" t="n"/>
      <c r="D62" s="26" t="n"/>
      <c r="E62" s="26" t="n"/>
      <c r="F62" s="27" t="n"/>
      <c r="G62" s="30" t="n"/>
      <c r="H62" s="26" t="n"/>
      <c r="I62" s="32">
        <f>IF(F62="","",IF(G62="Yes","Paid",IF(E62="","Unpaid",IF(TODAY()&gt;E62,"Overdue "&amp;(TODAY()-E62)&amp;" days","Due in "&amp;(E62-TODAY())&amp;" days"))))</f>
        <v/>
      </c>
      <c r="J62" s="17" t="n"/>
    </row>
    <row r="63">
      <c r="B63" s="17" t="n"/>
      <c r="C63" s="17" t="n"/>
      <c r="D63" s="26" t="n"/>
      <c r="E63" s="26" t="n"/>
      <c r="F63" s="27" t="n"/>
      <c r="G63" s="30" t="n"/>
      <c r="H63" s="26" t="n"/>
      <c r="I63" s="32">
        <f>IF(F63="","",IF(G63="Yes","Paid",IF(E63="","Unpaid",IF(TODAY()&gt;E63,"Overdue "&amp;(TODAY()-E63)&amp;" days","Due in "&amp;(E63-TODAY())&amp;" days"))))</f>
        <v/>
      </c>
      <c r="J63" s="17" t="n"/>
    </row>
    <row r="64">
      <c r="B64" s="17" t="n"/>
      <c r="C64" s="17" t="n"/>
      <c r="D64" s="26" t="n"/>
      <c r="E64" s="26" t="n"/>
      <c r="F64" s="27" t="n"/>
      <c r="G64" s="30" t="n"/>
      <c r="H64" s="26" t="n"/>
      <c r="I64" s="32">
        <f>IF(F64="","",IF(G64="Yes","Paid",IF(E64="","Unpaid",IF(TODAY()&gt;E64,"Overdue "&amp;(TODAY()-E64)&amp;" days","Due in "&amp;(E64-TODAY())&amp;" days"))))</f>
        <v/>
      </c>
      <c r="J64" s="17" t="n"/>
    </row>
    <row r="65">
      <c r="B65" s="17" t="n"/>
      <c r="C65" s="17" t="n"/>
      <c r="D65" s="26" t="n"/>
      <c r="E65" s="26" t="n"/>
      <c r="F65" s="27" t="n"/>
      <c r="G65" s="30" t="n"/>
      <c r="H65" s="26" t="n"/>
      <c r="I65" s="32">
        <f>IF(F65="","",IF(G65="Yes","Paid",IF(E65="","Unpaid",IF(TODAY()&gt;E65,"Overdue "&amp;(TODAY()-E65)&amp;" days","Due in "&amp;(E65-TODAY())&amp;" days"))))</f>
        <v/>
      </c>
      <c r="J65" s="17" t="n"/>
    </row>
    <row r="66">
      <c r="B66" s="17" t="n"/>
      <c r="C66" s="17" t="n"/>
      <c r="D66" s="26" t="n"/>
      <c r="E66" s="26" t="n"/>
      <c r="F66" s="27" t="n"/>
      <c r="G66" s="30" t="n"/>
      <c r="H66" s="26" t="n"/>
      <c r="I66" s="32">
        <f>IF(F66="","",IF(G66="Yes","Paid",IF(E66="","Unpaid",IF(TODAY()&gt;E66,"Overdue "&amp;(TODAY()-E66)&amp;" days","Due in "&amp;(E66-TODAY())&amp;" days"))))</f>
        <v/>
      </c>
      <c r="J66" s="17" t="n"/>
    </row>
    <row r="67">
      <c r="B67" s="17" t="n"/>
      <c r="C67" s="17" t="n"/>
      <c r="D67" s="26" t="n"/>
      <c r="E67" s="26" t="n"/>
      <c r="F67" s="27" t="n"/>
      <c r="G67" s="30" t="n"/>
      <c r="H67" s="26" t="n"/>
      <c r="I67" s="32">
        <f>IF(F67="","",IF(G67="Yes","Paid",IF(E67="","Unpaid",IF(TODAY()&gt;E67,"Overdue "&amp;(TODAY()-E67)&amp;" days","Due in "&amp;(E67-TODAY())&amp;" days"))))</f>
        <v/>
      </c>
      <c r="J67" s="17" t="n"/>
    </row>
    <row r="68">
      <c r="B68" s="17" t="n"/>
      <c r="C68" s="17" t="n"/>
      <c r="D68" s="26" t="n"/>
      <c r="E68" s="26" t="n"/>
      <c r="F68" s="27" t="n"/>
      <c r="G68" s="30" t="n"/>
      <c r="H68" s="26" t="n"/>
      <c r="I68" s="32">
        <f>IF(F68="","",IF(G68="Yes","Paid",IF(E68="","Unpaid",IF(TODAY()&gt;E68,"Overdue "&amp;(TODAY()-E68)&amp;" days","Due in "&amp;(E68-TODAY())&amp;" days"))))</f>
        <v/>
      </c>
      <c r="J68" s="17" t="n"/>
    </row>
    <row r="69">
      <c r="B69" s="17" t="n"/>
      <c r="C69" s="17" t="n"/>
      <c r="D69" s="26" t="n"/>
      <c r="E69" s="26" t="n"/>
      <c r="F69" s="27" t="n"/>
      <c r="G69" s="30" t="n"/>
      <c r="H69" s="26" t="n"/>
      <c r="I69" s="32">
        <f>IF(F69="","",IF(G69="Yes","Paid",IF(E69="","Unpaid",IF(TODAY()&gt;E69,"Overdue "&amp;(TODAY()-E69)&amp;" days","Due in "&amp;(E69-TODAY())&amp;" days"))))</f>
        <v/>
      </c>
      <c r="J69" s="17" t="n"/>
    </row>
    <row r="70">
      <c r="B70" s="17" t="n"/>
      <c r="C70" s="17" t="n"/>
      <c r="D70" s="26" t="n"/>
      <c r="E70" s="26" t="n"/>
      <c r="F70" s="27" t="n"/>
      <c r="G70" s="30" t="n"/>
      <c r="H70" s="26" t="n"/>
      <c r="I70" s="32">
        <f>IF(F70="","",IF(G70="Yes","Paid",IF(E70="","Unpaid",IF(TODAY()&gt;E70,"Overdue "&amp;(TODAY()-E70)&amp;" days","Due in "&amp;(E70-TODAY())&amp;" days"))))</f>
        <v/>
      </c>
      <c r="J70" s="17" t="n"/>
    </row>
    <row r="71">
      <c r="B71" s="17" t="n"/>
      <c r="C71" s="17" t="n"/>
      <c r="D71" s="26" t="n"/>
      <c r="E71" s="26" t="n"/>
      <c r="F71" s="27" t="n"/>
      <c r="G71" s="30" t="n"/>
      <c r="H71" s="26" t="n"/>
      <c r="I71" s="32">
        <f>IF(F71="","",IF(G71="Yes","Paid",IF(E71="","Unpaid",IF(TODAY()&gt;E71,"Overdue "&amp;(TODAY()-E71)&amp;" days","Due in "&amp;(E71-TODAY())&amp;" days"))))</f>
        <v/>
      </c>
      <c r="J71" s="17" t="n"/>
    </row>
    <row r="72">
      <c r="B72" s="17" t="n"/>
      <c r="C72" s="17" t="n"/>
      <c r="D72" s="26" t="n"/>
      <c r="E72" s="26" t="n"/>
      <c r="F72" s="27" t="n"/>
      <c r="G72" s="30" t="n"/>
      <c r="H72" s="26" t="n"/>
      <c r="I72" s="32">
        <f>IF(F72="","",IF(G72="Yes","Paid",IF(E72="","Unpaid",IF(TODAY()&gt;E72,"Overdue "&amp;(TODAY()-E72)&amp;" days","Due in "&amp;(E72-TODAY())&amp;" days"))))</f>
        <v/>
      </c>
      <c r="J72" s="17" t="n"/>
    </row>
    <row r="73">
      <c r="B73" s="17" t="n"/>
      <c r="C73" s="17" t="n"/>
      <c r="D73" s="26" t="n"/>
      <c r="E73" s="26" t="n"/>
      <c r="F73" s="27" t="n"/>
      <c r="G73" s="30" t="n"/>
      <c r="H73" s="26" t="n"/>
      <c r="I73" s="32">
        <f>IF(F73="","",IF(G73="Yes","Paid",IF(E73="","Unpaid",IF(TODAY()&gt;E73,"Overdue "&amp;(TODAY()-E73)&amp;" days","Due in "&amp;(E73-TODAY())&amp;" days"))))</f>
        <v/>
      </c>
      <c r="J73" s="17" t="n"/>
    </row>
    <row r="74">
      <c r="B74" s="17" t="n"/>
      <c r="C74" s="17" t="n"/>
      <c r="D74" s="26" t="n"/>
      <c r="E74" s="26" t="n"/>
      <c r="F74" s="27" t="n"/>
      <c r="G74" s="30" t="n"/>
      <c r="H74" s="26" t="n"/>
      <c r="I74" s="32">
        <f>IF(F74="","",IF(G74="Yes","Paid",IF(E74="","Unpaid",IF(TODAY()&gt;E74,"Overdue "&amp;(TODAY()-E74)&amp;" days","Due in "&amp;(E74-TODAY())&amp;" days"))))</f>
        <v/>
      </c>
      <c r="J74" s="17" t="n"/>
    </row>
    <row r="75">
      <c r="B75" s="17" t="n"/>
      <c r="C75" s="17" t="n"/>
      <c r="D75" s="26" t="n"/>
      <c r="E75" s="26" t="n"/>
      <c r="F75" s="27" t="n"/>
      <c r="G75" s="30" t="n"/>
      <c r="H75" s="26" t="n"/>
      <c r="I75" s="32">
        <f>IF(F75="","",IF(G75="Yes","Paid",IF(E75="","Unpaid",IF(TODAY()&gt;E75,"Overdue "&amp;(TODAY()-E75)&amp;" days","Due in "&amp;(E75-TODAY())&amp;" days"))))</f>
        <v/>
      </c>
      <c r="J75" s="17" t="n"/>
    </row>
    <row r="76">
      <c r="B76" s="17" t="n"/>
      <c r="C76" s="17" t="n"/>
      <c r="D76" s="26" t="n"/>
      <c r="E76" s="26" t="n"/>
      <c r="F76" s="27" t="n"/>
      <c r="G76" s="30" t="n"/>
      <c r="H76" s="26" t="n"/>
      <c r="I76" s="32">
        <f>IF(F76="","",IF(G76="Yes","Paid",IF(E76="","Unpaid",IF(TODAY()&gt;E76,"Overdue "&amp;(TODAY()-E76)&amp;" days","Due in "&amp;(E76-TODAY())&amp;" days"))))</f>
        <v/>
      </c>
      <c r="J76" s="17" t="n"/>
    </row>
    <row r="77">
      <c r="B77" s="17" t="n"/>
      <c r="C77" s="17" t="n"/>
      <c r="D77" s="26" t="n"/>
      <c r="E77" s="26" t="n"/>
      <c r="F77" s="27" t="n"/>
      <c r="G77" s="30" t="n"/>
      <c r="H77" s="26" t="n"/>
      <c r="I77" s="32">
        <f>IF(F77="","",IF(G77="Yes","Paid",IF(E77="","Unpaid",IF(TODAY()&gt;E77,"Overdue "&amp;(TODAY()-E77)&amp;" days","Due in "&amp;(E77-TODAY())&amp;" days"))))</f>
        <v/>
      </c>
      <c r="J77" s="17" t="n"/>
    </row>
    <row r="78">
      <c r="B78" s="17" t="n"/>
      <c r="C78" s="17" t="n"/>
      <c r="D78" s="26" t="n"/>
      <c r="E78" s="26" t="n"/>
      <c r="F78" s="27" t="n"/>
      <c r="G78" s="30" t="n"/>
      <c r="H78" s="26" t="n"/>
      <c r="I78" s="32">
        <f>IF(F78="","",IF(G78="Yes","Paid",IF(E78="","Unpaid",IF(TODAY()&gt;E78,"Overdue "&amp;(TODAY()-E78)&amp;" days","Due in "&amp;(E78-TODAY())&amp;" days"))))</f>
        <v/>
      </c>
      <c r="J78" s="17" t="n"/>
    </row>
    <row r="79">
      <c r="B79" s="17" t="n"/>
      <c r="C79" s="17" t="n"/>
      <c r="D79" s="26" t="n"/>
      <c r="E79" s="26" t="n"/>
      <c r="F79" s="27" t="n"/>
      <c r="G79" s="30" t="n"/>
      <c r="H79" s="26" t="n"/>
      <c r="I79" s="32">
        <f>IF(F79="","",IF(G79="Yes","Paid",IF(E79="","Unpaid",IF(TODAY()&gt;E79,"Overdue "&amp;(TODAY()-E79)&amp;" days","Due in "&amp;(E79-TODAY())&amp;" days"))))</f>
        <v/>
      </c>
      <c r="J79" s="17" t="n"/>
    </row>
    <row r="80">
      <c r="B80" s="17" t="n"/>
      <c r="C80" s="17" t="n"/>
      <c r="D80" s="26" t="n"/>
      <c r="E80" s="26" t="n"/>
      <c r="F80" s="27" t="n"/>
      <c r="G80" s="30" t="n"/>
      <c r="H80" s="26" t="n"/>
      <c r="I80" s="32">
        <f>IF(F80="","",IF(G80="Yes","Paid",IF(E80="","Unpaid",IF(TODAY()&gt;E80,"Overdue "&amp;(TODAY()-E80)&amp;" days","Due in "&amp;(E80-TODAY())&amp;" days"))))</f>
        <v/>
      </c>
      <c r="J80" s="17" t="n"/>
    </row>
    <row r="81">
      <c r="B81" s="17" t="n"/>
      <c r="C81" s="17" t="n"/>
      <c r="D81" s="26" t="n"/>
      <c r="E81" s="26" t="n"/>
      <c r="F81" s="27" t="n"/>
      <c r="G81" s="30" t="n"/>
      <c r="H81" s="26" t="n"/>
      <c r="I81" s="32">
        <f>IF(F81="","",IF(G81="Yes","Paid",IF(E81="","Unpaid",IF(TODAY()&gt;E81,"Overdue "&amp;(TODAY()-E81)&amp;" days","Due in "&amp;(E81-TODAY())&amp;" days"))))</f>
        <v/>
      </c>
      <c r="J81" s="17" t="n"/>
    </row>
    <row r="82">
      <c r="B82" s="17" t="n"/>
      <c r="C82" s="17" t="n"/>
      <c r="D82" s="26" t="n"/>
      <c r="E82" s="26" t="n"/>
      <c r="F82" s="27" t="n"/>
      <c r="G82" s="30" t="n"/>
      <c r="H82" s="26" t="n"/>
      <c r="I82" s="32">
        <f>IF(F82="","",IF(G82="Yes","Paid",IF(E82="","Unpaid",IF(TODAY()&gt;E82,"Overdue "&amp;(TODAY()-E82)&amp;" days","Due in "&amp;(E82-TODAY())&amp;" days"))))</f>
        <v/>
      </c>
      <c r="J82" s="17" t="n"/>
    </row>
    <row r="83">
      <c r="B83" s="17" t="n"/>
      <c r="C83" s="17" t="n"/>
      <c r="D83" s="26" t="n"/>
      <c r="E83" s="26" t="n"/>
      <c r="F83" s="27" t="n"/>
      <c r="G83" s="30" t="n"/>
      <c r="H83" s="26" t="n"/>
      <c r="I83" s="32">
        <f>IF(F83="","",IF(G83="Yes","Paid",IF(E83="","Unpaid",IF(TODAY()&gt;E83,"Overdue "&amp;(TODAY()-E83)&amp;" days","Due in "&amp;(E83-TODAY())&amp;" days"))))</f>
        <v/>
      </c>
      <c r="J83" s="17" t="n"/>
    </row>
    <row r="84">
      <c r="B84" s="17" t="n"/>
      <c r="C84" s="17" t="n"/>
      <c r="D84" s="26" t="n"/>
      <c r="E84" s="26" t="n"/>
      <c r="F84" s="27" t="n"/>
      <c r="G84" s="30" t="n"/>
      <c r="H84" s="26" t="n"/>
      <c r="I84" s="32">
        <f>IF(F84="","",IF(G84="Yes","Paid",IF(E84="","Unpaid",IF(TODAY()&gt;E84,"Overdue "&amp;(TODAY()-E84)&amp;" days","Due in "&amp;(E84-TODAY())&amp;" days"))))</f>
        <v/>
      </c>
      <c r="J84" s="17" t="n"/>
    </row>
    <row r="85">
      <c r="B85" s="17" t="n"/>
      <c r="C85" s="17" t="n"/>
      <c r="D85" s="26" t="n"/>
      <c r="E85" s="26" t="n"/>
      <c r="F85" s="27" t="n"/>
      <c r="G85" s="30" t="n"/>
      <c r="H85" s="26" t="n"/>
      <c r="I85" s="32">
        <f>IF(F85="","",IF(G85="Yes","Paid",IF(E85="","Unpaid",IF(TODAY()&gt;E85,"Overdue "&amp;(TODAY()-E85)&amp;" days","Due in "&amp;(E85-TODAY())&amp;" days"))))</f>
        <v/>
      </c>
      <c r="J85" s="17" t="n"/>
    </row>
    <row r="86">
      <c r="B86" s="17" t="n"/>
      <c r="C86" s="17" t="n"/>
      <c r="D86" s="26" t="n"/>
      <c r="E86" s="26" t="n"/>
      <c r="F86" s="27" t="n"/>
      <c r="G86" s="30" t="n"/>
      <c r="H86" s="26" t="n"/>
      <c r="I86" s="32">
        <f>IF(F86="","",IF(G86="Yes","Paid",IF(E86="","Unpaid",IF(TODAY()&gt;E86,"Overdue "&amp;(TODAY()-E86)&amp;" days","Due in "&amp;(E86-TODAY())&amp;" days"))))</f>
        <v/>
      </c>
      <c r="J86" s="17" t="n"/>
    </row>
    <row r="87">
      <c r="B87" s="17" t="n"/>
      <c r="C87" s="17" t="n"/>
      <c r="D87" s="26" t="n"/>
      <c r="E87" s="26" t="n"/>
      <c r="F87" s="27" t="n"/>
      <c r="G87" s="30" t="n"/>
      <c r="H87" s="26" t="n"/>
      <c r="I87" s="32">
        <f>IF(F87="","",IF(G87="Yes","Paid",IF(E87="","Unpaid",IF(TODAY()&gt;E87,"Overdue "&amp;(TODAY()-E87)&amp;" days","Due in "&amp;(E87-TODAY())&amp;" days"))))</f>
        <v/>
      </c>
      <c r="J87" s="17" t="n"/>
    </row>
    <row r="88">
      <c r="B88" s="17" t="n"/>
      <c r="C88" s="17" t="n"/>
      <c r="D88" s="26" t="n"/>
      <c r="E88" s="26" t="n"/>
      <c r="F88" s="27" t="n"/>
      <c r="G88" s="30" t="n"/>
      <c r="H88" s="26" t="n"/>
      <c r="I88" s="32">
        <f>IF(F88="","",IF(G88="Yes","Paid",IF(E88="","Unpaid",IF(TODAY()&gt;E88,"Overdue "&amp;(TODAY()-E88)&amp;" days","Due in "&amp;(E88-TODAY())&amp;" days"))))</f>
        <v/>
      </c>
      <c r="J88" s="17" t="n"/>
    </row>
    <row r="89">
      <c r="B89" s="17" t="n"/>
      <c r="C89" s="17" t="n"/>
      <c r="D89" s="26" t="n"/>
      <c r="E89" s="26" t="n"/>
      <c r="F89" s="27" t="n"/>
      <c r="G89" s="30" t="n"/>
      <c r="H89" s="26" t="n"/>
      <c r="I89" s="32">
        <f>IF(F89="","",IF(G89="Yes","Paid",IF(E89="","Unpaid",IF(TODAY()&gt;E89,"Overdue "&amp;(TODAY()-E89)&amp;" days","Due in "&amp;(E89-TODAY())&amp;" days"))))</f>
        <v/>
      </c>
      <c r="J89" s="17" t="n"/>
    </row>
    <row r="90">
      <c r="B90" s="17" t="n"/>
      <c r="C90" s="17" t="n"/>
      <c r="D90" s="26" t="n"/>
      <c r="E90" s="26" t="n"/>
      <c r="F90" s="27" t="n"/>
      <c r="G90" s="30" t="n"/>
      <c r="H90" s="26" t="n"/>
      <c r="I90" s="32">
        <f>IF(F90="","",IF(G90="Yes","Paid",IF(E90="","Unpaid",IF(TODAY()&gt;E90,"Overdue "&amp;(TODAY()-E90)&amp;" days","Due in "&amp;(E90-TODAY())&amp;" days"))))</f>
        <v/>
      </c>
      <c r="J90" s="17" t="n"/>
    </row>
    <row r="91">
      <c r="B91" s="17" t="n"/>
      <c r="C91" s="17" t="n"/>
      <c r="D91" s="26" t="n"/>
      <c r="E91" s="26" t="n"/>
      <c r="F91" s="27" t="n"/>
      <c r="G91" s="30" t="n"/>
      <c r="H91" s="26" t="n"/>
      <c r="I91" s="32">
        <f>IF(F91="","",IF(G91="Yes","Paid",IF(E91="","Unpaid",IF(TODAY()&gt;E91,"Overdue "&amp;(TODAY()-E91)&amp;" days","Due in "&amp;(E91-TODAY())&amp;" days"))))</f>
        <v/>
      </c>
      <c r="J91" s="17" t="n"/>
    </row>
    <row r="92">
      <c r="B92" s="17" t="n"/>
      <c r="C92" s="17" t="n"/>
      <c r="D92" s="26" t="n"/>
      <c r="E92" s="26" t="n"/>
      <c r="F92" s="27" t="n"/>
      <c r="G92" s="30" t="n"/>
      <c r="H92" s="26" t="n"/>
      <c r="I92" s="32">
        <f>IF(F92="","",IF(G92="Yes","Paid",IF(E92="","Unpaid",IF(TODAY()&gt;E92,"Overdue "&amp;(TODAY()-E92)&amp;" days","Due in "&amp;(E92-TODAY())&amp;" days"))))</f>
        <v/>
      </c>
      <c r="J92" s="17" t="n"/>
    </row>
    <row r="93">
      <c r="B93" s="17" t="n"/>
      <c r="C93" s="17" t="n"/>
      <c r="D93" s="26" t="n"/>
      <c r="E93" s="26" t="n"/>
      <c r="F93" s="27" t="n"/>
      <c r="G93" s="30" t="n"/>
      <c r="H93" s="26" t="n"/>
      <c r="I93" s="32">
        <f>IF(F93="","",IF(G93="Yes","Paid",IF(E93="","Unpaid",IF(TODAY()&gt;E93,"Overdue "&amp;(TODAY()-E93)&amp;" days","Due in "&amp;(E93-TODAY())&amp;" days"))))</f>
        <v/>
      </c>
      <c r="J93" s="17" t="n"/>
    </row>
    <row r="94">
      <c r="B94" s="17" t="n"/>
      <c r="C94" s="17" t="n"/>
      <c r="D94" s="26" t="n"/>
      <c r="E94" s="26" t="n"/>
      <c r="F94" s="27" t="n"/>
      <c r="G94" s="30" t="n"/>
      <c r="H94" s="26" t="n"/>
      <c r="I94" s="32">
        <f>IF(F94="","",IF(G94="Yes","Paid",IF(E94="","Unpaid",IF(TODAY()&gt;E94,"Overdue "&amp;(TODAY()-E94)&amp;" days","Due in "&amp;(E94-TODAY())&amp;" days"))))</f>
        <v/>
      </c>
      <c r="J94" s="17" t="n"/>
    </row>
    <row r="95">
      <c r="B95" s="17" t="n"/>
      <c r="C95" s="17" t="n"/>
      <c r="D95" s="26" t="n"/>
      <c r="E95" s="26" t="n"/>
      <c r="F95" s="27" t="n"/>
      <c r="G95" s="30" t="n"/>
      <c r="H95" s="26" t="n"/>
      <c r="I95" s="32">
        <f>IF(F95="","",IF(G95="Yes","Paid",IF(E95="","Unpaid",IF(TODAY()&gt;E95,"Overdue "&amp;(TODAY()-E95)&amp;" days","Due in "&amp;(E95-TODAY())&amp;" days"))))</f>
        <v/>
      </c>
      <c r="J95" s="17" t="n"/>
    </row>
    <row r="96">
      <c r="B96" s="17" t="n"/>
      <c r="C96" s="17" t="n"/>
      <c r="D96" s="26" t="n"/>
      <c r="E96" s="26" t="n"/>
      <c r="F96" s="27" t="n"/>
      <c r="G96" s="30" t="n"/>
      <c r="H96" s="26" t="n"/>
      <c r="I96" s="32">
        <f>IF(F96="","",IF(G96="Yes","Paid",IF(E96="","Unpaid",IF(TODAY()&gt;E96,"Overdue "&amp;(TODAY()-E96)&amp;" days","Due in "&amp;(E96-TODAY())&amp;" days"))))</f>
        <v/>
      </c>
      <c r="J96" s="17" t="n"/>
    </row>
    <row r="97">
      <c r="B97" s="17" t="n"/>
      <c r="C97" s="17" t="n"/>
      <c r="D97" s="26" t="n"/>
      <c r="E97" s="26" t="n"/>
      <c r="F97" s="27" t="n"/>
      <c r="G97" s="30" t="n"/>
      <c r="H97" s="26" t="n"/>
      <c r="I97" s="32">
        <f>IF(F97="","",IF(G97="Yes","Paid",IF(E97="","Unpaid",IF(TODAY()&gt;E97,"Overdue "&amp;(TODAY()-E97)&amp;" days","Due in "&amp;(E97-TODAY())&amp;" days"))))</f>
        <v/>
      </c>
      <c r="J97" s="17" t="n"/>
    </row>
    <row r="98">
      <c r="B98" s="17" t="n"/>
      <c r="C98" s="17" t="n"/>
      <c r="D98" s="26" t="n"/>
      <c r="E98" s="26" t="n"/>
      <c r="F98" s="27" t="n"/>
      <c r="G98" s="30" t="n"/>
      <c r="H98" s="26" t="n"/>
      <c r="I98" s="32">
        <f>IF(F98="","",IF(G98="Yes","Paid",IF(E98="","Unpaid",IF(TODAY()&gt;E98,"Overdue "&amp;(TODAY()-E98)&amp;" days","Due in "&amp;(E98-TODAY())&amp;" days"))))</f>
        <v/>
      </c>
      <c r="J98" s="17" t="n"/>
    </row>
    <row r="99">
      <c r="B99" s="17" t="n"/>
      <c r="C99" s="17" t="n"/>
      <c r="D99" s="26" t="n"/>
      <c r="E99" s="26" t="n"/>
      <c r="F99" s="27" t="n"/>
      <c r="G99" s="30" t="n"/>
      <c r="H99" s="26" t="n"/>
      <c r="I99" s="32">
        <f>IF(F99="","",IF(G99="Yes","Paid",IF(E99="","Unpaid",IF(TODAY()&gt;E99,"Overdue "&amp;(TODAY()-E99)&amp;" days","Due in "&amp;(E99-TODAY())&amp;" days"))))</f>
        <v/>
      </c>
      <c r="J99" s="17" t="n"/>
    </row>
    <row r="100">
      <c r="B100" s="17" t="n"/>
      <c r="C100" s="17" t="n"/>
      <c r="D100" s="26" t="n"/>
      <c r="E100" s="26" t="n"/>
      <c r="F100" s="27" t="n"/>
      <c r="G100" s="30" t="n"/>
      <c r="H100" s="26" t="n"/>
      <c r="I100" s="32">
        <f>IF(F100="","",IF(G100="Yes","Paid",IF(E100="","Unpaid",IF(TODAY()&gt;E100,"Overdue "&amp;(TODAY()-E100)&amp;" days","Due in "&amp;(E100-TODAY())&amp;" days"))))</f>
        <v/>
      </c>
      <c r="J100" s="17" t="n"/>
    </row>
    <row r="101">
      <c r="B101" s="17" t="n"/>
      <c r="C101" s="17" t="n"/>
      <c r="D101" s="26" t="n"/>
      <c r="E101" s="26" t="n"/>
      <c r="F101" s="27" t="n"/>
      <c r="G101" s="30" t="n"/>
      <c r="H101" s="26" t="n"/>
      <c r="I101" s="32">
        <f>IF(F101="","",IF(G101="Yes","Paid",IF(E101="","Unpaid",IF(TODAY()&gt;E101,"Overdue "&amp;(TODAY()-E101)&amp;" days","Due in "&amp;(E101-TODAY())&amp;" days"))))</f>
        <v/>
      </c>
      <c r="J101" s="17" t="n"/>
    </row>
    <row r="102">
      <c r="B102" s="17" t="n"/>
      <c r="C102" s="17" t="n"/>
      <c r="D102" s="26" t="n"/>
      <c r="E102" s="26" t="n"/>
      <c r="F102" s="27" t="n"/>
      <c r="G102" s="30" t="n"/>
      <c r="H102" s="26" t="n"/>
      <c r="I102" s="32">
        <f>IF(F102="","",IF(G102="Yes","Paid",IF(E102="","Unpaid",IF(TODAY()&gt;E102,"Overdue "&amp;(TODAY()-E102)&amp;" days","Due in "&amp;(E102-TODAY())&amp;" days"))))</f>
        <v/>
      </c>
      <c r="J102" s="17" t="n"/>
    </row>
    <row r="103">
      <c r="B103" s="17" t="n"/>
      <c r="C103" s="17" t="n"/>
      <c r="D103" s="26" t="n"/>
      <c r="E103" s="26" t="n"/>
      <c r="F103" s="27" t="n"/>
      <c r="G103" s="30" t="n"/>
      <c r="H103" s="26" t="n"/>
      <c r="I103" s="32">
        <f>IF(F103="","",IF(G103="Yes","Paid",IF(E103="","Unpaid",IF(TODAY()&gt;E103,"Overdue "&amp;(TODAY()-E103)&amp;" days","Due in "&amp;(E103-TODAY())&amp;" days"))))</f>
        <v/>
      </c>
      <c r="J103" s="17" t="n"/>
    </row>
    <row r="104">
      <c r="B104" s="17" t="n"/>
      <c r="C104" s="17" t="n"/>
      <c r="D104" s="26" t="n"/>
      <c r="E104" s="26" t="n"/>
      <c r="F104" s="27" t="n"/>
      <c r="G104" s="30" t="n"/>
      <c r="H104" s="26" t="n"/>
      <c r="I104" s="32">
        <f>IF(F104="","",IF(G104="Yes","Paid",IF(E104="","Unpaid",IF(TODAY()&gt;E104,"Overdue "&amp;(TODAY()-E104)&amp;" days","Due in "&amp;(E104-TODAY())&amp;" days"))))</f>
        <v/>
      </c>
      <c r="J104" s="17" t="n"/>
    </row>
    <row r="105">
      <c r="B105" s="17" t="n"/>
      <c r="C105" s="17" t="n"/>
      <c r="D105" s="26" t="n"/>
      <c r="E105" s="26" t="n"/>
      <c r="F105" s="27" t="n"/>
      <c r="G105" s="30" t="n"/>
      <c r="H105" s="26" t="n"/>
      <c r="I105" s="32">
        <f>IF(F105="","",IF(G105="Yes","Paid",IF(E105="","Unpaid",IF(TODAY()&gt;E105,"Overdue "&amp;(TODAY()-E105)&amp;" days","Due in "&amp;(E105-TODAY())&amp;" days"))))</f>
        <v/>
      </c>
      <c r="J105" s="17" t="n"/>
    </row>
    <row r="106">
      <c r="B106" s="17" t="n"/>
      <c r="C106" s="17" t="n"/>
      <c r="D106" s="26" t="n"/>
      <c r="E106" s="26" t="n"/>
      <c r="F106" s="27" t="n"/>
      <c r="G106" s="30" t="n"/>
      <c r="H106" s="26" t="n"/>
      <c r="I106" s="32">
        <f>IF(F106="","",IF(G106="Yes","Paid",IF(E106="","Unpaid",IF(TODAY()&gt;E106,"Overdue "&amp;(TODAY()-E106)&amp;" days","Due in "&amp;(E106-TODAY())&amp;" days"))))</f>
        <v/>
      </c>
      <c r="J106" s="17" t="n"/>
    </row>
    <row r="107">
      <c r="B107" s="17" t="n"/>
      <c r="C107" s="17" t="n"/>
      <c r="D107" s="26" t="n"/>
      <c r="E107" s="26" t="n"/>
      <c r="F107" s="27" t="n"/>
      <c r="G107" s="30" t="n"/>
      <c r="H107" s="26" t="n"/>
      <c r="I107" s="32">
        <f>IF(F107="","",IF(G107="Yes","Paid",IF(E107="","Unpaid",IF(TODAY()&gt;E107,"Overdue "&amp;(TODAY()-E107)&amp;" days","Due in "&amp;(E107-TODAY())&amp;" days"))))</f>
        <v/>
      </c>
      <c r="J107" s="17" t="n"/>
    </row>
    <row r="108">
      <c r="B108" s="17" t="n"/>
      <c r="C108" s="17" t="n"/>
      <c r="D108" s="26" t="n"/>
      <c r="E108" s="26" t="n"/>
      <c r="F108" s="27" t="n"/>
      <c r="G108" s="30" t="n"/>
      <c r="H108" s="26" t="n"/>
      <c r="I108" s="32">
        <f>IF(F108="","",IF(G108="Yes","Paid",IF(E108="","Unpaid",IF(TODAY()&gt;E108,"Overdue "&amp;(TODAY()-E108)&amp;" days","Due in "&amp;(E108-TODAY())&amp;" days"))))</f>
        <v/>
      </c>
      <c r="J108" s="17" t="n"/>
    </row>
    <row r="109">
      <c r="B109" s="17" t="n"/>
      <c r="C109" s="17" t="n"/>
      <c r="D109" s="26" t="n"/>
      <c r="E109" s="26" t="n"/>
      <c r="F109" s="27" t="n"/>
      <c r="G109" s="30" t="n"/>
      <c r="H109" s="26" t="n"/>
      <c r="I109" s="32">
        <f>IF(F109="","",IF(G109="Yes","Paid",IF(E109="","Unpaid",IF(TODAY()&gt;E109,"Overdue "&amp;(TODAY()-E109)&amp;" days","Due in "&amp;(E109-TODAY())&amp;" days"))))</f>
        <v/>
      </c>
      <c r="J109" s="17" t="n"/>
    </row>
    <row r="110">
      <c r="B110" s="17" t="n"/>
      <c r="C110" s="17" t="n"/>
      <c r="D110" s="26" t="n"/>
      <c r="E110" s="26" t="n"/>
      <c r="F110" s="27" t="n"/>
      <c r="G110" s="30" t="n"/>
      <c r="H110" s="26" t="n"/>
      <c r="I110" s="32">
        <f>IF(F110="","",IF(G110="Yes","Paid",IF(E110="","Unpaid",IF(TODAY()&gt;E110,"Overdue "&amp;(TODAY()-E110)&amp;" days","Due in "&amp;(E110-TODAY())&amp;" days"))))</f>
        <v/>
      </c>
      <c r="J110" s="17" t="n"/>
    </row>
    <row r="111">
      <c r="B111" s="17" t="n"/>
      <c r="C111" s="17" t="n"/>
      <c r="D111" s="26" t="n"/>
      <c r="E111" s="26" t="n"/>
      <c r="F111" s="27" t="n"/>
      <c r="G111" s="30" t="n"/>
      <c r="H111" s="26" t="n"/>
      <c r="I111" s="32">
        <f>IF(F111="","",IF(G111="Yes","Paid",IF(E111="","Unpaid",IF(TODAY()&gt;E111,"Overdue "&amp;(TODAY()-E111)&amp;" days","Due in "&amp;(E111-TODAY())&amp;" days"))))</f>
        <v/>
      </c>
      <c r="J111" s="17" t="n"/>
    </row>
    <row r="112">
      <c r="B112" s="17" t="n"/>
      <c r="C112" s="17" t="n"/>
      <c r="D112" s="26" t="n"/>
      <c r="E112" s="26" t="n"/>
      <c r="F112" s="27" t="n"/>
      <c r="G112" s="30" t="n"/>
      <c r="H112" s="26" t="n"/>
      <c r="I112" s="32">
        <f>IF(F112="","",IF(G112="Yes","Paid",IF(E112="","Unpaid",IF(TODAY()&gt;E112,"Overdue "&amp;(TODAY()-E112)&amp;" days","Due in "&amp;(E112-TODAY())&amp;" days"))))</f>
        <v/>
      </c>
      <c r="J112" s="17" t="n"/>
    </row>
    <row r="113">
      <c r="B113" s="17" t="n"/>
      <c r="C113" s="17" t="n"/>
      <c r="D113" s="26" t="n"/>
      <c r="E113" s="26" t="n"/>
      <c r="F113" s="27" t="n"/>
      <c r="G113" s="30" t="n"/>
      <c r="H113" s="26" t="n"/>
      <c r="I113" s="32">
        <f>IF(F113="","",IF(G113="Yes","Paid",IF(E113="","Unpaid",IF(TODAY()&gt;E113,"Overdue "&amp;(TODAY()-E113)&amp;" days","Due in "&amp;(E113-TODAY())&amp;" days"))))</f>
        <v/>
      </c>
      <c r="J113" s="17" t="n"/>
    </row>
    <row r="114">
      <c r="B114" s="17" t="n"/>
      <c r="C114" s="17" t="n"/>
      <c r="D114" s="26" t="n"/>
      <c r="E114" s="26" t="n"/>
      <c r="F114" s="27" t="n"/>
      <c r="G114" s="30" t="n"/>
      <c r="H114" s="26" t="n"/>
      <c r="I114" s="32">
        <f>IF(F114="","",IF(G114="Yes","Paid",IF(E114="","Unpaid",IF(TODAY()&gt;E114,"Overdue "&amp;(TODAY()-E114)&amp;" days","Due in "&amp;(E114-TODAY())&amp;" days"))))</f>
        <v/>
      </c>
      <c r="J114" s="17" t="n"/>
    </row>
    <row r="115">
      <c r="B115" s="17" t="n"/>
      <c r="C115" s="17" t="n"/>
      <c r="D115" s="26" t="n"/>
      <c r="E115" s="26" t="n"/>
      <c r="F115" s="27" t="n"/>
      <c r="G115" s="30" t="n"/>
      <c r="H115" s="26" t="n"/>
      <c r="I115" s="32">
        <f>IF(F115="","",IF(G115="Yes","Paid",IF(E115="","Unpaid",IF(TODAY()&gt;E115,"Overdue "&amp;(TODAY()-E115)&amp;" days","Due in "&amp;(E115-TODAY())&amp;" days"))))</f>
        <v/>
      </c>
      <c r="J115" s="17" t="n"/>
    </row>
    <row r="116">
      <c r="B116" s="17" t="n"/>
      <c r="C116" s="17" t="n"/>
      <c r="D116" s="26" t="n"/>
      <c r="E116" s="26" t="n"/>
      <c r="F116" s="27" t="n"/>
      <c r="G116" s="30" t="n"/>
      <c r="H116" s="26" t="n"/>
      <c r="I116" s="32">
        <f>IF(F116="","",IF(G116="Yes","Paid",IF(E116="","Unpaid",IF(TODAY()&gt;E116,"Overdue "&amp;(TODAY()-E116)&amp;" days","Due in "&amp;(E116-TODAY())&amp;" days"))))</f>
        <v/>
      </c>
      <c r="J116" s="17" t="n"/>
    </row>
    <row r="117">
      <c r="B117" s="17" t="n"/>
      <c r="C117" s="17" t="n"/>
      <c r="D117" s="26" t="n"/>
      <c r="E117" s="26" t="n"/>
      <c r="F117" s="27" t="n"/>
      <c r="G117" s="30" t="n"/>
      <c r="H117" s="26" t="n"/>
      <c r="I117" s="32">
        <f>IF(F117="","",IF(G117="Yes","Paid",IF(E117="","Unpaid",IF(TODAY()&gt;E117,"Overdue "&amp;(TODAY()-E117)&amp;" days","Due in "&amp;(E117-TODAY())&amp;" days"))))</f>
        <v/>
      </c>
      <c r="J117" s="17" t="n"/>
    </row>
    <row r="118">
      <c r="B118" s="17" t="n"/>
      <c r="C118" s="17" t="n"/>
      <c r="D118" s="26" t="n"/>
      <c r="E118" s="26" t="n"/>
      <c r="F118" s="27" t="n"/>
      <c r="G118" s="30" t="n"/>
      <c r="H118" s="26" t="n"/>
      <c r="I118" s="32">
        <f>IF(F118="","",IF(G118="Yes","Paid",IF(E118="","Unpaid",IF(TODAY()&gt;E118,"Overdue "&amp;(TODAY()-E118)&amp;" days","Due in "&amp;(E118-TODAY())&amp;" days"))))</f>
        <v/>
      </c>
      <c r="J118" s="17" t="n"/>
    </row>
    <row r="119">
      <c r="B119" s="17" t="n"/>
      <c r="C119" s="17" t="n"/>
      <c r="D119" s="26" t="n"/>
      <c r="E119" s="26" t="n"/>
      <c r="F119" s="27" t="n"/>
      <c r="G119" s="30" t="n"/>
      <c r="H119" s="26" t="n"/>
      <c r="I119" s="32">
        <f>IF(F119="","",IF(G119="Yes","Paid",IF(E119="","Unpaid",IF(TODAY()&gt;E119,"Overdue "&amp;(TODAY()-E119)&amp;" days","Due in "&amp;(E119-TODAY())&amp;" days"))))</f>
        <v/>
      </c>
      <c r="J119" s="17" t="n"/>
    </row>
    <row r="120">
      <c r="B120" s="17" t="n"/>
      <c r="C120" s="17" t="n"/>
      <c r="D120" s="26" t="n"/>
      <c r="E120" s="26" t="n"/>
      <c r="F120" s="27" t="n"/>
      <c r="G120" s="30" t="n"/>
      <c r="H120" s="26" t="n"/>
      <c r="I120" s="32">
        <f>IF(F120="","",IF(G120="Yes","Paid",IF(E120="","Unpaid",IF(TODAY()&gt;E120,"Overdue "&amp;(TODAY()-E120)&amp;" days","Due in "&amp;(E120-TODAY())&amp;" days"))))</f>
        <v/>
      </c>
      <c r="J120" s="17" t="n"/>
    </row>
    <row r="121">
      <c r="B121" s="17" t="n"/>
      <c r="C121" s="17" t="n"/>
      <c r="D121" s="26" t="n"/>
      <c r="E121" s="26" t="n"/>
      <c r="F121" s="27" t="n"/>
      <c r="G121" s="30" t="n"/>
      <c r="H121" s="26" t="n"/>
      <c r="I121" s="32">
        <f>IF(F121="","",IF(G121="Yes","Paid",IF(E121="","Unpaid",IF(TODAY()&gt;E121,"Overdue "&amp;(TODAY()-E121)&amp;" days","Due in "&amp;(E121-TODAY())&amp;" days"))))</f>
        <v/>
      </c>
      <c r="J121" s="17" t="n"/>
    </row>
    <row r="122">
      <c r="B122" s="17" t="n"/>
      <c r="C122" s="17" t="n"/>
      <c r="D122" s="26" t="n"/>
      <c r="E122" s="26" t="n"/>
      <c r="F122" s="27" t="n"/>
      <c r="G122" s="30" t="n"/>
      <c r="H122" s="26" t="n"/>
      <c r="I122" s="32">
        <f>IF(F122="","",IF(G122="Yes","Paid",IF(E122="","Unpaid",IF(TODAY()&gt;E122,"Overdue "&amp;(TODAY()-E122)&amp;" days","Due in "&amp;(E122-TODAY())&amp;" days"))))</f>
        <v/>
      </c>
      <c r="J122" s="17" t="n"/>
    </row>
    <row r="123">
      <c r="B123" s="17" t="n"/>
      <c r="C123" s="17" t="n"/>
      <c r="D123" s="26" t="n"/>
      <c r="E123" s="26" t="n"/>
      <c r="F123" s="27" t="n"/>
      <c r="G123" s="30" t="n"/>
      <c r="H123" s="26" t="n"/>
      <c r="I123" s="32">
        <f>IF(F123="","",IF(G123="Yes","Paid",IF(E123="","Unpaid",IF(TODAY()&gt;E123,"Overdue "&amp;(TODAY()-E123)&amp;" days","Due in "&amp;(E123-TODAY())&amp;" days"))))</f>
        <v/>
      </c>
      <c r="J123" s="17" t="n"/>
    </row>
    <row r="124">
      <c r="B124" s="17" t="n"/>
      <c r="C124" s="17" t="n"/>
      <c r="D124" s="26" t="n"/>
      <c r="E124" s="26" t="n"/>
      <c r="F124" s="27" t="n"/>
      <c r="G124" s="30" t="n"/>
      <c r="H124" s="26" t="n"/>
      <c r="I124" s="32">
        <f>IF(F124="","",IF(G124="Yes","Paid",IF(E124="","Unpaid",IF(TODAY()&gt;E124,"Overdue "&amp;(TODAY()-E124)&amp;" days","Due in "&amp;(E124-TODAY())&amp;" days"))))</f>
        <v/>
      </c>
      <c r="J124" s="17" t="n"/>
    </row>
    <row r="125">
      <c r="B125" s="17" t="n"/>
      <c r="C125" s="17" t="n"/>
      <c r="D125" s="26" t="n"/>
      <c r="E125" s="26" t="n"/>
      <c r="F125" s="27" t="n"/>
      <c r="G125" s="30" t="n"/>
      <c r="H125" s="26" t="n"/>
      <c r="I125" s="32">
        <f>IF(F125="","",IF(G125="Yes","Paid",IF(E125="","Unpaid",IF(TODAY()&gt;E125,"Overdue "&amp;(TODAY()-E125)&amp;" days","Due in "&amp;(E125-TODAY())&amp;" days"))))</f>
        <v/>
      </c>
      <c r="J125" s="17" t="n"/>
    </row>
    <row r="126">
      <c r="B126" s="17" t="n"/>
      <c r="C126" s="17" t="n"/>
      <c r="D126" s="26" t="n"/>
      <c r="E126" s="26" t="n"/>
      <c r="F126" s="27" t="n"/>
      <c r="G126" s="30" t="n"/>
      <c r="H126" s="26" t="n"/>
      <c r="I126" s="32">
        <f>IF(F126="","",IF(G126="Yes","Paid",IF(E126="","Unpaid",IF(TODAY()&gt;E126,"Overdue "&amp;(TODAY()-E126)&amp;" days","Due in "&amp;(E126-TODAY())&amp;" days"))))</f>
        <v/>
      </c>
      <c r="J126" s="17" t="n"/>
    </row>
    <row r="127">
      <c r="B127" s="17" t="n"/>
      <c r="C127" s="17" t="n"/>
      <c r="D127" s="26" t="n"/>
      <c r="E127" s="26" t="n"/>
      <c r="F127" s="27" t="n"/>
      <c r="G127" s="30" t="n"/>
      <c r="H127" s="26" t="n"/>
      <c r="I127" s="32">
        <f>IF(F127="","",IF(G127="Yes","Paid",IF(E127="","Unpaid",IF(TODAY()&gt;E127,"Overdue "&amp;(TODAY()-E127)&amp;" days","Due in "&amp;(E127-TODAY())&amp;" days"))))</f>
        <v/>
      </c>
      <c r="J127" s="17" t="n"/>
    </row>
    <row r="128">
      <c r="B128" s="17" t="n"/>
      <c r="C128" s="17" t="n"/>
      <c r="D128" s="26" t="n"/>
      <c r="E128" s="26" t="n"/>
      <c r="F128" s="27" t="n"/>
      <c r="G128" s="30" t="n"/>
      <c r="H128" s="26" t="n"/>
      <c r="I128" s="32">
        <f>IF(F128="","",IF(G128="Yes","Paid",IF(E128="","Unpaid",IF(TODAY()&gt;E128,"Overdue "&amp;(TODAY()-E128)&amp;" days","Due in "&amp;(E128-TODAY())&amp;" days"))))</f>
        <v/>
      </c>
      <c r="J128" s="17" t="n"/>
    </row>
    <row r="129">
      <c r="B129" s="17" t="n"/>
      <c r="C129" s="17" t="n"/>
      <c r="D129" s="26" t="n"/>
      <c r="E129" s="26" t="n"/>
      <c r="F129" s="27" t="n"/>
      <c r="G129" s="30" t="n"/>
      <c r="H129" s="26" t="n"/>
      <c r="I129" s="32">
        <f>IF(F129="","",IF(G129="Yes","Paid",IF(E129="","Unpaid",IF(TODAY()&gt;E129,"Overdue "&amp;(TODAY()-E129)&amp;" days","Due in "&amp;(E129-TODAY())&amp;" days"))))</f>
        <v/>
      </c>
      <c r="J129" s="17" t="n"/>
    </row>
    <row r="130">
      <c r="B130" s="17" t="n"/>
      <c r="C130" s="17" t="n"/>
      <c r="D130" s="26" t="n"/>
      <c r="E130" s="26" t="n"/>
      <c r="F130" s="27" t="n"/>
      <c r="G130" s="30" t="n"/>
      <c r="H130" s="26" t="n"/>
      <c r="I130" s="32">
        <f>IF(F130="","",IF(G130="Yes","Paid",IF(E130="","Unpaid",IF(TODAY()&gt;E130,"Overdue "&amp;(TODAY()-E130)&amp;" days","Due in "&amp;(E130-TODAY())&amp;" days"))))</f>
        <v/>
      </c>
      <c r="J130" s="17" t="n"/>
    </row>
    <row r="131">
      <c r="B131" s="17" t="n"/>
      <c r="C131" s="17" t="n"/>
      <c r="D131" s="26" t="n"/>
      <c r="E131" s="26" t="n"/>
      <c r="F131" s="27" t="n"/>
      <c r="G131" s="30" t="n"/>
      <c r="H131" s="26" t="n"/>
      <c r="I131" s="32">
        <f>IF(F131="","",IF(G131="Yes","Paid",IF(E131="","Unpaid",IF(TODAY()&gt;E131,"Overdue "&amp;(TODAY()-E131)&amp;" days","Due in "&amp;(E131-TODAY())&amp;" days"))))</f>
        <v/>
      </c>
      <c r="J131" s="17" t="n"/>
    </row>
    <row r="132">
      <c r="B132" s="17" t="n"/>
      <c r="C132" s="17" t="n"/>
      <c r="D132" s="26" t="n"/>
      <c r="E132" s="26" t="n"/>
      <c r="F132" s="27" t="n"/>
      <c r="G132" s="30" t="n"/>
      <c r="H132" s="26" t="n"/>
      <c r="I132" s="32">
        <f>IF(F132="","",IF(G132="Yes","Paid",IF(E132="","Unpaid",IF(TODAY()&gt;E132,"Overdue "&amp;(TODAY()-E132)&amp;" days","Due in "&amp;(E132-TODAY())&amp;" days"))))</f>
        <v/>
      </c>
      <c r="J132" s="17" t="n"/>
    </row>
    <row r="133">
      <c r="B133" s="17" t="n"/>
      <c r="C133" s="17" t="n"/>
      <c r="D133" s="26" t="n"/>
      <c r="E133" s="26" t="n"/>
      <c r="F133" s="27" t="n"/>
      <c r="G133" s="30" t="n"/>
      <c r="H133" s="26" t="n"/>
      <c r="I133" s="32">
        <f>IF(F133="","",IF(G133="Yes","Paid",IF(E133="","Unpaid",IF(TODAY()&gt;E133,"Overdue "&amp;(TODAY()-E133)&amp;" days","Due in "&amp;(E133-TODAY())&amp;" days"))))</f>
        <v/>
      </c>
      <c r="J133" s="17" t="n"/>
    </row>
    <row r="134">
      <c r="B134" s="17" t="n"/>
      <c r="C134" s="17" t="n"/>
      <c r="D134" s="26" t="n"/>
      <c r="E134" s="26" t="n"/>
      <c r="F134" s="27" t="n"/>
      <c r="G134" s="30" t="n"/>
      <c r="H134" s="26" t="n"/>
      <c r="I134" s="32">
        <f>IF(F134="","",IF(G134="Yes","Paid",IF(E134="","Unpaid",IF(TODAY()&gt;E134,"Overdue "&amp;(TODAY()-E134)&amp;" days","Due in "&amp;(E134-TODAY())&amp;" days"))))</f>
        <v/>
      </c>
      <c r="J134" s="17" t="n"/>
    </row>
    <row r="135">
      <c r="B135" s="17" t="n"/>
      <c r="C135" s="17" t="n"/>
      <c r="D135" s="26" t="n"/>
      <c r="E135" s="26" t="n"/>
      <c r="F135" s="27" t="n"/>
      <c r="G135" s="30" t="n"/>
      <c r="H135" s="26" t="n"/>
      <c r="I135" s="32">
        <f>IF(F135="","",IF(G135="Yes","Paid",IF(E135="","Unpaid",IF(TODAY()&gt;E135,"Overdue "&amp;(TODAY()-E135)&amp;" days","Due in "&amp;(E135-TODAY())&amp;" days"))))</f>
        <v/>
      </c>
      <c r="J135" s="17" t="n"/>
    </row>
    <row r="136">
      <c r="B136" s="17" t="n"/>
      <c r="C136" s="17" t="n"/>
      <c r="D136" s="26" t="n"/>
      <c r="E136" s="26" t="n"/>
      <c r="F136" s="27" t="n"/>
      <c r="G136" s="30" t="n"/>
      <c r="H136" s="26" t="n"/>
      <c r="I136" s="32">
        <f>IF(F136="","",IF(G136="Yes","Paid",IF(E136="","Unpaid",IF(TODAY()&gt;E136,"Overdue "&amp;(TODAY()-E136)&amp;" days","Due in "&amp;(E136-TODAY())&amp;" days"))))</f>
        <v/>
      </c>
      <c r="J136" s="17" t="n"/>
    </row>
    <row r="137">
      <c r="B137" s="17" t="n"/>
      <c r="C137" s="17" t="n"/>
      <c r="D137" s="26" t="n"/>
      <c r="E137" s="26" t="n"/>
      <c r="F137" s="27" t="n"/>
      <c r="G137" s="30" t="n"/>
      <c r="H137" s="26" t="n"/>
      <c r="I137" s="32">
        <f>IF(F137="","",IF(G137="Yes","Paid",IF(E137="","Unpaid",IF(TODAY()&gt;E137,"Overdue "&amp;(TODAY()-E137)&amp;" days","Due in "&amp;(E137-TODAY())&amp;" days"))))</f>
        <v/>
      </c>
      <c r="J137" s="17" t="n"/>
    </row>
    <row r="138">
      <c r="B138" s="17" t="n"/>
      <c r="C138" s="17" t="n"/>
      <c r="D138" s="26" t="n"/>
      <c r="E138" s="26" t="n"/>
      <c r="F138" s="27" t="n"/>
      <c r="G138" s="30" t="n"/>
      <c r="H138" s="26" t="n"/>
      <c r="I138" s="32">
        <f>IF(F138="","",IF(G138="Yes","Paid",IF(E138="","Unpaid",IF(TODAY()&gt;E138,"Overdue "&amp;(TODAY()-E138)&amp;" days","Due in "&amp;(E138-TODAY())&amp;" days"))))</f>
        <v/>
      </c>
      <c r="J138" s="17" t="n"/>
    </row>
    <row r="139">
      <c r="B139" s="17" t="n"/>
      <c r="C139" s="17" t="n"/>
      <c r="D139" s="26" t="n"/>
      <c r="E139" s="26" t="n"/>
      <c r="F139" s="27" t="n"/>
      <c r="G139" s="30" t="n"/>
      <c r="H139" s="26" t="n"/>
      <c r="I139" s="32">
        <f>IF(F139="","",IF(G139="Yes","Paid",IF(E139="","Unpaid",IF(TODAY()&gt;E139,"Overdue "&amp;(TODAY()-E139)&amp;" days","Due in "&amp;(E139-TODAY())&amp;" days"))))</f>
        <v/>
      </c>
      <c r="J139" s="17" t="n"/>
    </row>
    <row r="140">
      <c r="B140" s="17" t="n"/>
      <c r="C140" s="17" t="n"/>
      <c r="D140" s="26" t="n"/>
      <c r="E140" s="26" t="n"/>
      <c r="F140" s="27" t="n"/>
      <c r="G140" s="30" t="n"/>
      <c r="H140" s="26" t="n"/>
      <c r="I140" s="32">
        <f>IF(F140="","",IF(G140="Yes","Paid",IF(E140="","Unpaid",IF(TODAY()&gt;E140,"Overdue "&amp;(TODAY()-E140)&amp;" days","Due in "&amp;(E140-TODAY())&amp;" days"))))</f>
        <v/>
      </c>
      <c r="J140" s="17" t="n"/>
    </row>
    <row r="141">
      <c r="B141" s="17" t="n"/>
      <c r="C141" s="17" t="n"/>
      <c r="D141" s="26" t="n"/>
      <c r="E141" s="26" t="n"/>
      <c r="F141" s="27" t="n"/>
      <c r="G141" s="30" t="n"/>
      <c r="H141" s="26" t="n"/>
      <c r="I141" s="32">
        <f>IF(F141="","",IF(G141="Yes","Paid",IF(E141="","Unpaid",IF(TODAY()&gt;E141,"Overdue "&amp;(TODAY()-E141)&amp;" days","Due in "&amp;(E141-TODAY())&amp;" days"))))</f>
        <v/>
      </c>
      <c r="J141" s="17" t="n"/>
    </row>
    <row r="142">
      <c r="B142" s="17" t="n"/>
      <c r="C142" s="17" t="n"/>
      <c r="D142" s="26" t="n"/>
      <c r="E142" s="26" t="n"/>
      <c r="F142" s="27" t="n"/>
      <c r="G142" s="30" t="n"/>
      <c r="H142" s="26" t="n"/>
      <c r="I142" s="32">
        <f>IF(F142="","",IF(G142="Yes","Paid",IF(E142="","Unpaid",IF(TODAY()&gt;E142,"Overdue "&amp;(TODAY()-E142)&amp;" days","Due in "&amp;(E142-TODAY())&amp;" days"))))</f>
        <v/>
      </c>
      <c r="J142" s="17" t="n"/>
    </row>
    <row r="143">
      <c r="B143" s="17" t="n"/>
      <c r="C143" s="17" t="n"/>
      <c r="D143" s="26" t="n"/>
      <c r="E143" s="26" t="n"/>
      <c r="F143" s="27" t="n"/>
      <c r="G143" s="30" t="n"/>
      <c r="H143" s="26" t="n"/>
      <c r="I143" s="32">
        <f>IF(F143="","",IF(G143="Yes","Paid",IF(E143="","Unpaid",IF(TODAY()&gt;E143,"Overdue "&amp;(TODAY()-E143)&amp;" days","Due in "&amp;(E143-TODAY())&amp;" days"))))</f>
        <v/>
      </c>
      <c r="J143" s="17" t="n"/>
    </row>
    <row r="144">
      <c r="B144" s="17" t="n"/>
      <c r="C144" s="17" t="n"/>
      <c r="D144" s="26" t="n"/>
      <c r="E144" s="26" t="n"/>
      <c r="F144" s="27" t="n"/>
      <c r="G144" s="30" t="n"/>
      <c r="H144" s="26" t="n"/>
      <c r="I144" s="32">
        <f>IF(F144="","",IF(G144="Yes","Paid",IF(E144="","Unpaid",IF(TODAY()&gt;E144,"Overdue "&amp;(TODAY()-E144)&amp;" days","Due in "&amp;(E144-TODAY())&amp;" days"))))</f>
        <v/>
      </c>
      <c r="J144" s="17" t="n"/>
    </row>
    <row r="145">
      <c r="B145" s="17" t="n"/>
      <c r="C145" s="17" t="n"/>
      <c r="D145" s="26" t="n"/>
      <c r="E145" s="26" t="n"/>
      <c r="F145" s="27" t="n"/>
      <c r="G145" s="30" t="n"/>
      <c r="H145" s="26" t="n"/>
      <c r="I145" s="32">
        <f>IF(F145="","",IF(G145="Yes","Paid",IF(E145="","Unpaid",IF(TODAY()&gt;E145,"Overdue "&amp;(TODAY()-E145)&amp;" days","Due in "&amp;(E145-TODAY())&amp;" days"))))</f>
        <v/>
      </c>
      <c r="J145" s="17" t="n"/>
    </row>
    <row r="146">
      <c r="B146" s="17" t="n"/>
      <c r="C146" s="17" t="n"/>
      <c r="D146" s="26" t="n"/>
      <c r="E146" s="26" t="n"/>
      <c r="F146" s="27" t="n"/>
      <c r="G146" s="30" t="n"/>
      <c r="H146" s="26" t="n"/>
      <c r="I146" s="32">
        <f>IF(F146="","",IF(G146="Yes","Paid",IF(E146="","Unpaid",IF(TODAY()&gt;E146,"Overdue "&amp;(TODAY()-E146)&amp;" days","Due in "&amp;(E146-TODAY())&amp;" days"))))</f>
        <v/>
      </c>
      <c r="J146" s="17" t="n"/>
    </row>
    <row r="147">
      <c r="B147" s="17" t="n"/>
      <c r="C147" s="17" t="n"/>
      <c r="D147" s="26" t="n"/>
      <c r="E147" s="26" t="n"/>
      <c r="F147" s="27" t="n"/>
      <c r="G147" s="30" t="n"/>
      <c r="H147" s="26" t="n"/>
      <c r="I147" s="32">
        <f>IF(F147="","",IF(G147="Yes","Paid",IF(E147="","Unpaid",IF(TODAY()&gt;E147,"Overdue "&amp;(TODAY()-E147)&amp;" days","Due in "&amp;(E147-TODAY())&amp;" days"))))</f>
        <v/>
      </c>
      <c r="J147" s="17" t="n"/>
    </row>
    <row r="148">
      <c r="B148" s="17" t="n"/>
      <c r="C148" s="17" t="n"/>
      <c r="D148" s="26" t="n"/>
      <c r="E148" s="26" t="n"/>
      <c r="F148" s="27" t="n"/>
      <c r="G148" s="30" t="n"/>
      <c r="H148" s="26" t="n"/>
      <c r="I148" s="32">
        <f>IF(F148="","",IF(G148="Yes","Paid",IF(E148="","Unpaid",IF(TODAY()&gt;E148,"Overdue "&amp;(TODAY()-E148)&amp;" days","Due in "&amp;(E148-TODAY())&amp;" days"))))</f>
        <v/>
      </c>
      <c r="J148" s="17" t="n"/>
    </row>
    <row r="149">
      <c r="B149" s="17" t="n"/>
      <c r="C149" s="17" t="n"/>
      <c r="D149" s="26" t="n"/>
      <c r="E149" s="26" t="n"/>
      <c r="F149" s="27" t="n"/>
      <c r="G149" s="30" t="n"/>
      <c r="H149" s="26" t="n"/>
      <c r="I149" s="32">
        <f>IF(F149="","",IF(G149="Yes","Paid",IF(E149="","Unpaid",IF(TODAY()&gt;E149,"Overdue "&amp;(TODAY()-E149)&amp;" days","Due in "&amp;(E149-TODAY())&amp;" days"))))</f>
        <v/>
      </c>
      <c r="J149" s="17" t="n"/>
    </row>
    <row r="150">
      <c r="B150" s="17" t="n"/>
      <c r="C150" s="17" t="n"/>
      <c r="D150" s="26" t="n"/>
      <c r="E150" s="26" t="n"/>
      <c r="F150" s="27" t="n"/>
      <c r="G150" s="30" t="n"/>
      <c r="H150" s="26" t="n"/>
      <c r="I150" s="32">
        <f>IF(F150="","",IF(G150="Yes","Paid",IF(E150="","Unpaid",IF(TODAY()&gt;E150,"Overdue "&amp;(TODAY()-E150)&amp;" days","Due in "&amp;(E150-TODAY())&amp;" days"))))</f>
        <v/>
      </c>
      <c r="J150" s="17" t="n"/>
    </row>
    <row r="151">
      <c r="B151" s="17" t="n"/>
      <c r="C151" s="17" t="n"/>
      <c r="D151" s="26" t="n"/>
      <c r="E151" s="26" t="n"/>
      <c r="F151" s="27" t="n"/>
      <c r="G151" s="30" t="n"/>
      <c r="H151" s="26" t="n"/>
      <c r="I151" s="32">
        <f>IF(F151="","",IF(G151="Yes","Paid",IF(E151="","Unpaid",IF(TODAY()&gt;E151,"Overdue "&amp;(TODAY()-E151)&amp;" days","Due in "&amp;(E151-TODAY())&amp;" days"))))</f>
        <v/>
      </c>
      <c r="J151" s="17" t="n"/>
    </row>
    <row r="152">
      <c r="B152" s="17" t="n"/>
      <c r="C152" s="17" t="n"/>
      <c r="D152" s="26" t="n"/>
      <c r="E152" s="26" t="n"/>
      <c r="F152" s="27" t="n"/>
      <c r="G152" s="30" t="n"/>
      <c r="H152" s="26" t="n"/>
      <c r="I152" s="32">
        <f>IF(F152="","",IF(G152="Yes","Paid",IF(E152="","Unpaid",IF(TODAY()&gt;E152,"Overdue "&amp;(TODAY()-E152)&amp;" days","Due in "&amp;(E152-TODAY())&amp;" days"))))</f>
        <v/>
      </c>
      <c r="J152" s="17" t="n"/>
    </row>
    <row r="153">
      <c r="B153" s="17" t="n"/>
      <c r="C153" s="17" t="n"/>
      <c r="D153" s="26" t="n"/>
      <c r="E153" s="26" t="n"/>
      <c r="F153" s="27" t="n"/>
      <c r="G153" s="30" t="n"/>
      <c r="H153" s="26" t="n"/>
      <c r="I153" s="32">
        <f>IF(F153="","",IF(G153="Yes","Paid",IF(E153="","Unpaid",IF(TODAY()&gt;E153,"Overdue "&amp;(TODAY()-E153)&amp;" days","Due in "&amp;(E153-TODAY())&amp;" days"))))</f>
        <v/>
      </c>
      <c r="J153" s="17" t="n"/>
    </row>
    <row r="154">
      <c r="B154" s="17" t="n"/>
      <c r="C154" s="17" t="n"/>
      <c r="D154" s="26" t="n"/>
      <c r="E154" s="26" t="n"/>
      <c r="F154" s="27" t="n"/>
      <c r="G154" s="30" t="n"/>
      <c r="H154" s="26" t="n"/>
      <c r="I154" s="32">
        <f>IF(F154="","",IF(G154="Yes","Paid",IF(E154="","Unpaid",IF(TODAY()&gt;E154,"Overdue "&amp;(TODAY()-E154)&amp;" days","Due in "&amp;(E154-TODAY())&amp;" days"))))</f>
        <v/>
      </c>
      <c r="J154" s="17" t="n"/>
    </row>
    <row r="155">
      <c r="B155" s="17" t="n"/>
      <c r="C155" s="17" t="n"/>
      <c r="D155" s="26" t="n"/>
      <c r="E155" s="26" t="n"/>
      <c r="F155" s="27" t="n"/>
      <c r="G155" s="30" t="n"/>
      <c r="H155" s="26" t="n"/>
      <c r="I155" s="32">
        <f>IF(F155="","",IF(G155="Yes","Paid",IF(E155="","Unpaid",IF(TODAY()&gt;E155,"Overdue "&amp;(TODAY()-E155)&amp;" days","Due in "&amp;(E155-TODAY())&amp;" days"))))</f>
        <v/>
      </c>
      <c r="J155" s="17" t="n"/>
    </row>
    <row r="156">
      <c r="B156" s="17" t="n"/>
      <c r="C156" s="17" t="n"/>
      <c r="D156" s="26" t="n"/>
      <c r="E156" s="26" t="n"/>
      <c r="F156" s="27" t="n"/>
      <c r="G156" s="30" t="n"/>
      <c r="H156" s="26" t="n"/>
      <c r="I156" s="32">
        <f>IF(F156="","",IF(G156="Yes","Paid",IF(E156="","Unpaid",IF(TODAY()&gt;E156,"Overdue "&amp;(TODAY()-E156)&amp;" days","Due in "&amp;(E156-TODAY())&amp;" days"))))</f>
        <v/>
      </c>
      <c r="J156" s="17" t="n"/>
    </row>
    <row r="157">
      <c r="B157" s="17" t="n"/>
      <c r="C157" s="17" t="n"/>
      <c r="D157" s="26" t="n"/>
      <c r="E157" s="26" t="n"/>
      <c r="F157" s="27" t="n"/>
      <c r="G157" s="30" t="n"/>
      <c r="H157" s="26" t="n"/>
      <c r="I157" s="32">
        <f>IF(F157="","",IF(G157="Yes","Paid",IF(E157="","Unpaid",IF(TODAY()&gt;E157,"Overdue "&amp;(TODAY()-E157)&amp;" days","Due in "&amp;(E157-TODAY())&amp;" days"))))</f>
        <v/>
      </c>
      <c r="J157" s="17" t="n"/>
    </row>
    <row r="158">
      <c r="B158" s="17" t="n"/>
      <c r="C158" s="17" t="n"/>
      <c r="D158" s="26" t="n"/>
      <c r="E158" s="26" t="n"/>
      <c r="F158" s="27" t="n"/>
      <c r="G158" s="30" t="n"/>
      <c r="H158" s="26" t="n"/>
      <c r="I158" s="32">
        <f>IF(F158="","",IF(G158="Yes","Paid",IF(E158="","Unpaid",IF(TODAY()&gt;E158,"Overdue "&amp;(TODAY()-E158)&amp;" days","Due in "&amp;(E158-TODAY())&amp;" days"))))</f>
        <v/>
      </c>
      <c r="J158" s="17" t="n"/>
    </row>
    <row r="159">
      <c r="B159" s="17" t="n"/>
      <c r="C159" s="17" t="n"/>
      <c r="D159" s="26" t="n"/>
      <c r="E159" s="26" t="n"/>
      <c r="F159" s="27" t="n"/>
      <c r="G159" s="30" t="n"/>
      <c r="H159" s="26" t="n"/>
      <c r="I159" s="32">
        <f>IF(F159="","",IF(G159="Yes","Paid",IF(E159="","Unpaid",IF(TODAY()&gt;E159,"Overdue "&amp;(TODAY()-E159)&amp;" days","Due in "&amp;(E159-TODAY())&amp;" days"))))</f>
        <v/>
      </c>
      <c r="J159" s="17" t="n"/>
    </row>
    <row r="160">
      <c r="B160" s="17" t="n"/>
      <c r="C160" s="17" t="n"/>
      <c r="D160" s="26" t="n"/>
      <c r="E160" s="26" t="n"/>
      <c r="F160" s="27" t="n"/>
      <c r="G160" s="30" t="n"/>
      <c r="H160" s="26" t="n"/>
      <c r="I160" s="32">
        <f>IF(F160="","",IF(G160="Yes","Paid",IF(E160="","Unpaid",IF(TODAY()&gt;E160,"Overdue "&amp;(TODAY()-E160)&amp;" days","Due in "&amp;(E160-TODAY())&amp;" days"))))</f>
        <v/>
      </c>
      <c r="J160" s="17" t="n"/>
    </row>
    <row r="161">
      <c r="B161" s="17" t="n"/>
      <c r="C161" s="17" t="n"/>
      <c r="D161" s="26" t="n"/>
      <c r="E161" s="26" t="n"/>
      <c r="F161" s="27" t="n"/>
      <c r="G161" s="30" t="n"/>
      <c r="H161" s="26" t="n"/>
      <c r="I161" s="32">
        <f>IF(F161="","",IF(G161="Yes","Paid",IF(E161="","Unpaid",IF(TODAY()&gt;E161,"Overdue "&amp;(TODAY()-E161)&amp;" days","Due in "&amp;(E161-TODAY())&amp;" days"))))</f>
        <v/>
      </c>
      <c r="J161" s="17" t="n"/>
    </row>
    <row r="162">
      <c r="B162" s="17" t="n"/>
      <c r="C162" s="17" t="n"/>
      <c r="D162" s="26" t="n"/>
      <c r="E162" s="26" t="n"/>
      <c r="F162" s="27" t="n"/>
      <c r="G162" s="30" t="n"/>
      <c r="H162" s="26" t="n"/>
      <c r="I162" s="32">
        <f>IF(F162="","",IF(G162="Yes","Paid",IF(E162="","Unpaid",IF(TODAY()&gt;E162,"Overdue "&amp;(TODAY()-E162)&amp;" days","Due in "&amp;(E162-TODAY())&amp;" days"))))</f>
        <v/>
      </c>
      <c r="J162" s="17" t="n"/>
    </row>
    <row r="163">
      <c r="B163" s="17" t="n"/>
      <c r="C163" s="17" t="n"/>
      <c r="D163" s="26" t="n"/>
      <c r="E163" s="26" t="n"/>
      <c r="F163" s="27" t="n"/>
      <c r="G163" s="30" t="n"/>
      <c r="H163" s="26" t="n"/>
      <c r="I163" s="32">
        <f>IF(F163="","",IF(G163="Yes","Paid",IF(E163="","Unpaid",IF(TODAY()&gt;E163,"Overdue "&amp;(TODAY()-E163)&amp;" days","Due in "&amp;(E163-TODAY())&amp;" days"))))</f>
        <v/>
      </c>
      <c r="J163" s="17" t="n"/>
    </row>
    <row r="164">
      <c r="B164" s="17" t="n"/>
      <c r="C164" s="17" t="n"/>
      <c r="D164" s="26" t="n"/>
      <c r="E164" s="26" t="n"/>
      <c r="F164" s="27" t="n"/>
      <c r="G164" s="30" t="n"/>
      <c r="H164" s="26" t="n"/>
      <c r="I164" s="32">
        <f>IF(F164="","",IF(G164="Yes","Paid",IF(E164="","Unpaid",IF(TODAY()&gt;E164,"Overdue "&amp;(TODAY()-E164)&amp;" days","Due in "&amp;(E164-TODAY())&amp;" days"))))</f>
        <v/>
      </c>
      <c r="J164" s="17" t="n"/>
    </row>
    <row r="165">
      <c r="B165" s="17" t="n"/>
      <c r="C165" s="17" t="n"/>
      <c r="D165" s="26" t="n"/>
      <c r="E165" s="26" t="n"/>
      <c r="F165" s="27" t="n"/>
      <c r="G165" s="30" t="n"/>
      <c r="H165" s="26" t="n"/>
      <c r="I165" s="32">
        <f>IF(F165="","",IF(G165="Yes","Paid",IF(E165="","Unpaid",IF(TODAY()&gt;E165,"Overdue "&amp;(TODAY()-E165)&amp;" days","Due in "&amp;(E165-TODAY())&amp;" days"))))</f>
        <v/>
      </c>
      <c r="J165" s="17" t="n"/>
    </row>
    <row r="166">
      <c r="B166" s="17" t="n"/>
      <c r="C166" s="17" t="n"/>
      <c r="D166" s="26" t="n"/>
      <c r="E166" s="26" t="n"/>
      <c r="F166" s="27" t="n"/>
      <c r="G166" s="30" t="n"/>
      <c r="H166" s="26" t="n"/>
      <c r="I166" s="32">
        <f>IF(F166="","",IF(G166="Yes","Paid",IF(E166="","Unpaid",IF(TODAY()&gt;E166,"Overdue "&amp;(TODAY()-E166)&amp;" days","Due in "&amp;(E166-TODAY())&amp;" days"))))</f>
        <v/>
      </c>
      <c r="J166" s="17" t="n"/>
    </row>
    <row r="167">
      <c r="B167" s="17" t="n"/>
      <c r="C167" s="17" t="n"/>
      <c r="D167" s="26" t="n"/>
      <c r="E167" s="26" t="n"/>
      <c r="F167" s="27" t="n"/>
      <c r="G167" s="30" t="n"/>
      <c r="H167" s="26" t="n"/>
      <c r="I167" s="32">
        <f>IF(F167="","",IF(G167="Yes","Paid",IF(E167="","Unpaid",IF(TODAY()&gt;E167,"Overdue "&amp;(TODAY()-E167)&amp;" days","Due in "&amp;(E167-TODAY())&amp;" days"))))</f>
        <v/>
      </c>
      <c r="J167" s="17" t="n"/>
    </row>
    <row r="168">
      <c r="B168" s="17" t="n"/>
      <c r="C168" s="17" t="n"/>
      <c r="D168" s="26" t="n"/>
      <c r="E168" s="26" t="n"/>
      <c r="F168" s="27" t="n"/>
      <c r="G168" s="30" t="n"/>
      <c r="H168" s="26" t="n"/>
      <c r="I168" s="32">
        <f>IF(F168="","",IF(G168="Yes","Paid",IF(E168="","Unpaid",IF(TODAY()&gt;E168,"Overdue "&amp;(TODAY()-E168)&amp;" days","Due in "&amp;(E168-TODAY())&amp;" days"))))</f>
        <v/>
      </c>
      <c r="J168" s="17" t="n"/>
    </row>
    <row r="169">
      <c r="B169" s="17" t="n"/>
      <c r="C169" s="17" t="n"/>
      <c r="D169" s="26" t="n"/>
      <c r="E169" s="26" t="n"/>
      <c r="F169" s="27" t="n"/>
      <c r="G169" s="30" t="n"/>
      <c r="H169" s="26" t="n"/>
      <c r="I169" s="32">
        <f>IF(F169="","",IF(G169="Yes","Paid",IF(E169="","Unpaid",IF(TODAY()&gt;E169,"Overdue "&amp;(TODAY()-E169)&amp;" days","Due in "&amp;(E169-TODAY())&amp;" days"))))</f>
        <v/>
      </c>
      <c r="J169" s="17" t="n"/>
    </row>
    <row r="170">
      <c r="B170" s="17" t="n"/>
      <c r="C170" s="17" t="n"/>
      <c r="D170" s="26" t="n"/>
      <c r="E170" s="26" t="n"/>
      <c r="F170" s="27" t="n"/>
      <c r="G170" s="30" t="n"/>
      <c r="H170" s="26" t="n"/>
      <c r="I170" s="32">
        <f>IF(F170="","",IF(G170="Yes","Paid",IF(E170="","Unpaid",IF(TODAY()&gt;E170,"Overdue "&amp;(TODAY()-E170)&amp;" days","Due in "&amp;(E170-TODAY())&amp;" days"))))</f>
        <v/>
      </c>
      <c r="J170" s="17" t="n"/>
    </row>
    <row r="171">
      <c r="B171" s="17" t="n"/>
      <c r="C171" s="17" t="n"/>
      <c r="D171" s="26" t="n"/>
      <c r="E171" s="26" t="n"/>
      <c r="F171" s="27" t="n"/>
      <c r="G171" s="30" t="n"/>
      <c r="H171" s="26" t="n"/>
      <c r="I171" s="32">
        <f>IF(F171="","",IF(G171="Yes","Paid",IF(E171="","Unpaid",IF(TODAY()&gt;E171,"Overdue "&amp;(TODAY()-E171)&amp;" days","Due in "&amp;(E171-TODAY())&amp;" days"))))</f>
        <v/>
      </c>
      <c r="J171" s="17" t="n"/>
    </row>
    <row r="172">
      <c r="B172" s="17" t="n"/>
      <c r="C172" s="17" t="n"/>
      <c r="D172" s="26" t="n"/>
      <c r="E172" s="26" t="n"/>
      <c r="F172" s="27" t="n"/>
      <c r="G172" s="30" t="n"/>
      <c r="H172" s="26" t="n"/>
      <c r="I172" s="32">
        <f>IF(F172="","",IF(G172="Yes","Paid",IF(E172="","Unpaid",IF(TODAY()&gt;E172,"Overdue "&amp;(TODAY()-E172)&amp;" days","Due in "&amp;(E172-TODAY())&amp;" days"))))</f>
        <v/>
      </c>
      <c r="J172" s="17" t="n"/>
    </row>
    <row r="173">
      <c r="B173" s="17" t="n"/>
      <c r="C173" s="17" t="n"/>
      <c r="D173" s="26" t="n"/>
      <c r="E173" s="26" t="n"/>
      <c r="F173" s="27" t="n"/>
      <c r="G173" s="30" t="n"/>
      <c r="H173" s="26" t="n"/>
      <c r="I173" s="32">
        <f>IF(F173="","",IF(G173="Yes","Paid",IF(E173="","Unpaid",IF(TODAY()&gt;E173,"Overdue "&amp;(TODAY()-E173)&amp;" days","Due in "&amp;(E173-TODAY())&amp;" days"))))</f>
        <v/>
      </c>
      <c r="J173" s="17" t="n"/>
    </row>
    <row r="174">
      <c r="B174" s="17" t="n"/>
      <c r="C174" s="17" t="n"/>
      <c r="D174" s="26" t="n"/>
      <c r="E174" s="26" t="n"/>
      <c r="F174" s="27" t="n"/>
      <c r="G174" s="30" t="n"/>
      <c r="H174" s="26" t="n"/>
      <c r="I174" s="32">
        <f>IF(F174="","",IF(G174="Yes","Paid",IF(E174="","Unpaid",IF(TODAY()&gt;E174,"Overdue "&amp;(TODAY()-E174)&amp;" days","Due in "&amp;(E174-TODAY())&amp;" days"))))</f>
        <v/>
      </c>
      <c r="J174" s="17" t="n"/>
    </row>
    <row r="175">
      <c r="B175" s="17" t="n"/>
      <c r="C175" s="17" t="n"/>
      <c r="D175" s="26" t="n"/>
      <c r="E175" s="26" t="n"/>
      <c r="F175" s="27" t="n"/>
      <c r="G175" s="30" t="n"/>
      <c r="H175" s="26" t="n"/>
      <c r="I175" s="32">
        <f>IF(F175="","",IF(G175="Yes","Paid",IF(E175="","Unpaid",IF(TODAY()&gt;E175,"Overdue "&amp;(TODAY()-E175)&amp;" days","Due in "&amp;(E175-TODAY())&amp;" days"))))</f>
        <v/>
      </c>
      <c r="J175" s="17" t="n"/>
    </row>
    <row r="176">
      <c r="B176" s="17" t="n"/>
      <c r="C176" s="17" t="n"/>
      <c r="D176" s="26" t="n"/>
      <c r="E176" s="26" t="n"/>
      <c r="F176" s="27" t="n"/>
      <c r="G176" s="30" t="n"/>
      <c r="H176" s="26" t="n"/>
      <c r="I176" s="32">
        <f>IF(F176="","",IF(G176="Yes","Paid",IF(E176="","Unpaid",IF(TODAY()&gt;E176,"Overdue "&amp;(TODAY()-E176)&amp;" days","Due in "&amp;(E176-TODAY())&amp;" days"))))</f>
        <v/>
      </c>
      <c r="J176" s="17" t="n"/>
    </row>
    <row r="177">
      <c r="B177" s="17" t="n"/>
      <c r="C177" s="17" t="n"/>
      <c r="D177" s="26" t="n"/>
      <c r="E177" s="26" t="n"/>
      <c r="F177" s="27" t="n"/>
      <c r="G177" s="30" t="n"/>
      <c r="H177" s="26" t="n"/>
      <c r="I177" s="32">
        <f>IF(F177="","",IF(G177="Yes","Paid",IF(E177="","Unpaid",IF(TODAY()&gt;E177,"Overdue "&amp;(TODAY()-E177)&amp;" days","Due in "&amp;(E177-TODAY())&amp;" days"))))</f>
        <v/>
      </c>
      <c r="J177" s="17" t="n"/>
    </row>
    <row r="178">
      <c r="B178" s="17" t="n"/>
      <c r="C178" s="17" t="n"/>
      <c r="D178" s="26" t="n"/>
      <c r="E178" s="26" t="n"/>
      <c r="F178" s="27" t="n"/>
      <c r="G178" s="30" t="n"/>
      <c r="H178" s="26" t="n"/>
      <c r="I178" s="32">
        <f>IF(F178="","",IF(G178="Yes","Paid",IF(E178="","Unpaid",IF(TODAY()&gt;E178,"Overdue "&amp;(TODAY()-E178)&amp;" days","Due in "&amp;(E178-TODAY())&amp;" days"))))</f>
        <v/>
      </c>
      <c r="J178" s="17" t="n"/>
    </row>
    <row r="179">
      <c r="B179" s="17" t="n"/>
      <c r="C179" s="17" t="n"/>
      <c r="D179" s="26" t="n"/>
      <c r="E179" s="26" t="n"/>
      <c r="F179" s="27" t="n"/>
      <c r="G179" s="30" t="n"/>
      <c r="H179" s="26" t="n"/>
      <c r="I179" s="32">
        <f>IF(F179="","",IF(G179="Yes","Paid",IF(E179="","Unpaid",IF(TODAY()&gt;E179,"Overdue "&amp;(TODAY()-E179)&amp;" days","Due in "&amp;(E179-TODAY())&amp;" days"))))</f>
        <v/>
      </c>
      <c r="J179" s="17" t="n"/>
    </row>
    <row r="180">
      <c r="B180" s="17" t="n"/>
      <c r="C180" s="17" t="n"/>
      <c r="D180" s="26" t="n"/>
      <c r="E180" s="26" t="n"/>
      <c r="F180" s="27" t="n"/>
      <c r="G180" s="30" t="n"/>
      <c r="H180" s="26" t="n"/>
      <c r="I180" s="32">
        <f>IF(F180="","",IF(G180="Yes","Paid",IF(E180="","Unpaid",IF(TODAY()&gt;E180,"Overdue "&amp;(TODAY()-E180)&amp;" days","Due in "&amp;(E180-TODAY())&amp;" days"))))</f>
        <v/>
      </c>
      <c r="J180" s="17" t="n"/>
    </row>
    <row r="181">
      <c r="B181" s="17" t="n"/>
      <c r="C181" s="17" t="n"/>
      <c r="D181" s="26" t="n"/>
      <c r="E181" s="26" t="n"/>
      <c r="F181" s="27" t="n"/>
      <c r="G181" s="30" t="n"/>
      <c r="H181" s="26" t="n"/>
      <c r="I181" s="32">
        <f>IF(F181="","",IF(G181="Yes","Paid",IF(E181="","Unpaid",IF(TODAY()&gt;E181,"Overdue "&amp;(TODAY()-E181)&amp;" days","Due in "&amp;(E181-TODAY())&amp;" days"))))</f>
        <v/>
      </c>
      <c r="J181" s="17" t="n"/>
    </row>
    <row r="182">
      <c r="B182" s="17" t="n"/>
      <c r="C182" s="17" t="n"/>
      <c r="D182" s="26" t="n"/>
      <c r="E182" s="26" t="n"/>
      <c r="F182" s="27" t="n"/>
      <c r="G182" s="30" t="n"/>
      <c r="H182" s="26" t="n"/>
      <c r="I182" s="32">
        <f>IF(F182="","",IF(G182="Yes","Paid",IF(E182="","Unpaid",IF(TODAY()&gt;E182,"Overdue "&amp;(TODAY()-E182)&amp;" days","Due in "&amp;(E182-TODAY())&amp;" days"))))</f>
        <v/>
      </c>
      <c r="J182" s="17" t="n"/>
    </row>
    <row r="183">
      <c r="B183" s="17" t="n"/>
      <c r="C183" s="17" t="n"/>
      <c r="D183" s="26" t="n"/>
      <c r="E183" s="26" t="n"/>
      <c r="F183" s="27" t="n"/>
      <c r="G183" s="30" t="n"/>
      <c r="H183" s="26" t="n"/>
      <c r="I183" s="32">
        <f>IF(F183="","",IF(G183="Yes","Paid",IF(E183="","Unpaid",IF(TODAY()&gt;E183,"Overdue "&amp;(TODAY()-E183)&amp;" days","Due in "&amp;(E183-TODAY())&amp;" days"))))</f>
        <v/>
      </c>
      <c r="J183" s="17" t="n"/>
    </row>
    <row r="184">
      <c r="B184" s="17" t="n"/>
      <c r="C184" s="17" t="n"/>
      <c r="D184" s="26" t="n"/>
      <c r="E184" s="26" t="n"/>
      <c r="F184" s="27" t="n"/>
      <c r="G184" s="30" t="n"/>
      <c r="H184" s="26" t="n"/>
      <c r="I184" s="32">
        <f>IF(F184="","",IF(G184="Yes","Paid",IF(E184="","Unpaid",IF(TODAY()&gt;E184,"Overdue "&amp;(TODAY()-E184)&amp;" days","Due in "&amp;(E184-TODAY())&amp;" days"))))</f>
        <v/>
      </c>
      <c r="J184" s="17" t="n"/>
    </row>
    <row r="185">
      <c r="B185" s="17" t="n"/>
      <c r="C185" s="17" t="n"/>
      <c r="D185" s="26" t="n"/>
      <c r="E185" s="26" t="n"/>
      <c r="F185" s="27" t="n"/>
      <c r="G185" s="30" t="n"/>
      <c r="H185" s="26" t="n"/>
      <c r="I185" s="32">
        <f>IF(F185="","",IF(G185="Yes","Paid",IF(E185="","Unpaid",IF(TODAY()&gt;E185,"Overdue "&amp;(TODAY()-E185)&amp;" days","Due in "&amp;(E185-TODAY())&amp;" days"))))</f>
        <v/>
      </c>
      <c r="J185" s="17" t="n"/>
    </row>
    <row r="186">
      <c r="B186" s="17" t="n"/>
      <c r="C186" s="17" t="n"/>
      <c r="D186" s="26" t="n"/>
      <c r="E186" s="26" t="n"/>
      <c r="F186" s="27" t="n"/>
      <c r="G186" s="30" t="n"/>
      <c r="H186" s="26" t="n"/>
      <c r="I186" s="32">
        <f>IF(F186="","",IF(G186="Yes","Paid",IF(E186="","Unpaid",IF(TODAY()&gt;E186,"Overdue "&amp;(TODAY()-E186)&amp;" days","Due in "&amp;(E186-TODAY())&amp;" days"))))</f>
        <v/>
      </c>
      <c r="J186" s="17" t="n"/>
    </row>
    <row r="187">
      <c r="B187" s="17" t="n"/>
      <c r="C187" s="17" t="n"/>
      <c r="D187" s="26" t="n"/>
      <c r="E187" s="26" t="n"/>
      <c r="F187" s="27" t="n"/>
      <c r="G187" s="30" t="n"/>
      <c r="H187" s="26" t="n"/>
      <c r="I187" s="32">
        <f>IF(F187="","",IF(G187="Yes","Paid",IF(E187="","Unpaid",IF(TODAY()&gt;E187,"Overdue "&amp;(TODAY()-E187)&amp;" days","Due in "&amp;(E187-TODAY())&amp;" days"))))</f>
        <v/>
      </c>
      <c r="J187" s="17" t="n"/>
    </row>
    <row r="188">
      <c r="B188" s="17" t="n"/>
      <c r="C188" s="17" t="n"/>
      <c r="D188" s="26" t="n"/>
      <c r="E188" s="26" t="n"/>
      <c r="F188" s="27" t="n"/>
      <c r="G188" s="30" t="n"/>
      <c r="H188" s="26" t="n"/>
      <c r="I188" s="32">
        <f>IF(F188="","",IF(G188="Yes","Paid",IF(E188="","Unpaid",IF(TODAY()&gt;E188,"Overdue "&amp;(TODAY()-E188)&amp;" days","Due in "&amp;(E188-TODAY())&amp;" days"))))</f>
        <v/>
      </c>
      <c r="J188" s="17" t="n"/>
    </row>
    <row r="189">
      <c r="B189" s="17" t="n"/>
      <c r="C189" s="17" t="n"/>
      <c r="D189" s="26" t="n"/>
      <c r="E189" s="26" t="n"/>
      <c r="F189" s="27" t="n"/>
      <c r="G189" s="30" t="n"/>
      <c r="H189" s="26" t="n"/>
      <c r="I189" s="32">
        <f>IF(F189="","",IF(G189="Yes","Paid",IF(E189="","Unpaid",IF(TODAY()&gt;E189,"Overdue "&amp;(TODAY()-E189)&amp;" days","Due in "&amp;(E189-TODAY())&amp;" days"))))</f>
        <v/>
      </c>
      <c r="J189" s="17" t="n"/>
    </row>
    <row r="190">
      <c r="B190" s="17" t="n"/>
      <c r="C190" s="17" t="n"/>
      <c r="D190" s="26" t="n"/>
      <c r="E190" s="26" t="n"/>
      <c r="F190" s="27" t="n"/>
      <c r="G190" s="30" t="n"/>
      <c r="H190" s="26" t="n"/>
      <c r="I190" s="32">
        <f>IF(F190="","",IF(G190="Yes","Paid",IF(E190="","Unpaid",IF(TODAY()&gt;E190,"Overdue "&amp;(TODAY()-E190)&amp;" days","Due in "&amp;(E190-TODAY())&amp;" days"))))</f>
        <v/>
      </c>
      <c r="J190" s="17" t="n"/>
    </row>
    <row r="191">
      <c r="B191" s="17" t="n"/>
      <c r="C191" s="17" t="n"/>
      <c r="D191" s="26" t="n"/>
      <c r="E191" s="26" t="n"/>
      <c r="F191" s="27" t="n"/>
      <c r="G191" s="30" t="n"/>
      <c r="H191" s="26" t="n"/>
      <c r="I191" s="32">
        <f>IF(F191="","",IF(G191="Yes","Paid",IF(E191="","Unpaid",IF(TODAY()&gt;E191,"Overdue "&amp;(TODAY()-E191)&amp;" days","Due in "&amp;(E191-TODAY())&amp;" days"))))</f>
        <v/>
      </c>
      <c r="J191" s="17" t="n"/>
    </row>
    <row r="192">
      <c r="B192" s="17" t="n"/>
      <c r="C192" s="17" t="n"/>
      <c r="D192" s="26" t="n"/>
      <c r="E192" s="26" t="n"/>
      <c r="F192" s="27" t="n"/>
      <c r="G192" s="30" t="n"/>
      <c r="H192" s="26" t="n"/>
      <c r="I192" s="32">
        <f>IF(F192="","",IF(G192="Yes","Paid",IF(E192="","Unpaid",IF(TODAY()&gt;E192,"Overdue "&amp;(TODAY()-E192)&amp;" days","Due in "&amp;(E192-TODAY())&amp;" days"))))</f>
        <v/>
      </c>
      <c r="J192" s="17" t="n"/>
    </row>
    <row r="193">
      <c r="B193" s="17" t="n"/>
      <c r="C193" s="17" t="n"/>
      <c r="D193" s="26" t="n"/>
      <c r="E193" s="26" t="n"/>
      <c r="F193" s="27" t="n"/>
      <c r="G193" s="30" t="n"/>
      <c r="H193" s="26" t="n"/>
      <c r="I193" s="32">
        <f>IF(F193="","",IF(G193="Yes","Paid",IF(E193="","Unpaid",IF(TODAY()&gt;E193,"Overdue "&amp;(TODAY()-E193)&amp;" days","Due in "&amp;(E193-TODAY())&amp;" days"))))</f>
        <v/>
      </c>
      <c r="J193" s="17" t="n"/>
    </row>
    <row r="194">
      <c r="B194" s="17" t="n"/>
      <c r="C194" s="17" t="n"/>
      <c r="D194" s="26" t="n"/>
      <c r="E194" s="26" t="n"/>
      <c r="F194" s="27" t="n"/>
      <c r="G194" s="30" t="n"/>
      <c r="H194" s="26" t="n"/>
      <c r="I194" s="32">
        <f>IF(F194="","",IF(G194="Yes","Paid",IF(E194="","Unpaid",IF(TODAY()&gt;E194,"Overdue "&amp;(TODAY()-E194)&amp;" days","Due in "&amp;(E194-TODAY())&amp;" days"))))</f>
        <v/>
      </c>
      <c r="J194" s="17" t="n"/>
    </row>
    <row r="195">
      <c r="B195" s="17" t="n"/>
      <c r="C195" s="17" t="n"/>
      <c r="D195" s="26" t="n"/>
      <c r="E195" s="26" t="n"/>
      <c r="F195" s="27" t="n"/>
      <c r="G195" s="30" t="n"/>
      <c r="H195" s="26" t="n"/>
      <c r="I195" s="32">
        <f>IF(F195="","",IF(G195="Yes","Paid",IF(E195="","Unpaid",IF(TODAY()&gt;E195,"Overdue "&amp;(TODAY()-E195)&amp;" days","Due in "&amp;(E195-TODAY())&amp;" days"))))</f>
        <v/>
      </c>
      <c r="J195" s="17" t="n"/>
    </row>
    <row r="196">
      <c r="B196" s="17" t="n"/>
      <c r="C196" s="17" t="n"/>
      <c r="D196" s="26" t="n"/>
      <c r="E196" s="26" t="n"/>
      <c r="F196" s="27" t="n"/>
      <c r="G196" s="30" t="n"/>
      <c r="H196" s="26" t="n"/>
      <c r="I196" s="32">
        <f>IF(F196="","",IF(G196="Yes","Paid",IF(E196="","Unpaid",IF(TODAY()&gt;E196,"Overdue "&amp;(TODAY()-E196)&amp;" days","Due in "&amp;(E196-TODAY())&amp;" days"))))</f>
        <v/>
      </c>
      <c r="J196" s="17" t="n"/>
    </row>
    <row r="197">
      <c r="B197" s="17" t="n"/>
      <c r="C197" s="17" t="n"/>
      <c r="D197" s="26" t="n"/>
      <c r="E197" s="26" t="n"/>
      <c r="F197" s="27" t="n"/>
      <c r="G197" s="30" t="n"/>
      <c r="H197" s="26" t="n"/>
      <c r="I197" s="32">
        <f>IF(F197="","",IF(G197="Yes","Paid",IF(E197="","Unpaid",IF(TODAY()&gt;E197,"Overdue "&amp;(TODAY()-E197)&amp;" days","Due in "&amp;(E197-TODAY())&amp;" days"))))</f>
        <v/>
      </c>
      <c r="J197" s="17" t="n"/>
    </row>
    <row r="198">
      <c r="B198" s="17" t="n"/>
      <c r="C198" s="17" t="n"/>
      <c r="D198" s="26" t="n"/>
      <c r="E198" s="26" t="n"/>
      <c r="F198" s="27" t="n"/>
      <c r="G198" s="30" t="n"/>
      <c r="H198" s="26" t="n"/>
      <c r="I198" s="32">
        <f>IF(F198="","",IF(G198="Yes","Paid",IF(E198="","Unpaid",IF(TODAY()&gt;E198,"Overdue "&amp;(TODAY()-E198)&amp;" days","Due in "&amp;(E198-TODAY())&amp;" days"))))</f>
        <v/>
      </c>
      <c r="J198" s="17" t="n"/>
    </row>
    <row r="199">
      <c r="B199" s="17" t="n"/>
      <c r="C199" s="17" t="n"/>
      <c r="D199" s="26" t="n"/>
      <c r="E199" s="26" t="n"/>
      <c r="F199" s="27" t="n"/>
      <c r="G199" s="30" t="n"/>
      <c r="H199" s="26" t="n"/>
      <c r="I199" s="32">
        <f>IF(F199="","",IF(G199="Yes","Paid",IF(E199="","Unpaid",IF(TODAY()&gt;E199,"Overdue "&amp;(TODAY()-E199)&amp;" days","Due in "&amp;(E199-TODAY())&amp;" days"))))</f>
        <v/>
      </c>
      <c r="J199" s="17" t="n"/>
    </row>
    <row r="200">
      <c r="B200" s="17" t="n"/>
      <c r="C200" s="17" t="n"/>
      <c r="D200" s="26" t="n"/>
      <c r="E200" s="26" t="n"/>
      <c r="F200" s="27" t="n"/>
      <c r="G200" s="30" t="n"/>
      <c r="H200" s="26" t="n"/>
      <c r="I200" s="32">
        <f>IF(F200="","",IF(G200="Yes","Paid",IF(E200="","Unpaid",IF(TODAY()&gt;E200,"Overdue "&amp;(TODAY()-E200)&amp;" days","Due in "&amp;(E200-TODAY())&amp;" days"))))</f>
        <v/>
      </c>
      <c r="J200" s="17" t="n"/>
    </row>
    <row r="201">
      <c r="B201" s="17" t="n"/>
      <c r="C201" s="17" t="n"/>
      <c r="D201" s="26" t="n"/>
      <c r="E201" s="26" t="n"/>
      <c r="F201" s="27" t="n"/>
      <c r="G201" s="30" t="n"/>
      <c r="H201" s="26" t="n"/>
      <c r="I201" s="32">
        <f>IF(F201="","",IF(G201="Yes","Paid",IF(E201="","Unpaid",IF(TODAY()&gt;E201,"Overdue "&amp;(TODAY()-E201)&amp;" days","Due in "&amp;(E201-TODAY())&amp;" days"))))</f>
        <v/>
      </c>
      <c r="J201" s="17" t="n"/>
    </row>
    <row r="202">
      <c r="B202" s="17" t="n"/>
      <c r="C202" s="17" t="n"/>
      <c r="D202" s="26" t="n"/>
      <c r="E202" s="26" t="n"/>
      <c r="F202" s="27" t="n"/>
      <c r="G202" s="30" t="n"/>
      <c r="H202" s="26" t="n"/>
      <c r="I202" s="32">
        <f>IF(F202="","",IF(G202="Yes","Paid",IF(E202="","Unpaid",IF(TODAY()&gt;E202,"Overdue "&amp;(TODAY()-E202)&amp;" days","Due in "&amp;(E202-TODAY())&amp;" days"))))</f>
        <v/>
      </c>
      <c r="J202" s="17" t="n"/>
    </row>
    <row r="203">
      <c r="B203" s="17" t="n"/>
      <c r="C203" s="17" t="n"/>
      <c r="D203" s="26" t="n"/>
      <c r="E203" s="26" t="n"/>
      <c r="F203" s="27" t="n"/>
      <c r="G203" s="30" t="n"/>
      <c r="H203" s="26" t="n"/>
      <c r="I203" s="32">
        <f>IF(F203="","",IF(G203="Yes","Paid",IF(E203="","Unpaid",IF(TODAY()&gt;E203,"Overdue "&amp;(TODAY()-E203)&amp;" days","Due in "&amp;(E203-TODAY())&amp;" days"))))</f>
        <v/>
      </c>
      <c r="J203" s="17" t="n"/>
    </row>
    <row r="204">
      <c r="B204" s="17" t="n"/>
      <c r="C204" s="17" t="n"/>
      <c r="D204" s="26" t="n"/>
      <c r="E204" s="26" t="n"/>
      <c r="F204" s="27" t="n"/>
      <c r="G204" s="30" t="n"/>
      <c r="H204" s="26" t="n"/>
      <c r="I204" s="32">
        <f>IF(F204="","",IF(G204="Yes","Paid",IF(E204="","Unpaid",IF(TODAY()&gt;E204,"Overdue "&amp;(TODAY()-E204)&amp;" days","Due in "&amp;(E204-TODAY())&amp;" days"))))</f>
        <v/>
      </c>
      <c r="J204" s="17" t="n"/>
    </row>
    <row r="205">
      <c r="B205" s="17" t="n"/>
      <c r="C205" s="17" t="n"/>
      <c r="D205" s="26" t="n"/>
      <c r="E205" s="26" t="n"/>
      <c r="F205" s="27" t="n"/>
      <c r="G205" s="30" t="n"/>
      <c r="H205" s="26" t="n"/>
      <c r="I205" s="32">
        <f>IF(F205="","",IF(G205="Yes","Paid",IF(E205="","Unpaid",IF(TODAY()&gt;E205,"Overdue "&amp;(TODAY()-E205)&amp;" days","Due in "&amp;(E205-TODAY())&amp;" days"))))</f>
        <v/>
      </c>
      <c r="J205" s="17" t="n"/>
    </row>
    <row r="206">
      <c r="B206" s="17" t="n"/>
      <c r="C206" s="17" t="n"/>
      <c r="D206" s="26" t="n"/>
      <c r="E206" s="26" t="n"/>
      <c r="F206" s="27" t="n"/>
      <c r="G206" s="30" t="n"/>
      <c r="H206" s="26" t="n"/>
      <c r="I206" s="32">
        <f>IF(F206="","",IF(G206="Yes","Paid",IF(E206="","Unpaid",IF(TODAY()&gt;E206,"Overdue "&amp;(TODAY()-E206)&amp;" days","Due in "&amp;(E206-TODAY())&amp;" days"))))</f>
        <v/>
      </c>
      <c r="J206" s="17" t="n"/>
    </row>
  </sheetData>
  <conditionalFormatting sqref="I7:I206">
    <cfRule type="expression" priority="1" dxfId="1">
      <formula>LEFT($I7,7)="Overdue"</formula>
    </cfRule>
    <cfRule type="expression" priority="2" dxfId="2">
      <formula>$I7="Paid"</formula>
    </cfRule>
  </conditionalFormatting>
  <dataValidations count="2">
    <dataValidation sqref="C7:C206" showDropDown="0" showInputMessage="0" showErrorMessage="0" allowBlank="1" type="list">
      <formula1>=Setup!$B$14:$B$43</formula1>
    </dataValidation>
    <dataValidation sqref="G7:G206" showDropDown="0" showInputMessage="0" showErrorMessage="0" allowBlank="1" type="list">
      <formula1>"Yes,No"</formula1>
    </dataValidation>
  </dataValidations>
  <printOptions horizontalCentered="1"/>
  <pageMargins left="0.4" right="0.4" top="0.5" bottom="0.5" header="0.5" footer="0.5"/>
  <pageSetup orientation="landscape" fitToHeight="0" fitToWidth="1"/>
</worksheet>
</file>

<file path=xl/worksheets/sheet7.xml><?xml version="1.0" encoding="utf-8"?>
<worksheet xmlns="http://schemas.openxmlformats.org/spreadsheetml/2006/main">
  <sheetPr>
    <tabColor rgb="002F7D6D"/>
    <outlinePr summaryBelow="1" summaryRight="1"/>
    <pageSetUpPr fitToPage="1"/>
  </sheetPr>
  <dimension ref="B2:K35"/>
  <sheetViews>
    <sheetView showGridLines="0" workbookViewId="0">
      <pane ySplit="6" topLeftCell="A7" activePane="bottomLeft" state="frozen"/>
      <selection pane="bottomLeft" activeCell="A1" sqref="A1"/>
    </sheetView>
  </sheetViews>
  <sheetFormatPr baseColWidth="8" defaultRowHeight="15"/>
  <cols>
    <col width="2" customWidth="1" min="1" max="1"/>
    <col width="12" customWidth="1" min="2" max="2"/>
    <col width="13" customWidth="1" min="3" max="3"/>
    <col width="13" customWidth="1" min="4" max="4"/>
    <col width="14" customWidth="1" min="5" max="5"/>
    <col width="15" customWidth="1" min="6" max="6"/>
    <col width="15" customWidth="1" min="7" max="7"/>
    <col width="15" customWidth="1" min="8" max="8"/>
    <col width="15" customWidth="1" min="9" max="9"/>
    <col width="13" customWidth="1" min="10" max="10"/>
    <col width="11" customWidth="1" min="11" max="11"/>
  </cols>
  <sheetData>
    <row r="1" ht="10" customHeight="1"/>
    <row r="2" ht="32" customHeight="1">
      <c r="B2" s="9" t="inlineStr">
        <is>
          <t>Monthly summary &amp; tax set-aside</t>
        </is>
      </c>
    </row>
    <row r="3">
      <c r="B3" s="10">
        <f>Setup!$C$7&amp;"  ·  "&amp;Setup!$C$6&amp;"  ·  setting aside "&amp;TEXT(Setup!$C$8,"0%")&amp;" of income minus deductible expenses"</f>
        <v/>
      </c>
    </row>
    <row r="4" ht="8" customHeight="1">
      <c r="B4" s="11" t="n"/>
      <c r="C4" s="11" t="n"/>
      <c r="D4" s="11" t="n"/>
      <c r="E4" s="11" t="n"/>
      <c r="F4" s="11" t="n"/>
      <c r="G4" s="11" t="n"/>
      <c r="H4" s="11" t="n"/>
      <c r="I4" s="11" t="n"/>
      <c r="J4" s="11" t="n"/>
      <c r="K4" s="11" t="n"/>
    </row>
    <row r="6" ht="42" customHeight="1">
      <c r="B6" s="23" t="inlineStr">
        <is>
          <t>Month</t>
        </is>
      </c>
      <c r="C6" s="23" t="inlineStr">
        <is>
          <t>Income</t>
        </is>
      </c>
      <c r="D6" s="23" t="inlineStr">
        <is>
          <t>All expenses</t>
        </is>
      </c>
      <c r="E6" s="23" t="inlineStr">
        <is>
          <t>Deductible expenses</t>
        </is>
      </c>
      <c r="F6" s="23" t="inlineStr">
        <is>
          <t>Income minus deductible</t>
        </is>
      </c>
      <c r="G6" s="23" t="inlineStr">
        <is>
          <t>Year so far (income minus deductible)</t>
        </is>
      </c>
      <c r="H6" s="23" t="inlineStr">
        <is>
          <t>Set aside this month</t>
        </is>
      </c>
      <c r="I6" s="23" t="inlineStr">
        <is>
          <t>Set aside so far</t>
        </is>
      </c>
      <c r="J6" s="23" t="inlineStr">
        <is>
          <t>Income goal</t>
        </is>
      </c>
      <c r="K6" s="23" t="inlineStr">
        <is>
          <t>vs goal</t>
        </is>
      </c>
    </row>
    <row r="7">
      <c r="B7" s="33">
        <f>DATE(Setup!$C$6,1,1)</f>
        <v/>
      </c>
      <c r="C7" s="29">
        <f>SUMIFS(Income!$F$7:$F$506,Income!$B$7:$B$506,"&gt;="&amp;DATE(Setup!$C$6,1,1),Income!$B$7:$B$506,"&lt;"&amp;DATE(Setup!$C$6,2,1))</f>
        <v/>
      </c>
      <c r="D7" s="29">
        <f>SUMIFS(Expenses!$F$7:$F$506,Expenses!$B$7:$B$506,"&gt;="&amp;DATE(Setup!$C$6,1,1),Expenses!$B$7:$B$506,"&lt;"&amp;DATE(Setup!$C$6,2,1))</f>
        <v/>
      </c>
      <c r="E7" s="29">
        <f>SUMIFS(Expenses!$H$7:$H$506,Expenses!$B$7:$B$506,"&gt;="&amp;DATE(Setup!$C$6,1,1),Expenses!$B$7:$B$506,"&lt;"&amp;DATE(Setup!$C$6,2,1))</f>
        <v/>
      </c>
      <c r="F7" s="29">
        <f>C7-E7</f>
        <v/>
      </c>
      <c r="G7" s="29">
        <f>SUM($F$7:F7)</f>
        <v/>
      </c>
      <c r="H7" s="34">
        <f>I7</f>
        <v/>
      </c>
      <c r="I7" s="29">
        <f>MAX(0,G7)*Setup!$C$8</f>
        <v/>
      </c>
      <c r="J7" s="35">
        <f>Setup!$C$9</f>
        <v/>
      </c>
      <c r="K7" s="36">
        <f>IF(J7&gt;0,C7/J7,"")</f>
        <v/>
      </c>
    </row>
    <row r="8">
      <c r="B8" s="37">
        <f>DATE(Setup!$C$6,2,1)</f>
        <v/>
      </c>
      <c r="C8" s="38">
        <f>SUMIFS(Income!$F$7:$F$506,Income!$B$7:$B$506,"&gt;="&amp;DATE(Setup!$C$6,2,1),Income!$B$7:$B$506,"&lt;"&amp;DATE(Setup!$C$6,3,1))</f>
        <v/>
      </c>
      <c r="D8" s="38">
        <f>SUMIFS(Expenses!$F$7:$F$506,Expenses!$B$7:$B$506,"&gt;="&amp;DATE(Setup!$C$6,2,1),Expenses!$B$7:$B$506,"&lt;"&amp;DATE(Setup!$C$6,3,1))</f>
        <v/>
      </c>
      <c r="E8" s="38">
        <f>SUMIFS(Expenses!$H$7:$H$506,Expenses!$B$7:$B$506,"&gt;="&amp;DATE(Setup!$C$6,2,1),Expenses!$B$7:$B$506,"&lt;"&amp;DATE(Setup!$C$6,3,1))</f>
        <v/>
      </c>
      <c r="F8" s="38">
        <f>C8-E8</f>
        <v/>
      </c>
      <c r="G8" s="38">
        <f>SUM($F$7:F8)</f>
        <v/>
      </c>
      <c r="H8" s="25">
        <f>I8-I7</f>
        <v/>
      </c>
      <c r="I8" s="38">
        <f>MAX(0,G8)*Setup!$C$8</f>
        <v/>
      </c>
      <c r="J8" s="39">
        <f>Setup!$C$9</f>
        <v/>
      </c>
      <c r="K8" s="40">
        <f>IF(J8&gt;0,C8/J8,"")</f>
        <v/>
      </c>
    </row>
    <row r="9">
      <c r="B9" s="33">
        <f>DATE(Setup!$C$6,3,1)</f>
        <v/>
      </c>
      <c r="C9" s="29">
        <f>SUMIFS(Income!$F$7:$F$506,Income!$B$7:$B$506,"&gt;="&amp;DATE(Setup!$C$6,3,1),Income!$B$7:$B$506,"&lt;"&amp;DATE(Setup!$C$6,4,1))</f>
        <v/>
      </c>
      <c r="D9" s="29">
        <f>SUMIFS(Expenses!$F$7:$F$506,Expenses!$B$7:$B$506,"&gt;="&amp;DATE(Setup!$C$6,3,1),Expenses!$B$7:$B$506,"&lt;"&amp;DATE(Setup!$C$6,4,1))</f>
        <v/>
      </c>
      <c r="E9" s="29">
        <f>SUMIFS(Expenses!$H$7:$H$506,Expenses!$B$7:$B$506,"&gt;="&amp;DATE(Setup!$C$6,3,1),Expenses!$B$7:$B$506,"&lt;"&amp;DATE(Setup!$C$6,4,1))</f>
        <v/>
      </c>
      <c r="F9" s="29">
        <f>C9-E9</f>
        <v/>
      </c>
      <c r="G9" s="29">
        <f>SUM($F$7:F9)</f>
        <v/>
      </c>
      <c r="H9" s="34">
        <f>I9-I8</f>
        <v/>
      </c>
      <c r="I9" s="29">
        <f>MAX(0,G9)*Setup!$C$8</f>
        <v/>
      </c>
      <c r="J9" s="35">
        <f>Setup!$C$9</f>
        <v/>
      </c>
      <c r="K9" s="36">
        <f>IF(J9&gt;0,C9/J9,"")</f>
        <v/>
      </c>
    </row>
    <row r="10">
      <c r="B10" s="37">
        <f>DATE(Setup!$C$6,4,1)</f>
        <v/>
      </c>
      <c r="C10" s="38">
        <f>SUMIFS(Income!$F$7:$F$506,Income!$B$7:$B$506,"&gt;="&amp;DATE(Setup!$C$6,4,1),Income!$B$7:$B$506,"&lt;"&amp;DATE(Setup!$C$6,5,1))</f>
        <v/>
      </c>
      <c r="D10" s="38">
        <f>SUMIFS(Expenses!$F$7:$F$506,Expenses!$B$7:$B$506,"&gt;="&amp;DATE(Setup!$C$6,4,1),Expenses!$B$7:$B$506,"&lt;"&amp;DATE(Setup!$C$6,5,1))</f>
        <v/>
      </c>
      <c r="E10" s="38">
        <f>SUMIFS(Expenses!$H$7:$H$506,Expenses!$B$7:$B$506,"&gt;="&amp;DATE(Setup!$C$6,4,1),Expenses!$B$7:$B$506,"&lt;"&amp;DATE(Setup!$C$6,5,1))</f>
        <v/>
      </c>
      <c r="F10" s="38">
        <f>C10-E10</f>
        <v/>
      </c>
      <c r="G10" s="38">
        <f>SUM($F$7:F10)</f>
        <v/>
      </c>
      <c r="H10" s="25">
        <f>I10-I9</f>
        <v/>
      </c>
      <c r="I10" s="38">
        <f>MAX(0,G10)*Setup!$C$8</f>
        <v/>
      </c>
      <c r="J10" s="39">
        <f>Setup!$C$9</f>
        <v/>
      </c>
      <c r="K10" s="40">
        <f>IF(J10&gt;0,C10/J10,"")</f>
        <v/>
      </c>
    </row>
    <row r="11">
      <c r="B11" s="33">
        <f>DATE(Setup!$C$6,5,1)</f>
        <v/>
      </c>
      <c r="C11" s="29">
        <f>SUMIFS(Income!$F$7:$F$506,Income!$B$7:$B$506,"&gt;="&amp;DATE(Setup!$C$6,5,1),Income!$B$7:$B$506,"&lt;"&amp;DATE(Setup!$C$6,6,1))</f>
        <v/>
      </c>
      <c r="D11" s="29">
        <f>SUMIFS(Expenses!$F$7:$F$506,Expenses!$B$7:$B$506,"&gt;="&amp;DATE(Setup!$C$6,5,1),Expenses!$B$7:$B$506,"&lt;"&amp;DATE(Setup!$C$6,6,1))</f>
        <v/>
      </c>
      <c r="E11" s="29">
        <f>SUMIFS(Expenses!$H$7:$H$506,Expenses!$B$7:$B$506,"&gt;="&amp;DATE(Setup!$C$6,5,1),Expenses!$B$7:$B$506,"&lt;"&amp;DATE(Setup!$C$6,6,1))</f>
        <v/>
      </c>
      <c r="F11" s="29">
        <f>C11-E11</f>
        <v/>
      </c>
      <c r="G11" s="29">
        <f>SUM($F$7:F11)</f>
        <v/>
      </c>
      <c r="H11" s="34">
        <f>I11-I10</f>
        <v/>
      </c>
      <c r="I11" s="29">
        <f>MAX(0,G11)*Setup!$C$8</f>
        <v/>
      </c>
      <c r="J11" s="35">
        <f>Setup!$C$9</f>
        <v/>
      </c>
      <c r="K11" s="36">
        <f>IF(J11&gt;0,C11/J11,"")</f>
        <v/>
      </c>
    </row>
    <row r="12">
      <c r="B12" s="37">
        <f>DATE(Setup!$C$6,6,1)</f>
        <v/>
      </c>
      <c r="C12" s="38">
        <f>SUMIFS(Income!$F$7:$F$506,Income!$B$7:$B$506,"&gt;="&amp;DATE(Setup!$C$6,6,1),Income!$B$7:$B$506,"&lt;"&amp;DATE(Setup!$C$6,7,1))</f>
        <v/>
      </c>
      <c r="D12" s="38">
        <f>SUMIFS(Expenses!$F$7:$F$506,Expenses!$B$7:$B$506,"&gt;="&amp;DATE(Setup!$C$6,6,1),Expenses!$B$7:$B$506,"&lt;"&amp;DATE(Setup!$C$6,7,1))</f>
        <v/>
      </c>
      <c r="E12" s="38">
        <f>SUMIFS(Expenses!$H$7:$H$506,Expenses!$B$7:$B$506,"&gt;="&amp;DATE(Setup!$C$6,6,1),Expenses!$B$7:$B$506,"&lt;"&amp;DATE(Setup!$C$6,7,1))</f>
        <v/>
      </c>
      <c r="F12" s="38">
        <f>C12-E12</f>
        <v/>
      </c>
      <c r="G12" s="38">
        <f>SUM($F$7:F12)</f>
        <v/>
      </c>
      <c r="H12" s="25">
        <f>I12-I11</f>
        <v/>
      </c>
      <c r="I12" s="38">
        <f>MAX(0,G12)*Setup!$C$8</f>
        <v/>
      </c>
      <c r="J12" s="39">
        <f>Setup!$C$9</f>
        <v/>
      </c>
      <c r="K12" s="40">
        <f>IF(J12&gt;0,C12/J12,"")</f>
        <v/>
      </c>
    </row>
    <row r="13">
      <c r="B13" s="33">
        <f>DATE(Setup!$C$6,7,1)</f>
        <v/>
      </c>
      <c r="C13" s="29">
        <f>SUMIFS(Income!$F$7:$F$506,Income!$B$7:$B$506,"&gt;="&amp;DATE(Setup!$C$6,7,1),Income!$B$7:$B$506,"&lt;"&amp;DATE(Setup!$C$6,8,1))</f>
        <v/>
      </c>
      <c r="D13" s="29">
        <f>SUMIFS(Expenses!$F$7:$F$506,Expenses!$B$7:$B$506,"&gt;="&amp;DATE(Setup!$C$6,7,1),Expenses!$B$7:$B$506,"&lt;"&amp;DATE(Setup!$C$6,8,1))</f>
        <v/>
      </c>
      <c r="E13" s="29">
        <f>SUMIFS(Expenses!$H$7:$H$506,Expenses!$B$7:$B$506,"&gt;="&amp;DATE(Setup!$C$6,7,1),Expenses!$B$7:$B$506,"&lt;"&amp;DATE(Setup!$C$6,8,1))</f>
        <v/>
      </c>
      <c r="F13" s="29">
        <f>C13-E13</f>
        <v/>
      </c>
      <c r="G13" s="29">
        <f>SUM($F$7:F13)</f>
        <v/>
      </c>
      <c r="H13" s="34">
        <f>I13-I12</f>
        <v/>
      </c>
      <c r="I13" s="29">
        <f>MAX(0,G13)*Setup!$C$8</f>
        <v/>
      </c>
      <c r="J13" s="35">
        <f>Setup!$C$9</f>
        <v/>
      </c>
      <c r="K13" s="36">
        <f>IF(J13&gt;0,C13/J13,"")</f>
        <v/>
      </c>
    </row>
    <row r="14">
      <c r="B14" s="37">
        <f>DATE(Setup!$C$6,8,1)</f>
        <v/>
      </c>
      <c r="C14" s="38">
        <f>SUMIFS(Income!$F$7:$F$506,Income!$B$7:$B$506,"&gt;="&amp;DATE(Setup!$C$6,8,1),Income!$B$7:$B$506,"&lt;"&amp;DATE(Setup!$C$6,9,1))</f>
        <v/>
      </c>
      <c r="D14" s="38">
        <f>SUMIFS(Expenses!$F$7:$F$506,Expenses!$B$7:$B$506,"&gt;="&amp;DATE(Setup!$C$6,8,1),Expenses!$B$7:$B$506,"&lt;"&amp;DATE(Setup!$C$6,9,1))</f>
        <v/>
      </c>
      <c r="E14" s="38">
        <f>SUMIFS(Expenses!$H$7:$H$506,Expenses!$B$7:$B$506,"&gt;="&amp;DATE(Setup!$C$6,8,1),Expenses!$B$7:$B$506,"&lt;"&amp;DATE(Setup!$C$6,9,1))</f>
        <v/>
      </c>
      <c r="F14" s="38">
        <f>C14-E14</f>
        <v/>
      </c>
      <c r="G14" s="38">
        <f>SUM($F$7:F14)</f>
        <v/>
      </c>
      <c r="H14" s="25">
        <f>I14-I13</f>
        <v/>
      </c>
      <c r="I14" s="38">
        <f>MAX(0,G14)*Setup!$C$8</f>
        <v/>
      </c>
      <c r="J14" s="39">
        <f>Setup!$C$9</f>
        <v/>
      </c>
      <c r="K14" s="40">
        <f>IF(J14&gt;0,C14/J14,"")</f>
        <v/>
      </c>
    </row>
    <row r="15">
      <c r="B15" s="33">
        <f>DATE(Setup!$C$6,9,1)</f>
        <v/>
      </c>
      <c r="C15" s="29">
        <f>SUMIFS(Income!$F$7:$F$506,Income!$B$7:$B$506,"&gt;="&amp;DATE(Setup!$C$6,9,1),Income!$B$7:$B$506,"&lt;"&amp;DATE(Setup!$C$6,10,1))</f>
        <v/>
      </c>
      <c r="D15" s="29">
        <f>SUMIFS(Expenses!$F$7:$F$506,Expenses!$B$7:$B$506,"&gt;="&amp;DATE(Setup!$C$6,9,1),Expenses!$B$7:$B$506,"&lt;"&amp;DATE(Setup!$C$6,10,1))</f>
        <v/>
      </c>
      <c r="E15" s="29">
        <f>SUMIFS(Expenses!$H$7:$H$506,Expenses!$B$7:$B$506,"&gt;="&amp;DATE(Setup!$C$6,9,1),Expenses!$B$7:$B$506,"&lt;"&amp;DATE(Setup!$C$6,10,1))</f>
        <v/>
      </c>
      <c r="F15" s="29">
        <f>C15-E15</f>
        <v/>
      </c>
      <c r="G15" s="29">
        <f>SUM($F$7:F15)</f>
        <v/>
      </c>
      <c r="H15" s="34">
        <f>I15-I14</f>
        <v/>
      </c>
      <c r="I15" s="29">
        <f>MAX(0,G15)*Setup!$C$8</f>
        <v/>
      </c>
      <c r="J15" s="35">
        <f>Setup!$C$9</f>
        <v/>
      </c>
      <c r="K15" s="36">
        <f>IF(J15&gt;0,C15/J15,"")</f>
        <v/>
      </c>
    </row>
    <row r="16">
      <c r="B16" s="37">
        <f>DATE(Setup!$C$6,10,1)</f>
        <v/>
      </c>
      <c r="C16" s="38">
        <f>SUMIFS(Income!$F$7:$F$506,Income!$B$7:$B$506,"&gt;="&amp;DATE(Setup!$C$6,10,1),Income!$B$7:$B$506,"&lt;"&amp;DATE(Setup!$C$6,11,1))</f>
        <v/>
      </c>
      <c r="D16" s="38">
        <f>SUMIFS(Expenses!$F$7:$F$506,Expenses!$B$7:$B$506,"&gt;="&amp;DATE(Setup!$C$6,10,1),Expenses!$B$7:$B$506,"&lt;"&amp;DATE(Setup!$C$6,11,1))</f>
        <v/>
      </c>
      <c r="E16" s="38">
        <f>SUMIFS(Expenses!$H$7:$H$506,Expenses!$B$7:$B$506,"&gt;="&amp;DATE(Setup!$C$6,10,1),Expenses!$B$7:$B$506,"&lt;"&amp;DATE(Setup!$C$6,11,1))</f>
        <v/>
      </c>
      <c r="F16" s="38">
        <f>C16-E16</f>
        <v/>
      </c>
      <c r="G16" s="38">
        <f>SUM($F$7:F16)</f>
        <v/>
      </c>
      <c r="H16" s="25">
        <f>I16-I15</f>
        <v/>
      </c>
      <c r="I16" s="38">
        <f>MAX(0,G16)*Setup!$C$8</f>
        <v/>
      </c>
      <c r="J16" s="39">
        <f>Setup!$C$9</f>
        <v/>
      </c>
      <c r="K16" s="40">
        <f>IF(J16&gt;0,C16/J16,"")</f>
        <v/>
      </c>
    </row>
    <row r="17">
      <c r="B17" s="33">
        <f>DATE(Setup!$C$6,11,1)</f>
        <v/>
      </c>
      <c r="C17" s="29">
        <f>SUMIFS(Income!$F$7:$F$506,Income!$B$7:$B$506,"&gt;="&amp;DATE(Setup!$C$6,11,1),Income!$B$7:$B$506,"&lt;"&amp;DATE(Setup!$C$6,12,1))</f>
        <v/>
      </c>
      <c r="D17" s="29">
        <f>SUMIFS(Expenses!$F$7:$F$506,Expenses!$B$7:$B$506,"&gt;="&amp;DATE(Setup!$C$6,11,1),Expenses!$B$7:$B$506,"&lt;"&amp;DATE(Setup!$C$6,12,1))</f>
        <v/>
      </c>
      <c r="E17" s="29">
        <f>SUMIFS(Expenses!$H$7:$H$506,Expenses!$B$7:$B$506,"&gt;="&amp;DATE(Setup!$C$6,11,1),Expenses!$B$7:$B$506,"&lt;"&amp;DATE(Setup!$C$6,12,1))</f>
        <v/>
      </c>
      <c r="F17" s="29">
        <f>C17-E17</f>
        <v/>
      </c>
      <c r="G17" s="29">
        <f>SUM($F$7:F17)</f>
        <v/>
      </c>
      <c r="H17" s="34">
        <f>I17-I16</f>
        <v/>
      </c>
      <c r="I17" s="29">
        <f>MAX(0,G17)*Setup!$C$8</f>
        <v/>
      </c>
      <c r="J17" s="35">
        <f>Setup!$C$9</f>
        <v/>
      </c>
      <c r="K17" s="36">
        <f>IF(J17&gt;0,C17/J17,"")</f>
        <v/>
      </c>
    </row>
    <row r="18">
      <c r="B18" s="37">
        <f>DATE(Setup!$C$6,12,1)</f>
        <v/>
      </c>
      <c r="C18" s="38">
        <f>SUMIFS(Income!$F$7:$F$506,Income!$B$7:$B$506,"&gt;="&amp;DATE(Setup!$C$6,12,1),Income!$B$7:$B$506,"&lt;"&amp;DATE(Setup!$C$6,13,1))</f>
        <v/>
      </c>
      <c r="D18" s="38">
        <f>SUMIFS(Expenses!$F$7:$F$506,Expenses!$B$7:$B$506,"&gt;="&amp;DATE(Setup!$C$6,12,1),Expenses!$B$7:$B$506,"&lt;"&amp;DATE(Setup!$C$6,13,1))</f>
        <v/>
      </c>
      <c r="E18" s="38">
        <f>SUMIFS(Expenses!$H$7:$H$506,Expenses!$B$7:$B$506,"&gt;="&amp;DATE(Setup!$C$6,12,1),Expenses!$B$7:$B$506,"&lt;"&amp;DATE(Setup!$C$6,13,1))</f>
        <v/>
      </c>
      <c r="F18" s="38">
        <f>C18-E18</f>
        <v/>
      </c>
      <c r="G18" s="38">
        <f>SUM($F$7:F18)</f>
        <v/>
      </c>
      <c r="H18" s="25">
        <f>I18-I17</f>
        <v/>
      </c>
      <c r="I18" s="38">
        <f>MAX(0,G18)*Setup!$C$8</f>
        <v/>
      </c>
      <c r="J18" s="39">
        <f>Setup!$C$9</f>
        <v/>
      </c>
      <c r="K18" s="40">
        <f>IF(J18&gt;0,C18/J18,"")</f>
        <v/>
      </c>
    </row>
    <row r="19">
      <c r="B19" s="41" t="inlineStr">
        <is>
          <t>Year total</t>
        </is>
      </c>
      <c r="C19" s="25">
        <f>SUM(C7:C18)</f>
        <v/>
      </c>
      <c r="D19" s="25">
        <f>SUM(D7:D18)</f>
        <v/>
      </c>
      <c r="E19" s="25">
        <f>SUM(E7:E18)</f>
        <v/>
      </c>
      <c r="F19" s="25">
        <f>SUM(F7:F18)</f>
        <v/>
      </c>
      <c r="G19" s="25">
        <f>G18</f>
        <v/>
      </c>
      <c r="H19" s="25">
        <f>SUM(H7:H18)</f>
        <v/>
      </c>
      <c r="I19" s="25">
        <f>I18</f>
        <v/>
      </c>
    </row>
    <row r="22">
      <c r="B22" s="3" t="inlineStr">
        <is>
          <t>QUARTERLY TAX SET-ASIDE</t>
        </is>
      </c>
    </row>
    <row r="23" ht="42" customHeight="1">
      <c r="B23" s="23" t="inlineStr">
        <is>
          <t>Quarter</t>
        </is>
      </c>
      <c r="C23" s="23" t="inlineStr">
        <is>
          <t>Income</t>
        </is>
      </c>
      <c r="D23" s="23" t="inlineStr">
        <is>
          <t>Deductible expenses</t>
        </is>
      </c>
      <c r="E23" s="23" t="inlineStr">
        <is>
          <t>Income minus deductible</t>
        </is>
      </c>
      <c r="F23" s="23" t="inlineStr">
        <is>
          <t>Set aside for this quarter</t>
        </is>
      </c>
      <c r="G23" s="23" t="inlineStr">
        <is>
          <t>Due date</t>
        </is>
      </c>
      <c r="H23" s="23" t="inlineStr">
        <is>
          <t>Amount paid</t>
        </is>
      </c>
      <c r="I23" s="23" t="inlineStr">
        <is>
          <t>Date paid</t>
        </is>
      </c>
      <c r="J23" s="23" t="inlineStr">
        <is>
          <t>Set aside so far minus paid so far</t>
        </is>
      </c>
    </row>
    <row r="24">
      <c r="B24" s="42" t="inlineStr">
        <is>
          <t>Q1 (Jan-Mar)</t>
        </is>
      </c>
      <c r="C24" s="29">
        <f>SUM(C7:C9)</f>
        <v/>
      </c>
      <c r="D24" s="29">
        <f>SUM(E7:E9)</f>
        <v/>
      </c>
      <c r="E24" s="29">
        <f>C24-D24</f>
        <v/>
      </c>
      <c r="F24" s="34">
        <f>I9</f>
        <v/>
      </c>
      <c r="G24" s="26">
        <f>DATE(Setup!$C$6,4,15)</f>
        <v/>
      </c>
      <c r="H24" s="27" t="n"/>
      <c r="I24" s="26" t="n"/>
      <c r="J24" s="29">
        <f>I9-SUM($H$24:H24)</f>
        <v/>
      </c>
    </row>
    <row r="25">
      <c r="B25" s="42" t="inlineStr">
        <is>
          <t>Q2 (Apr-May)</t>
        </is>
      </c>
      <c r="C25" s="29">
        <f>SUM(C10:C11)</f>
        <v/>
      </c>
      <c r="D25" s="29">
        <f>SUM(E10:E11)</f>
        <v/>
      </c>
      <c r="E25" s="29">
        <f>C25-D25</f>
        <v/>
      </c>
      <c r="F25" s="34">
        <f>I11-I9</f>
        <v/>
      </c>
      <c r="G25" s="26">
        <f>DATE(Setup!$C$6,6,15)</f>
        <v/>
      </c>
      <c r="H25" s="27" t="n"/>
      <c r="I25" s="26" t="n"/>
      <c r="J25" s="29">
        <f>I11-SUM($H$24:H25)</f>
        <v/>
      </c>
    </row>
    <row r="26">
      <c r="B26" s="42" t="inlineStr">
        <is>
          <t>Q3 (Jun-Aug)</t>
        </is>
      </c>
      <c r="C26" s="29">
        <f>SUM(C12:C14)</f>
        <v/>
      </c>
      <c r="D26" s="29">
        <f>SUM(E12:E14)</f>
        <v/>
      </c>
      <c r="E26" s="29">
        <f>C26-D26</f>
        <v/>
      </c>
      <c r="F26" s="34">
        <f>I14-I11</f>
        <v/>
      </c>
      <c r="G26" s="26">
        <f>DATE(Setup!$C$6,9,15)</f>
        <v/>
      </c>
      <c r="H26" s="27" t="n"/>
      <c r="I26" s="26" t="n"/>
      <c r="J26" s="29">
        <f>I14-SUM($H$24:H26)</f>
        <v/>
      </c>
    </row>
    <row r="27">
      <c r="B27" s="42" t="inlineStr">
        <is>
          <t>Q4 (Sep-Dec)</t>
        </is>
      </c>
      <c r="C27" s="29">
        <f>SUM(C15:C18)</f>
        <v/>
      </c>
      <c r="D27" s="29">
        <f>SUM(E15:E18)</f>
        <v/>
      </c>
      <c r="E27" s="29">
        <f>C27-D27</f>
        <v/>
      </c>
      <c r="F27" s="34">
        <f>I18-I14</f>
        <v/>
      </c>
      <c r="G27" s="26">
        <f>DATE(Setup!$C$6+1,1,15)</f>
        <v/>
      </c>
      <c r="H27" s="27" t="n"/>
      <c r="I27" s="26" t="n"/>
      <c r="J27" s="29">
        <f>I18-SUM($H$24:H27)</f>
        <v/>
      </c>
    </row>
    <row r="28">
      <c r="B28" s="41" t="inlineStr">
        <is>
          <t>Year total</t>
        </is>
      </c>
      <c r="C28" s="25">
        <f>SUM(C24:C27)</f>
        <v/>
      </c>
      <c r="D28" s="25">
        <f>SUM(D24:D27)</f>
        <v/>
      </c>
      <c r="E28" s="25">
        <f>SUM(E24:E27)</f>
        <v/>
      </c>
      <c r="F28" s="25">
        <f>SUM(F24:F27)</f>
        <v/>
      </c>
      <c r="H28" s="25">
        <f>SUM(H24:H27)</f>
        <v/>
      </c>
      <c r="J28" s="25">
        <f>J27</f>
        <v/>
      </c>
    </row>
    <row r="30" ht="22" customHeight="1">
      <c r="B30" s="43" t="inlineStr">
        <is>
          <t>How set-aside works: it is always your set-aside % of the year so far (income minus deductible expenses), never below zero. A loss month or quarter lowers that figure, so its set-aside shows as a negative amount: money you already put aside that you no longer need to add. The year total always equals your % of the full year's income minus deductible expenses.</t>
        </is>
      </c>
    </row>
    <row r="31" ht="22" customHeight="1"/>
    <row r="32" ht="22" customHeight="1"/>
    <row r="33" ht="22" customHeight="1">
      <c r="B33" s="43" t="inlineStr">
        <is>
          <t>Income minus deductible expenses is not your final taxable profit: things like self-employment tax, allowances and other income are not included. Quarters and due dates follow the US federal estimated-tax schedule (weekends and holidays can move them); outside the US, type your own. This is a savings guide, not a tax calculation.</t>
        </is>
      </c>
    </row>
    <row r="34" ht="22" customHeight="1"/>
    <row r="35" ht="22" customHeight="1"/>
  </sheetData>
  <mergeCells count="2">
    <mergeCell ref="B33:K35"/>
    <mergeCell ref="B30:K32"/>
  </mergeCells>
  <conditionalFormatting sqref="F7:H19">
    <cfRule type="expression" priority="1" dxfId="3">
      <formula>F7&lt;0</formula>
    </cfRule>
  </conditionalFormatting>
  <conditionalFormatting sqref="K7:K18">
    <cfRule type="dataBar" priority="2">
      <dataBar>
        <cfvo type="num" val="0"/>
        <cfvo type="num" val="1.5"/>
        <color rgb="002F7D6D"/>
      </dataBar>
    </cfRule>
  </conditionalFormatting>
  <conditionalFormatting sqref="E24:F28">
    <cfRule type="expression" priority="3" dxfId="3">
      <formula>E24&lt;0</formula>
    </cfRule>
  </conditionalFormatting>
  <printOptions horizontalCentered="1"/>
  <pageMargins left="0.4" right="0.4" top="0.5" bottom="0.5" header="0.5" footer="0.5"/>
  <pageSetup orientation="landscape" fitToHeight="0" fitToWidth="1"/>
</worksheet>
</file>

<file path=xl/worksheets/sheet8.xml><?xml version="1.0" encoding="utf-8"?>
<worksheet xmlns="http://schemas.openxmlformats.org/spreadsheetml/2006/main">
  <sheetPr>
    <tabColor rgb="00DAE8E5"/>
    <outlinePr summaryBelow="1" summaryRight="1"/>
    <pageSetUpPr fitToPage="1"/>
  </sheetPr>
  <dimension ref="B2:J36"/>
  <sheetViews>
    <sheetView showGridLines="0" workbookViewId="0">
      <selection activeCell="A1" sqref="A1"/>
    </sheetView>
  </sheetViews>
  <sheetFormatPr baseColWidth="8" defaultRowHeight="15"/>
  <cols>
    <col width="2" customWidth="1" min="1" max="1"/>
    <col width="28" customWidth="1" min="2" max="2"/>
    <col width="15" customWidth="1" min="3" max="3"/>
    <col width="15" customWidth="1" min="4" max="4"/>
    <col width="12" customWidth="1" min="5" max="5"/>
    <col width="3" customWidth="1" min="6" max="6"/>
    <col width="26" customWidth="1" min="7" max="7"/>
    <col width="15" customWidth="1" min="8" max="8"/>
    <col width="12" customWidth="1" min="9" max="9"/>
    <col width="12" customWidth="1" min="10" max="10"/>
  </cols>
  <sheetData>
    <row r="1" ht="10" customHeight="1"/>
    <row r="2" ht="32" customHeight="1">
      <c r="B2" s="9" t="inlineStr">
        <is>
          <t>Where it comes from, where it goes</t>
        </is>
      </c>
    </row>
    <row r="3">
      <c r="B3" s="10">
        <f>"Totals for "&amp;Setup!$C$6</f>
        <v/>
      </c>
    </row>
    <row r="4" ht="8" customHeight="1">
      <c r="B4" s="11" t="n"/>
      <c r="C4" s="11" t="n"/>
      <c r="D4" s="11" t="n"/>
      <c r="E4" s="11" t="n"/>
      <c r="F4" s="11" t="n"/>
      <c r="G4" s="11" t="n"/>
      <c r="H4" s="11" t="n"/>
      <c r="I4" s="11" t="n"/>
      <c r="J4" s="11" t="n"/>
    </row>
    <row r="6" ht="30" customHeight="1">
      <c r="B6" s="23" t="inlineStr">
        <is>
          <t>Expense category</t>
        </is>
      </c>
      <c r="C6" s="23" t="inlineStr">
        <is>
          <t>Spent</t>
        </is>
      </c>
      <c r="D6" s="23" t="inlineStr">
        <is>
          <t>Deductible</t>
        </is>
      </c>
      <c r="E6" s="23" t="inlineStr">
        <is>
          <t>% of spend</t>
        </is>
      </c>
      <c r="G6" s="23" t="inlineStr">
        <is>
          <t>Client</t>
        </is>
      </c>
      <c r="H6" s="23" t="inlineStr">
        <is>
          <t>Income</t>
        </is>
      </c>
      <c r="I6" s="23" t="inlineStr">
        <is>
          <t>Payments</t>
        </is>
      </c>
      <c r="J6" s="23" t="inlineStr">
        <is>
          <t>% of income</t>
        </is>
      </c>
    </row>
    <row r="7">
      <c r="B7" s="42">
        <f>IF(Setup!E14="","",Setup!E14)</f>
        <v/>
      </c>
      <c r="C7" s="29">
        <f>IF($B7="","",SUMIFS(Expenses!$F$7:$F$506,Expenses!$D$7:$D$506,$B7,Expenses!$B$7:$B$506,"&gt;="&amp;DATE(Setup!$C$6,1,1),Expenses!$B$7:$B$506,"&lt;"&amp;DATE(Setup!$C$6+1,1,1)))</f>
        <v/>
      </c>
      <c r="D7" s="29">
        <f>IF($B7="","",SUMIFS(Expenses!$H$7:$H$506,Expenses!$D$7:$D$506,$B7,Expenses!$B$7:$B$506,"&gt;="&amp;DATE(Setup!$C$6,1,1),Expenses!$B$7:$B$506,"&lt;"&amp;DATE(Setup!$C$6+1,1,1)))</f>
        <v/>
      </c>
      <c r="E7" s="36">
        <f>IF(OR($B7="",SUM($C$7:$C$26)=0),"",C7/SUM($C$7:$C$26))</f>
        <v/>
      </c>
      <c r="G7" s="42">
        <f>IF(Setup!B14="","",Setup!B14)</f>
        <v/>
      </c>
      <c r="H7" s="29">
        <f>IF($G7="","",SUMIFS(Income!$F$7:$F$506,Income!$C$7:$C$506,$G7,Income!$B$7:$B$506,"&gt;="&amp;DATE(Setup!$C$6,1,1),Income!$B$7:$B$506,"&lt;"&amp;DATE(Setup!$C$6+1,1,1)))</f>
        <v/>
      </c>
      <c r="I7" s="44">
        <f>IF($G7="","",COUNTIFS(Income!$C$7:$C$506,$G7,Income!$B$7:$B$506,"&gt;="&amp;DATE(Setup!$C$6,1,1),Income!$B$7:$B$506,"&lt;"&amp;DATE(Setup!$C$6+1,1,1)))</f>
        <v/>
      </c>
      <c r="J7" s="36">
        <f>IF(OR($G7="",SUM($H$7:$H$36)=0),"",H7/SUM($H$7:$H$36))</f>
        <v/>
      </c>
    </row>
    <row r="8">
      <c r="B8" s="45">
        <f>IF(Setup!E15="","",Setup!E15)</f>
        <v/>
      </c>
      <c r="C8" s="38">
        <f>IF($B8="","",SUMIFS(Expenses!$F$7:$F$506,Expenses!$D$7:$D$506,$B8,Expenses!$B$7:$B$506,"&gt;="&amp;DATE(Setup!$C$6,1,1),Expenses!$B$7:$B$506,"&lt;"&amp;DATE(Setup!$C$6+1,1,1)))</f>
        <v/>
      </c>
      <c r="D8" s="38">
        <f>IF($B8="","",SUMIFS(Expenses!$H$7:$H$506,Expenses!$D$7:$D$506,$B8,Expenses!$B$7:$B$506,"&gt;="&amp;DATE(Setup!$C$6,1,1),Expenses!$B$7:$B$506,"&lt;"&amp;DATE(Setup!$C$6+1,1,1)))</f>
        <v/>
      </c>
      <c r="E8" s="40">
        <f>IF(OR($B8="",SUM($C$7:$C$26)=0),"",C8/SUM($C$7:$C$26))</f>
        <v/>
      </c>
      <c r="G8" s="45">
        <f>IF(Setup!B15="","",Setup!B15)</f>
        <v/>
      </c>
      <c r="H8" s="38">
        <f>IF($G8="","",SUMIFS(Income!$F$7:$F$506,Income!$C$7:$C$506,$G8,Income!$B$7:$B$506,"&gt;="&amp;DATE(Setup!$C$6,1,1),Income!$B$7:$B$506,"&lt;"&amp;DATE(Setup!$C$6+1,1,1)))</f>
        <v/>
      </c>
      <c r="I8" s="46">
        <f>IF($G8="","",COUNTIFS(Income!$C$7:$C$506,$G8,Income!$B$7:$B$506,"&gt;="&amp;DATE(Setup!$C$6,1,1),Income!$B$7:$B$506,"&lt;"&amp;DATE(Setup!$C$6+1,1,1)))</f>
        <v/>
      </c>
      <c r="J8" s="40">
        <f>IF(OR($G8="",SUM($H$7:$H$36)=0),"",H8/SUM($H$7:$H$36))</f>
        <v/>
      </c>
    </row>
    <row r="9">
      <c r="B9" s="42">
        <f>IF(Setup!E16="","",Setup!E16)</f>
        <v/>
      </c>
      <c r="C9" s="29">
        <f>IF($B9="","",SUMIFS(Expenses!$F$7:$F$506,Expenses!$D$7:$D$506,$B9,Expenses!$B$7:$B$506,"&gt;="&amp;DATE(Setup!$C$6,1,1),Expenses!$B$7:$B$506,"&lt;"&amp;DATE(Setup!$C$6+1,1,1)))</f>
        <v/>
      </c>
      <c r="D9" s="29">
        <f>IF($B9="","",SUMIFS(Expenses!$H$7:$H$506,Expenses!$D$7:$D$506,$B9,Expenses!$B$7:$B$506,"&gt;="&amp;DATE(Setup!$C$6,1,1),Expenses!$B$7:$B$506,"&lt;"&amp;DATE(Setup!$C$6+1,1,1)))</f>
        <v/>
      </c>
      <c r="E9" s="36">
        <f>IF(OR($B9="",SUM($C$7:$C$26)=0),"",C9/SUM($C$7:$C$26))</f>
        <v/>
      </c>
      <c r="G9" s="42">
        <f>IF(Setup!B16="","",Setup!B16)</f>
        <v/>
      </c>
      <c r="H9" s="29">
        <f>IF($G9="","",SUMIFS(Income!$F$7:$F$506,Income!$C$7:$C$506,$G9,Income!$B$7:$B$506,"&gt;="&amp;DATE(Setup!$C$6,1,1),Income!$B$7:$B$506,"&lt;"&amp;DATE(Setup!$C$6+1,1,1)))</f>
        <v/>
      </c>
      <c r="I9" s="44">
        <f>IF($G9="","",COUNTIFS(Income!$C$7:$C$506,$G9,Income!$B$7:$B$506,"&gt;="&amp;DATE(Setup!$C$6,1,1),Income!$B$7:$B$506,"&lt;"&amp;DATE(Setup!$C$6+1,1,1)))</f>
        <v/>
      </c>
      <c r="J9" s="36">
        <f>IF(OR($G9="",SUM($H$7:$H$36)=0),"",H9/SUM($H$7:$H$36))</f>
        <v/>
      </c>
    </row>
    <row r="10">
      <c r="B10" s="45">
        <f>IF(Setup!E17="","",Setup!E17)</f>
        <v/>
      </c>
      <c r="C10" s="38">
        <f>IF($B10="","",SUMIFS(Expenses!$F$7:$F$506,Expenses!$D$7:$D$506,$B10,Expenses!$B$7:$B$506,"&gt;="&amp;DATE(Setup!$C$6,1,1),Expenses!$B$7:$B$506,"&lt;"&amp;DATE(Setup!$C$6+1,1,1)))</f>
        <v/>
      </c>
      <c r="D10" s="38">
        <f>IF($B10="","",SUMIFS(Expenses!$H$7:$H$506,Expenses!$D$7:$D$506,$B10,Expenses!$B$7:$B$506,"&gt;="&amp;DATE(Setup!$C$6,1,1),Expenses!$B$7:$B$506,"&lt;"&amp;DATE(Setup!$C$6+1,1,1)))</f>
        <v/>
      </c>
      <c r="E10" s="40">
        <f>IF(OR($B10="",SUM($C$7:$C$26)=0),"",C10/SUM($C$7:$C$26))</f>
        <v/>
      </c>
      <c r="G10" s="45">
        <f>IF(Setup!B17="","",Setup!B17)</f>
        <v/>
      </c>
      <c r="H10" s="38">
        <f>IF($G10="","",SUMIFS(Income!$F$7:$F$506,Income!$C$7:$C$506,$G10,Income!$B$7:$B$506,"&gt;="&amp;DATE(Setup!$C$6,1,1),Income!$B$7:$B$506,"&lt;"&amp;DATE(Setup!$C$6+1,1,1)))</f>
        <v/>
      </c>
      <c r="I10" s="46">
        <f>IF($G10="","",COUNTIFS(Income!$C$7:$C$506,$G10,Income!$B$7:$B$506,"&gt;="&amp;DATE(Setup!$C$6,1,1),Income!$B$7:$B$506,"&lt;"&amp;DATE(Setup!$C$6+1,1,1)))</f>
        <v/>
      </c>
      <c r="J10" s="40">
        <f>IF(OR($G10="",SUM($H$7:$H$36)=0),"",H10/SUM($H$7:$H$36))</f>
        <v/>
      </c>
    </row>
    <row r="11">
      <c r="B11" s="42">
        <f>IF(Setup!E18="","",Setup!E18)</f>
        <v/>
      </c>
      <c r="C11" s="29">
        <f>IF($B11="","",SUMIFS(Expenses!$F$7:$F$506,Expenses!$D$7:$D$506,$B11,Expenses!$B$7:$B$506,"&gt;="&amp;DATE(Setup!$C$6,1,1),Expenses!$B$7:$B$506,"&lt;"&amp;DATE(Setup!$C$6+1,1,1)))</f>
        <v/>
      </c>
      <c r="D11" s="29">
        <f>IF($B11="","",SUMIFS(Expenses!$H$7:$H$506,Expenses!$D$7:$D$506,$B11,Expenses!$B$7:$B$506,"&gt;="&amp;DATE(Setup!$C$6,1,1),Expenses!$B$7:$B$506,"&lt;"&amp;DATE(Setup!$C$6+1,1,1)))</f>
        <v/>
      </c>
      <c r="E11" s="36">
        <f>IF(OR($B11="",SUM($C$7:$C$26)=0),"",C11/SUM($C$7:$C$26))</f>
        <v/>
      </c>
      <c r="G11" s="42">
        <f>IF(Setup!B18="","",Setup!B18)</f>
        <v/>
      </c>
      <c r="H11" s="29">
        <f>IF($G11="","",SUMIFS(Income!$F$7:$F$506,Income!$C$7:$C$506,$G11,Income!$B$7:$B$506,"&gt;="&amp;DATE(Setup!$C$6,1,1),Income!$B$7:$B$506,"&lt;"&amp;DATE(Setup!$C$6+1,1,1)))</f>
        <v/>
      </c>
      <c r="I11" s="44">
        <f>IF($G11="","",COUNTIFS(Income!$C$7:$C$506,$G11,Income!$B$7:$B$506,"&gt;="&amp;DATE(Setup!$C$6,1,1),Income!$B$7:$B$506,"&lt;"&amp;DATE(Setup!$C$6+1,1,1)))</f>
        <v/>
      </c>
      <c r="J11" s="36">
        <f>IF(OR($G11="",SUM($H$7:$H$36)=0),"",H11/SUM($H$7:$H$36))</f>
        <v/>
      </c>
    </row>
    <row r="12">
      <c r="B12" s="45">
        <f>IF(Setup!E19="","",Setup!E19)</f>
        <v/>
      </c>
      <c r="C12" s="38">
        <f>IF($B12="","",SUMIFS(Expenses!$F$7:$F$506,Expenses!$D$7:$D$506,$B12,Expenses!$B$7:$B$506,"&gt;="&amp;DATE(Setup!$C$6,1,1),Expenses!$B$7:$B$506,"&lt;"&amp;DATE(Setup!$C$6+1,1,1)))</f>
        <v/>
      </c>
      <c r="D12" s="38">
        <f>IF($B12="","",SUMIFS(Expenses!$H$7:$H$506,Expenses!$D$7:$D$506,$B12,Expenses!$B$7:$B$506,"&gt;="&amp;DATE(Setup!$C$6,1,1),Expenses!$B$7:$B$506,"&lt;"&amp;DATE(Setup!$C$6+1,1,1)))</f>
        <v/>
      </c>
      <c r="E12" s="40">
        <f>IF(OR($B12="",SUM($C$7:$C$26)=0),"",C12/SUM($C$7:$C$26))</f>
        <v/>
      </c>
      <c r="G12" s="45">
        <f>IF(Setup!B19="","",Setup!B19)</f>
        <v/>
      </c>
      <c r="H12" s="38">
        <f>IF($G12="","",SUMIFS(Income!$F$7:$F$506,Income!$C$7:$C$506,$G12,Income!$B$7:$B$506,"&gt;="&amp;DATE(Setup!$C$6,1,1),Income!$B$7:$B$506,"&lt;"&amp;DATE(Setup!$C$6+1,1,1)))</f>
        <v/>
      </c>
      <c r="I12" s="46">
        <f>IF($G12="","",COUNTIFS(Income!$C$7:$C$506,$G12,Income!$B$7:$B$506,"&gt;="&amp;DATE(Setup!$C$6,1,1),Income!$B$7:$B$506,"&lt;"&amp;DATE(Setup!$C$6+1,1,1)))</f>
        <v/>
      </c>
      <c r="J12" s="40">
        <f>IF(OR($G12="",SUM($H$7:$H$36)=0),"",H12/SUM($H$7:$H$36))</f>
        <v/>
      </c>
    </row>
    <row r="13">
      <c r="B13" s="42">
        <f>IF(Setup!E20="","",Setup!E20)</f>
        <v/>
      </c>
      <c r="C13" s="29">
        <f>IF($B13="","",SUMIFS(Expenses!$F$7:$F$506,Expenses!$D$7:$D$506,$B13,Expenses!$B$7:$B$506,"&gt;="&amp;DATE(Setup!$C$6,1,1),Expenses!$B$7:$B$506,"&lt;"&amp;DATE(Setup!$C$6+1,1,1)))</f>
        <v/>
      </c>
      <c r="D13" s="29">
        <f>IF($B13="","",SUMIFS(Expenses!$H$7:$H$506,Expenses!$D$7:$D$506,$B13,Expenses!$B$7:$B$506,"&gt;="&amp;DATE(Setup!$C$6,1,1),Expenses!$B$7:$B$506,"&lt;"&amp;DATE(Setup!$C$6+1,1,1)))</f>
        <v/>
      </c>
      <c r="E13" s="36">
        <f>IF(OR($B13="",SUM($C$7:$C$26)=0),"",C13/SUM($C$7:$C$26))</f>
        <v/>
      </c>
      <c r="G13" s="42">
        <f>IF(Setup!B20="","",Setup!B20)</f>
        <v/>
      </c>
      <c r="H13" s="29">
        <f>IF($G13="","",SUMIFS(Income!$F$7:$F$506,Income!$C$7:$C$506,$G13,Income!$B$7:$B$506,"&gt;="&amp;DATE(Setup!$C$6,1,1),Income!$B$7:$B$506,"&lt;"&amp;DATE(Setup!$C$6+1,1,1)))</f>
        <v/>
      </c>
      <c r="I13" s="44">
        <f>IF($G13="","",COUNTIFS(Income!$C$7:$C$506,$G13,Income!$B$7:$B$506,"&gt;="&amp;DATE(Setup!$C$6,1,1),Income!$B$7:$B$506,"&lt;"&amp;DATE(Setup!$C$6+1,1,1)))</f>
        <v/>
      </c>
      <c r="J13" s="36">
        <f>IF(OR($G13="",SUM($H$7:$H$36)=0),"",H13/SUM($H$7:$H$36))</f>
        <v/>
      </c>
    </row>
    <row r="14">
      <c r="B14" s="45">
        <f>IF(Setup!E21="","",Setup!E21)</f>
        <v/>
      </c>
      <c r="C14" s="38">
        <f>IF($B14="","",SUMIFS(Expenses!$F$7:$F$506,Expenses!$D$7:$D$506,$B14,Expenses!$B$7:$B$506,"&gt;="&amp;DATE(Setup!$C$6,1,1),Expenses!$B$7:$B$506,"&lt;"&amp;DATE(Setup!$C$6+1,1,1)))</f>
        <v/>
      </c>
      <c r="D14" s="38">
        <f>IF($B14="","",SUMIFS(Expenses!$H$7:$H$506,Expenses!$D$7:$D$506,$B14,Expenses!$B$7:$B$506,"&gt;="&amp;DATE(Setup!$C$6,1,1),Expenses!$B$7:$B$506,"&lt;"&amp;DATE(Setup!$C$6+1,1,1)))</f>
        <v/>
      </c>
      <c r="E14" s="40">
        <f>IF(OR($B14="",SUM($C$7:$C$26)=0),"",C14/SUM($C$7:$C$26))</f>
        <v/>
      </c>
      <c r="G14" s="45">
        <f>IF(Setup!B21="","",Setup!B21)</f>
        <v/>
      </c>
      <c r="H14" s="38">
        <f>IF($G14="","",SUMIFS(Income!$F$7:$F$506,Income!$C$7:$C$506,$G14,Income!$B$7:$B$506,"&gt;="&amp;DATE(Setup!$C$6,1,1),Income!$B$7:$B$506,"&lt;"&amp;DATE(Setup!$C$6+1,1,1)))</f>
        <v/>
      </c>
      <c r="I14" s="46">
        <f>IF($G14="","",COUNTIFS(Income!$C$7:$C$506,$G14,Income!$B$7:$B$506,"&gt;="&amp;DATE(Setup!$C$6,1,1),Income!$B$7:$B$506,"&lt;"&amp;DATE(Setup!$C$6+1,1,1)))</f>
        <v/>
      </c>
      <c r="J14" s="40">
        <f>IF(OR($G14="",SUM($H$7:$H$36)=0),"",H14/SUM($H$7:$H$36))</f>
        <v/>
      </c>
    </row>
    <row r="15">
      <c r="B15" s="42">
        <f>IF(Setup!E22="","",Setup!E22)</f>
        <v/>
      </c>
      <c r="C15" s="29">
        <f>IF($B15="","",SUMIFS(Expenses!$F$7:$F$506,Expenses!$D$7:$D$506,$B15,Expenses!$B$7:$B$506,"&gt;="&amp;DATE(Setup!$C$6,1,1),Expenses!$B$7:$B$506,"&lt;"&amp;DATE(Setup!$C$6+1,1,1)))</f>
        <v/>
      </c>
      <c r="D15" s="29">
        <f>IF($B15="","",SUMIFS(Expenses!$H$7:$H$506,Expenses!$D$7:$D$506,$B15,Expenses!$B$7:$B$506,"&gt;="&amp;DATE(Setup!$C$6,1,1),Expenses!$B$7:$B$506,"&lt;"&amp;DATE(Setup!$C$6+1,1,1)))</f>
        <v/>
      </c>
      <c r="E15" s="36">
        <f>IF(OR($B15="",SUM($C$7:$C$26)=0),"",C15/SUM($C$7:$C$26))</f>
        <v/>
      </c>
      <c r="G15" s="42">
        <f>IF(Setup!B22="","",Setup!B22)</f>
        <v/>
      </c>
      <c r="H15" s="29">
        <f>IF($G15="","",SUMIFS(Income!$F$7:$F$506,Income!$C$7:$C$506,$G15,Income!$B$7:$B$506,"&gt;="&amp;DATE(Setup!$C$6,1,1),Income!$B$7:$B$506,"&lt;"&amp;DATE(Setup!$C$6+1,1,1)))</f>
        <v/>
      </c>
      <c r="I15" s="44">
        <f>IF($G15="","",COUNTIFS(Income!$C$7:$C$506,$G15,Income!$B$7:$B$506,"&gt;="&amp;DATE(Setup!$C$6,1,1),Income!$B$7:$B$506,"&lt;"&amp;DATE(Setup!$C$6+1,1,1)))</f>
        <v/>
      </c>
      <c r="J15" s="36">
        <f>IF(OR($G15="",SUM($H$7:$H$36)=0),"",H15/SUM($H$7:$H$36))</f>
        <v/>
      </c>
    </row>
    <row r="16">
      <c r="B16" s="45">
        <f>IF(Setup!E23="","",Setup!E23)</f>
        <v/>
      </c>
      <c r="C16" s="38">
        <f>IF($B16="","",SUMIFS(Expenses!$F$7:$F$506,Expenses!$D$7:$D$506,$B16,Expenses!$B$7:$B$506,"&gt;="&amp;DATE(Setup!$C$6,1,1),Expenses!$B$7:$B$506,"&lt;"&amp;DATE(Setup!$C$6+1,1,1)))</f>
        <v/>
      </c>
      <c r="D16" s="38">
        <f>IF($B16="","",SUMIFS(Expenses!$H$7:$H$506,Expenses!$D$7:$D$506,$B16,Expenses!$B$7:$B$506,"&gt;="&amp;DATE(Setup!$C$6,1,1),Expenses!$B$7:$B$506,"&lt;"&amp;DATE(Setup!$C$6+1,1,1)))</f>
        <v/>
      </c>
      <c r="E16" s="40">
        <f>IF(OR($B16="",SUM($C$7:$C$26)=0),"",C16/SUM($C$7:$C$26))</f>
        <v/>
      </c>
      <c r="G16" s="45">
        <f>IF(Setup!B23="","",Setup!B23)</f>
        <v/>
      </c>
      <c r="H16" s="38">
        <f>IF($G16="","",SUMIFS(Income!$F$7:$F$506,Income!$C$7:$C$506,$G16,Income!$B$7:$B$506,"&gt;="&amp;DATE(Setup!$C$6,1,1),Income!$B$7:$B$506,"&lt;"&amp;DATE(Setup!$C$6+1,1,1)))</f>
        <v/>
      </c>
      <c r="I16" s="46">
        <f>IF($G16="","",COUNTIFS(Income!$C$7:$C$506,$G16,Income!$B$7:$B$506,"&gt;="&amp;DATE(Setup!$C$6,1,1),Income!$B$7:$B$506,"&lt;"&amp;DATE(Setup!$C$6+1,1,1)))</f>
        <v/>
      </c>
      <c r="J16" s="40">
        <f>IF(OR($G16="",SUM($H$7:$H$36)=0),"",H16/SUM($H$7:$H$36))</f>
        <v/>
      </c>
    </row>
    <row r="17">
      <c r="B17" s="42">
        <f>IF(Setup!E24="","",Setup!E24)</f>
        <v/>
      </c>
      <c r="C17" s="29">
        <f>IF($B17="","",SUMIFS(Expenses!$F$7:$F$506,Expenses!$D$7:$D$506,$B17,Expenses!$B$7:$B$506,"&gt;="&amp;DATE(Setup!$C$6,1,1),Expenses!$B$7:$B$506,"&lt;"&amp;DATE(Setup!$C$6+1,1,1)))</f>
        <v/>
      </c>
      <c r="D17" s="29">
        <f>IF($B17="","",SUMIFS(Expenses!$H$7:$H$506,Expenses!$D$7:$D$506,$B17,Expenses!$B$7:$B$506,"&gt;="&amp;DATE(Setup!$C$6,1,1),Expenses!$B$7:$B$506,"&lt;"&amp;DATE(Setup!$C$6+1,1,1)))</f>
        <v/>
      </c>
      <c r="E17" s="36">
        <f>IF(OR($B17="",SUM($C$7:$C$26)=0),"",C17/SUM($C$7:$C$26))</f>
        <v/>
      </c>
      <c r="G17" s="42">
        <f>IF(Setup!B24="","",Setup!B24)</f>
        <v/>
      </c>
      <c r="H17" s="29">
        <f>IF($G17="","",SUMIFS(Income!$F$7:$F$506,Income!$C$7:$C$506,$G17,Income!$B$7:$B$506,"&gt;="&amp;DATE(Setup!$C$6,1,1),Income!$B$7:$B$506,"&lt;"&amp;DATE(Setup!$C$6+1,1,1)))</f>
        <v/>
      </c>
      <c r="I17" s="44">
        <f>IF($G17="","",COUNTIFS(Income!$C$7:$C$506,$G17,Income!$B$7:$B$506,"&gt;="&amp;DATE(Setup!$C$6,1,1),Income!$B$7:$B$506,"&lt;"&amp;DATE(Setup!$C$6+1,1,1)))</f>
        <v/>
      </c>
      <c r="J17" s="36">
        <f>IF(OR($G17="",SUM($H$7:$H$36)=0),"",H17/SUM($H$7:$H$36))</f>
        <v/>
      </c>
    </row>
    <row r="18">
      <c r="B18" s="45">
        <f>IF(Setup!E25="","",Setup!E25)</f>
        <v/>
      </c>
      <c r="C18" s="38">
        <f>IF($B18="","",SUMIFS(Expenses!$F$7:$F$506,Expenses!$D$7:$D$506,$B18,Expenses!$B$7:$B$506,"&gt;="&amp;DATE(Setup!$C$6,1,1),Expenses!$B$7:$B$506,"&lt;"&amp;DATE(Setup!$C$6+1,1,1)))</f>
        <v/>
      </c>
      <c r="D18" s="38">
        <f>IF($B18="","",SUMIFS(Expenses!$H$7:$H$506,Expenses!$D$7:$D$506,$B18,Expenses!$B$7:$B$506,"&gt;="&amp;DATE(Setup!$C$6,1,1),Expenses!$B$7:$B$506,"&lt;"&amp;DATE(Setup!$C$6+1,1,1)))</f>
        <v/>
      </c>
      <c r="E18" s="40">
        <f>IF(OR($B18="",SUM($C$7:$C$26)=0),"",C18/SUM($C$7:$C$26))</f>
        <v/>
      </c>
      <c r="G18" s="45">
        <f>IF(Setup!B25="","",Setup!B25)</f>
        <v/>
      </c>
      <c r="H18" s="38">
        <f>IF($G18="","",SUMIFS(Income!$F$7:$F$506,Income!$C$7:$C$506,$G18,Income!$B$7:$B$506,"&gt;="&amp;DATE(Setup!$C$6,1,1),Income!$B$7:$B$506,"&lt;"&amp;DATE(Setup!$C$6+1,1,1)))</f>
        <v/>
      </c>
      <c r="I18" s="46">
        <f>IF($G18="","",COUNTIFS(Income!$C$7:$C$506,$G18,Income!$B$7:$B$506,"&gt;="&amp;DATE(Setup!$C$6,1,1),Income!$B$7:$B$506,"&lt;"&amp;DATE(Setup!$C$6+1,1,1)))</f>
        <v/>
      </c>
      <c r="J18" s="40">
        <f>IF(OR($G18="",SUM($H$7:$H$36)=0),"",H18/SUM($H$7:$H$36))</f>
        <v/>
      </c>
    </row>
    <row r="19">
      <c r="B19" s="42">
        <f>IF(Setup!E26="","",Setup!E26)</f>
        <v/>
      </c>
      <c r="C19" s="29">
        <f>IF($B19="","",SUMIFS(Expenses!$F$7:$F$506,Expenses!$D$7:$D$506,$B19,Expenses!$B$7:$B$506,"&gt;="&amp;DATE(Setup!$C$6,1,1),Expenses!$B$7:$B$506,"&lt;"&amp;DATE(Setup!$C$6+1,1,1)))</f>
        <v/>
      </c>
      <c r="D19" s="29">
        <f>IF($B19="","",SUMIFS(Expenses!$H$7:$H$506,Expenses!$D$7:$D$506,$B19,Expenses!$B$7:$B$506,"&gt;="&amp;DATE(Setup!$C$6,1,1),Expenses!$B$7:$B$506,"&lt;"&amp;DATE(Setup!$C$6+1,1,1)))</f>
        <v/>
      </c>
      <c r="E19" s="36">
        <f>IF(OR($B19="",SUM($C$7:$C$26)=0),"",C19/SUM($C$7:$C$26))</f>
        <v/>
      </c>
      <c r="G19" s="42">
        <f>IF(Setup!B26="","",Setup!B26)</f>
        <v/>
      </c>
      <c r="H19" s="29">
        <f>IF($G19="","",SUMIFS(Income!$F$7:$F$506,Income!$C$7:$C$506,$G19,Income!$B$7:$B$506,"&gt;="&amp;DATE(Setup!$C$6,1,1),Income!$B$7:$B$506,"&lt;"&amp;DATE(Setup!$C$6+1,1,1)))</f>
        <v/>
      </c>
      <c r="I19" s="44">
        <f>IF($G19="","",COUNTIFS(Income!$C$7:$C$506,$G19,Income!$B$7:$B$506,"&gt;="&amp;DATE(Setup!$C$6,1,1),Income!$B$7:$B$506,"&lt;"&amp;DATE(Setup!$C$6+1,1,1)))</f>
        <v/>
      </c>
      <c r="J19" s="36">
        <f>IF(OR($G19="",SUM($H$7:$H$36)=0),"",H19/SUM($H$7:$H$36))</f>
        <v/>
      </c>
    </row>
    <row r="20">
      <c r="B20" s="45">
        <f>IF(Setup!E27="","",Setup!E27)</f>
        <v/>
      </c>
      <c r="C20" s="38">
        <f>IF($B20="","",SUMIFS(Expenses!$F$7:$F$506,Expenses!$D$7:$D$506,$B20,Expenses!$B$7:$B$506,"&gt;="&amp;DATE(Setup!$C$6,1,1),Expenses!$B$7:$B$506,"&lt;"&amp;DATE(Setup!$C$6+1,1,1)))</f>
        <v/>
      </c>
      <c r="D20" s="38">
        <f>IF($B20="","",SUMIFS(Expenses!$H$7:$H$506,Expenses!$D$7:$D$506,$B20,Expenses!$B$7:$B$506,"&gt;="&amp;DATE(Setup!$C$6,1,1),Expenses!$B$7:$B$506,"&lt;"&amp;DATE(Setup!$C$6+1,1,1)))</f>
        <v/>
      </c>
      <c r="E20" s="40">
        <f>IF(OR($B20="",SUM($C$7:$C$26)=0),"",C20/SUM($C$7:$C$26))</f>
        <v/>
      </c>
      <c r="G20" s="45">
        <f>IF(Setup!B27="","",Setup!B27)</f>
        <v/>
      </c>
      <c r="H20" s="38">
        <f>IF($G20="","",SUMIFS(Income!$F$7:$F$506,Income!$C$7:$C$506,$G20,Income!$B$7:$B$506,"&gt;="&amp;DATE(Setup!$C$6,1,1),Income!$B$7:$B$506,"&lt;"&amp;DATE(Setup!$C$6+1,1,1)))</f>
        <v/>
      </c>
      <c r="I20" s="46">
        <f>IF($G20="","",COUNTIFS(Income!$C$7:$C$506,$G20,Income!$B$7:$B$506,"&gt;="&amp;DATE(Setup!$C$6,1,1),Income!$B$7:$B$506,"&lt;"&amp;DATE(Setup!$C$6+1,1,1)))</f>
        <v/>
      </c>
      <c r="J20" s="40">
        <f>IF(OR($G20="",SUM($H$7:$H$36)=0),"",H20/SUM($H$7:$H$36))</f>
        <v/>
      </c>
    </row>
    <row r="21">
      <c r="B21" s="42">
        <f>IF(Setup!E28="","",Setup!E28)</f>
        <v/>
      </c>
      <c r="C21" s="29">
        <f>IF($B21="","",SUMIFS(Expenses!$F$7:$F$506,Expenses!$D$7:$D$506,$B21,Expenses!$B$7:$B$506,"&gt;="&amp;DATE(Setup!$C$6,1,1),Expenses!$B$7:$B$506,"&lt;"&amp;DATE(Setup!$C$6+1,1,1)))</f>
        <v/>
      </c>
      <c r="D21" s="29">
        <f>IF($B21="","",SUMIFS(Expenses!$H$7:$H$506,Expenses!$D$7:$D$506,$B21,Expenses!$B$7:$B$506,"&gt;="&amp;DATE(Setup!$C$6,1,1),Expenses!$B$7:$B$506,"&lt;"&amp;DATE(Setup!$C$6+1,1,1)))</f>
        <v/>
      </c>
      <c r="E21" s="36">
        <f>IF(OR($B21="",SUM($C$7:$C$26)=0),"",C21/SUM($C$7:$C$26))</f>
        <v/>
      </c>
      <c r="G21" s="42">
        <f>IF(Setup!B28="","",Setup!B28)</f>
        <v/>
      </c>
      <c r="H21" s="29">
        <f>IF($G21="","",SUMIFS(Income!$F$7:$F$506,Income!$C$7:$C$506,$G21,Income!$B$7:$B$506,"&gt;="&amp;DATE(Setup!$C$6,1,1),Income!$B$7:$B$506,"&lt;"&amp;DATE(Setup!$C$6+1,1,1)))</f>
        <v/>
      </c>
      <c r="I21" s="44">
        <f>IF($G21="","",COUNTIFS(Income!$C$7:$C$506,$G21,Income!$B$7:$B$506,"&gt;="&amp;DATE(Setup!$C$6,1,1),Income!$B$7:$B$506,"&lt;"&amp;DATE(Setup!$C$6+1,1,1)))</f>
        <v/>
      </c>
      <c r="J21" s="36">
        <f>IF(OR($G21="",SUM($H$7:$H$36)=0),"",H21/SUM($H$7:$H$36))</f>
        <v/>
      </c>
    </row>
    <row r="22">
      <c r="B22" s="45">
        <f>IF(Setup!E29="","",Setup!E29)</f>
        <v/>
      </c>
      <c r="C22" s="38">
        <f>IF($B22="","",SUMIFS(Expenses!$F$7:$F$506,Expenses!$D$7:$D$506,$B22,Expenses!$B$7:$B$506,"&gt;="&amp;DATE(Setup!$C$6,1,1),Expenses!$B$7:$B$506,"&lt;"&amp;DATE(Setup!$C$6+1,1,1)))</f>
        <v/>
      </c>
      <c r="D22" s="38">
        <f>IF($B22="","",SUMIFS(Expenses!$H$7:$H$506,Expenses!$D$7:$D$506,$B22,Expenses!$B$7:$B$506,"&gt;="&amp;DATE(Setup!$C$6,1,1),Expenses!$B$7:$B$506,"&lt;"&amp;DATE(Setup!$C$6+1,1,1)))</f>
        <v/>
      </c>
      <c r="E22" s="40">
        <f>IF(OR($B22="",SUM($C$7:$C$26)=0),"",C22/SUM($C$7:$C$26))</f>
        <v/>
      </c>
      <c r="G22" s="45">
        <f>IF(Setup!B29="","",Setup!B29)</f>
        <v/>
      </c>
      <c r="H22" s="38">
        <f>IF($G22="","",SUMIFS(Income!$F$7:$F$506,Income!$C$7:$C$506,$G22,Income!$B$7:$B$506,"&gt;="&amp;DATE(Setup!$C$6,1,1),Income!$B$7:$B$506,"&lt;"&amp;DATE(Setup!$C$6+1,1,1)))</f>
        <v/>
      </c>
      <c r="I22" s="46">
        <f>IF($G22="","",COUNTIFS(Income!$C$7:$C$506,$G22,Income!$B$7:$B$506,"&gt;="&amp;DATE(Setup!$C$6,1,1),Income!$B$7:$B$506,"&lt;"&amp;DATE(Setup!$C$6+1,1,1)))</f>
        <v/>
      </c>
      <c r="J22" s="40">
        <f>IF(OR($G22="",SUM($H$7:$H$36)=0),"",H22/SUM($H$7:$H$36))</f>
        <v/>
      </c>
    </row>
    <row r="23">
      <c r="B23" s="42">
        <f>IF(Setup!E30="","",Setup!E30)</f>
        <v/>
      </c>
      <c r="C23" s="29">
        <f>IF($B23="","",SUMIFS(Expenses!$F$7:$F$506,Expenses!$D$7:$D$506,$B23,Expenses!$B$7:$B$506,"&gt;="&amp;DATE(Setup!$C$6,1,1),Expenses!$B$7:$B$506,"&lt;"&amp;DATE(Setup!$C$6+1,1,1)))</f>
        <v/>
      </c>
      <c r="D23" s="29">
        <f>IF($B23="","",SUMIFS(Expenses!$H$7:$H$506,Expenses!$D$7:$D$506,$B23,Expenses!$B$7:$B$506,"&gt;="&amp;DATE(Setup!$C$6,1,1),Expenses!$B$7:$B$506,"&lt;"&amp;DATE(Setup!$C$6+1,1,1)))</f>
        <v/>
      </c>
      <c r="E23" s="36">
        <f>IF(OR($B23="",SUM($C$7:$C$26)=0),"",C23/SUM($C$7:$C$26))</f>
        <v/>
      </c>
      <c r="G23" s="42">
        <f>IF(Setup!B30="","",Setup!B30)</f>
        <v/>
      </c>
      <c r="H23" s="29">
        <f>IF($G23="","",SUMIFS(Income!$F$7:$F$506,Income!$C$7:$C$506,$G23,Income!$B$7:$B$506,"&gt;="&amp;DATE(Setup!$C$6,1,1),Income!$B$7:$B$506,"&lt;"&amp;DATE(Setup!$C$6+1,1,1)))</f>
        <v/>
      </c>
      <c r="I23" s="44">
        <f>IF($G23="","",COUNTIFS(Income!$C$7:$C$506,$G23,Income!$B$7:$B$506,"&gt;="&amp;DATE(Setup!$C$6,1,1),Income!$B$7:$B$506,"&lt;"&amp;DATE(Setup!$C$6+1,1,1)))</f>
        <v/>
      </c>
      <c r="J23" s="36">
        <f>IF(OR($G23="",SUM($H$7:$H$36)=0),"",H23/SUM($H$7:$H$36))</f>
        <v/>
      </c>
    </row>
    <row r="24">
      <c r="B24" s="45">
        <f>IF(Setup!E31="","",Setup!E31)</f>
        <v/>
      </c>
      <c r="C24" s="38">
        <f>IF($B24="","",SUMIFS(Expenses!$F$7:$F$506,Expenses!$D$7:$D$506,$B24,Expenses!$B$7:$B$506,"&gt;="&amp;DATE(Setup!$C$6,1,1),Expenses!$B$7:$B$506,"&lt;"&amp;DATE(Setup!$C$6+1,1,1)))</f>
        <v/>
      </c>
      <c r="D24" s="38">
        <f>IF($B24="","",SUMIFS(Expenses!$H$7:$H$506,Expenses!$D$7:$D$506,$B24,Expenses!$B$7:$B$506,"&gt;="&amp;DATE(Setup!$C$6,1,1),Expenses!$B$7:$B$506,"&lt;"&amp;DATE(Setup!$C$6+1,1,1)))</f>
        <v/>
      </c>
      <c r="E24" s="40">
        <f>IF(OR($B24="",SUM($C$7:$C$26)=0),"",C24/SUM($C$7:$C$26))</f>
        <v/>
      </c>
      <c r="G24" s="45">
        <f>IF(Setup!B31="","",Setup!B31)</f>
        <v/>
      </c>
      <c r="H24" s="38">
        <f>IF($G24="","",SUMIFS(Income!$F$7:$F$506,Income!$C$7:$C$506,$G24,Income!$B$7:$B$506,"&gt;="&amp;DATE(Setup!$C$6,1,1),Income!$B$7:$B$506,"&lt;"&amp;DATE(Setup!$C$6+1,1,1)))</f>
        <v/>
      </c>
      <c r="I24" s="46">
        <f>IF($G24="","",COUNTIFS(Income!$C$7:$C$506,$G24,Income!$B$7:$B$506,"&gt;="&amp;DATE(Setup!$C$6,1,1),Income!$B$7:$B$506,"&lt;"&amp;DATE(Setup!$C$6+1,1,1)))</f>
        <v/>
      </c>
      <c r="J24" s="40">
        <f>IF(OR($G24="",SUM($H$7:$H$36)=0),"",H24/SUM($H$7:$H$36))</f>
        <v/>
      </c>
    </row>
    <row r="25">
      <c r="B25" s="42">
        <f>IF(Setup!E32="","",Setup!E32)</f>
        <v/>
      </c>
      <c r="C25" s="29">
        <f>IF($B25="","",SUMIFS(Expenses!$F$7:$F$506,Expenses!$D$7:$D$506,$B25,Expenses!$B$7:$B$506,"&gt;="&amp;DATE(Setup!$C$6,1,1),Expenses!$B$7:$B$506,"&lt;"&amp;DATE(Setup!$C$6+1,1,1)))</f>
        <v/>
      </c>
      <c r="D25" s="29">
        <f>IF($B25="","",SUMIFS(Expenses!$H$7:$H$506,Expenses!$D$7:$D$506,$B25,Expenses!$B$7:$B$506,"&gt;="&amp;DATE(Setup!$C$6,1,1),Expenses!$B$7:$B$506,"&lt;"&amp;DATE(Setup!$C$6+1,1,1)))</f>
        <v/>
      </c>
      <c r="E25" s="36">
        <f>IF(OR($B25="",SUM($C$7:$C$26)=0),"",C25/SUM($C$7:$C$26))</f>
        <v/>
      </c>
      <c r="G25" s="42">
        <f>IF(Setup!B32="","",Setup!B32)</f>
        <v/>
      </c>
      <c r="H25" s="29">
        <f>IF($G25="","",SUMIFS(Income!$F$7:$F$506,Income!$C$7:$C$506,$G25,Income!$B$7:$B$506,"&gt;="&amp;DATE(Setup!$C$6,1,1),Income!$B$7:$B$506,"&lt;"&amp;DATE(Setup!$C$6+1,1,1)))</f>
        <v/>
      </c>
      <c r="I25" s="44">
        <f>IF($G25="","",COUNTIFS(Income!$C$7:$C$506,$G25,Income!$B$7:$B$506,"&gt;="&amp;DATE(Setup!$C$6,1,1),Income!$B$7:$B$506,"&lt;"&amp;DATE(Setup!$C$6+1,1,1)))</f>
        <v/>
      </c>
      <c r="J25" s="36">
        <f>IF(OR($G25="",SUM($H$7:$H$36)=0),"",H25/SUM($H$7:$H$36))</f>
        <v/>
      </c>
    </row>
    <row r="26">
      <c r="B26" s="45">
        <f>IF(Setup!E33="","",Setup!E33)</f>
        <v/>
      </c>
      <c r="C26" s="38">
        <f>IF($B26="","",SUMIFS(Expenses!$F$7:$F$506,Expenses!$D$7:$D$506,$B26,Expenses!$B$7:$B$506,"&gt;="&amp;DATE(Setup!$C$6,1,1),Expenses!$B$7:$B$506,"&lt;"&amp;DATE(Setup!$C$6+1,1,1)))</f>
        <v/>
      </c>
      <c r="D26" s="38">
        <f>IF($B26="","",SUMIFS(Expenses!$H$7:$H$506,Expenses!$D$7:$D$506,$B26,Expenses!$B$7:$B$506,"&gt;="&amp;DATE(Setup!$C$6,1,1),Expenses!$B$7:$B$506,"&lt;"&amp;DATE(Setup!$C$6+1,1,1)))</f>
        <v/>
      </c>
      <c r="E26" s="40">
        <f>IF(OR($B26="",SUM($C$7:$C$26)=0),"",C26/SUM($C$7:$C$26))</f>
        <v/>
      </c>
      <c r="G26" s="45">
        <f>IF(Setup!B33="","",Setup!B33)</f>
        <v/>
      </c>
      <c r="H26" s="38">
        <f>IF($G26="","",SUMIFS(Income!$F$7:$F$506,Income!$C$7:$C$506,$G26,Income!$B$7:$B$506,"&gt;="&amp;DATE(Setup!$C$6,1,1),Income!$B$7:$B$506,"&lt;"&amp;DATE(Setup!$C$6+1,1,1)))</f>
        <v/>
      </c>
      <c r="I26" s="46">
        <f>IF($G26="","",COUNTIFS(Income!$C$7:$C$506,$G26,Income!$B$7:$B$506,"&gt;="&amp;DATE(Setup!$C$6,1,1),Income!$B$7:$B$506,"&lt;"&amp;DATE(Setup!$C$6+1,1,1)))</f>
        <v/>
      </c>
      <c r="J26" s="40">
        <f>IF(OR($G26="",SUM($H$7:$H$36)=0),"",H26/SUM($H$7:$H$36))</f>
        <v/>
      </c>
    </row>
    <row r="27">
      <c r="G27" s="42">
        <f>IF(Setup!B34="","",Setup!B34)</f>
        <v/>
      </c>
      <c r="H27" s="29">
        <f>IF($G27="","",SUMIFS(Income!$F$7:$F$506,Income!$C$7:$C$506,$G27,Income!$B$7:$B$506,"&gt;="&amp;DATE(Setup!$C$6,1,1),Income!$B$7:$B$506,"&lt;"&amp;DATE(Setup!$C$6+1,1,1)))</f>
        <v/>
      </c>
      <c r="I27" s="44">
        <f>IF($G27="","",COUNTIFS(Income!$C$7:$C$506,$G27,Income!$B$7:$B$506,"&gt;="&amp;DATE(Setup!$C$6,1,1),Income!$B$7:$B$506,"&lt;"&amp;DATE(Setup!$C$6+1,1,1)))</f>
        <v/>
      </c>
      <c r="J27" s="36">
        <f>IF(OR($G27="",SUM($H$7:$H$36)=0),"",H27/SUM($H$7:$H$36))</f>
        <v/>
      </c>
    </row>
    <row r="28">
      <c r="G28" s="45">
        <f>IF(Setup!B35="","",Setup!B35)</f>
        <v/>
      </c>
      <c r="H28" s="38">
        <f>IF($G28="","",SUMIFS(Income!$F$7:$F$506,Income!$C$7:$C$506,$G28,Income!$B$7:$B$506,"&gt;="&amp;DATE(Setup!$C$6,1,1),Income!$B$7:$B$506,"&lt;"&amp;DATE(Setup!$C$6+1,1,1)))</f>
        <v/>
      </c>
      <c r="I28" s="46">
        <f>IF($G28="","",COUNTIFS(Income!$C$7:$C$506,$G28,Income!$B$7:$B$506,"&gt;="&amp;DATE(Setup!$C$6,1,1),Income!$B$7:$B$506,"&lt;"&amp;DATE(Setup!$C$6+1,1,1)))</f>
        <v/>
      </c>
      <c r="J28" s="40">
        <f>IF(OR($G28="",SUM($H$7:$H$36)=0),"",H28/SUM($H$7:$H$36))</f>
        <v/>
      </c>
    </row>
    <row r="29">
      <c r="G29" s="42">
        <f>IF(Setup!B36="","",Setup!B36)</f>
        <v/>
      </c>
      <c r="H29" s="29">
        <f>IF($G29="","",SUMIFS(Income!$F$7:$F$506,Income!$C$7:$C$506,$G29,Income!$B$7:$B$506,"&gt;="&amp;DATE(Setup!$C$6,1,1),Income!$B$7:$B$506,"&lt;"&amp;DATE(Setup!$C$6+1,1,1)))</f>
        <v/>
      </c>
      <c r="I29" s="44">
        <f>IF($G29="","",COUNTIFS(Income!$C$7:$C$506,$G29,Income!$B$7:$B$506,"&gt;="&amp;DATE(Setup!$C$6,1,1),Income!$B$7:$B$506,"&lt;"&amp;DATE(Setup!$C$6+1,1,1)))</f>
        <v/>
      </c>
      <c r="J29" s="36">
        <f>IF(OR($G29="",SUM($H$7:$H$36)=0),"",H29/SUM($H$7:$H$36))</f>
        <v/>
      </c>
    </row>
    <row r="30">
      <c r="G30" s="45">
        <f>IF(Setup!B37="","",Setup!B37)</f>
        <v/>
      </c>
      <c r="H30" s="38">
        <f>IF($G30="","",SUMIFS(Income!$F$7:$F$506,Income!$C$7:$C$506,$G30,Income!$B$7:$B$506,"&gt;="&amp;DATE(Setup!$C$6,1,1),Income!$B$7:$B$506,"&lt;"&amp;DATE(Setup!$C$6+1,1,1)))</f>
        <v/>
      </c>
      <c r="I30" s="46">
        <f>IF($G30="","",COUNTIFS(Income!$C$7:$C$506,$G30,Income!$B$7:$B$506,"&gt;="&amp;DATE(Setup!$C$6,1,1),Income!$B$7:$B$506,"&lt;"&amp;DATE(Setup!$C$6+1,1,1)))</f>
        <v/>
      </c>
      <c r="J30" s="40">
        <f>IF(OR($G30="",SUM($H$7:$H$36)=0),"",H30/SUM($H$7:$H$36))</f>
        <v/>
      </c>
    </row>
    <row r="31">
      <c r="G31" s="42">
        <f>IF(Setup!B38="","",Setup!B38)</f>
        <v/>
      </c>
      <c r="H31" s="29">
        <f>IF($G31="","",SUMIFS(Income!$F$7:$F$506,Income!$C$7:$C$506,$G31,Income!$B$7:$B$506,"&gt;="&amp;DATE(Setup!$C$6,1,1),Income!$B$7:$B$506,"&lt;"&amp;DATE(Setup!$C$6+1,1,1)))</f>
        <v/>
      </c>
      <c r="I31" s="44">
        <f>IF($G31="","",COUNTIFS(Income!$C$7:$C$506,$G31,Income!$B$7:$B$506,"&gt;="&amp;DATE(Setup!$C$6,1,1),Income!$B$7:$B$506,"&lt;"&amp;DATE(Setup!$C$6+1,1,1)))</f>
        <v/>
      </c>
      <c r="J31" s="36">
        <f>IF(OR($G31="",SUM($H$7:$H$36)=0),"",H31/SUM($H$7:$H$36))</f>
        <v/>
      </c>
    </row>
    <row r="32">
      <c r="G32" s="45">
        <f>IF(Setup!B39="","",Setup!B39)</f>
        <v/>
      </c>
      <c r="H32" s="38">
        <f>IF($G32="","",SUMIFS(Income!$F$7:$F$506,Income!$C$7:$C$506,$G32,Income!$B$7:$B$506,"&gt;="&amp;DATE(Setup!$C$6,1,1),Income!$B$7:$B$506,"&lt;"&amp;DATE(Setup!$C$6+1,1,1)))</f>
        <v/>
      </c>
      <c r="I32" s="46">
        <f>IF($G32="","",COUNTIFS(Income!$C$7:$C$506,$G32,Income!$B$7:$B$506,"&gt;="&amp;DATE(Setup!$C$6,1,1),Income!$B$7:$B$506,"&lt;"&amp;DATE(Setup!$C$6+1,1,1)))</f>
        <v/>
      </c>
      <c r="J32" s="40">
        <f>IF(OR($G32="",SUM($H$7:$H$36)=0),"",H32/SUM($H$7:$H$36))</f>
        <v/>
      </c>
    </row>
    <row r="33">
      <c r="G33" s="42">
        <f>IF(Setup!B40="","",Setup!B40)</f>
        <v/>
      </c>
      <c r="H33" s="29">
        <f>IF($G33="","",SUMIFS(Income!$F$7:$F$506,Income!$C$7:$C$506,$G33,Income!$B$7:$B$506,"&gt;="&amp;DATE(Setup!$C$6,1,1),Income!$B$7:$B$506,"&lt;"&amp;DATE(Setup!$C$6+1,1,1)))</f>
        <v/>
      </c>
      <c r="I33" s="44">
        <f>IF($G33="","",COUNTIFS(Income!$C$7:$C$506,$G33,Income!$B$7:$B$506,"&gt;="&amp;DATE(Setup!$C$6,1,1),Income!$B$7:$B$506,"&lt;"&amp;DATE(Setup!$C$6+1,1,1)))</f>
        <v/>
      </c>
      <c r="J33" s="36">
        <f>IF(OR($G33="",SUM($H$7:$H$36)=0),"",H33/SUM($H$7:$H$36))</f>
        <v/>
      </c>
    </row>
    <row r="34">
      <c r="G34" s="45">
        <f>IF(Setup!B41="","",Setup!B41)</f>
        <v/>
      </c>
      <c r="H34" s="38">
        <f>IF($G34="","",SUMIFS(Income!$F$7:$F$506,Income!$C$7:$C$506,$G34,Income!$B$7:$B$506,"&gt;="&amp;DATE(Setup!$C$6,1,1),Income!$B$7:$B$506,"&lt;"&amp;DATE(Setup!$C$6+1,1,1)))</f>
        <v/>
      </c>
      <c r="I34" s="46">
        <f>IF($G34="","",COUNTIFS(Income!$C$7:$C$506,$G34,Income!$B$7:$B$506,"&gt;="&amp;DATE(Setup!$C$6,1,1),Income!$B$7:$B$506,"&lt;"&amp;DATE(Setup!$C$6+1,1,1)))</f>
        <v/>
      </c>
      <c r="J34" s="40">
        <f>IF(OR($G34="",SUM($H$7:$H$36)=0),"",H34/SUM($H$7:$H$36))</f>
        <v/>
      </c>
    </row>
    <row r="35">
      <c r="G35" s="42">
        <f>IF(Setup!B42="","",Setup!B42)</f>
        <v/>
      </c>
      <c r="H35" s="29">
        <f>IF($G35="","",SUMIFS(Income!$F$7:$F$506,Income!$C$7:$C$506,$G35,Income!$B$7:$B$506,"&gt;="&amp;DATE(Setup!$C$6,1,1),Income!$B$7:$B$506,"&lt;"&amp;DATE(Setup!$C$6+1,1,1)))</f>
        <v/>
      </c>
      <c r="I35" s="44">
        <f>IF($G35="","",COUNTIFS(Income!$C$7:$C$506,$G35,Income!$B$7:$B$506,"&gt;="&amp;DATE(Setup!$C$6,1,1),Income!$B$7:$B$506,"&lt;"&amp;DATE(Setup!$C$6+1,1,1)))</f>
        <v/>
      </c>
      <c r="J35" s="36">
        <f>IF(OR($G35="",SUM($H$7:$H$36)=0),"",H35/SUM($H$7:$H$36))</f>
        <v/>
      </c>
    </row>
    <row r="36">
      <c r="G36" s="45">
        <f>IF(Setup!B43="","",Setup!B43)</f>
        <v/>
      </c>
      <c r="H36" s="38">
        <f>IF($G36="","",SUMIFS(Income!$F$7:$F$506,Income!$C$7:$C$506,$G36,Income!$B$7:$B$506,"&gt;="&amp;DATE(Setup!$C$6,1,1),Income!$B$7:$B$506,"&lt;"&amp;DATE(Setup!$C$6+1,1,1)))</f>
        <v/>
      </c>
      <c r="I36" s="46">
        <f>IF($G36="","",COUNTIFS(Income!$C$7:$C$506,$G36,Income!$B$7:$B$506,"&gt;="&amp;DATE(Setup!$C$6,1,1),Income!$B$7:$B$506,"&lt;"&amp;DATE(Setup!$C$6+1,1,1)))</f>
        <v/>
      </c>
      <c r="J36" s="40">
        <f>IF(OR($G36="",SUM($H$7:$H$36)=0),"",H36/SUM($H$7:$H$36))</f>
        <v/>
      </c>
    </row>
  </sheetData>
  <conditionalFormatting sqref="E7:E26">
    <cfRule type="dataBar" priority="1">
      <dataBar>
        <cfvo type="num" val="0"/>
        <cfvo type="num" val="1"/>
        <color rgb="002F7D6D"/>
      </dataBar>
    </cfRule>
  </conditionalFormatting>
  <conditionalFormatting sqref="J7:J36">
    <cfRule type="dataBar" priority="2">
      <dataBar>
        <cfvo type="num" val="0"/>
        <cfvo type="num" val="1"/>
        <color rgb="002F7D6D"/>
      </dataBar>
    </cfRule>
  </conditionalFormatting>
  <printOptions horizontalCentered="1"/>
  <pageMargins left="0.4" right="0.4"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2026-09-25T06:49:01Z</dcterms:created>
  <dcterms:modified xmlns:dcterms="http://purl.org/dc/terms/" xmlns:xsi="http://www.w3.org/2001/XMLSchema-instance" xsi:type="dcterms:W3CDTF">2026-09-25T06:49:02Z</dcterms:modified>
</cp:coreProperties>
</file>