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Budget" sheetId="3" state="visible" r:id="rId3"/>
    <sheet name="Costs" sheetId="4" state="visible" r:id="rId4"/>
    <sheet name="Guests" sheetId="5" state="visible" r:id="rId5"/>
    <sheet name="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mmm d, yyyy"/>
  </numFmts>
  <fonts count="18">
    <font>
      <name val="Calibri"/>
      <family val="2"/>
      <color theme="1"/>
      <sz val="11"/>
      <scheme val="minor"/>
    </font>
    <font>
      <name val="Georgia"/>
      <b val="1"/>
      <color rgb="0026313B"/>
      <sz val="20"/>
    </font>
    <font>
      <name val="Arial"/>
      <color rgb="006B7580"/>
      <sz val="10"/>
    </font>
    <font>
      <name val="Arial"/>
      <b val="1"/>
      <color rgb="006B7580"/>
      <sz val="9"/>
    </font>
    <font>
      <name val="Arial"/>
      <color rgb="0026313B"/>
      <sz val="10"/>
    </font>
    <font>
      <name val="Arial"/>
      <b val="1"/>
      <color rgb="0026313B"/>
      <sz val="10"/>
    </font>
    <font>
      <name val="Arial"/>
      <b val="1"/>
      <color rgb="009A5B6F"/>
      <sz val="9"/>
    </font>
    <font>
      <name val="Arial"/>
      <b val="1"/>
      <color rgb="00FFFFFF"/>
      <sz val="9"/>
    </font>
    <font>
      <name val="Arial"/>
      <b val="1"/>
      <color rgb="0026313B"/>
      <sz val="9"/>
    </font>
    <font>
      <name val="Arial"/>
      <i val="1"/>
      <color rgb="006B7580"/>
      <sz val="9"/>
    </font>
    <font>
      <name val="Arial"/>
      <b val="1"/>
      <color rgb="009A5B6F"/>
      <sz val="10"/>
    </font>
    <font>
      <name val="Arial"/>
      <b val="1"/>
      <color rgb="006B7580"/>
      <sz val="8"/>
    </font>
    <font>
      <name val="Georgia"/>
      <b val="1"/>
      <color rgb="0026313B"/>
      <sz val="18"/>
    </font>
    <font>
      <name val="Georgia"/>
      <b val="1"/>
      <color rgb="0026313B"/>
      <sz val="16"/>
    </font>
    <font>
      <name val="Georgia"/>
      <b val="1"/>
      <color rgb="0026313B"/>
      <sz val="24"/>
    </font>
    <font>
      <name val="Arial"/>
      <color rgb="006B7580"/>
      <sz val="11"/>
    </font>
    <font>
      <name val="Georgia"/>
      <b val="1"/>
      <color rgb="009A5B6F"/>
      <sz val="12"/>
    </font>
    <font>
      <name val="Arial"/>
      <color rgb="0026313B"/>
      <sz val="10.5"/>
    </font>
  </fonts>
  <fills count="5">
    <fill>
      <patternFill/>
    </fill>
    <fill>
      <patternFill patternType="gray125"/>
    </fill>
    <fill>
      <patternFill patternType="solid">
        <fgColor rgb="00FFF8E8"/>
        <bgColor rgb="00FFF8E8"/>
      </patternFill>
    </fill>
    <fill>
      <patternFill patternType="solid">
        <fgColor rgb="00F7F2F3"/>
        <bgColor rgb="00F7F2F3"/>
      </patternFill>
    </fill>
    <fill>
      <patternFill patternType="solid">
        <fgColor rgb="009A5B6F"/>
        <bgColor rgb="009A5B6F"/>
      </patternFill>
    </fill>
  </fills>
  <borders count="7">
    <border>
      <left/>
      <right/>
      <top/>
      <bottom/>
      <diagonal/>
    </border>
    <border>
      <top style="medium">
        <color rgb="009A5B6F"/>
      </top>
    </border>
    <border>
      <left style="thin">
        <color rgb="00D9DEE2"/>
      </left>
      <right style="thin">
        <color rgb="00D9DEE2"/>
      </right>
      <top style="thin">
        <color rgb="00D9DEE2"/>
      </top>
      <bottom style="thin">
        <color rgb="00D9DEE2"/>
      </bottom>
    </border>
    <border>
      <left/>
      <right/>
      <top style="thin">
        <color rgb="00D9DEE2"/>
      </top>
      <bottom/>
      <diagonal/>
    </border>
    <border>
      <left/>
      <right style="thin">
        <color rgb="00D9DEE2"/>
      </right>
      <top style="thin">
        <color rgb="00D9DEE2"/>
      </top>
      <bottom/>
      <diagonal/>
    </border>
    <border>
      <left/>
      <right style="thin">
        <color rgb="00D9DEE2"/>
      </right>
      <top style="thin">
        <color rgb="00D9DEE2"/>
      </top>
      <bottom style="thin">
        <color rgb="00D9DEE2"/>
      </bottom>
      <diagonal/>
    </border>
    <border>
      <left/>
      <right/>
      <top style="thin">
        <color rgb="00D9DEE2"/>
      </top>
      <bottom style="thin">
        <color rgb="00D9DEE2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6" fillId="0" borderId="0" pivotButton="0" quotePrefix="0" xfId="0"/>
    <xf numFmtId="0" fontId="16" fillId="0" borderId="0" applyAlignment="1" pivotButton="0" quotePrefix="0" xfId="0">
      <alignment horizontal="center" vertical="top"/>
    </xf>
    <xf numFmtId="0" fontId="17" fillId="0" borderId="0" applyAlignment="1" pivotButton="0" quotePrefix="0" xfId="0">
      <alignment vertical="top" wrapText="1"/>
    </xf>
    <xf numFmtId="0" fontId="0" fillId="2" borderId="2" pivotButton="0" quotePrefix="0" xfId="0"/>
    <xf numFmtId="0" fontId="17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vertical="center"/>
    </xf>
    <xf numFmtId="166" fontId="4" fillId="2" borderId="2" applyAlignment="1" pivotButton="0" quotePrefix="0" xfId="0">
      <alignment vertical="center"/>
    </xf>
    <xf numFmtId="0" fontId="0" fillId="0" borderId="5" pivotButton="0" quotePrefix="0" xfId="0"/>
    <xf numFmtId="0" fontId="4" fillId="2" borderId="2" applyAlignment="1" pivotButton="0" quotePrefix="0" xfId="0">
      <alignment vertical="center"/>
    </xf>
    <xf numFmtId="0" fontId="0" fillId="0" borderId="6" pivotButton="0" quotePrefix="0" xfId="0"/>
    <xf numFmtId="0" fontId="11" fillId="3" borderId="0" applyAlignment="1" pivotButton="0" quotePrefix="0" xfId="0">
      <alignment horizontal="left" vertical="center" indent="1"/>
    </xf>
    <xf numFmtId="1" fontId="12" fillId="3" borderId="0" applyAlignment="1" pivotButton="0" quotePrefix="0" xfId="0">
      <alignment horizontal="left" vertical="center" indent="1"/>
    </xf>
    <xf numFmtId="164" fontId="12" fillId="3" borderId="0" applyAlignment="1" pivotButton="0" quotePrefix="0" xfId="0">
      <alignment horizontal="left" vertical="center" indent="1"/>
    </xf>
    <xf numFmtId="0" fontId="11" fillId="0" borderId="0" pivotButton="0" quotePrefix="0" xfId="0"/>
    <xf numFmtId="9" fontId="13" fillId="0" borderId="0" pivotButton="0" quotePrefix="0" xfId="0"/>
    <xf numFmtId="0" fontId="2" fillId="0" borderId="0" pivotButton="0" quotePrefix="0" xfId="0"/>
    <xf numFmtId="164" fontId="4" fillId="2" borderId="2" applyAlignment="1" pivotButton="0" quotePrefix="0" xfId="0">
      <alignment vertical="center"/>
    </xf>
    <xf numFmtId="9" fontId="5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9" fontId="4" fillId="2" borderId="2" applyAlignment="1" pivotButton="0" quotePrefix="0" xfId="0">
      <alignment horizontal="center" vertical="center"/>
    </xf>
    <xf numFmtId="165" fontId="4" fillId="0" borderId="2" applyAlignment="1" pivotButton="0" quotePrefix="0" xfId="0">
      <alignment vertical="center"/>
    </xf>
    <xf numFmtId="165" fontId="4" fillId="3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5" fontId="5" fillId="3" borderId="2" applyAlignment="1" pivotButton="0" quotePrefix="0" xfId="0">
      <alignment vertical="center"/>
    </xf>
    <xf numFmtId="0" fontId="9" fillId="0" borderId="0" pivotButton="0" quotePrefix="0" xfId="0"/>
    <xf numFmtId="165" fontId="4" fillId="2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" fontId="4" fillId="2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9" fontId="5" fillId="3" borderId="2" applyAlignment="1" pivotButton="0" quotePrefix="0" xfId="0">
      <alignment vertical="center"/>
    </xf>
    <xf numFmtId="0" fontId="10" fillId="3" borderId="2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b val="1"/>
        <color rgb="00A33A2B"/>
      </font>
      <fill>
        <patternFill patternType="solid">
          <fgColor rgb="00FBE3DC"/>
          <bgColor rgb="00FBE3DC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  <dxf>
      <font>
        <b val="1"/>
        <color rgb="002F7D6D"/>
      </font>
    </dxf>
    <dxf>
      <font>
        <b val="1"/>
        <color rgb="00A33A2B"/>
      </font>
    </dxf>
    <dxf>
      <font>
        <strike val="1"/>
        <color rgb="009AA3A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vs committed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'Budget'!D7</f>
            </strRef>
          </tx>
          <spPr>
            <a:solidFill>
              <a:srgbClr val="D9B8C2"/>
            </a:solidFill>
            <a:ln>
              <a:prstDash val="solid"/>
            </a:ln>
          </spPr>
          <cat>
            <numRef>
              <f>'Budget'!$B$8:$B$21</f>
            </numRef>
          </cat>
          <val>
            <numRef>
              <f>'Budget'!$D$8:$D$21</f>
            </numRef>
          </val>
        </ser>
        <ser>
          <idx val="1"/>
          <order val="1"/>
          <tx>
            <strRef>
              <f>'Budget'!E7</f>
            </strRef>
          </tx>
          <spPr>
            <a:solidFill>
              <a:srgbClr val="9A5B6F"/>
            </a:solidFill>
            <a:ln>
              <a:prstDash val="solid"/>
            </a:ln>
          </spPr>
          <cat>
            <numRef>
              <f>'Budget'!$B$8:$B$21</f>
            </numRef>
          </cat>
          <val>
            <numRef>
              <f>'Budget'!$E$8:$E$21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9A5B6F"/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90" customWidth="1" min="3" max="3"/>
    <col width="3" customWidth="1" min="4" max="4"/>
  </cols>
  <sheetData>
    <row r="1" ht="14" customHeight="1"/>
    <row r="2" ht="40" customHeight="1">
      <c r="C2" s="1" t="inlineStr">
        <is>
          <t>Wedding Budget Planner</t>
        </is>
      </c>
    </row>
    <row r="3" ht="48" customHeight="1">
      <c r="C3" s="2" t="inlineStr">
        <is>
          <t>Plan your budget, track every vendor payment, manage RSVPs and tick off your to-dos, all in one file. Works in Microsoft Excel and Google Sheets.</t>
        </is>
      </c>
    </row>
    <row r="5">
      <c r="C5" s="3" t="inlineStr">
        <is>
          <t>HOW TO USE IT</t>
        </is>
      </c>
    </row>
    <row r="6" ht="20" customHeight="1">
      <c r="B6" s="4" t="n">
        <v>1</v>
      </c>
      <c r="C6" s="5" t="inlineStr">
        <is>
          <t>On Dashboard, type your wedding date (and names if you like).</t>
        </is>
      </c>
    </row>
    <row r="7" ht="36" customHeight="1">
      <c r="B7" s="4" t="n">
        <v>2</v>
      </c>
      <c r="C7" s="5" t="inlineStr">
        <is>
          <t>On Budget, type your total budget. Adjust the % split by category until it says 'Adds up to 100%'. Rename or add categories in the blank rows.</t>
        </is>
      </c>
    </row>
    <row r="8" ht="36" customHeight="1">
      <c r="B8" s="4" t="n">
        <v>3</v>
      </c>
      <c r="C8" s="5" t="inlineStr">
        <is>
          <t>On Costs, add each vendor or purchase as you book it: committed cost, what you have paid, and when the next payment is due. Status updates by itself.</t>
        </is>
      </c>
    </row>
    <row r="9" ht="36" customHeight="1">
      <c r="B9" s="4" t="n">
        <v>4</v>
      </c>
      <c r="C9" s="5" t="inlineStr">
        <is>
          <t>On Guests, add each invitation and its party size. Update RSVPs as they come in. Attending counts fill in automatically.</t>
        </is>
      </c>
    </row>
    <row r="10" ht="20" customHeight="1">
      <c r="B10" s="4" t="n">
        <v>5</v>
      </c>
      <c r="C10" s="5" t="inlineStr">
        <is>
          <t>Work through Checklist and mark tasks Done. Progress shows on the Dashboard.</t>
        </is>
      </c>
    </row>
    <row r="11" ht="36" customHeight="1">
      <c r="B11" s="4" t="n">
        <v>6</v>
      </c>
      <c r="C11" s="5" t="inlineStr">
        <is>
          <t>Dashboard shows days to go, money committed and paid, overdue payments, cost per guest and RSVPs.</t>
        </is>
      </c>
    </row>
    <row r="13">
      <c r="C13" s="3" t="inlineStr">
        <is>
          <t>CELL COLOURS</t>
        </is>
      </c>
    </row>
    <row r="14">
      <c r="B14" s="6" t="n"/>
      <c r="C14" s="7" t="inlineStr">
        <is>
          <t>Cream cells are for typing. Everything else calculates on its own.</t>
        </is>
      </c>
    </row>
    <row r="16">
      <c r="C16" s="3" t="inlineStr">
        <is>
          <t>GOOD TO KNOW</t>
        </is>
      </c>
    </row>
    <row r="17" ht="19" customHeight="1">
      <c r="C17" s="8" t="inlineStr">
        <is>
          <t>Google Sheets: upload the file to Google Drive, then open it with Google Sheets.</t>
        </is>
      </c>
    </row>
    <row r="18" ht="19" customHeight="1">
      <c r="C18" s="8" t="inlineStr">
        <is>
          <t>Dollar signs are only formatting. To change currency, select the cells and use Format &gt; Number.</t>
        </is>
      </c>
    </row>
    <row r="19" ht="19" customHeight="1">
      <c r="C19" s="8" t="inlineStr">
        <is>
          <t>Room for 20 budget categories, 150 costs and 300 invitations.</t>
        </is>
      </c>
    </row>
    <row r="20" ht="19" customHeight="1">
      <c r="C20" s="8" t="inlineStr">
        <is>
          <t>The starting % split is a suggestion, not a rule. Every wedding is different.</t>
        </is>
      </c>
    </row>
    <row r="21" ht="34" customHeight="1">
      <c r="C21" s="8" t="inlineStr">
        <is>
          <t>Please do not type over the white formula cells. If something breaks, re-download the original from Etsy (Purchases &gt; Download files).</t>
        </is>
      </c>
    </row>
  </sheetData>
  <printOptions horizontalCentered="1"/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9A5B6F"/>
    <outlinePr summaryBelow="1" summaryRight="1"/>
    <pageSetUpPr fitToPage="1"/>
  </sheetPr>
  <dimension ref="B2:M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10" customHeight="1"/>
    <row r="2" ht="32" customHeight="1">
      <c r="B2" s="9" t="inlineStr">
        <is>
          <t>Our Wedding Dashboard</t>
        </is>
      </c>
    </row>
    <row r="4" ht="8" customHeight="1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</row>
    <row r="5">
      <c r="B5" s="11" t="inlineStr">
        <is>
          <t>Wedding date</t>
        </is>
      </c>
      <c r="D5" s="12" t="n"/>
      <c r="E5" s="13" t="n"/>
      <c r="G5" s="11" t="inlineStr">
        <is>
          <t>Names (optional)</t>
        </is>
      </c>
      <c r="I5" s="14" t="n"/>
      <c r="J5" s="15" t="n"/>
      <c r="K5" s="13" t="n"/>
    </row>
    <row r="7">
      <c r="B7" s="16" t="inlineStr">
        <is>
          <t>DAYS TO GO</t>
        </is>
      </c>
      <c r="D7" s="16" t="inlineStr">
        <is>
          <t>TOTAL BUDGET</t>
        </is>
      </c>
      <c r="G7" s="16" t="inlineStr">
        <is>
          <t>COMMITTED SO FAR</t>
        </is>
      </c>
      <c r="J7" s="16" t="inlineStr">
        <is>
          <t>LEFT TO COMMIT</t>
        </is>
      </c>
    </row>
    <row r="8" ht="34" customHeight="1">
      <c r="B8" s="17">
        <f>IF(D5="","Add date",MAX(0,D5-TODAY()))</f>
        <v/>
      </c>
      <c r="D8" s="18">
        <f>Budget!C5</f>
        <v/>
      </c>
      <c r="G8" s="18">
        <f>Budget!E28</f>
        <v/>
      </c>
      <c r="J8" s="18">
        <f>Budget!C5-Budget!E28</f>
        <v/>
      </c>
    </row>
    <row r="10">
      <c r="B10" s="16" t="inlineStr">
        <is>
          <t>PAID SO FAR</t>
        </is>
      </c>
      <c r="D10" s="16" t="inlineStr">
        <is>
          <t>STILL TO PAY</t>
        </is>
      </c>
      <c r="G10" s="16" t="inlineStr">
        <is>
          <t>PAYMENTS OVERDUE</t>
        </is>
      </c>
      <c r="J10" s="16" t="inlineStr">
        <is>
          <t>COST PER GUEST</t>
        </is>
      </c>
    </row>
    <row r="11" ht="34" customHeight="1">
      <c r="B11" s="18">
        <f>Budget!F28</f>
        <v/>
      </c>
      <c r="D11" s="18">
        <f>Budget!G28</f>
        <v/>
      </c>
      <c r="G11" s="17">
        <f>COUNTIF(Costs!J7:J156,"Overdue")</f>
        <v/>
      </c>
      <c r="J11" s="18">
        <f>IF(N(E15)=0,"-",Budget!E28/E15)</f>
        <v/>
      </c>
    </row>
    <row r="13">
      <c r="B13" s="3" t="inlineStr">
        <is>
          <t>GUESTS (PEOPLE, NOT INVITATIONS)</t>
        </is>
      </c>
    </row>
    <row r="14">
      <c r="B14" s="16" t="inlineStr">
        <is>
          <t>INVITED</t>
        </is>
      </c>
      <c r="E14" s="16" t="inlineStr">
        <is>
          <t>ATTENDING</t>
        </is>
      </c>
      <c r="H14" s="16" t="inlineStr">
        <is>
          <t>DECLINED</t>
        </is>
      </c>
      <c r="K14" s="16" t="inlineStr">
        <is>
          <t>STILL WAITING</t>
        </is>
      </c>
    </row>
    <row r="15" ht="34" customHeight="1">
      <c r="B15" s="17">
        <f>SUM(Guests!D7:D306)</f>
        <v/>
      </c>
      <c r="E15" s="17">
        <f>SUM(Guests!I7:I306)</f>
        <v/>
      </c>
      <c r="H15" s="17">
        <f>SUMIFS(Guests!D7:D306,Guests!H7:H306,"No")</f>
        <v/>
      </c>
      <c r="K15" s="17">
        <f>B15-E15-H15</f>
        <v/>
      </c>
    </row>
    <row r="17">
      <c r="B17" s="3" t="inlineStr">
        <is>
          <t>CHECKLIST</t>
        </is>
      </c>
    </row>
    <row r="18">
      <c r="B18" s="19" t="inlineStr">
        <is>
          <t>Tasks done</t>
        </is>
      </c>
      <c r="D18" s="20">
        <f>Checklist!C5</f>
        <v/>
      </c>
    </row>
  </sheetData>
  <mergeCells count="26">
    <mergeCell ref="D11:F11"/>
    <mergeCell ref="G10:I10"/>
    <mergeCell ref="B14:D14"/>
    <mergeCell ref="B7:C7"/>
    <mergeCell ref="K15:L15"/>
    <mergeCell ref="D7:F7"/>
    <mergeCell ref="E15:G15"/>
    <mergeCell ref="J11:L11"/>
    <mergeCell ref="J7:L7"/>
    <mergeCell ref="B11:C11"/>
    <mergeCell ref="I5:K5"/>
    <mergeCell ref="B15:D15"/>
    <mergeCell ref="D8:F8"/>
    <mergeCell ref="B8:C8"/>
    <mergeCell ref="H15:J15"/>
    <mergeCell ref="H14:J14"/>
    <mergeCell ref="B10:C10"/>
    <mergeCell ref="J8:L8"/>
    <mergeCell ref="K14:L14"/>
    <mergeCell ref="G11:I11"/>
    <mergeCell ref="D10:F10"/>
    <mergeCell ref="J10:L10"/>
    <mergeCell ref="E14:G14"/>
    <mergeCell ref="D5:E5"/>
    <mergeCell ref="G8:I8"/>
    <mergeCell ref="G7:I7"/>
  </mergeCell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9A5B6F"/>
    <outlinePr summaryBelow="1" summaryRight="1"/>
    <pageSetUpPr fitToPage="1"/>
  </sheetPr>
  <dimension ref="B2:H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" customWidth="1" min="9" max="9"/>
  </cols>
  <sheetData>
    <row r="1" ht="10" customHeight="1"/>
    <row r="2" ht="32" customHeight="1">
      <c r="B2" s="9" t="inlineStr">
        <is>
          <t>Budget plan</t>
        </is>
      </c>
    </row>
    <row r="3">
      <c r="B3" s="21" t="inlineStr">
        <is>
          <t>Set your total, split it by category, and watch real costs against the plan.</t>
        </is>
      </c>
    </row>
    <row r="4" ht="8" customHeight="1">
      <c r="B4" s="10" t="n"/>
      <c r="C4" s="10" t="n"/>
      <c r="D4" s="10" t="n"/>
      <c r="E4" s="10" t="n"/>
      <c r="F4" s="10" t="n"/>
      <c r="G4" s="10" t="n"/>
      <c r="H4" s="10" t="n"/>
    </row>
    <row r="5">
      <c r="B5" s="11" t="inlineStr">
        <is>
          <t>Total budget</t>
        </is>
      </c>
      <c r="C5" s="22" t="n">
        <v>0</v>
      </c>
      <c r="D5" s="13" t="n"/>
      <c r="E5" s="11" t="inlineStr">
        <is>
          <t>Split used</t>
        </is>
      </c>
      <c r="F5" s="23">
        <f>SUM(C8:C27)</f>
        <v/>
      </c>
      <c r="G5" s="3">
        <f>IF(ROUND(F5,4)=1,"Adds up to 100%",IF(F5&lt;1,"Under 100%: "&amp;TEXT(1-F5,"0%")&amp;" unassigned","Over 100% by "&amp;TEXT(F5-1,"0%")))</f>
        <v/>
      </c>
    </row>
    <row r="7" ht="30" customHeight="1">
      <c r="B7" s="24" t="inlineStr">
        <is>
          <t>Category</t>
        </is>
      </c>
      <c r="C7" s="24" t="inlineStr">
        <is>
          <t>% of budget</t>
        </is>
      </c>
      <c r="D7" s="24" t="inlineStr">
        <is>
          <t>Planned</t>
        </is>
      </c>
      <c r="E7" s="24" t="inlineStr">
        <is>
          <t>Committed cost</t>
        </is>
      </c>
      <c r="F7" s="24" t="inlineStr">
        <is>
          <t>Paid so far</t>
        </is>
      </c>
      <c r="G7" s="24" t="inlineStr">
        <is>
          <t>Still to pay</t>
        </is>
      </c>
      <c r="H7" s="24" t="inlineStr">
        <is>
          <t>Left in plan</t>
        </is>
      </c>
    </row>
    <row r="8">
      <c r="B8" s="14" t="inlineStr">
        <is>
          <t>Venue &amp; rentals</t>
        </is>
      </c>
      <c r="C8" s="25" t="n">
        <v>0.28</v>
      </c>
      <c r="D8" s="26">
        <f>IF(B8="","",$C$5*C8)</f>
        <v/>
      </c>
      <c r="E8" s="26">
        <f>IF(B8="","",SUMIFS(Costs!$F$7:$F$156,Costs!$B$7:$B$156,$B8))</f>
        <v/>
      </c>
      <c r="F8" s="26">
        <f>IF(B8="","",SUMIFS(Costs!$G$7:$G$156,Costs!$B$7:$B$156,$B8))</f>
        <v/>
      </c>
      <c r="G8" s="26">
        <f>IF(B8="","",E8-F8)</f>
        <v/>
      </c>
      <c r="H8" s="26">
        <f>IF(B8="","",D8-E8)</f>
        <v/>
      </c>
    </row>
    <row r="9">
      <c r="B9" s="14" t="inlineStr">
        <is>
          <t>Catering &amp; bar</t>
        </is>
      </c>
      <c r="C9" s="25" t="n">
        <v>0.22</v>
      </c>
      <c r="D9" s="27">
        <f>IF(B9="","",$C$5*C9)</f>
        <v/>
      </c>
      <c r="E9" s="27">
        <f>IF(B9="","",SUMIFS(Costs!$F$7:$F$156,Costs!$B$7:$B$156,$B9))</f>
        <v/>
      </c>
      <c r="F9" s="27">
        <f>IF(B9="","",SUMIFS(Costs!$G$7:$G$156,Costs!$B$7:$B$156,$B9))</f>
        <v/>
      </c>
      <c r="G9" s="27">
        <f>IF(B9="","",E9-F9)</f>
        <v/>
      </c>
      <c r="H9" s="27">
        <f>IF(B9="","",D9-E9)</f>
        <v/>
      </c>
    </row>
    <row r="10">
      <c r="B10" s="14" t="inlineStr">
        <is>
          <t>Photography &amp; video</t>
        </is>
      </c>
      <c r="C10" s="25" t="n">
        <v>0.12</v>
      </c>
      <c r="D10" s="26">
        <f>IF(B10="","",$C$5*C10)</f>
        <v/>
      </c>
      <c r="E10" s="26">
        <f>IF(B10="","",SUMIFS(Costs!$F$7:$F$156,Costs!$B$7:$B$156,$B10))</f>
        <v/>
      </c>
      <c r="F10" s="26">
        <f>IF(B10="","",SUMIFS(Costs!$G$7:$G$156,Costs!$B$7:$B$156,$B10))</f>
        <v/>
      </c>
      <c r="G10" s="26">
        <f>IF(B10="","",E10-F10)</f>
        <v/>
      </c>
      <c r="H10" s="26">
        <f>IF(B10="","",D10-E10)</f>
        <v/>
      </c>
    </row>
    <row r="11">
      <c r="B11" s="14" t="inlineStr">
        <is>
          <t>Attire &amp; beauty</t>
        </is>
      </c>
      <c r="C11" s="25" t="n">
        <v>0.08</v>
      </c>
      <c r="D11" s="27">
        <f>IF(B11="","",$C$5*C11)</f>
        <v/>
      </c>
      <c r="E11" s="27">
        <f>IF(B11="","",SUMIFS(Costs!$F$7:$F$156,Costs!$B$7:$B$156,$B11))</f>
        <v/>
      </c>
      <c r="F11" s="27">
        <f>IF(B11="","",SUMIFS(Costs!$G$7:$G$156,Costs!$B$7:$B$156,$B11))</f>
        <v/>
      </c>
      <c r="G11" s="27">
        <f>IF(B11="","",E11-F11)</f>
        <v/>
      </c>
      <c r="H11" s="27">
        <f>IF(B11="","",D11-E11)</f>
        <v/>
      </c>
    </row>
    <row r="12">
      <c r="B12" s="14" t="inlineStr">
        <is>
          <t>Flowers &amp; decor</t>
        </is>
      </c>
      <c r="C12" s="25" t="n">
        <v>0.08</v>
      </c>
      <c r="D12" s="26">
        <f>IF(B12="","",$C$5*C12)</f>
        <v/>
      </c>
      <c r="E12" s="26">
        <f>IF(B12="","",SUMIFS(Costs!$F$7:$F$156,Costs!$B$7:$B$156,$B12))</f>
        <v/>
      </c>
      <c r="F12" s="26">
        <f>IF(B12="","",SUMIFS(Costs!$G$7:$G$156,Costs!$B$7:$B$156,$B12))</f>
        <v/>
      </c>
      <c r="G12" s="26">
        <f>IF(B12="","",E12-F12)</f>
        <v/>
      </c>
      <c r="H12" s="26">
        <f>IF(B12="","",D12-E12)</f>
        <v/>
      </c>
    </row>
    <row r="13">
      <c r="B13" s="14" t="inlineStr">
        <is>
          <t>Music &amp; entertainment</t>
        </is>
      </c>
      <c r="C13" s="25" t="n">
        <v>0.06</v>
      </c>
      <c r="D13" s="27">
        <f>IF(B13="","",$C$5*C13)</f>
        <v/>
      </c>
      <c r="E13" s="27">
        <f>IF(B13="","",SUMIFS(Costs!$F$7:$F$156,Costs!$B$7:$B$156,$B13))</f>
        <v/>
      </c>
      <c r="F13" s="27">
        <f>IF(B13="","",SUMIFS(Costs!$G$7:$G$156,Costs!$B$7:$B$156,$B13))</f>
        <v/>
      </c>
      <c r="G13" s="27">
        <f>IF(B13="","",E13-F13)</f>
        <v/>
      </c>
      <c r="H13" s="27">
        <f>IF(B13="","",D13-E13)</f>
        <v/>
      </c>
    </row>
    <row r="14">
      <c r="B14" s="14" t="inlineStr">
        <is>
          <t>Planner / coordinator</t>
        </is>
      </c>
      <c r="C14" s="25" t="n">
        <v>0.03</v>
      </c>
      <c r="D14" s="26">
        <f>IF(B14="","",$C$5*C14)</f>
        <v/>
      </c>
      <c r="E14" s="26">
        <f>IF(B14="","",SUMIFS(Costs!$F$7:$F$156,Costs!$B$7:$B$156,$B14))</f>
        <v/>
      </c>
      <c r="F14" s="26">
        <f>IF(B14="","",SUMIFS(Costs!$G$7:$G$156,Costs!$B$7:$B$156,$B14))</f>
        <v/>
      </c>
      <c r="G14" s="26">
        <f>IF(B14="","",E14-F14)</f>
        <v/>
      </c>
      <c r="H14" s="26">
        <f>IF(B14="","",D14-E14)</f>
        <v/>
      </c>
    </row>
    <row r="15">
      <c r="B15" s="14" t="inlineStr">
        <is>
          <t>Rings</t>
        </is>
      </c>
      <c r="C15" s="25" t="n">
        <v>0.03</v>
      </c>
      <c r="D15" s="27">
        <f>IF(B15="","",$C$5*C15)</f>
        <v/>
      </c>
      <c r="E15" s="27">
        <f>IF(B15="","",SUMIFS(Costs!$F$7:$F$156,Costs!$B$7:$B$156,$B15))</f>
        <v/>
      </c>
      <c r="F15" s="27">
        <f>IF(B15="","",SUMIFS(Costs!$G$7:$G$156,Costs!$B$7:$B$156,$B15))</f>
        <v/>
      </c>
      <c r="G15" s="27">
        <f>IF(B15="","",E15-F15)</f>
        <v/>
      </c>
      <c r="H15" s="27">
        <f>IF(B15="","",D15-E15)</f>
        <v/>
      </c>
    </row>
    <row r="16">
      <c r="B16" s="14" t="inlineStr">
        <is>
          <t>Cake &amp; desserts</t>
        </is>
      </c>
      <c r="C16" s="25" t="n">
        <v>0.02</v>
      </c>
      <c r="D16" s="26">
        <f>IF(B16="","",$C$5*C16)</f>
        <v/>
      </c>
      <c r="E16" s="26">
        <f>IF(B16="","",SUMIFS(Costs!$F$7:$F$156,Costs!$B$7:$B$156,$B16))</f>
        <v/>
      </c>
      <c r="F16" s="26">
        <f>IF(B16="","",SUMIFS(Costs!$G$7:$G$156,Costs!$B$7:$B$156,$B16))</f>
        <v/>
      </c>
      <c r="G16" s="26">
        <f>IF(B16="","",E16-F16)</f>
        <v/>
      </c>
      <c r="H16" s="26">
        <f>IF(B16="","",D16-E16)</f>
        <v/>
      </c>
    </row>
    <row r="17">
      <c r="B17" s="14" t="inlineStr">
        <is>
          <t>Stationery &amp; postage</t>
        </is>
      </c>
      <c r="C17" s="25" t="n">
        <v>0.02</v>
      </c>
      <c r="D17" s="27">
        <f>IF(B17="","",$C$5*C17)</f>
        <v/>
      </c>
      <c r="E17" s="27">
        <f>IF(B17="","",SUMIFS(Costs!$F$7:$F$156,Costs!$B$7:$B$156,$B17))</f>
        <v/>
      </c>
      <c r="F17" s="27">
        <f>IF(B17="","",SUMIFS(Costs!$G$7:$G$156,Costs!$B$7:$B$156,$B17))</f>
        <v/>
      </c>
      <c r="G17" s="27">
        <f>IF(B17="","",E17-F17)</f>
        <v/>
      </c>
      <c r="H17" s="27">
        <f>IF(B17="","",D17-E17)</f>
        <v/>
      </c>
    </row>
    <row r="18">
      <c r="B18" s="14" t="inlineStr">
        <is>
          <t>Transportation</t>
        </is>
      </c>
      <c r="C18" s="25" t="n">
        <v>0.02</v>
      </c>
      <c r="D18" s="26">
        <f>IF(B18="","",$C$5*C18)</f>
        <v/>
      </c>
      <c r="E18" s="26">
        <f>IF(B18="","",SUMIFS(Costs!$F$7:$F$156,Costs!$B$7:$B$156,$B18))</f>
        <v/>
      </c>
      <c r="F18" s="26">
        <f>IF(B18="","",SUMIFS(Costs!$G$7:$G$156,Costs!$B$7:$B$156,$B18))</f>
        <v/>
      </c>
      <c r="G18" s="26">
        <f>IF(B18="","",E18-F18)</f>
        <v/>
      </c>
      <c r="H18" s="26">
        <f>IF(B18="","",D18-E18)</f>
        <v/>
      </c>
    </row>
    <row r="19">
      <c r="B19" s="14" t="inlineStr">
        <is>
          <t>Favors &amp; gifts</t>
        </is>
      </c>
      <c r="C19" s="25" t="n">
        <v>0.02</v>
      </c>
      <c r="D19" s="27">
        <f>IF(B19="","",$C$5*C19)</f>
        <v/>
      </c>
      <c r="E19" s="27">
        <f>IF(B19="","",SUMIFS(Costs!$F$7:$F$156,Costs!$B$7:$B$156,$B19))</f>
        <v/>
      </c>
      <c r="F19" s="27">
        <f>IF(B19="","",SUMIFS(Costs!$G$7:$G$156,Costs!$B$7:$B$156,$B19))</f>
        <v/>
      </c>
      <c r="G19" s="27">
        <f>IF(B19="","",E19-F19)</f>
        <v/>
      </c>
      <c r="H19" s="27">
        <f>IF(B19="","",D19-E19)</f>
        <v/>
      </c>
    </row>
    <row r="20">
      <c r="B20" s="14" t="inlineStr">
        <is>
          <t>Officiant &amp; license</t>
        </is>
      </c>
      <c r="C20" s="25" t="n">
        <v>0.01</v>
      </c>
      <c r="D20" s="26">
        <f>IF(B20="","",$C$5*C20)</f>
        <v/>
      </c>
      <c r="E20" s="26">
        <f>IF(B20="","",SUMIFS(Costs!$F$7:$F$156,Costs!$B$7:$B$156,$B20))</f>
        <v/>
      </c>
      <c r="F20" s="26">
        <f>IF(B20="","",SUMIFS(Costs!$G$7:$G$156,Costs!$B$7:$B$156,$B20))</f>
        <v/>
      </c>
      <c r="G20" s="26">
        <f>IF(B20="","",E20-F20)</f>
        <v/>
      </c>
      <c r="H20" s="26">
        <f>IF(B20="","",D20-E20)</f>
        <v/>
      </c>
    </row>
    <row r="21">
      <c r="B21" s="14" t="inlineStr">
        <is>
          <t>Buffer for surprises</t>
        </is>
      </c>
      <c r="C21" s="25" t="n">
        <v>0.01</v>
      </c>
      <c r="D21" s="27">
        <f>IF(B21="","",$C$5*C21)</f>
        <v/>
      </c>
      <c r="E21" s="27">
        <f>IF(B21="","",SUMIFS(Costs!$F$7:$F$156,Costs!$B$7:$B$156,$B21))</f>
        <v/>
      </c>
      <c r="F21" s="27">
        <f>IF(B21="","",SUMIFS(Costs!$G$7:$G$156,Costs!$B$7:$B$156,$B21))</f>
        <v/>
      </c>
      <c r="G21" s="27">
        <f>IF(B21="","",E21-F21)</f>
        <v/>
      </c>
      <c r="H21" s="27">
        <f>IF(B21="","",D21-E21)</f>
        <v/>
      </c>
    </row>
    <row r="22">
      <c r="B22" s="14" t="n"/>
      <c r="C22" s="25" t="n"/>
      <c r="D22" s="26">
        <f>IF(B22="","",$C$5*C22)</f>
        <v/>
      </c>
      <c r="E22" s="26">
        <f>IF(B22="","",SUMIFS(Costs!$F$7:$F$156,Costs!$B$7:$B$156,$B22))</f>
        <v/>
      </c>
      <c r="F22" s="26">
        <f>IF(B22="","",SUMIFS(Costs!$G$7:$G$156,Costs!$B$7:$B$156,$B22))</f>
        <v/>
      </c>
      <c r="G22" s="26">
        <f>IF(B22="","",E22-F22)</f>
        <v/>
      </c>
      <c r="H22" s="26">
        <f>IF(B22="","",D22-E22)</f>
        <v/>
      </c>
    </row>
    <row r="23">
      <c r="B23" s="14" t="n"/>
      <c r="C23" s="25" t="n"/>
      <c r="D23" s="27">
        <f>IF(B23="","",$C$5*C23)</f>
        <v/>
      </c>
      <c r="E23" s="27">
        <f>IF(B23="","",SUMIFS(Costs!$F$7:$F$156,Costs!$B$7:$B$156,$B23))</f>
        <v/>
      </c>
      <c r="F23" s="27">
        <f>IF(B23="","",SUMIFS(Costs!$G$7:$G$156,Costs!$B$7:$B$156,$B23))</f>
        <v/>
      </c>
      <c r="G23" s="27">
        <f>IF(B23="","",E23-F23)</f>
        <v/>
      </c>
      <c r="H23" s="27">
        <f>IF(B23="","",D23-E23)</f>
        <v/>
      </c>
    </row>
    <row r="24">
      <c r="B24" s="14" t="n"/>
      <c r="C24" s="25" t="n"/>
      <c r="D24" s="26">
        <f>IF(B24="","",$C$5*C24)</f>
        <v/>
      </c>
      <c r="E24" s="26">
        <f>IF(B24="","",SUMIFS(Costs!$F$7:$F$156,Costs!$B$7:$B$156,$B24))</f>
        <v/>
      </c>
      <c r="F24" s="26">
        <f>IF(B24="","",SUMIFS(Costs!$G$7:$G$156,Costs!$B$7:$B$156,$B24))</f>
        <v/>
      </c>
      <c r="G24" s="26">
        <f>IF(B24="","",E24-F24)</f>
        <v/>
      </c>
      <c r="H24" s="26">
        <f>IF(B24="","",D24-E24)</f>
        <v/>
      </c>
    </row>
    <row r="25">
      <c r="B25" s="14" t="n"/>
      <c r="C25" s="25" t="n"/>
      <c r="D25" s="27">
        <f>IF(B25="","",$C$5*C25)</f>
        <v/>
      </c>
      <c r="E25" s="27">
        <f>IF(B25="","",SUMIFS(Costs!$F$7:$F$156,Costs!$B$7:$B$156,$B25))</f>
        <v/>
      </c>
      <c r="F25" s="27">
        <f>IF(B25="","",SUMIFS(Costs!$G$7:$G$156,Costs!$B$7:$B$156,$B25))</f>
        <v/>
      </c>
      <c r="G25" s="27">
        <f>IF(B25="","",E25-F25)</f>
        <v/>
      </c>
      <c r="H25" s="27">
        <f>IF(B25="","",D25-E25)</f>
        <v/>
      </c>
    </row>
    <row r="26">
      <c r="B26" s="14" t="n"/>
      <c r="C26" s="25" t="n"/>
      <c r="D26" s="26">
        <f>IF(B26="","",$C$5*C26)</f>
        <v/>
      </c>
      <c r="E26" s="26">
        <f>IF(B26="","",SUMIFS(Costs!$F$7:$F$156,Costs!$B$7:$B$156,$B26))</f>
        <v/>
      </c>
      <c r="F26" s="26">
        <f>IF(B26="","",SUMIFS(Costs!$G$7:$G$156,Costs!$B$7:$B$156,$B26))</f>
        <v/>
      </c>
      <c r="G26" s="26">
        <f>IF(B26="","",E26-F26)</f>
        <v/>
      </c>
      <c r="H26" s="26">
        <f>IF(B26="","",D26-E26)</f>
        <v/>
      </c>
    </row>
    <row r="27">
      <c r="B27" s="14" t="n"/>
      <c r="C27" s="25" t="n"/>
      <c r="D27" s="27">
        <f>IF(B27="","",$C$5*C27)</f>
        <v/>
      </c>
      <c r="E27" s="27">
        <f>IF(B27="","",SUMIFS(Costs!$F$7:$F$156,Costs!$B$7:$B$156,$B27))</f>
        <v/>
      </c>
      <c r="F27" s="27">
        <f>IF(B27="","",SUMIFS(Costs!$G$7:$G$156,Costs!$B$7:$B$156,$B27))</f>
        <v/>
      </c>
      <c r="G27" s="27">
        <f>IF(B27="","",E27-F27)</f>
        <v/>
      </c>
      <c r="H27" s="27">
        <f>IF(B27="","",D27-E27)</f>
        <v/>
      </c>
    </row>
    <row r="28">
      <c r="B28" s="28" t="inlineStr">
        <is>
          <t>Totals</t>
        </is>
      </c>
      <c r="D28" s="29">
        <f>SUM(D8:D27)</f>
        <v/>
      </c>
      <c r="E28" s="29">
        <f>SUM(E8:E27)</f>
        <v/>
      </c>
      <c r="F28" s="29">
        <f>SUM(F8:F27)</f>
        <v/>
      </c>
      <c r="G28" s="29">
        <f>SUM(G8:G27)</f>
        <v/>
      </c>
      <c r="H28" s="29">
        <f>SUM(H8:H27)</f>
        <v/>
      </c>
    </row>
    <row r="30">
      <c r="B30" s="30" t="inlineStr">
        <is>
          <t>The starting split is only a suggestion to get you going. Change the % to match what matters to you. Red = over plan.</t>
        </is>
      </c>
    </row>
  </sheetData>
  <mergeCells count="1">
    <mergeCell ref="C5:D5"/>
  </mergeCells>
  <conditionalFormatting sqref="H8:H28">
    <cfRule type="expression" priority="1" dxfId="0">
      <formula>AND(ISNUMBER(H8),H8&lt;0)</formula>
    </cfRule>
  </conditionalFormatting>
  <printOptions horizontalCentered="1"/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DE1E5"/>
    <outlinePr summaryBelow="1" summaryRight="1"/>
    <pageSetUpPr fitToPage="1"/>
  </sheetPr>
  <dimension ref="B2:K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26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5" customWidth="1" min="9" max="9"/>
    <col width="18" customWidth="1" min="10" max="10"/>
    <col width="26" customWidth="1" min="11" max="11"/>
  </cols>
  <sheetData>
    <row r="1" ht="10" customHeight="1"/>
    <row r="2" ht="32" customHeight="1">
      <c r="B2" s="9" t="inlineStr">
        <is>
          <t>Costs &amp; payments</t>
        </is>
      </c>
    </row>
    <row r="3">
      <c r="B3" s="21" t="inlineStr">
        <is>
          <t>One row per vendor or purchase. Deposits and balances in one place.</t>
        </is>
      </c>
    </row>
    <row r="4" ht="8" customHeight="1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6" ht="30" customHeight="1">
      <c r="B6" s="24" t="inlineStr">
        <is>
          <t>Category</t>
        </is>
      </c>
      <c r="C6" s="24" t="inlineStr">
        <is>
          <t>Item</t>
        </is>
      </c>
      <c r="D6" s="24" t="inlineStr">
        <is>
          <t>Vendor</t>
        </is>
      </c>
      <c r="E6" s="24" t="inlineStr">
        <is>
          <t>Contact</t>
        </is>
      </c>
      <c r="F6" s="24" t="inlineStr">
        <is>
          <t>Committed cost</t>
        </is>
      </c>
      <c r="G6" s="24" t="inlineStr">
        <is>
          <t>Paid so far</t>
        </is>
      </c>
      <c r="H6" s="24" t="inlineStr">
        <is>
          <t>Still to pay</t>
        </is>
      </c>
      <c r="I6" s="24" t="inlineStr">
        <is>
          <t>Next payment due</t>
        </is>
      </c>
      <c r="J6" s="24" t="inlineStr">
        <is>
          <t>Status</t>
        </is>
      </c>
      <c r="K6" s="24" t="inlineStr">
        <is>
          <t>Notes</t>
        </is>
      </c>
    </row>
    <row r="7">
      <c r="B7" s="14" t="n"/>
      <c r="C7" s="14" t="n"/>
      <c r="D7" s="14" t="n"/>
      <c r="E7" s="14" t="n"/>
      <c r="F7" s="31" t="n"/>
      <c r="G7" s="31" t="n"/>
      <c r="H7" s="26">
        <f>IF(F7="","",F7-N(G7))</f>
        <v/>
      </c>
      <c r="I7" s="12" t="n"/>
      <c r="J7" s="32">
        <f>IF(F7="","",IF(H7&lt;=0,"Paid in full",IF(I7="","Balance due",IF(I7&lt;TODAY(),"Overdue",IF(I7-TODAY()&lt;=30,"Due within 30 days","Scheduled")))))</f>
        <v/>
      </c>
      <c r="K7" s="14" t="n"/>
    </row>
    <row r="8">
      <c r="B8" s="14" t="n"/>
      <c r="C8" s="14" t="n"/>
      <c r="D8" s="14" t="n"/>
      <c r="E8" s="14" t="n"/>
      <c r="F8" s="31" t="n"/>
      <c r="G8" s="31" t="n"/>
      <c r="H8" s="26">
        <f>IF(F8="","",F8-N(G8))</f>
        <v/>
      </c>
      <c r="I8" s="12" t="n"/>
      <c r="J8" s="32">
        <f>IF(F8="","",IF(H8&lt;=0,"Paid in full",IF(I8="","Balance due",IF(I8&lt;TODAY(),"Overdue",IF(I8-TODAY()&lt;=30,"Due within 30 days","Scheduled")))))</f>
        <v/>
      </c>
      <c r="K8" s="14" t="n"/>
    </row>
    <row r="9">
      <c r="B9" s="14" t="n"/>
      <c r="C9" s="14" t="n"/>
      <c r="D9" s="14" t="n"/>
      <c r="E9" s="14" t="n"/>
      <c r="F9" s="31" t="n"/>
      <c r="G9" s="31" t="n"/>
      <c r="H9" s="26">
        <f>IF(F9="","",F9-N(G9))</f>
        <v/>
      </c>
      <c r="I9" s="12" t="n"/>
      <c r="J9" s="32">
        <f>IF(F9="","",IF(H9&lt;=0,"Paid in full",IF(I9="","Balance due",IF(I9&lt;TODAY(),"Overdue",IF(I9-TODAY()&lt;=30,"Due within 30 days","Scheduled")))))</f>
        <v/>
      </c>
      <c r="K9" s="14" t="n"/>
    </row>
    <row r="10">
      <c r="B10" s="14" t="n"/>
      <c r="C10" s="14" t="n"/>
      <c r="D10" s="14" t="n"/>
      <c r="E10" s="14" t="n"/>
      <c r="F10" s="31" t="n"/>
      <c r="G10" s="31" t="n"/>
      <c r="H10" s="26">
        <f>IF(F10="","",F10-N(G10))</f>
        <v/>
      </c>
      <c r="I10" s="12" t="n"/>
      <c r="J10" s="32">
        <f>IF(F10="","",IF(H10&lt;=0,"Paid in full",IF(I10="","Balance due",IF(I10&lt;TODAY(),"Overdue",IF(I10-TODAY()&lt;=30,"Due within 30 days","Scheduled")))))</f>
        <v/>
      </c>
      <c r="K10" s="14" t="n"/>
    </row>
    <row r="11">
      <c r="B11" s="14" t="n"/>
      <c r="C11" s="14" t="n"/>
      <c r="D11" s="14" t="n"/>
      <c r="E11" s="14" t="n"/>
      <c r="F11" s="31" t="n"/>
      <c r="G11" s="31" t="n"/>
      <c r="H11" s="26">
        <f>IF(F11="","",F11-N(G11))</f>
        <v/>
      </c>
      <c r="I11" s="12" t="n"/>
      <c r="J11" s="32">
        <f>IF(F11="","",IF(H11&lt;=0,"Paid in full",IF(I11="","Balance due",IF(I11&lt;TODAY(),"Overdue",IF(I11-TODAY()&lt;=30,"Due within 30 days","Scheduled")))))</f>
        <v/>
      </c>
      <c r="K11" s="14" t="n"/>
    </row>
    <row r="12">
      <c r="B12" s="14" t="n"/>
      <c r="C12" s="14" t="n"/>
      <c r="D12" s="14" t="n"/>
      <c r="E12" s="14" t="n"/>
      <c r="F12" s="31" t="n"/>
      <c r="G12" s="31" t="n"/>
      <c r="H12" s="26">
        <f>IF(F12="","",F12-N(G12))</f>
        <v/>
      </c>
      <c r="I12" s="12" t="n"/>
      <c r="J12" s="32">
        <f>IF(F12="","",IF(H12&lt;=0,"Paid in full",IF(I12="","Balance due",IF(I12&lt;TODAY(),"Overdue",IF(I12-TODAY()&lt;=30,"Due within 30 days","Scheduled")))))</f>
        <v/>
      </c>
      <c r="K12" s="14" t="n"/>
    </row>
    <row r="13">
      <c r="B13" s="14" t="n"/>
      <c r="C13" s="14" t="n"/>
      <c r="D13" s="14" t="n"/>
      <c r="E13" s="14" t="n"/>
      <c r="F13" s="31" t="n"/>
      <c r="G13" s="31" t="n"/>
      <c r="H13" s="26">
        <f>IF(F13="","",F13-N(G13))</f>
        <v/>
      </c>
      <c r="I13" s="12" t="n"/>
      <c r="J13" s="32">
        <f>IF(F13="","",IF(H13&lt;=0,"Paid in full",IF(I13="","Balance due",IF(I13&lt;TODAY(),"Overdue",IF(I13-TODAY()&lt;=30,"Due within 30 days","Scheduled")))))</f>
        <v/>
      </c>
      <c r="K13" s="14" t="n"/>
    </row>
    <row r="14">
      <c r="B14" s="14" t="n"/>
      <c r="C14" s="14" t="n"/>
      <c r="D14" s="14" t="n"/>
      <c r="E14" s="14" t="n"/>
      <c r="F14" s="31" t="n"/>
      <c r="G14" s="31" t="n"/>
      <c r="H14" s="26">
        <f>IF(F14="","",F14-N(G14))</f>
        <v/>
      </c>
      <c r="I14" s="12" t="n"/>
      <c r="J14" s="32">
        <f>IF(F14="","",IF(H14&lt;=0,"Paid in full",IF(I14="","Balance due",IF(I14&lt;TODAY(),"Overdue",IF(I14-TODAY()&lt;=30,"Due within 30 days","Scheduled")))))</f>
        <v/>
      </c>
      <c r="K14" s="14" t="n"/>
    </row>
    <row r="15">
      <c r="B15" s="14" t="n"/>
      <c r="C15" s="14" t="n"/>
      <c r="D15" s="14" t="n"/>
      <c r="E15" s="14" t="n"/>
      <c r="F15" s="31" t="n"/>
      <c r="G15" s="31" t="n"/>
      <c r="H15" s="26">
        <f>IF(F15="","",F15-N(G15))</f>
        <v/>
      </c>
      <c r="I15" s="12" t="n"/>
      <c r="J15" s="32">
        <f>IF(F15="","",IF(H15&lt;=0,"Paid in full",IF(I15="","Balance due",IF(I15&lt;TODAY(),"Overdue",IF(I15-TODAY()&lt;=30,"Due within 30 days","Scheduled")))))</f>
        <v/>
      </c>
      <c r="K15" s="14" t="n"/>
    </row>
    <row r="16">
      <c r="B16" s="14" t="n"/>
      <c r="C16" s="14" t="n"/>
      <c r="D16" s="14" t="n"/>
      <c r="E16" s="14" t="n"/>
      <c r="F16" s="31" t="n"/>
      <c r="G16" s="31" t="n"/>
      <c r="H16" s="26">
        <f>IF(F16="","",F16-N(G16))</f>
        <v/>
      </c>
      <c r="I16" s="12" t="n"/>
      <c r="J16" s="32">
        <f>IF(F16="","",IF(H16&lt;=0,"Paid in full",IF(I16="","Balance due",IF(I16&lt;TODAY(),"Overdue",IF(I16-TODAY()&lt;=30,"Due within 30 days","Scheduled")))))</f>
        <v/>
      </c>
      <c r="K16" s="14" t="n"/>
    </row>
    <row r="17">
      <c r="B17" s="14" t="n"/>
      <c r="C17" s="14" t="n"/>
      <c r="D17" s="14" t="n"/>
      <c r="E17" s="14" t="n"/>
      <c r="F17" s="31" t="n"/>
      <c r="G17" s="31" t="n"/>
      <c r="H17" s="26">
        <f>IF(F17="","",F17-N(G17))</f>
        <v/>
      </c>
      <c r="I17" s="12" t="n"/>
      <c r="J17" s="32">
        <f>IF(F17="","",IF(H17&lt;=0,"Paid in full",IF(I17="","Balance due",IF(I17&lt;TODAY(),"Overdue",IF(I17-TODAY()&lt;=30,"Due within 30 days","Scheduled")))))</f>
        <v/>
      </c>
      <c r="K17" s="14" t="n"/>
    </row>
    <row r="18">
      <c r="B18" s="14" t="n"/>
      <c r="C18" s="14" t="n"/>
      <c r="D18" s="14" t="n"/>
      <c r="E18" s="14" t="n"/>
      <c r="F18" s="31" t="n"/>
      <c r="G18" s="31" t="n"/>
      <c r="H18" s="26">
        <f>IF(F18="","",F18-N(G18))</f>
        <v/>
      </c>
      <c r="I18" s="12" t="n"/>
      <c r="J18" s="32">
        <f>IF(F18="","",IF(H18&lt;=0,"Paid in full",IF(I18="","Balance due",IF(I18&lt;TODAY(),"Overdue",IF(I18-TODAY()&lt;=30,"Due within 30 days","Scheduled")))))</f>
        <v/>
      </c>
      <c r="K18" s="14" t="n"/>
    </row>
    <row r="19">
      <c r="B19" s="14" t="n"/>
      <c r="C19" s="14" t="n"/>
      <c r="D19" s="14" t="n"/>
      <c r="E19" s="14" t="n"/>
      <c r="F19" s="31" t="n"/>
      <c r="G19" s="31" t="n"/>
      <c r="H19" s="26">
        <f>IF(F19="","",F19-N(G19))</f>
        <v/>
      </c>
      <c r="I19" s="12" t="n"/>
      <c r="J19" s="32">
        <f>IF(F19="","",IF(H19&lt;=0,"Paid in full",IF(I19="","Balance due",IF(I19&lt;TODAY(),"Overdue",IF(I19-TODAY()&lt;=30,"Due within 30 days","Scheduled")))))</f>
        <v/>
      </c>
      <c r="K19" s="14" t="n"/>
    </row>
    <row r="20">
      <c r="B20" s="14" t="n"/>
      <c r="C20" s="14" t="n"/>
      <c r="D20" s="14" t="n"/>
      <c r="E20" s="14" t="n"/>
      <c r="F20" s="31" t="n"/>
      <c r="G20" s="31" t="n"/>
      <c r="H20" s="26">
        <f>IF(F20="","",F20-N(G20))</f>
        <v/>
      </c>
      <c r="I20" s="12" t="n"/>
      <c r="J20" s="32">
        <f>IF(F20="","",IF(H20&lt;=0,"Paid in full",IF(I20="","Balance due",IF(I20&lt;TODAY(),"Overdue",IF(I20-TODAY()&lt;=30,"Due within 30 days","Scheduled")))))</f>
        <v/>
      </c>
      <c r="K20" s="14" t="n"/>
    </row>
    <row r="21">
      <c r="B21" s="14" t="n"/>
      <c r="C21" s="14" t="n"/>
      <c r="D21" s="14" t="n"/>
      <c r="E21" s="14" t="n"/>
      <c r="F21" s="31" t="n"/>
      <c r="G21" s="31" t="n"/>
      <c r="H21" s="26">
        <f>IF(F21="","",F21-N(G21))</f>
        <v/>
      </c>
      <c r="I21" s="12" t="n"/>
      <c r="J21" s="32">
        <f>IF(F21="","",IF(H21&lt;=0,"Paid in full",IF(I21="","Balance due",IF(I21&lt;TODAY(),"Overdue",IF(I21-TODAY()&lt;=30,"Due within 30 days","Scheduled")))))</f>
        <v/>
      </c>
      <c r="K21" s="14" t="n"/>
    </row>
    <row r="22">
      <c r="B22" s="14" t="n"/>
      <c r="C22" s="14" t="n"/>
      <c r="D22" s="14" t="n"/>
      <c r="E22" s="14" t="n"/>
      <c r="F22" s="31" t="n"/>
      <c r="G22" s="31" t="n"/>
      <c r="H22" s="26">
        <f>IF(F22="","",F22-N(G22))</f>
        <v/>
      </c>
      <c r="I22" s="12" t="n"/>
      <c r="J22" s="32">
        <f>IF(F22="","",IF(H22&lt;=0,"Paid in full",IF(I22="","Balance due",IF(I22&lt;TODAY(),"Overdue",IF(I22-TODAY()&lt;=30,"Due within 30 days","Scheduled")))))</f>
        <v/>
      </c>
      <c r="K22" s="14" t="n"/>
    </row>
    <row r="23">
      <c r="B23" s="14" t="n"/>
      <c r="C23" s="14" t="n"/>
      <c r="D23" s="14" t="n"/>
      <c r="E23" s="14" t="n"/>
      <c r="F23" s="31" t="n"/>
      <c r="G23" s="31" t="n"/>
      <c r="H23" s="26">
        <f>IF(F23="","",F23-N(G23))</f>
        <v/>
      </c>
      <c r="I23" s="12" t="n"/>
      <c r="J23" s="32">
        <f>IF(F23="","",IF(H23&lt;=0,"Paid in full",IF(I23="","Balance due",IF(I23&lt;TODAY(),"Overdue",IF(I23-TODAY()&lt;=30,"Due within 30 days","Scheduled")))))</f>
        <v/>
      </c>
      <c r="K23" s="14" t="n"/>
    </row>
    <row r="24">
      <c r="B24" s="14" t="n"/>
      <c r="C24" s="14" t="n"/>
      <c r="D24" s="14" t="n"/>
      <c r="E24" s="14" t="n"/>
      <c r="F24" s="31" t="n"/>
      <c r="G24" s="31" t="n"/>
      <c r="H24" s="26">
        <f>IF(F24="","",F24-N(G24))</f>
        <v/>
      </c>
      <c r="I24" s="12" t="n"/>
      <c r="J24" s="32">
        <f>IF(F24="","",IF(H24&lt;=0,"Paid in full",IF(I24="","Balance due",IF(I24&lt;TODAY(),"Overdue",IF(I24-TODAY()&lt;=30,"Due within 30 days","Scheduled")))))</f>
        <v/>
      </c>
      <c r="K24" s="14" t="n"/>
    </row>
    <row r="25">
      <c r="B25" s="14" t="n"/>
      <c r="C25" s="14" t="n"/>
      <c r="D25" s="14" t="n"/>
      <c r="E25" s="14" t="n"/>
      <c r="F25" s="31" t="n"/>
      <c r="G25" s="31" t="n"/>
      <c r="H25" s="26">
        <f>IF(F25="","",F25-N(G25))</f>
        <v/>
      </c>
      <c r="I25" s="12" t="n"/>
      <c r="J25" s="32">
        <f>IF(F25="","",IF(H25&lt;=0,"Paid in full",IF(I25="","Balance due",IF(I25&lt;TODAY(),"Overdue",IF(I25-TODAY()&lt;=30,"Due within 30 days","Scheduled")))))</f>
        <v/>
      </c>
      <c r="K25" s="14" t="n"/>
    </row>
    <row r="26">
      <c r="B26" s="14" t="n"/>
      <c r="C26" s="14" t="n"/>
      <c r="D26" s="14" t="n"/>
      <c r="E26" s="14" t="n"/>
      <c r="F26" s="31" t="n"/>
      <c r="G26" s="31" t="n"/>
      <c r="H26" s="26">
        <f>IF(F26="","",F26-N(G26))</f>
        <v/>
      </c>
      <c r="I26" s="12" t="n"/>
      <c r="J26" s="32">
        <f>IF(F26="","",IF(H26&lt;=0,"Paid in full",IF(I26="","Balance due",IF(I26&lt;TODAY(),"Overdue",IF(I26-TODAY()&lt;=30,"Due within 30 days","Scheduled")))))</f>
        <v/>
      </c>
      <c r="K26" s="14" t="n"/>
    </row>
    <row r="27">
      <c r="B27" s="14" t="n"/>
      <c r="C27" s="14" t="n"/>
      <c r="D27" s="14" t="n"/>
      <c r="E27" s="14" t="n"/>
      <c r="F27" s="31" t="n"/>
      <c r="G27" s="31" t="n"/>
      <c r="H27" s="26">
        <f>IF(F27="","",F27-N(G27))</f>
        <v/>
      </c>
      <c r="I27" s="12" t="n"/>
      <c r="J27" s="32">
        <f>IF(F27="","",IF(H27&lt;=0,"Paid in full",IF(I27="","Balance due",IF(I27&lt;TODAY(),"Overdue",IF(I27-TODAY()&lt;=30,"Due within 30 days","Scheduled")))))</f>
        <v/>
      </c>
      <c r="K27" s="14" t="n"/>
    </row>
    <row r="28">
      <c r="B28" s="14" t="n"/>
      <c r="C28" s="14" t="n"/>
      <c r="D28" s="14" t="n"/>
      <c r="E28" s="14" t="n"/>
      <c r="F28" s="31" t="n"/>
      <c r="G28" s="31" t="n"/>
      <c r="H28" s="26">
        <f>IF(F28="","",F28-N(G28))</f>
        <v/>
      </c>
      <c r="I28" s="12" t="n"/>
      <c r="J28" s="32">
        <f>IF(F28="","",IF(H28&lt;=0,"Paid in full",IF(I28="","Balance due",IF(I28&lt;TODAY(),"Overdue",IF(I28-TODAY()&lt;=30,"Due within 30 days","Scheduled")))))</f>
        <v/>
      </c>
      <c r="K28" s="14" t="n"/>
    </row>
    <row r="29">
      <c r="B29" s="14" t="n"/>
      <c r="C29" s="14" t="n"/>
      <c r="D29" s="14" t="n"/>
      <c r="E29" s="14" t="n"/>
      <c r="F29" s="31" t="n"/>
      <c r="G29" s="31" t="n"/>
      <c r="H29" s="26">
        <f>IF(F29="","",F29-N(G29))</f>
        <v/>
      </c>
      <c r="I29" s="12" t="n"/>
      <c r="J29" s="32">
        <f>IF(F29="","",IF(H29&lt;=0,"Paid in full",IF(I29="","Balance due",IF(I29&lt;TODAY(),"Overdue",IF(I29-TODAY()&lt;=30,"Due within 30 days","Scheduled")))))</f>
        <v/>
      </c>
      <c r="K29" s="14" t="n"/>
    </row>
    <row r="30">
      <c r="B30" s="14" t="n"/>
      <c r="C30" s="14" t="n"/>
      <c r="D30" s="14" t="n"/>
      <c r="E30" s="14" t="n"/>
      <c r="F30" s="31" t="n"/>
      <c r="G30" s="31" t="n"/>
      <c r="H30" s="26">
        <f>IF(F30="","",F30-N(G30))</f>
        <v/>
      </c>
      <c r="I30" s="12" t="n"/>
      <c r="J30" s="32">
        <f>IF(F30="","",IF(H30&lt;=0,"Paid in full",IF(I30="","Balance due",IF(I30&lt;TODAY(),"Overdue",IF(I30-TODAY()&lt;=30,"Due within 30 days","Scheduled")))))</f>
        <v/>
      </c>
      <c r="K30" s="14" t="n"/>
    </row>
    <row r="31">
      <c r="B31" s="14" t="n"/>
      <c r="C31" s="14" t="n"/>
      <c r="D31" s="14" t="n"/>
      <c r="E31" s="14" t="n"/>
      <c r="F31" s="31" t="n"/>
      <c r="G31" s="31" t="n"/>
      <c r="H31" s="26">
        <f>IF(F31="","",F31-N(G31))</f>
        <v/>
      </c>
      <c r="I31" s="12" t="n"/>
      <c r="J31" s="32">
        <f>IF(F31="","",IF(H31&lt;=0,"Paid in full",IF(I31="","Balance due",IF(I31&lt;TODAY(),"Overdue",IF(I31-TODAY()&lt;=30,"Due within 30 days","Scheduled")))))</f>
        <v/>
      </c>
      <c r="K31" s="14" t="n"/>
    </row>
    <row r="32">
      <c r="B32" s="14" t="n"/>
      <c r="C32" s="14" t="n"/>
      <c r="D32" s="14" t="n"/>
      <c r="E32" s="14" t="n"/>
      <c r="F32" s="31" t="n"/>
      <c r="G32" s="31" t="n"/>
      <c r="H32" s="26">
        <f>IF(F32="","",F32-N(G32))</f>
        <v/>
      </c>
      <c r="I32" s="12" t="n"/>
      <c r="J32" s="32">
        <f>IF(F32="","",IF(H32&lt;=0,"Paid in full",IF(I32="","Balance due",IF(I32&lt;TODAY(),"Overdue",IF(I32-TODAY()&lt;=30,"Due within 30 days","Scheduled")))))</f>
        <v/>
      </c>
      <c r="K32" s="14" t="n"/>
    </row>
    <row r="33">
      <c r="B33" s="14" t="n"/>
      <c r="C33" s="14" t="n"/>
      <c r="D33" s="14" t="n"/>
      <c r="E33" s="14" t="n"/>
      <c r="F33" s="31" t="n"/>
      <c r="G33" s="31" t="n"/>
      <c r="H33" s="26">
        <f>IF(F33="","",F33-N(G33))</f>
        <v/>
      </c>
      <c r="I33" s="12" t="n"/>
      <c r="J33" s="32">
        <f>IF(F33="","",IF(H33&lt;=0,"Paid in full",IF(I33="","Balance due",IF(I33&lt;TODAY(),"Overdue",IF(I33-TODAY()&lt;=30,"Due within 30 days","Scheduled")))))</f>
        <v/>
      </c>
      <c r="K33" s="14" t="n"/>
    </row>
    <row r="34">
      <c r="B34" s="14" t="n"/>
      <c r="C34" s="14" t="n"/>
      <c r="D34" s="14" t="n"/>
      <c r="E34" s="14" t="n"/>
      <c r="F34" s="31" t="n"/>
      <c r="G34" s="31" t="n"/>
      <c r="H34" s="26">
        <f>IF(F34="","",F34-N(G34))</f>
        <v/>
      </c>
      <c r="I34" s="12" t="n"/>
      <c r="J34" s="32">
        <f>IF(F34="","",IF(H34&lt;=0,"Paid in full",IF(I34="","Balance due",IF(I34&lt;TODAY(),"Overdue",IF(I34-TODAY()&lt;=30,"Due within 30 days","Scheduled")))))</f>
        <v/>
      </c>
      <c r="K34" s="14" t="n"/>
    </row>
    <row r="35">
      <c r="B35" s="14" t="n"/>
      <c r="C35" s="14" t="n"/>
      <c r="D35" s="14" t="n"/>
      <c r="E35" s="14" t="n"/>
      <c r="F35" s="31" t="n"/>
      <c r="G35" s="31" t="n"/>
      <c r="H35" s="26">
        <f>IF(F35="","",F35-N(G35))</f>
        <v/>
      </c>
      <c r="I35" s="12" t="n"/>
      <c r="J35" s="32">
        <f>IF(F35="","",IF(H35&lt;=0,"Paid in full",IF(I35="","Balance due",IF(I35&lt;TODAY(),"Overdue",IF(I35-TODAY()&lt;=30,"Due within 30 days","Scheduled")))))</f>
        <v/>
      </c>
      <c r="K35" s="14" t="n"/>
    </row>
    <row r="36">
      <c r="B36" s="14" t="n"/>
      <c r="C36" s="14" t="n"/>
      <c r="D36" s="14" t="n"/>
      <c r="E36" s="14" t="n"/>
      <c r="F36" s="31" t="n"/>
      <c r="G36" s="31" t="n"/>
      <c r="H36" s="26">
        <f>IF(F36="","",F36-N(G36))</f>
        <v/>
      </c>
      <c r="I36" s="12" t="n"/>
      <c r="J36" s="32">
        <f>IF(F36="","",IF(H36&lt;=0,"Paid in full",IF(I36="","Balance due",IF(I36&lt;TODAY(),"Overdue",IF(I36-TODAY()&lt;=30,"Due within 30 days","Scheduled")))))</f>
        <v/>
      </c>
      <c r="K36" s="14" t="n"/>
    </row>
    <row r="37">
      <c r="B37" s="14" t="n"/>
      <c r="C37" s="14" t="n"/>
      <c r="D37" s="14" t="n"/>
      <c r="E37" s="14" t="n"/>
      <c r="F37" s="31" t="n"/>
      <c r="G37" s="31" t="n"/>
      <c r="H37" s="26">
        <f>IF(F37="","",F37-N(G37))</f>
        <v/>
      </c>
      <c r="I37" s="12" t="n"/>
      <c r="J37" s="32">
        <f>IF(F37="","",IF(H37&lt;=0,"Paid in full",IF(I37="","Balance due",IF(I37&lt;TODAY(),"Overdue",IF(I37-TODAY()&lt;=30,"Due within 30 days","Scheduled")))))</f>
        <v/>
      </c>
      <c r="K37" s="14" t="n"/>
    </row>
    <row r="38">
      <c r="B38" s="14" t="n"/>
      <c r="C38" s="14" t="n"/>
      <c r="D38" s="14" t="n"/>
      <c r="E38" s="14" t="n"/>
      <c r="F38" s="31" t="n"/>
      <c r="G38" s="31" t="n"/>
      <c r="H38" s="26">
        <f>IF(F38="","",F38-N(G38))</f>
        <v/>
      </c>
      <c r="I38" s="12" t="n"/>
      <c r="J38" s="32">
        <f>IF(F38="","",IF(H38&lt;=0,"Paid in full",IF(I38="","Balance due",IF(I38&lt;TODAY(),"Overdue",IF(I38-TODAY()&lt;=30,"Due within 30 days","Scheduled")))))</f>
        <v/>
      </c>
      <c r="K38" s="14" t="n"/>
    </row>
    <row r="39">
      <c r="B39" s="14" t="n"/>
      <c r="C39" s="14" t="n"/>
      <c r="D39" s="14" t="n"/>
      <c r="E39" s="14" t="n"/>
      <c r="F39" s="31" t="n"/>
      <c r="G39" s="31" t="n"/>
      <c r="H39" s="26">
        <f>IF(F39="","",F39-N(G39))</f>
        <v/>
      </c>
      <c r="I39" s="12" t="n"/>
      <c r="J39" s="32">
        <f>IF(F39="","",IF(H39&lt;=0,"Paid in full",IF(I39="","Balance due",IF(I39&lt;TODAY(),"Overdue",IF(I39-TODAY()&lt;=30,"Due within 30 days","Scheduled")))))</f>
        <v/>
      </c>
      <c r="K39" s="14" t="n"/>
    </row>
    <row r="40">
      <c r="B40" s="14" t="n"/>
      <c r="C40" s="14" t="n"/>
      <c r="D40" s="14" t="n"/>
      <c r="E40" s="14" t="n"/>
      <c r="F40" s="31" t="n"/>
      <c r="G40" s="31" t="n"/>
      <c r="H40" s="26">
        <f>IF(F40="","",F40-N(G40))</f>
        <v/>
      </c>
      <c r="I40" s="12" t="n"/>
      <c r="J40" s="32">
        <f>IF(F40="","",IF(H40&lt;=0,"Paid in full",IF(I40="","Balance due",IF(I40&lt;TODAY(),"Overdue",IF(I40-TODAY()&lt;=30,"Due within 30 days","Scheduled")))))</f>
        <v/>
      </c>
      <c r="K40" s="14" t="n"/>
    </row>
    <row r="41">
      <c r="B41" s="14" t="n"/>
      <c r="C41" s="14" t="n"/>
      <c r="D41" s="14" t="n"/>
      <c r="E41" s="14" t="n"/>
      <c r="F41" s="31" t="n"/>
      <c r="G41" s="31" t="n"/>
      <c r="H41" s="26">
        <f>IF(F41="","",F41-N(G41))</f>
        <v/>
      </c>
      <c r="I41" s="12" t="n"/>
      <c r="J41" s="32">
        <f>IF(F41="","",IF(H41&lt;=0,"Paid in full",IF(I41="","Balance due",IF(I41&lt;TODAY(),"Overdue",IF(I41-TODAY()&lt;=30,"Due within 30 days","Scheduled")))))</f>
        <v/>
      </c>
      <c r="K41" s="14" t="n"/>
    </row>
    <row r="42">
      <c r="B42" s="14" t="n"/>
      <c r="C42" s="14" t="n"/>
      <c r="D42" s="14" t="n"/>
      <c r="E42" s="14" t="n"/>
      <c r="F42" s="31" t="n"/>
      <c r="G42" s="31" t="n"/>
      <c r="H42" s="26">
        <f>IF(F42="","",F42-N(G42))</f>
        <v/>
      </c>
      <c r="I42" s="12" t="n"/>
      <c r="J42" s="32">
        <f>IF(F42="","",IF(H42&lt;=0,"Paid in full",IF(I42="","Balance due",IF(I42&lt;TODAY(),"Overdue",IF(I42-TODAY()&lt;=30,"Due within 30 days","Scheduled")))))</f>
        <v/>
      </c>
      <c r="K42" s="14" t="n"/>
    </row>
    <row r="43">
      <c r="B43" s="14" t="n"/>
      <c r="C43" s="14" t="n"/>
      <c r="D43" s="14" t="n"/>
      <c r="E43" s="14" t="n"/>
      <c r="F43" s="31" t="n"/>
      <c r="G43" s="31" t="n"/>
      <c r="H43" s="26">
        <f>IF(F43="","",F43-N(G43))</f>
        <v/>
      </c>
      <c r="I43" s="12" t="n"/>
      <c r="J43" s="32">
        <f>IF(F43="","",IF(H43&lt;=0,"Paid in full",IF(I43="","Balance due",IF(I43&lt;TODAY(),"Overdue",IF(I43-TODAY()&lt;=30,"Due within 30 days","Scheduled")))))</f>
        <v/>
      </c>
      <c r="K43" s="14" t="n"/>
    </row>
    <row r="44">
      <c r="B44" s="14" t="n"/>
      <c r="C44" s="14" t="n"/>
      <c r="D44" s="14" t="n"/>
      <c r="E44" s="14" t="n"/>
      <c r="F44" s="31" t="n"/>
      <c r="G44" s="31" t="n"/>
      <c r="H44" s="26">
        <f>IF(F44="","",F44-N(G44))</f>
        <v/>
      </c>
      <c r="I44" s="12" t="n"/>
      <c r="J44" s="32">
        <f>IF(F44="","",IF(H44&lt;=0,"Paid in full",IF(I44="","Balance due",IF(I44&lt;TODAY(),"Overdue",IF(I44-TODAY()&lt;=30,"Due within 30 days","Scheduled")))))</f>
        <v/>
      </c>
      <c r="K44" s="14" t="n"/>
    </row>
    <row r="45">
      <c r="B45" s="14" t="n"/>
      <c r="C45" s="14" t="n"/>
      <c r="D45" s="14" t="n"/>
      <c r="E45" s="14" t="n"/>
      <c r="F45" s="31" t="n"/>
      <c r="G45" s="31" t="n"/>
      <c r="H45" s="26">
        <f>IF(F45="","",F45-N(G45))</f>
        <v/>
      </c>
      <c r="I45" s="12" t="n"/>
      <c r="J45" s="32">
        <f>IF(F45="","",IF(H45&lt;=0,"Paid in full",IF(I45="","Balance due",IF(I45&lt;TODAY(),"Overdue",IF(I45-TODAY()&lt;=30,"Due within 30 days","Scheduled")))))</f>
        <v/>
      </c>
      <c r="K45" s="14" t="n"/>
    </row>
    <row r="46">
      <c r="B46" s="14" t="n"/>
      <c r="C46" s="14" t="n"/>
      <c r="D46" s="14" t="n"/>
      <c r="E46" s="14" t="n"/>
      <c r="F46" s="31" t="n"/>
      <c r="G46" s="31" t="n"/>
      <c r="H46" s="26">
        <f>IF(F46="","",F46-N(G46))</f>
        <v/>
      </c>
      <c r="I46" s="12" t="n"/>
      <c r="J46" s="32">
        <f>IF(F46="","",IF(H46&lt;=0,"Paid in full",IF(I46="","Balance due",IF(I46&lt;TODAY(),"Overdue",IF(I46-TODAY()&lt;=30,"Due within 30 days","Scheduled")))))</f>
        <v/>
      </c>
      <c r="K46" s="14" t="n"/>
    </row>
    <row r="47">
      <c r="B47" s="14" t="n"/>
      <c r="C47" s="14" t="n"/>
      <c r="D47" s="14" t="n"/>
      <c r="E47" s="14" t="n"/>
      <c r="F47" s="31" t="n"/>
      <c r="G47" s="31" t="n"/>
      <c r="H47" s="26">
        <f>IF(F47="","",F47-N(G47))</f>
        <v/>
      </c>
      <c r="I47" s="12" t="n"/>
      <c r="J47" s="32">
        <f>IF(F47="","",IF(H47&lt;=0,"Paid in full",IF(I47="","Balance due",IF(I47&lt;TODAY(),"Overdue",IF(I47-TODAY()&lt;=30,"Due within 30 days","Scheduled")))))</f>
        <v/>
      </c>
      <c r="K47" s="14" t="n"/>
    </row>
    <row r="48">
      <c r="B48" s="14" t="n"/>
      <c r="C48" s="14" t="n"/>
      <c r="D48" s="14" t="n"/>
      <c r="E48" s="14" t="n"/>
      <c r="F48" s="31" t="n"/>
      <c r="G48" s="31" t="n"/>
      <c r="H48" s="26">
        <f>IF(F48="","",F48-N(G48))</f>
        <v/>
      </c>
      <c r="I48" s="12" t="n"/>
      <c r="J48" s="32">
        <f>IF(F48="","",IF(H48&lt;=0,"Paid in full",IF(I48="","Balance due",IF(I48&lt;TODAY(),"Overdue",IF(I48-TODAY()&lt;=30,"Due within 30 days","Scheduled")))))</f>
        <v/>
      </c>
      <c r="K48" s="14" t="n"/>
    </row>
    <row r="49">
      <c r="B49" s="14" t="n"/>
      <c r="C49" s="14" t="n"/>
      <c r="D49" s="14" t="n"/>
      <c r="E49" s="14" t="n"/>
      <c r="F49" s="31" t="n"/>
      <c r="G49" s="31" t="n"/>
      <c r="H49" s="26">
        <f>IF(F49="","",F49-N(G49))</f>
        <v/>
      </c>
      <c r="I49" s="12" t="n"/>
      <c r="J49" s="32">
        <f>IF(F49="","",IF(H49&lt;=0,"Paid in full",IF(I49="","Balance due",IF(I49&lt;TODAY(),"Overdue",IF(I49-TODAY()&lt;=30,"Due within 30 days","Scheduled")))))</f>
        <v/>
      </c>
      <c r="K49" s="14" t="n"/>
    </row>
    <row r="50">
      <c r="B50" s="14" t="n"/>
      <c r="C50" s="14" t="n"/>
      <c r="D50" s="14" t="n"/>
      <c r="E50" s="14" t="n"/>
      <c r="F50" s="31" t="n"/>
      <c r="G50" s="31" t="n"/>
      <c r="H50" s="26">
        <f>IF(F50="","",F50-N(G50))</f>
        <v/>
      </c>
      <c r="I50" s="12" t="n"/>
      <c r="J50" s="32">
        <f>IF(F50="","",IF(H50&lt;=0,"Paid in full",IF(I50="","Balance due",IF(I50&lt;TODAY(),"Overdue",IF(I50-TODAY()&lt;=30,"Due within 30 days","Scheduled")))))</f>
        <v/>
      </c>
      <c r="K50" s="14" t="n"/>
    </row>
    <row r="51">
      <c r="B51" s="14" t="n"/>
      <c r="C51" s="14" t="n"/>
      <c r="D51" s="14" t="n"/>
      <c r="E51" s="14" t="n"/>
      <c r="F51" s="31" t="n"/>
      <c r="G51" s="31" t="n"/>
      <c r="H51" s="26">
        <f>IF(F51="","",F51-N(G51))</f>
        <v/>
      </c>
      <c r="I51" s="12" t="n"/>
      <c r="J51" s="32">
        <f>IF(F51="","",IF(H51&lt;=0,"Paid in full",IF(I51="","Balance due",IF(I51&lt;TODAY(),"Overdue",IF(I51-TODAY()&lt;=30,"Due within 30 days","Scheduled")))))</f>
        <v/>
      </c>
      <c r="K51" s="14" t="n"/>
    </row>
    <row r="52">
      <c r="B52" s="14" t="n"/>
      <c r="C52" s="14" t="n"/>
      <c r="D52" s="14" t="n"/>
      <c r="E52" s="14" t="n"/>
      <c r="F52" s="31" t="n"/>
      <c r="G52" s="31" t="n"/>
      <c r="H52" s="26">
        <f>IF(F52="","",F52-N(G52))</f>
        <v/>
      </c>
      <c r="I52" s="12" t="n"/>
      <c r="J52" s="32">
        <f>IF(F52="","",IF(H52&lt;=0,"Paid in full",IF(I52="","Balance due",IF(I52&lt;TODAY(),"Overdue",IF(I52-TODAY()&lt;=30,"Due within 30 days","Scheduled")))))</f>
        <v/>
      </c>
      <c r="K52" s="14" t="n"/>
    </row>
    <row r="53">
      <c r="B53" s="14" t="n"/>
      <c r="C53" s="14" t="n"/>
      <c r="D53" s="14" t="n"/>
      <c r="E53" s="14" t="n"/>
      <c r="F53" s="31" t="n"/>
      <c r="G53" s="31" t="n"/>
      <c r="H53" s="26">
        <f>IF(F53="","",F53-N(G53))</f>
        <v/>
      </c>
      <c r="I53" s="12" t="n"/>
      <c r="J53" s="32">
        <f>IF(F53="","",IF(H53&lt;=0,"Paid in full",IF(I53="","Balance due",IF(I53&lt;TODAY(),"Overdue",IF(I53-TODAY()&lt;=30,"Due within 30 days","Scheduled")))))</f>
        <v/>
      </c>
      <c r="K53" s="14" t="n"/>
    </row>
    <row r="54">
      <c r="B54" s="14" t="n"/>
      <c r="C54" s="14" t="n"/>
      <c r="D54" s="14" t="n"/>
      <c r="E54" s="14" t="n"/>
      <c r="F54" s="31" t="n"/>
      <c r="G54" s="31" t="n"/>
      <c r="H54" s="26">
        <f>IF(F54="","",F54-N(G54))</f>
        <v/>
      </c>
      <c r="I54" s="12" t="n"/>
      <c r="J54" s="32">
        <f>IF(F54="","",IF(H54&lt;=0,"Paid in full",IF(I54="","Balance due",IF(I54&lt;TODAY(),"Overdue",IF(I54-TODAY()&lt;=30,"Due within 30 days","Scheduled")))))</f>
        <v/>
      </c>
      <c r="K54" s="14" t="n"/>
    </row>
    <row r="55">
      <c r="B55" s="14" t="n"/>
      <c r="C55" s="14" t="n"/>
      <c r="D55" s="14" t="n"/>
      <c r="E55" s="14" t="n"/>
      <c r="F55" s="31" t="n"/>
      <c r="G55" s="31" t="n"/>
      <c r="H55" s="26">
        <f>IF(F55="","",F55-N(G55))</f>
        <v/>
      </c>
      <c r="I55" s="12" t="n"/>
      <c r="J55" s="32">
        <f>IF(F55="","",IF(H55&lt;=0,"Paid in full",IF(I55="","Balance due",IF(I55&lt;TODAY(),"Overdue",IF(I55-TODAY()&lt;=30,"Due within 30 days","Scheduled")))))</f>
        <v/>
      </c>
      <c r="K55" s="14" t="n"/>
    </row>
    <row r="56">
      <c r="B56" s="14" t="n"/>
      <c r="C56" s="14" t="n"/>
      <c r="D56" s="14" t="n"/>
      <c r="E56" s="14" t="n"/>
      <c r="F56" s="31" t="n"/>
      <c r="G56" s="31" t="n"/>
      <c r="H56" s="26">
        <f>IF(F56="","",F56-N(G56))</f>
        <v/>
      </c>
      <c r="I56" s="12" t="n"/>
      <c r="J56" s="32">
        <f>IF(F56="","",IF(H56&lt;=0,"Paid in full",IF(I56="","Balance due",IF(I56&lt;TODAY(),"Overdue",IF(I56-TODAY()&lt;=30,"Due within 30 days","Scheduled")))))</f>
        <v/>
      </c>
      <c r="K56" s="14" t="n"/>
    </row>
    <row r="57">
      <c r="B57" s="14" t="n"/>
      <c r="C57" s="14" t="n"/>
      <c r="D57" s="14" t="n"/>
      <c r="E57" s="14" t="n"/>
      <c r="F57" s="31" t="n"/>
      <c r="G57" s="31" t="n"/>
      <c r="H57" s="26">
        <f>IF(F57="","",F57-N(G57))</f>
        <v/>
      </c>
      <c r="I57" s="12" t="n"/>
      <c r="J57" s="32">
        <f>IF(F57="","",IF(H57&lt;=0,"Paid in full",IF(I57="","Balance due",IF(I57&lt;TODAY(),"Overdue",IF(I57-TODAY()&lt;=30,"Due within 30 days","Scheduled")))))</f>
        <v/>
      </c>
      <c r="K57" s="14" t="n"/>
    </row>
    <row r="58">
      <c r="B58" s="14" t="n"/>
      <c r="C58" s="14" t="n"/>
      <c r="D58" s="14" t="n"/>
      <c r="E58" s="14" t="n"/>
      <c r="F58" s="31" t="n"/>
      <c r="G58" s="31" t="n"/>
      <c r="H58" s="26">
        <f>IF(F58="","",F58-N(G58))</f>
        <v/>
      </c>
      <c r="I58" s="12" t="n"/>
      <c r="J58" s="32">
        <f>IF(F58="","",IF(H58&lt;=0,"Paid in full",IF(I58="","Balance due",IF(I58&lt;TODAY(),"Overdue",IF(I58-TODAY()&lt;=30,"Due within 30 days","Scheduled")))))</f>
        <v/>
      </c>
      <c r="K58" s="14" t="n"/>
    </row>
    <row r="59">
      <c r="B59" s="14" t="n"/>
      <c r="C59" s="14" t="n"/>
      <c r="D59" s="14" t="n"/>
      <c r="E59" s="14" t="n"/>
      <c r="F59" s="31" t="n"/>
      <c r="G59" s="31" t="n"/>
      <c r="H59" s="26">
        <f>IF(F59="","",F59-N(G59))</f>
        <v/>
      </c>
      <c r="I59" s="12" t="n"/>
      <c r="J59" s="32">
        <f>IF(F59="","",IF(H59&lt;=0,"Paid in full",IF(I59="","Balance due",IF(I59&lt;TODAY(),"Overdue",IF(I59-TODAY()&lt;=30,"Due within 30 days","Scheduled")))))</f>
        <v/>
      </c>
      <c r="K59" s="14" t="n"/>
    </row>
    <row r="60">
      <c r="B60" s="14" t="n"/>
      <c r="C60" s="14" t="n"/>
      <c r="D60" s="14" t="n"/>
      <c r="E60" s="14" t="n"/>
      <c r="F60" s="31" t="n"/>
      <c r="G60" s="31" t="n"/>
      <c r="H60" s="26">
        <f>IF(F60="","",F60-N(G60))</f>
        <v/>
      </c>
      <c r="I60" s="12" t="n"/>
      <c r="J60" s="32">
        <f>IF(F60="","",IF(H60&lt;=0,"Paid in full",IF(I60="","Balance due",IF(I60&lt;TODAY(),"Overdue",IF(I60-TODAY()&lt;=30,"Due within 30 days","Scheduled")))))</f>
        <v/>
      </c>
      <c r="K60" s="14" t="n"/>
    </row>
    <row r="61">
      <c r="B61" s="14" t="n"/>
      <c r="C61" s="14" t="n"/>
      <c r="D61" s="14" t="n"/>
      <c r="E61" s="14" t="n"/>
      <c r="F61" s="31" t="n"/>
      <c r="G61" s="31" t="n"/>
      <c r="H61" s="26">
        <f>IF(F61="","",F61-N(G61))</f>
        <v/>
      </c>
      <c r="I61" s="12" t="n"/>
      <c r="J61" s="32">
        <f>IF(F61="","",IF(H61&lt;=0,"Paid in full",IF(I61="","Balance due",IF(I61&lt;TODAY(),"Overdue",IF(I61-TODAY()&lt;=30,"Due within 30 days","Scheduled")))))</f>
        <v/>
      </c>
      <c r="K61" s="14" t="n"/>
    </row>
    <row r="62">
      <c r="B62" s="14" t="n"/>
      <c r="C62" s="14" t="n"/>
      <c r="D62" s="14" t="n"/>
      <c r="E62" s="14" t="n"/>
      <c r="F62" s="31" t="n"/>
      <c r="G62" s="31" t="n"/>
      <c r="H62" s="26">
        <f>IF(F62="","",F62-N(G62))</f>
        <v/>
      </c>
      <c r="I62" s="12" t="n"/>
      <c r="J62" s="32">
        <f>IF(F62="","",IF(H62&lt;=0,"Paid in full",IF(I62="","Balance due",IF(I62&lt;TODAY(),"Overdue",IF(I62-TODAY()&lt;=30,"Due within 30 days","Scheduled")))))</f>
        <v/>
      </c>
      <c r="K62" s="14" t="n"/>
    </row>
    <row r="63">
      <c r="B63" s="14" t="n"/>
      <c r="C63" s="14" t="n"/>
      <c r="D63" s="14" t="n"/>
      <c r="E63" s="14" t="n"/>
      <c r="F63" s="31" t="n"/>
      <c r="G63" s="31" t="n"/>
      <c r="H63" s="26">
        <f>IF(F63="","",F63-N(G63))</f>
        <v/>
      </c>
      <c r="I63" s="12" t="n"/>
      <c r="J63" s="32">
        <f>IF(F63="","",IF(H63&lt;=0,"Paid in full",IF(I63="","Balance due",IF(I63&lt;TODAY(),"Overdue",IF(I63-TODAY()&lt;=30,"Due within 30 days","Scheduled")))))</f>
        <v/>
      </c>
      <c r="K63" s="14" t="n"/>
    </row>
    <row r="64">
      <c r="B64" s="14" t="n"/>
      <c r="C64" s="14" t="n"/>
      <c r="D64" s="14" t="n"/>
      <c r="E64" s="14" t="n"/>
      <c r="F64" s="31" t="n"/>
      <c r="G64" s="31" t="n"/>
      <c r="H64" s="26">
        <f>IF(F64="","",F64-N(G64))</f>
        <v/>
      </c>
      <c r="I64" s="12" t="n"/>
      <c r="J64" s="32">
        <f>IF(F64="","",IF(H64&lt;=0,"Paid in full",IF(I64="","Balance due",IF(I64&lt;TODAY(),"Overdue",IF(I64-TODAY()&lt;=30,"Due within 30 days","Scheduled")))))</f>
        <v/>
      </c>
      <c r="K64" s="14" t="n"/>
    </row>
    <row r="65">
      <c r="B65" s="14" t="n"/>
      <c r="C65" s="14" t="n"/>
      <c r="D65" s="14" t="n"/>
      <c r="E65" s="14" t="n"/>
      <c r="F65" s="31" t="n"/>
      <c r="G65" s="31" t="n"/>
      <c r="H65" s="26">
        <f>IF(F65="","",F65-N(G65))</f>
        <v/>
      </c>
      <c r="I65" s="12" t="n"/>
      <c r="J65" s="32">
        <f>IF(F65="","",IF(H65&lt;=0,"Paid in full",IF(I65="","Balance due",IF(I65&lt;TODAY(),"Overdue",IF(I65-TODAY()&lt;=30,"Due within 30 days","Scheduled")))))</f>
        <v/>
      </c>
      <c r="K65" s="14" t="n"/>
    </row>
    <row r="66">
      <c r="B66" s="14" t="n"/>
      <c r="C66" s="14" t="n"/>
      <c r="D66" s="14" t="n"/>
      <c r="E66" s="14" t="n"/>
      <c r="F66" s="31" t="n"/>
      <c r="G66" s="31" t="n"/>
      <c r="H66" s="26">
        <f>IF(F66="","",F66-N(G66))</f>
        <v/>
      </c>
      <c r="I66" s="12" t="n"/>
      <c r="J66" s="32">
        <f>IF(F66="","",IF(H66&lt;=0,"Paid in full",IF(I66="","Balance due",IF(I66&lt;TODAY(),"Overdue",IF(I66-TODAY()&lt;=30,"Due within 30 days","Scheduled")))))</f>
        <v/>
      </c>
      <c r="K66" s="14" t="n"/>
    </row>
    <row r="67">
      <c r="B67" s="14" t="n"/>
      <c r="C67" s="14" t="n"/>
      <c r="D67" s="14" t="n"/>
      <c r="E67" s="14" t="n"/>
      <c r="F67" s="31" t="n"/>
      <c r="G67" s="31" t="n"/>
      <c r="H67" s="26">
        <f>IF(F67="","",F67-N(G67))</f>
        <v/>
      </c>
      <c r="I67" s="12" t="n"/>
      <c r="J67" s="32">
        <f>IF(F67="","",IF(H67&lt;=0,"Paid in full",IF(I67="","Balance due",IF(I67&lt;TODAY(),"Overdue",IF(I67-TODAY()&lt;=30,"Due within 30 days","Scheduled")))))</f>
        <v/>
      </c>
      <c r="K67" s="14" t="n"/>
    </row>
    <row r="68">
      <c r="B68" s="14" t="n"/>
      <c r="C68" s="14" t="n"/>
      <c r="D68" s="14" t="n"/>
      <c r="E68" s="14" t="n"/>
      <c r="F68" s="31" t="n"/>
      <c r="G68" s="31" t="n"/>
      <c r="H68" s="26">
        <f>IF(F68="","",F68-N(G68))</f>
        <v/>
      </c>
      <c r="I68" s="12" t="n"/>
      <c r="J68" s="32">
        <f>IF(F68="","",IF(H68&lt;=0,"Paid in full",IF(I68="","Balance due",IF(I68&lt;TODAY(),"Overdue",IF(I68-TODAY()&lt;=30,"Due within 30 days","Scheduled")))))</f>
        <v/>
      </c>
      <c r="K68" s="14" t="n"/>
    </row>
    <row r="69">
      <c r="B69" s="14" t="n"/>
      <c r="C69" s="14" t="n"/>
      <c r="D69" s="14" t="n"/>
      <c r="E69" s="14" t="n"/>
      <c r="F69" s="31" t="n"/>
      <c r="G69" s="31" t="n"/>
      <c r="H69" s="26">
        <f>IF(F69="","",F69-N(G69))</f>
        <v/>
      </c>
      <c r="I69" s="12" t="n"/>
      <c r="J69" s="32">
        <f>IF(F69="","",IF(H69&lt;=0,"Paid in full",IF(I69="","Balance due",IF(I69&lt;TODAY(),"Overdue",IF(I69-TODAY()&lt;=30,"Due within 30 days","Scheduled")))))</f>
        <v/>
      </c>
      <c r="K69" s="14" t="n"/>
    </row>
    <row r="70">
      <c r="B70" s="14" t="n"/>
      <c r="C70" s="14" t="n"/>
      <c r="D70" s="14" t="n"/>
      <c r="E70" s="14" t="n"/>
      <c r="F70" s="31" t="n"/>
      <c r="G70" s="31" t="n"/>
      <c r="H70" s="26">
        <f>IF(F70="","",F70-N(G70))</f>
        <v/>
      </c>
      <c r="I70" s="12" t="n"/>
      <c r="J70" s="32">
        <f>IF(F70="","",IF(H70&lt;=0,"Paid in full",IF(I70="","Balance due",IF(I70&lt;TODAY(),"Overdue",IF(I70-TODAY()&lt;=30,"Due within 30 days","Scheduled")))))</f>
        <v/>
      </c>
      <c r="K70" s="14" t="n"/>
    </row>
    <row r="71">
      <c r="B71" s="14" t="n"/>
      <c r="C71" s="14" t="n"/>
      <c r="D71" s="14" t="n"/>
      <c r="E71" s="14" t="n"/>
      <c r="F71" s="31" t="n"/>
      <c r="G71" s="31" t="n"/>
      <c r="H71" s="26">
        <f>IF(F71="","",F71-N(G71))</f>
        <v/>
      </c>
      <c r="I71" s="12" t="n"/>
      <c r="J71" s="32">
        <f>IF(F71="","",IF(H71&lt;=0,"Paid in full",IF(I71="","Balance due",IF(I71&lt;TODAY(),"Overdue",IF(I71-TODAY()&lt;=30,"Due within 30 days","Scheduled")))))</f>
        <v/>
      </c>
      <c r="K71" s="14" t="n"/>
    </row>
    <row r="72">
      <c r="B72" s="14" t="n"/>
      <c r="C72" s="14" t="n"/>
      <c r="D72" s="14" t="n"/>
      <c r="E72" s="14" t="n"/>
      <c r="F72" s="31" t="n"/>
      <c r="G72" s="31" t="n"/>
      <c r="H72" s="26">
        <f>IF(F72="","",F72-N(G72))</f>
        <v/>
      </c>
      <c r="I72" s="12" t="n"/>
      <c r="J72" s="32">
        <f>IF(F72="","",IF(H72&lt;=0,"Paid in full",IF(I72="","Balance due",IF(I72&lt;TODAY(),"Overdue",IF(I72-TODAY()&lt;=30,"Due within 30 days","Scheduled")))))</f>
        <v/>
      </c>
      <c r="K72" s="14" t="n"/>
    </row>
    <row r="73">
      <c r="B73" s="14" t="n"/>
      <c r="C73" s="14" t="n"/>
      <c r="D73" s="14" t="n"/>
      <c r="E73" s="14" t="n"/>
      <c r="F73" s="31" t="n"/>
      <c r="G73" s="31" t="n"/>
      <c r="H73" s="26">
        <f>IF(F73="","",F73-N(G73))</f>
        <v/>
      </c>
      <c r="I73" s="12" t="n"/>
      <c r="J73" s="32">
        <f>IF(F73="","",IF(H73&lt;=0,"Paid in full",IF(I73="","Balance due",IF(I73&lt;TODAY(),"Overdue",IF(I73-TODAY()&lt;=30,"Due within 30 days","Scheduled")))))</f>
        <v/>
      </c>
      <c r="K73" s="14" t="n"/>
    </row>
    <row r="74">
      <c r="B74" s="14" t="n"/>
      <c r="C74" s="14" t="n"/>
      <c r="D74" s="14" t="n"/>
      <c r="E74" s="14" t="n"/>
      <c r="F74" s="31" t="n"/>
      <c r="G74" s="31" t="n"/>
      <c r="H74" s="26">
        <f>IF(F74="","",F74-N(G74))</f>
        <v/>
      </c>
      <c r="I74" s="12" t="n"/>
      <c r="J74" s="32">
        <f>IF(F74="","",IF(H74&lt;=0,"Paid in full",IF(I74="","Balance due",IF(I74&lt;TODAY(),"Overdue",IF(I74-TODAY()&lt;=30,"Due within 30 days","Scheduled")))))</f>
        <v/>
      </c>
      <c r="K74" s="14" t="n"/>
    </row>
    <row r="75">
      <c r="B75" s="14" t="n"/>
      <c r="C75" s="14" t="n"/>
      <c r="D75" s="14" t="n"/>
      <c r="E75" s="14" t="n"/>
      <c r="F75" s="31" t="n"/>
      <c r="G75" s="31" t="n"/>
      <c r="H75" s="26">
        <f>IF(F75="","",F75-N(G75))</f>
        <v/>
      </c>
      <c r="I75" s="12" t="n"/>
      <c r="J75" s="32">
        <f>IF(F75="","",IF(H75&lt;=0,"Paid in full",IF(I75="","Balance due",IF(I75&lt;TODAY(),"Overdue",IF(I75-TODAY()&lt;=30,"Due within 30 days","Scheduled")))))</f>
        <v/>
      </c>
      <c r="K75" s="14" t="n"/>
    </row>
    <row r="76">
      <c r="B76" s="14" t="n"/>
      <c r="C76" s="14" t="n"/>
      <c r="D76" s="14" t="n"/>
      <c r="E76" s="14" t="n"/>
      <c r="F76" s="31" t="n"/>
      <c r="G76" s="31" t="n"/>
      <c r="H76" s="26">
        <f>IF(F76="","",F76-N(G76))</f>
        <v/>
      </c>
      <c r="I76" s="12" t="n"/>
      <c r="J76" s="32">
        <f>IF(F76="","",IF(H76&lt;=0,"Paid in full",IF(I76="","Balance due",IF(I76&lt;TODAY(),"Overdue",IF(I76-TODAY()&lt;=30,"Due within 30 days","Scheduled")))))</f>
        <v/>
      </c>
      <c r="K76" s="14" t="n"/>
    </row>
    <row r="77">
      <c r="B77" s="14" t="n"/>
      <c r="C77" s="14" t="n"/>
      <c r="D77" s="14" t="n"/>
      <c r="E77" s="14" t="n"/>
      <c r="F77" s="31" t="n"/>
      <c r="G77" s="31" t="n"/>
      <c r="H77" s="26">
        <f>IF(F77="","",F77-N(G77))</f>
        <v/>
      </c>
      <c r="I77" s="12" t="n"/>
      <c r="J77" s="32">
        <f>IF(F77="","",IF(H77&lt;=0,"Paid in full",IF(I77="","Balance due",IF(I77&lt;TODAY(),"Overdue",IF(I77-TODAY()&lt;=30,"Due within 30 days","Scheduled")))))</f>
        <v/>
      </c>
      <c r="K77" s="14" t="n"/>
    </row>
    <row r="78">
      <c r="B78" s="14" t="n"/>
      <c r="C78" s="14" t="n"/>
      <c r="D78" s="14" t="n"/>
      <c r="E78" s="14" t="n"/>
      <c r="F78" s="31" t="n"/>
      <c r="G78" s="31" t="n"/>
      <c r="H78" s="26">
        <f>IF(F78="","",F78-N(G78))</f>
        <v/>
      </c>
      <c r="I78" s="12" t="n"/>
      <c r="J78" s="32">
        <f>IF(F78="","",IF(H78&lt;=0,"Paid in full",IF(I78="","Balance due",IF(I78&lt;TODAY(),"Overdue",IF(I78-TODAY()&lt;=30,"Due within 30 days","Scheduled")))))</f>
        <v/>
      </c>
      <c r="K78" s="14" t="n"/>
    </row>
    <row r="79">
      <c r="B79" s="14" t="n"/>
      <c r="C79" s="14" t="n"/>
      <c r="D79" s="14" t="n"/>
      <c r="E79" s="14" t="n"/>
      <c r="F79" s="31" t="n"/>
      <c r="G79" s="31" t="n"/>
      <c r="H79" s="26">
        <f>IF(F79="","",F79-N(G79))</f>
        <v/>
      </c>
      <c r="I79" s="12" t="n"/>
      <c r="J79" s="32">
        <f>IF(F79="","",IF(H79&lt;=0,"Paid in full",IF(I79="","Balance due",IF(I79&lt;TODAY(),"Overdue",IF(I79-TODAY()&lt;=30,"Due within 30 days","Scheduled")))))</f>
        <v/>
      </c>
      <c r="K79" s="14" t="n"/>
    </row>
    <row r="80">
      <c r="B80" s="14" t="n"/>
      <c r="C80" s="14" t="n"/>
      <c r="D80" s="14" t="n"/>
      <c r="E80" s="14" t="n"/>
      <c r="F80" s="31" t="n"/>
      <c r="G80" s="31" t="n"/>
      <c r="H80" s="26">
        <f>IF(F80="","",F80-N(G80))</f>
        <v/>
      </c>
      <c r="I80" s="12" t="n"/>
      <c r="J80" s="32">
        <f>IF(F80="","",IF(H80&lt;=0,"Paid in full",IF(I80="","Balance due",IF(I80&lt;TODAY(),"Overdue",IF(I80-TODAY()&lt;=30,"Due within 30 days","Scheduled")))))</f>
        <v/>
      </c>
      <c r="K80" s="14" t="n"/>
    </row>
    <row r="81">
      <c r="B81" s="14" t="n"/>
      <c r="C81" s="14" t="n"/>
      <c r="D81" s="14" t="n"/>
      <c r="E81" s="14" t="n"/>
      <c r="F81" s="31" t="n"/>
      <c r="G81" s="31" t="n"/>
      <c r="H81" s="26">
        <f>IF(F81="","",F81-N(G81))</f>
        <v/>
      </c>
      <c r="I81" s="12" t="n"/>
      <c r="J81" s="32">
        <f>IF(F81="","",IF(H81&lt;=0,"Paid in full",IF(I81="","Balance due",IF(I81&lt;TODAY(),"Overdue",IF(I81-TODAY()&lt;=30,"Due within 30 days","Scheduled")))))</f>
        <v/>
      </c>
      <c r="K81" s="14" t="n"/>
    </row>
    <row r="82">
      <c r="B82" s="14" t="n"/>
      <c r="C82" s="14" t="n"/>
      <c r="D82" s="14" t="n"/>
      <c r="E82" s="14" t="n"/>
      <c r="F82" s="31" t="n"/>
      <c r="G82" s="31" t="n"/>
      <c r="H82" s="26">
        <f>IF(F82="","",F82-N(G82))</f>
        <v/>
      </c>
      <c r="I82" s="12" t="n"/>
      <c r="J82" s="32">
        <f>IF(F82="","",IF(H82&lt;=0,"Paid in full",IF(I82="","Balance due",IF(I82&lt;TODAY(),"Overdue",IF(I82-TODAY()&lt;=30,"Due within 30 days","Scheduled")))))</f>
        <v/>
      </c>
      <c r="K82" s="14" t="n"/>
    </row>
    <row r="83">
      <c r="B83" s="14" t="n"/>
      <c r="C83" s="14" t="n"/>
      <c r="D83" s="14" t="n"/>
      <c r="E83" s="14" t="n"/>
      <c r="F83" s="31" t="n"/>
      <c r="G83" s="31" t="n"/>
      <c r="H83" s="26">
        <f>IF(F83="","",F83-N(G83))</f>
        <v/>
      </c>
      <c r="I83" s="12" t="n"/>
      <c r="J83" s="32">
        <f>IF(F83="","",IF(H83&lt;=0,"Paid in full",IF(I83="","Balance due",IF(I83&lt;TODAY(),"Overdue",IF(I83-TODAY()&lt;=30,"Due within 30 days","Scheduled")))))</f>
        <v/>
      </c>
      <c r="K83" s="14" t="n"/>
    </row>
    <row r="84">
      <c r="B84" s="14" t="n"/>
      <c r="C84" s="14" t="n"/>
      <c r="D84" s="14" t="n"/>
      <c r="E84" s="14" t="n"/>
      <c r="F84" s="31" t="n"/>
      <c r="G84" s="31" t="n"/>
      <c r="H84" s="26">
        <f>IF(F84="","",F84-N(G84))</f>
        <v/>
      </c>
      <c r="I84" s="12" t="n"/>
      <c r="J84" s="32">
        <f>IF(F84="","",IF(H84&lt;=0,"Paid in full",IF(I84="","Balance due",IF(I84&lt;TODAY(),"Overdue",IF(I84-TODAY()&lt;=30,"Due within 30 days","Scheduled")))))</f>
        <v/>
      </c>
      <c r="K84" s="14" t="n"/>
    </row>
    <row r="85">
      <c r="B85" s="14" t="n"/>
      <c r="C85" s="14" t="n"/>
      <c r="D85" s="14" t="n"/>
      <c r="E85" s="14" t="n"/>
      <c r="F85" s="31" t="n"/>
      <c r="G85" s="31" t="n"/>
      <c r="H85" s="26">
        <f>IF(F85="","",F85-N(G85))</f>
        <v/>
      </c>
      <c r="I85" s="12" t="n"/>
      <c r="J85" s="32">
        <f>IF(F85="","",IF(H85&lt;=0,"Paid in full",IF(I85="","Balance due",IF(I85&lt;TODAY(),"Overdue",IF(I85-TODAY()&lt;=30,"Due within 30 days","Scheduled")))))</f>
        <v/>
      </c>
      <c r="K85" s="14" t="n"/>
    </row>
    <row r="86">
      <c r="B86" s="14" t="n"/>
      <c r="C86" s="14" t="n"/>
      <c r="D86" s="14" t="n"/>
      <c r="E86" s="14" t="n"/>
      <c r="F86" s="31" t="n"/>
      <c r="G86" s="31" t="n"/>
      <c r="H86" s="26">
        <f>IF(F86="","",F86-N(G86))</f>
        <v/>
      </c>
      <c r="I86" s="12" t="n"/>
      <c r="J86" s="32">
        <f>IF(F86="","",IF(H86&lt;=0,"Paid in full",IF(I86="","Balance due",IF(I86&lt;TODAY(),"Overdue",IF(I86-TODAY()&lt;=30,"Due within 30 days","Scheduled")))))</f>
        <v/>
      </c>
      <c r="K86" s="14" t="n"/>
    </row>
    <row r="87">
      <c r="B87" s="14" t="n"/>
      <c r="C87" s="14" t="n"/>
      <c r="D87" s="14" t="n"/>
      <c r="E87" s="14" t="n"/>
      <c r="F87" s="31" t="n"/>
      <c r="G87" s="31" t="n"/>
      <c r="H87" s="26">
        <f>IF(F87="","",F87-N(G87))</f>
        <v/>
      </c>
      <c r="I87" s="12" t="n"/>
      <c r="J87" s="32">
        <f>IF(F87="","",IF(H87&lt;=0,"Paid in full",IF(I87="","Balance due",IF(I87&lt;TODAY(),"Overdue",IF(I87-TODAY()&lt;=30,"Due within 30 days","Scheduled")))))</f>
        <v/>
      </c>
      <c r="K87" s="14" t="n"/>
    </row>
    <row r="88">
      <c r="B88" s="14" t="n"/>
      <c r="C88" s="14" t="n"/>
      <c r="D88" s="14" t="n"/>
      <c r="E88" s="14" t="n"/>
      <c r="F88" s="31" t="n"/>
      <c r="G88" s="31" t="n"/>
      <c r="H88" s="26">
        <f>IF(F88="","",F88-N(G88))</f>
        <v/>
      </c>
      <c r="I88" s="12" t="n"/>
      <c r="J88" s="32">
        <f>IF(F88="","",IF(H88&lt;=0,"Paid in full",IF(I88="","Balance due",IF(I88&lt;TODAY(),"Overdue",IF(I88-TODAY()&lt;=30,"Due within 30 days","Scheduled")))))</f>
        <v/>
      </c>
      <c r="K88" s="14" t="n"/>
    </row>
    <row r="89">
      <c r="B89" s="14" t="n"/>
      <c r="C89" s="14" t="n"/>
      <c r="D89" s="14" t="n"/>
      <c r="E89" s="14" t="n"/>
      <c r="F89" s="31" t="n"/>
      <c r="G89" s="31" t="n"/>
      <c r="H89" s="26">
        <f>IF(F89="","",F89-N(G89))</f>
        <v/>
      </c>
      <c r="I89" s="12" t="n"/>
      <c r="J89" s="32">
        <f>IF(F89="","",IF(H89&lt;=0,"Paid in full",IF(I89="","Balance due",IF(I89&lt;TODAY(),"Overdue",IF(I89-TODAY()&lt;=30,"Due within 30 days","Scheduled")))))</f>
        <v/>
      </c>
      <c r="K89" s="14" t="n"/>
    </row>
    <row r="90">
      <c r="B90" s="14" t="n"/>
      <c r="C90" s="14" t="n"/>
      <c r="D90" s="14" t="n"/>
      <c r="E90" s="14" t="n"/>
      <c r="F90" s="31" t="n"/>
      <c r="G90" s="31" t="n"/>
      <c r="H90" s="26">
        <f>IF(F90="","",F90-N(G90))</f>
        <v/>
      </c>
      <c r="I90" s="12" t="n"/>
      <c r="J90" s="32">
        <f>IF(F90="","",IF(H90&lt;=0,"Paid in full",IF(I90="","Balance due",IF(I90&lt;TODAY(),"Overdue",IF(I90-TODAY()&lt;=30,"Due within 30 days","Scheduled")))))</f>
        <v/>
      </c>
      <c r="K90" s="14" t="n"/>
    </row>
    <row r="91">
      <c r="B91" s="14" t="n"/>
      <c r="C91" s="14" t="n"/>
      <c r="D91" s="14" t="n"/>
      <c r="E91" s="14" t="n"/>
      <c r="F91" s="31" t="n"/>
      <c r="G91" s="31" t="n"/>
      <c r="H91" s="26">
        <f>IF(F91="","",F91-N(G91))</f>
        <v/>
      </c>
      <c r="I91" s="12" t="n"/>
      <c r="J91" s="32">
        <f>IF(F91="","",IF(H91&lt;=0,"Paid in full",IF(I91="","Balance due",IF(I91&lt;TODAY(),"Overdue",IF(I91-TODAY()&lt;=30,"Due within 30 days","Scheduled")))))</f>
        <v/>
      </c>
      <c r="K91" s="14" t="n"/>
    </row>
    <row r="92">
      <c r="B92" s="14" t="n"/>
      <c r="C92" s="14" t="n"/>
      <c r="D92" s="14" t="n"/>
      <c r="E92" s="14" t="n"/>
      <c r="F92" s="31" t="n"/>
      <c r="G92" s="31" t="n"/>
      <c r="H92" s="26">
        <f>IF(F92="","",F92-N(G92))</f>
        <v/>
      </c>
      <c r="I92" s="12" t="n"/>
      <c r="J92" s="32">
        <f>IF(F92="","",IF(H92&lt;=0,"Paid in full",IF(I92="","Balance due",IF(I92&lt;TODAY(),"Overdue",IF(I92-TODAY()&lt;=30,"Due within 30 days","Scheduled")))))</f>
        <v/>
      </c>
      <c r="K92" s="14" t="n"/>
    </row>
    <row r="93">
      <c r="B93" s="14" t="n"/>
      <c r="C93" s="14" t="n"/>
      <c r="D93" s="14" t="n"/>
      <c r="E93" s="14" t="n"/>
      <c r="F93" s="31" t="n"/>
      <c r="G93" s="31" t="n"/>
      <c r="H93" s="26">
        <f>IF(F93="","",F93-N(G93))</f>
        <v/>
      </c>
      <c r="I93" s="12" t="n"/>
      <c r="J93" s="32">
        <f>IF(F93="","",IF(H93&lt;=0,"Paid in full",IF(I93="","Balance due",IF(I93&lt;TODAY(),"Overdue",IF(I93-TODAY()&lt;=30,"Due within 30 days","Scheduled")))))</f>
        <v/>
      </c>
      <c r="K93" s="14" t="n"/>
    </row>
    <row r="94">
      <c r="B94" s="14" t="n"/>
      <c r="C94" s="14" t="n"/>
      <c r="D94" s="14" t="n"/>
      <c r="E94" s="14" t="n"/>
      <c r="F94" s="31" t="n"/>
      <c r="G94" s="31" t="n"/>
      <c r="H94" s="26">
        <f>IF(F94="","",F94-N(G94))</f>
        <v/>
      </c>
      <c r="I94" s="12" t="n"/>
      <c r="J94" s="32">
        <f>IF(F94="","",IF(H94&lt;=0,"Paid in full",IF(I94="","Balance due",IF(I94&lt;TODAY(),"Overdue",IF(I94-TODAY()&lt;=30,"Due within 30 days","Scheduled")))))</f>
        <v/>
      </c>
      <c r="K94" s="14" t="n"/>
    </row>
    <row r="95">
      <c r="B95" s="14" t="n"/>
      <c r="C95" s="14" t="n"/>
      <c r="D95" s="14" t="n"/>
      <c r="E95" s="14" t="n"/>
      <c r="F95" s="31" t="n"/>
      <c r="G95" s="31" t="n"/>
      <c r="H95" s="26">
        <f>IF(F95="","",F95-N(G95))</f>
        <v/>
      </c>
      <c r="I95" s="12" t="n"/>
      <c r="J95" s="32">
        <f>IF(F95="","",IF(H95&lt;=0,"Paid in full",IF(I95="","Balance due",IF(I95&lt;TODAY(),"Overdue",IF(I95-TODAY()&lt;=30,"Due within 30 days","Scheduled")))))</f>
        <v/>
      </c>
      <c r="K95" s="14" t="n"/>
    </row>
    <row r="96">
      <c r="B96" s="14" t="n"/>
      <c r="C96" s="14" t="n"/>
      <c r="D96" s="14" t="n"/>
      <c r="E96" s="14" t="n"/>
      <c r="F96" s="31" t="n"/>
      <c r="G96" s="31" t="n"/>
      <c r="H96" s="26">
        <f>IF(F96="","",F96-N(G96))</f>
        <v/>
      </c>
      <c r="I96" s="12" t="n"/>
      <c r="J96" s="32">
        <f>IF(F96="","",IF(H96&lt;=0,"Paid in full",IF(I96="","Balance due",IF(I96&lt;TODAY(),"Overdue",IF(I96-TODAY()&lt;=30,"Due within 30 days","Scheduled")))))</f>
        <v/>
      </c>
      <c r="K96" s="14" t="n"/>
    </row>
    <row r="97">
      <c r="B97" s="14" t="n"/>
      <c r="C97" s="14" t="n"/>
      <c r="D97" s="14" t="n"/>
      <c r="E97" s="14" t="n"/>
      <c r="F97" s="31" t="n"/>
      <c r="G97" s="31" t="n"/>
      <c r="H97" s="26">
        <f>IF(F97="","",F97-N(G97))</f>
        <v/>
      </c>
      <c r="I97" s="12" t="n"/>
      <c r="J97" s="32">
        <f>IF(F97="","",IF(H97&lt;=0,"Paid in full",IF(I97="","Balance due",IF(I97&lt;TODAY(),"Overdue",IF(I97-TODAY()&lt;=30,"Due within 30 days","Scheduled")))))</f>
        <v/>
      </c>
      <c r="K97" s="14" t="n"/>
    </row>
    <row r="98">
      <c r="B98" s="14" t="n"/>
      <c r="C98" s="14" t="n"/>
      <c r="D98" s="14" t="n"/>
      <c r="E98" s="14" t="n"/>
      <c r="F98" s="31" t="n"/>
      <c r="G98" s="31" t="n"/>
      <c r="H98" s="26">
        <f>IF(F98="","",F98-N(G98))</f>
        <v/>
      </c>
      <c r="I98" s="12" t="n"/>
      <c r="J98" s="32">
        <f>IF(F98="","",IF(H98&lt;=0,"Paid in full",IF(I98="","Balance due",IF(I98&lt;TODAY(),"Overdue",IF(I98-TODAY()&lt;=30,"Due within 30 days","Scheduled")))))</f>
        <v/>
      </c>
      <c r="K98" s="14" t="n"/>
    </row>
    <row r="99">
      <c r="B99" s="14" t="n"/>
      <c r="C99" s="14" t="n"/>
      <c r="D99" s="14" t="n"/>
      <c r="E99" s="14" t="n"/>
      <c r="F99" s="31" t="n"/>
      <c r="G99" s="31" t="n"/>
      <c r="H99" s="26">
        <f>IF(F99="","",F99-N(G99))</f>
        <v/>
      </c>
      <c r="I99" s="12" t="n"/>
      <c r="J99" s="32">
        <f>IF(F99="","",IF(H99&lt;=0,"Paid in full",IF(I99="","Balance due",IF(I99&lt;TODAY(),"Overdue",IF(I99-TODAY()&lt;=30,"Due within 30 days","Scheduled")))))</f>
        <v/>
      </c>
      <c r="K99" s="14" t="n"/>
    </row>
    <row r="100">
      <c r="B100" s="14" t="n"/>
      <c r="C100" s="14" t="n"/>
      <c r="D100" s="14" t="n"/>
      <c r="E100" s="14" t="n"/>
      <c r="F100" s="31" t="n"/>
      <c r="G100" s="31" t="n"/>
      <c r="H100" s="26">
        <f>IF(F100="","",F100-N(G100))</f>
        <v/>
      </c>
      <c r="I100" s="12" t="n"/>
      <c r="J100" s="32">
        <f>IF(F100="","",IF(H100&lt;=0,"Paid in full",IF(I100="","Balance due",IF(I100&lt;TODAY(),"Overdue",IF(I100-TODAY()&lt;=30,"Due within 30 days","Scheduled")))))</f>
        <v/>
      </c>
      <c r="K100" s="14" t="n"/>
    </row>
    <row r="101">
      <c r="B101" s="14" t="n"/>
      <c r="C101" s="14" t="n"/>
      <c r="D101" s="14" t="n"/>
      <c r="E101" s="14" t="n"/>
      <c r="F101" s="31" t="n"/>
      <c r="G101" s="31" t="n"/>
      <c r="H101" s="26">
        <f>IF(F101="","",F101-N(G101))</f>
        <v/>
      </c>
      <c r="I101" s="12" t="n"/>
      <c r="J101" s="32">
        <f>IF(F101="","",IF(H101&lt;=0,"Paid in full",IF(I101="","Balance due",IF(I101&lt;TODAY(),"Overdue",IF(I101-TODAY()&lt;=30,"Due within 30 days","Scheduled")))))</f>
        <v/>
      </c>
      <c r="K101" s="14" t="n"/>
    </row>
    <row r="102">
      <c r="B102" s="14" t="n"/>
      <c r="C102" s="14" t="n"/>
      <c r="D102" s="14" t="n"/>
      <c r="E102" s="14" t="n"/>
      <c r="F102" s="31" t="n"/>
      <c r="G102" s="31" t="n"/>
      <c r="H102" s="26">
        <f>IF(F102="","",F102-N(G102))</f>
        <v/>
      </c>
      <c r="I102" s="12" t="n"/>
      <c r="J102" s="32">
        <f>IF(F102="","",IF(H102&lt;=0,"Paid in full",IF(I102="","Balance due",IF(I102&lt;TODAY(),"Overdue",IF(I102-TODAY()&lt;=30,"Due within 30 days","Scheduled")))))</f>
        <v/>
      </c>
      <c r="K102" s="14" t="n"/>
    </row>
    <row r="103">
      <c r="B103" s="14" t="n"/>
      <c r="C103" s="14" t="n"/>
      <c r="D103" s="14" t="n"/>
      <c r="E103" s="14" t="n"/>
      <c r="F103" s="31" t="n"/>
      <c r="G103" s="31" t="n"/>
      <c r="H103" s="26">
        <f>IF(F103="","",F103-N(G103))</f>
        <v/>
      </c>
      <c r="I103" s="12" t="n"/>
      <c r="J103" s="32">
        <f>IF(F103="","",IF(H103&lt;=0,"Paid in full",IF(I103="","Balance due",IF(I103&lt;TODAY(),"Overdue",IF(I103-TODAY()&lt;=30,"Due within 30 days","Scheduled")))))</f>
        <v/>
      </c>
      <c r="K103" s="14" t="n"/>
    </row>
    <row r="104">
      <c r="B104" s="14" t="n"/>
      <c r="C104" s="14" t="n"/>
      <c r="D104" s="14" t="n"/>
      <c r="E104" s="14" t="n"/>
      <c r="F104" s="31" t="n"/>
      <c r="G104" s="31" t="n"/>
      <c r="H104" s="26">
        <f>IF(F104="","",F104-N(G104))</f>
        <v/>
      </c>
      <c r="I104" s="12" t="n"/>
      <c r="J104" s="32">
        <f>IF(F104="","",IF(H104&lt;=0,"Paid in full",IF(I104="","Balance due",IF(I104&lt;TODAY(),"Overdue",IF(I104-TODAY()&lt;=30,"Due within 30 days","Scheduled")))))</f>
        <v/>
      </c>
      <c r="K104" s="14" t="n"/>
    </row>
    <row r="105">
      <c r="B105" s="14" t="n"/>
      <c r="C105" s="14" t="n"/>
      <c r="D105" s="14" t="n"/>
      <c r="E105" s="14" t="n"/>
      <c r="F105" s="31" t="n"/>
      <c r="G105" s="31" t="n"/>
      <c r="H105" s="26">
        <f>IF(F105="","",F105-N(G105))</f>
        <v/>
      </c>
      <c r="I105" s="12" t="n"/>
      <c r="J105" s="32">
        <f>IF(F105="","",IF(H105&lt;=0,"Paid in full",IF(I105="","Balance due",IF(I105&lt;TODAY(),"Overdue",IF(I105-TODAY()&lt;=30,"Due within 30 days","Scheduled")))))</f>
        <v/>
      </c>
      <c r="K105" s="14" t="n"/>
    </row>
    <row r="106">
      <c r="B106" s="14" t="n"/>
      <c r="C106" s="14" t="n"/>
      <c r="D106" s="14" t="n"/>
      <c r="E106" s="14" t="n"/>
      <c r="F106" s="31" t="n"/>
      <c r="G106" s="31" t="n"/>
      <c r="H106" s="26">
        <f>IF(F106="","",F106-N(G106))</f>
        <v/>
      </c>
      <c r="I106" s="12" t="n"/>
      <c r="J106" s="32">
        <f>IF(F106="","",IF(H106&lt;=0,"Paid in full",IF(I106="","Balance due",IF(I106&lt;TODAY(),"Overdue",IF(I106-TODAY()&lt;=30,"Due within 30 days","Scheduled")))))</f>
        <v/>
      </c>
      <c r="K106" s="14" t="n"/>
    </row>
    <row r="107">
      <c r="B107" s="14" t="n"/>
      <c r="C107" s="14" t="n"/>
      <c r="D107" s="14" t="n"/>
      <c r="E107" s="14" t="n"/>
      <c r="F107" s="31" t="n"/>
      <c r="G107" s="31" t="n"/>
      <c r="H107" s="26">
        <f>IF(F107="","",F107-N(G107))</f>
        <v/>
      </c>
      <c r="I107" s="12" t="n"/>
      <c r="J107" s="32">
        <f>IF(F107="","",IF(H107&lt;=0,"Paid in full",IF(I107="","Balance due",IF(I107&lt;TODAY(),"Overdue",IF(I107-TODAY()&lt;=30,"Due within 30 days","Scheduled")))))</f>
        <v/>
      </c>
      <c r="K107" s="14" t="n"/>
    </row>
    <row r="108">
      <c r="B108" s="14" t="n"/>
      <c r="C108" s="14" t="n"/>
      <c r="D108" s="14" t="n"/>
      <c r="E108" s="14" t="n"/>
      <c r="F108" s="31" t="n"/>
      <c r="G108" s="31" t="n"/>
      <c r="H108" s="26">
        <f>IF(F108="","",F108-N(G108))</f>
        <v/>
      </c>
      <c r="I108" s="12" t="n"/>
      <c r="J108" s="32">
        <f>IF(F108="","",IF(H108&lt;=0,"Paid in full",IF(I108="","Balance due",IF(I108&lt;TODAY(),"Overdue",IF(I108-TODAY()&lt;=30,"Due within 30 days","Scheduled")))))</f>
        <v/>
      </c>
      <c r="K108" s="14" t="n"/>
    </row>
    <row r="109">
      <c r="B109" s="14" t="n"/>
      <c r="C109" s="14" t="n"/>
      <c r="D109" s="14" t="n"/>
      <c r="E109" s="14" t="n"/>
      <c r="F109" s="31" t="n"/>
      <c r="G109" s="31" t="n"/>
      <c r="H109" s="26">
        <f>IF(F109="","",F109-N(G109))</f>
        <v/>
      </c>
      <c r="I109" s="12" t="n"/>
      <c r="J109" s="32">
        <f>IF(F109="","",IF(H109&lt;=0,"Paid in full",IF(I109="","Balance due",IF(I109&lt;TODAY(),"Overdue",IF(I109-TODAY()&lt;=30,"Due within 30 days","Scheduled")))))</f>
        <v/>
      </c>
      <c r="K109" s="14" t="n"/>
    </row>
    <row r="110">
      <c r="B110" s="14" t="n"/>
      <c r="C110" s="14" t="n"/>
      <c r="D110" s="14" t="n"/>
      <c r="E110" s="14" t="n"/>
      <c r="F110" s="31" t="n"/>
      <c r="G110" s="31" t="n"/>
      <c r="H110" s="26">
        <f>IF(F110="","",F110-N(G110))</f>
        <v/>
      </c>
      <c r="I110" s="12" t="n"/>
      <c r="J110" s="32">
        <f>IF(F110="","",IF(H110&lt;=0,"Paid in full",IF(I110="","Balance due",IF(I110&lt;TODAY(),"Overdue",IF(I110-TODAY()&lt;=30,"Due within 30 days","Scheduled")))))</f>
        <v/>
      </c>
      <c r="K110" s="14" t="n"/>
    </row>
    <row r="111">
      <c r="B111" s="14" t="n"/>
      <c r="C111" s="14" t="n"/>
      <c r="D111" s="14" t="n"/>
      <c r="E111" s="14" t="n"/>
      <c r="F111" s="31" t="n"/>
      <c r="G111" s="31" t="n"/>
      <c r="H111" s="26">
        <f>IF(F111="","",F111-N(G111))</f>
        <v/>
      </c>
      <c r="I111" s="12" t="n"/>
      <c r="J111" s="32">
        <f>IF(F111="","",IF(H111&lt;=0,"Paid in full",IF(I111="","Balance due",IF(I111&lt;TODAY(),"Overdue",IF(I111-TODAY()&lt;=30,"Due within 30 days","Scheduled")))))</f>
        <v/>
      </c>
      <c r="K111" s="14" t="n"/>
    </row>
    <row r="112">
      <c r="B112" s="14" t="n"/>
      <c r="C112" s="14" t="n"/>
      <c r="D112" s="14" t="n"/>
      <c r="E112" s="14" t="n"/>
      <c r="F112" s="31" t="n"/>
      <c r="G112" s="31" t="n"/>
      <c r="H112" s="26">
        <f>IF(F112="","",F112-N(G112))</f>
        <v/>
      </c>
      <c r="I112" s="12" t="n"/>
      <c r="J112" s="32">
        <f>IF(F112="","",IF(H112&lt;=0,"Paid in full",IF(I112="","Balance due",IF(I112&lt;TODAY(),"Overdue",IF(I112-TODAY()&lt;=30,"Due within 30 days","Scheduled")))))</f>
        <v/>
      </c>
      <c r="K112" s="14" t="n"/>
    </row>
    <row r="113">
      <c r="B113" s="14" t="n"/>
      <c r="C113" s="14" t="n"/>
      <c r="D113" s="14" t="n"/>
      <c r="E113" s="14" t="n"/>
      <c r="F113" s="31" t="n"/>
      <c r="G113" s="31" t="n"/>
      <c r="H113" s="26">
        <f>IF(F113="","",F113-N(G113))</f>
        <v/>
      </c>
      <c r="I113" s="12" t="n"/>
      <c r="J113" s="32">
        <f>IF(F113="","",IF(H113&lt;=0,"Paid in full",IF(I113="","Balance due",IF(I113&lt;TODAY(),"Overdue",IF(I113-TODAY()&lt;=30,"Due within 30 days","Scheduled")))))</f>
        <v/>
      </c>
      <c r="K113" s="14" t="n"/>
    </row>
    <row r="114">
      <c r="B114" s="14" t="n"/>
      <c r="C114" s="14" t="n"/>
      <c r="D114" s="14" t="n"/>
      <c r="E114" s="14" t="n"/>
      <c r="F114" s="31" t="n"/>
      <c r="G114" s="31" t="n"/>
      <c r="H114" s="26">
        <f>IF(F114="","",F114-N(G114))</f>
        <v/>
      </c>
      <c r="I114" s="12" t="n"/>
      <c r="J114" s="32">
        <f>IF(F114="","",IF(H114&lt;=0,"Paid in full",IF(I114="","Balance due",IF(I114&lt;TODAY(),"Overdue",IF(I114-TODAY()&lt;=30,"Due within 30 days","Scheduled")))))</f>
        <v/>
      </c>
      <c r="K114" s="14" t="n"/>
    </row>
    <row r="115">
      <c r="B115" s="14" t="n"/>
      <c r="C115" s="14" t="n"/>
      <c r="D115" s="14" t="n"/>
      <c r="E115" s="14" t="n"/>
      <c r="F115" s="31" t="n"/>
      <c r="G115" s="31" t="n"/>
      <c r="H115" s="26">
        <f>IF(F115="","",F115-N(G115))</f>
        <v/>
      </c>
      <c r="I115" s="12" t="n"/>
      <c r="J115" s="32">
        <f>IF(F115="","",IF(H115&lt;=0,"Paid in full",IF(I115="","Balance due",IF(I115&lt;TODAY(),"Overdue",IF(I115-TODAY()&lt;=30,"Due within 30 days","Scheduled")))))</f>
        <v/>
      </c>
      <c r="K115" s="14" t="n"/>
    </row>
    <row r="116">
      <c r="B116" s="14" t="n"/>
      <c r="C116" s="14" t="n"/>
      <c r="D116" s="14" t="n"/>
      <c r="E116" s="14" t="n"/>
      <c r="F116" s="31" t="n"/>
      <c r="G116" s="31" t="n"/>
      <c r="H116" s="26">
        <f>IF(F116="","",F116-N(G116))</f>
        <v/>
      </c>
      <c r="I116" s="12" t="n"/>
      <c r="J116" s="32">
        <f>IF(F116="","",IF(H116&lt;=0,"Paid in full",IF(I116="","Balance due",IF(I116&lt;TODAY(),"Overdue",IF(I116-TODAY()&lt;=30,"Due within 30 days","Scheduled")))))</f>
        <v/>
      </c>
      <c r="K116" s="14" t="n"/>
    </row>
    <row r="117">
      <c r="B117" s="14" t="n"/>
      <c r="C117" s="14" t="n"/>
      <c r="D117" s="14" t="n"/>
      <c r="E117" s="14" t="n"/>
      <c r="F117" s="31" t="n"/>
      <c r="G117" s="31" t="n"/>
      <c r="H117" s="26">
        <f>IF(F117="","",F117-N(G117))</f>
        <v/>
      </c>
      <c r="I117" s="12" t="n"/>
      <c r="J117" s="32">
        <f>IF(F117="","",IF(H117&lt;=0,"Paid in full",IF(I117="","Balance due",IF(I117&lt;TODAY(),"Overdue",IF(I117-TODAY()&lt;=30,"Due within 30 days","Scheduled")))))</f>
        <v/>
      </c>
      <c r="K117" s="14" t="n"/>
    </row>
    <row r="118">
      <c r="B118" s="14" t="n"/>
      <c r="C118" s="14" t="n"/>
      <c r="D118" s="14" t="n"/>
      <c r="E118" s="14" t="n"/>
      <c r="F118" s="31" t="n"/>
      <c r="G118" s="31" t="n"/>
      <c r="H118" s="26">
        <f>IF(F118="","",F118-N(G118))</f>
        <v/>
      </c>
      <c r="I118" s="12" t="n"/>
      <c r="J118" s="32">
        <f>IF(F118="","",IF(H118&lt;=0,"Paid in full",IF(I118="","Balance due",IF(I118&lt;TODAY(),"Overdue",IF(I118-TODAY()&lt;=30,"Due within 30 days","Scheduled")))))</f>
        <v/>
      </c>
      <c r="K118" s="14" t="n"/>
    </row>
    <row r="119">
      <c r="B119" s="14" t="n"/>
      <c r="C119" s="14" t="n"/>
      <c r="D119" s="14" t="n"/>
      <c r="E119" s="14" t="n"/>
      <c r="F119" s="31" t="n"/>
      <c r="G119" s="31" t="n"/>
      <c r="H119" s="26">
        <f>IF(F119="","",F119-N(G119))</f>
        <v/>
      </c>
      <c r="I119" s="12" t="n"/>
      <c r="J119" s="32">
        <f>IF(F119="","",IF(H119&lt;=0,"Paid in full",IF(I119="","Balance due",IF(I119&lt;TODAY(),"Overdue",IF(I119-TODAY()&lt;=30,"Due within 30 days","Scheduled")))))</f>
        <v/>
      </c>
      <c r="K119" s="14" t="n"/>
    </row>
    <row r="120">
      <c r="B120" s="14" t="n"/>
      <c r="C120" s="14" t="n"/>
      <c r="D120" s="14" t="n"/>
      <c r="E120" s="14" t="n"/>
      <c r="F120" s="31" t="n"/>
      <c r="G120" s="31" t="n"/>
      <c r="H120" s="26">
        <f>IF(F120="","",F120-N(G120))</f>
        <v/>
      </c>
      <c r="I120" s="12" t="n"/>
      <c r="J120" s="32">
        <f>IF(F120="","",IF(H120&lt;=0,"Paid in full",IF(I120="","Balance due",IF(I120&lt;TODAY(),"Overdue",IF(I120-TODAY()&lt;=30,"Due within 30 days","Scheduled")))))</f>
        <v/>
      </c>
      <c r="K120" s="14" t="n"/>
    </row>
    <row r="121">
      <c r="B121" s="14" t="n"/>
      <c r="C121" s="14" t="n"/>
      <c r="D121" s="14" t="n"/>
      <c r="E121" s="14" t="n"/>
      <c r="F121" s="31" t="n"/>
      <c r="G121" s="31" t="n"/>
      <c r="H121" s="26">
        <f>IF(F121="","",F121-N(G121))</f>
        <v/>
      </c>
      <c r="I121" s="12" t="n"/>
      <c r="J121" s="32">
        <f>IF(F121="","",IF(H121&lt;=0,"Paid in full",IF(I121="","Balance due",IF(I121&lt;TODAY(),"Overdue",IF(I121-TODAY()&lt;=30,"Due within 30 days","Scheduled")))))</f>
        <v/>
      </c>
      <c r="K121" s="14" t="n"/>
    </row>
    <row r="122">
      <c r="B122" s="14" t="n"/>
      <c r="C122" s="14" t="n"/>
      <c r="D122" s="14" t="n"/>
      <c r="E122" s="14" t="n"/>
      <c r="F122" s="31" t="n"/>
      <c r="G122" s="31" t="n"/>
      <c r="H122" s="26">
        <f>IF(F122="","",F122-N(G122))</f>
        <v/>
      </c>
      <c r="I122" s="12" t="n"/>
      <c r="J122" s="32">
        <f>IF(F122="","",IF(H122&lt;=0,"Paid in full",IF(I122="","Balance due",IF(I122&lt;TODAY(),"Overdue",IF(I122-TODAY()&lt;=30,"Due within 30 days","Scheduled")))))</f>
        <v/>
      </c>
      <c r="K122" s="14" t="n"/>
    </row>
    <row r="123">
      <c r="B123" s="14" t="n"/>
      <c r="C123" s="14" t="n"/>
      <c r="D123" s="14" t="n"/>
      <c r="E123" s="14" t="n"/>
      <c r="F123" s="31" t="n"/>
      <c r="G123" s="31" t="n"/>
      <c r="H123" s="26">
        <f>IF(F123="","",F123-N(G123))</f>
        <v/>
      </c>
      <c r="I123" s="12" t="n"/>
      <c r="J123" s="32">
        <f>IF(F123="","",IF(H123&lt;=0,"Paid in full",IF(I123="","Balance due",IF(I123&lt;TODAY(),"Overdue",IF(I123-TODAY()&lt;=30,"Due within 30 days","Scheduled")))))</f>
        <v/>
      </c>
      <c r="K123" s="14" t="n"/>
    </row>
    <row r="124">
      <c r="B124" s="14" t="n"/>
      <c r="C124" s="14" t="n"/>
      <c r="D124" s="14" t="n"/>
      <c r="E124" s="14" t="n"/>
      <c r="F124" s="31" t="n"/>
      <c r="G124" s="31" t="n"/>
      <c r="H124" s="26">
        <f>IF(F124="","",F124-N(G124))</f>
        <v/>
      </c>
      <c r="I124" s="12" t="n"/>
      <c r="J124" s="32">
        <f>IF(F124="","",IF(H124&lt;=0,"Paid in full",IF(I124="","Balance due",IF(I124&lt;TODAY(),"Overdue",IF(I124-TODAY()&lt;=30,"Due within 30 days","Scheduled")))))</f>
        <v/>
      </c>
      <c r="K124" s="14" t="n"/>
    </row>
    <row r="125">
      <c r="B125" s="14" t="n"/>
      <c r="C125" s="14" t="n"/>
      <c r="D125" s="14" t="n"/>
      <c r="E125" s="14" t="n"/>
      <c r="F125" s="31" t="n"/>
      <c r="G125" s="31" t="n"/>
      <c r="H125" s="26">
        <f>IF(F125="","",F125-N(G125))</f>
        <v/>
      </c>
      <c r="I125" s="12" t="n"/>
      <c r="J125" s="32">
        <f>IF(F125="","",IF(H125&lt;=0,"Paid in full",IF(I125="","Balance due",IF(I125&lt;TODAY(),"Overdue",IF(I125-TODAY()&lt;=30,"Due within 30 days","Scheduled")))))</f>
        <v/>
      </c>
      <c r="K125" s="14" t="n"/>
    </row>
    <row r="126">
      <c r="B126" s="14" t="n"/>
      <c r="C126" s="14" t="n"/>
      <c r="D126" s="14" t="n"/>
      <c r="E126" s="14" t="n"/>
      <c r="F126" s="31" t="n"/>
      <c r="G126" s="31" t="n"/>
      <c r="H126" s="26">
        <f>IF(F126="","",F126-N(G126))</f>
        <v/>
      </c>
      <c r="I126" s="12" t="n"/>
      <c r="J126" s="32">
        <f>IF(F126="","",IF(H126&lt;=0,"Paid in full",IF(I126="","Balance due",IF(I126&lt;TODAY(),"Overdue",IF(I126-TODAY()&lt;=30,"Due within 30 days","Scheduled")))))</f>
        <v/>
      </c>
      <c r="K126" s="14" t="n"/>
    </row>
    <row r="127">
      <c r="B127" s="14" t="n"/>
      <c r="C127" s="14" t="n"/>
      <c r="D127" s="14" t="n"/>
      <c r="E127" s="14" t="n"/>
      <c r="F127" s="31" t="n"/>
      <c r="G127" s="31" t="n"/>
      <c r="H127" s="26">
        <f>IF(F127="","",F127-N(G127))</f>
        <v/>
      </c>
      <c r="I127" s="12" t="n"/>
      <c r="J127" s="32">
        <f>IF(F127="","",IF(H127&lt;=0,"Paid in full",IF(I127="","Balance due",IF(I127&lt;TODAY(),"Overdue",IF(I127-TODAY()&lt;=30,"Due within 30 days","Scheduled")))))</f>
        <v/>
      </c>
      <c r="K127" s="14" t="n"/>
    </row>
    <row r="128">
      <c r="B128" s="14" t="n"/>
      <c r="C128" s="14" t="n"/>
      <c r="D128" s="14" t="n"/>
      <c r="E128" s="14" t="n"/>
      <c r="F128" s="31" t="n"/>
      <c r="G128" s="31" t="n"/>
      <c r="H128" s="26">
        <f>IF(F128="","",F128-N(G128))</f>
        <v/>
      </c>
      <c r="I128" s="12" t="n"/>
      <c r="J128" s="32">
        <f>IF(F128="","",IF(H128&lt;=0,"Paid in full",IF(I128="","Balance due",IF(I128&lt;TODAY(),"Overdue",IF(I128-TODAY()&lt;=30,"Due within 30 days","Scheduled")))))</f>
        <v/>
      </c>
      <c r="K128" s="14" t="n"/>
    </row>
    <row r="129">
      <c r="B129" s="14" t="n"/>
      <c r="C129" s="14" t="n"/>
      <c r="D129" s="14" t="n"/>
      <c r="E129" s="14" t="n"/>
      <c r="F129" s="31" t="n"/>
      <c r="G129" s="31" t="n"/>
      <c r="H129" s="26">
        <f>IF(F129="","",F129-N(G129))</f>
        <v/>
      </c>
      <c r="I129" s="12" t="n"/>
      <c r="J129" s="32">
        <f>IF(F129="","",IF(H129&lt;=0,"Paid in full",IF(I129="","Balance due",IF(I129&lt;TODAY(),"Overdue",IF(I129-TODAY()&lt;=30,"Due within 30 days","Scheduled")))))</f>
        <v/>
      </c>
      <c r="K129" s="14" t="n"/>
    </row>
    <row r="130">
      <c r="B130" s="14" t="n"/>
      <c r="C130" s="14" t="n"/>
      <c r="D130" s="14" t="n"/>
      <c r="E130" s="14" t="n"/>
      <c r="F130" s="31" t="n"/>
      <c r="G130" s="31" t="n"/>
      <c r="H130" s="26">
        <f>IF(F130="","",F130-N(G130))</f>
        <v/>
      </c>
      <c r="I130" s="12" t="n"/>
      <c r="J130" s="32">
        <f>IF(F130="","",IF(H130&lt;=0,"Paid in full",IF(I130="","Balance due",IF(I130&lt;TODAY(),"Overdue",IF(I130-TODAY()&lt;=30,"Due within 30 days","Scheduled")))))</f>
        <v/>
      </c>
      <c r="K130" s="14" t="n"/>
    </row>
    <row r="131">
      <c r="B131" s="14" t="n"/>
      <c r="C131" s="14" t="n"/>
      <c r="D131" s="14" t="n"/>
      <c r="E131" s="14" t="n"/>
      <c r="F131" s="31" t="n"/>
      <c r="G131" s="31" t="n"/>
      <c r="H131" s="26">
        <f>IF(F131="","",F131-N(G131))</f>
        <v/>
      </c>
      <c r="I131" s="12" t="n"/>
      <c r="J131" s="32">
        <f>IF(F131="","",IF(H131&lt;=0,"Paid in full",IF(I131="","Balance due",IF(I131&lt;TODAY(),"Overdue",IF(I131-TODAY()&lt;=30,"Due within 30 days","Scheduled")))))</f>
        <v/>
      </c>
      <c r="K131" s="14" t="n"/>
    </row>
    <row r="132">
      <c r="B132" s="14" t="n"/>
      <c r="C132" s="14" t="n"/>
      <c r="D132" s="14" t="n"/>
      <c r="E132" s="14" t="n"/>
      <c r="F132" s="31" t="n"/>
      <c r="G132" s="31" t="n"/>
      <c r="H132" s="26">
        <f>IF(F132="","",F132-N(G132))</f>
        <v/>
      </c>
      <c r="I132" s="12" t="n"/>
      <c r="J132" s="32">
        <f>IF(F132="","",IF(H132&lt;=0,"Paid in full",IF(I132="","Balance due",IF(I132&lt;TODAY(),"Overdue",IF(I132-TODAY()&lt;=30,"Due within 30 days","Scheduled")))))</f>
        <v/>
      </c>
      <c r="K132" s="14" t="n"/>
    </row>
    <row r="133">
      <c r="B133" s="14" t="n"/>
      <c r="C133" s="14" t="n"/>
      <c r="D133" s="14" t="n"/>
      <c r="E133" s="14" t="n"/>
      <c r="F133" s="31" t="n"/>
      <c r="G133" s="31" t="n"/>
      <c r="H133" s="26">
        <f>IF(F133="","",F133-N(G133))</f>
        <v/>
      </c>
      <c r="I133" s="12" t="n"/>
      <c r="J133" s="32">
        <f>IF(F133="","",IF(H133&lt;=0,"Paid in full",IF(I133="","Balance due",IF(I133&lt;TODAY(),"Overdue",IF(I133-TODAY()&lt;=30,"Due within 30 days","Scheduled")))))</f>
        <v/>
      </c>
      <c r="K133" s="14" t="n"/>
    </row>
    <row r="134">
      <c r="B134" s="14" t="n"/>
      <c r="C134" s="14" t="n"/>
      <c r="D134" s="14" t="n"/>
      <c r="E134" s="14" t="n"/>
      <c r="F134" s="31" t="n"/>
      <c r="G134" s="31" t="n"/>
      <c r="H134" s="26">
        <f>IF(F134="","",F134-N(G134))</f>
        <v/>
      </c>
      <c r="I134" s="12" t="n"/>
      <c r="J134" s="32">
        <f>IF(F134="","",IF(H134&lt;=0,"Paid in full",IF(I134="","Balance due",IF(I134&lt;TODAY(),"Overdue",IF(I134-TODAY()&lt;=30,"Due within 30 days","Scheduled")))))</f>
        <v/>
      </c>
      <c r="K134" s="14" t="n"/>
    </row>
    <row r="135">
      <c r="B135" s="14" t="n"/>
      <c r="C135" s="14" t="n"/>
      <c r="D135" s="14" t="n"/>
      <c r="E135" s="14" t="n"/>
      <c r="F135" s="31" t="n"/>
      <c r="G135" s="31" t="n"/>
      <c r="H135" s="26">
        <f>IF(F135="","",F135-N(G135))</f>
        <v/>
      </c>
      <c r="I135" s="12" t="n"/>
      <c r="J135" s="32">
        <f>IF(F135="","",IF(H135&lt;=0,"Paid in full",IF(I135="","Balance due",IF(I135&lt;TODAY(),"Overdue",IF(I135-TODAY()&lt;=30,"Due within 30 days","Scheduled")))))</f>
        <v/>
      </c>
      <c r="K135" s="14" t="n"/>
    </row>
    <row r="136">
      <c r="B136" s="14" t="n"/>
      <c r="C136" s="14" t="n"/>
      <c r="D136" s="14" t="n"/>
      <c r="E136" s="14" t="n"/>
      <c r="F136" s="31" t="n"/>
      <c r="G136" s="31" t="n"/>
      <c r="H136" s="26">
        <f>IF(F136="","",F136-N(G136))</f>
        <v/>
      </c>
      <c r="I136" s="12" t="n"/>
      <c r="J136" s="32">
        <f>IF(F136="","",IF(H136&lt;=0,"Paid in full",IF(I136="","Balance due",IF(I136&lt;TODAY(),"Overdue",IF(I136-TODAY()&lt;=30,"Due within 30 days","Scheduled")))))</f>
        <v/>
      </c>
      <c r="K136" s="14" t="n"/>
    </row>
    <row r="137">
      <c r="B137" s="14" t="n"/>
      <c r="C137" s="14" t="n"/>
      <c r="D137" s="14" t="n"/>
      <c r="E137" s="14" t="n"/>
      <c r="F137" s="31" t="n"/>
      <c r="G137" s="31" t="n"/>
      <c r="H137" s="26">
        <f>IF(F137="","",F137-N(G137))</f>
        <v/>
      </c>
      <c r="I137" s="12" t="n"/>
      <c r="J137" s="32">
        <f>IF(F137="","",IF(H137&lt;=0,"Paid in full",IF(I137="","Balance due",IF(I137&lt;TODAY(),"Overdue",IF(I137-TODAY()&lt;=30,"Due within 30 days","Scheduled")))))</f>
        <v/>
      </c>
      <c r="K137" s="14" t="n"/>
    </row>
    <row r="138">
      <c r="B138" s="14" t="n"/>
      <c r="C138" s="14" t="n"/>
      <c r="D138" s="14" t="n"/>
      <c r="E138" s="14" t="n"/>
      <c r="F138" s="31" t="n"/>
      <c r="G138" s="31" t="n"/>
      <c r="H138" s="26">
        <f>IF(F138="","",F138-N(G138))</f>
        <v/>
      </c>
      <c r="I138" s="12" t="n"/>
      <c r="J138" s="32">
        <f>IF(F138="","",IF(H138&lt;=0,"Paid in full",IF(I138="","Balance due",IF(I138&lt;TODAY(),"Overdue",IF(I138-TODAY()&lt;=30,"Due within 30 days","Scheduled")))))</f>
        <v/>
      </c>
      <c r="K138" s="14" t="n"/>
    </row>
    <row r="139">
      <c r="B139" s="14" t="n"/>
      <c r="C139" s="14" t="n"/>
      <c r="D139" s="14" t="n"/>
      <c r="E139" s="14" t="n"/>
      <c r="F139" s="31" t="n"/>
      <c r="G139" s="31" t="n"/>
      <c r="H139" s="26">
        <f>IF(F139="","",F139-N(G139))</f>
        <v/>
      </c>
      <c r="I139" s="12" t="n"/>
      <c r="J139" s="32">
        <f>IF(F139="","",IF(H139&lt;=0,"Paid in full",IF(I139="","Balance due",IF(I139&lt;TODAY(),"Overdue",IF(I139-TODAY()&lt;=30,"Due within 30 days","Scheduled")))))</f>
        <v/>
      </c>
      <c r="K139" s="14" t="n"/>
    </row>
    <row r="140">
      <c r="B140" s="14" t="n"/>
      <c r="C140" s="14" t="n"/>
      <c r="D140" s="14" t="n"/>
      <c r="E140" s="14" t="n"/>
      <c r="F140" s="31" t="n"/>
      <c r="G140" s="31" t="n"/>
      <c r="H140" s="26">
        <f>IF(F140="","",F140-N(G140))</f>
        <v/>
      </c>
      <c r="I140" s="12" t="n"/>
      <c r="J140" s="32">
        <f>IF(F140="","",IF(H140&lt;=0,"Paid in full",IF(I140="","Balance due",IF(I140&lt;TODAY(),"Overdue",IF(I140-TODAY()&lt;=30,"Due within 30 days","Scheduled")))))</f>
        <v/>
      </c>
      <c r="K140" s="14" t="n"/>
    </row>
    <row r="141">
      <c r="B141" s="14" t="n"/>
      <c r="C141" s="14" t="n"/>
      <c r="D141" s="14" t="n"/>
      <c r="E141" s="14" t="n"/>
      <c r="F141" s="31" t="n"/>
      <c r="G141" s="31" t="n"/>
      <c r="H141" s="26">
        <f>IF(F141="","",F141-N(G141))</f>
        <v/>
      </c>
      <c r="I141" s="12" t="n"/>
      <c r="J141" s="32">
        <f>IF(F141="","",IF(H141&lt;=0,"Paid in full",IF(I141="","Balance due",IF(I141&lt;TODAY(),"Overdue",IF(I141-TODAY()&lt;=30,"Due within 30 days","Scheduled")))))</f>
        <v/>
      </c>
      <c r="K141" s="14" t="n"/>
    </row>
    <row r="142">
      <c r="B142" s="14" t="n"/>
      <c r="C142" s="14" t="n"/>
      <c r="D142" s="14" t="n"/>
      <c r="E142" s="14" t="n"/>
      <c r="F142" s="31" t="n"/>
      <c r="G142" s="31" t="n"/>
      <c r="H142" s="26">
        <f>IF(F142="","",F142-N(G142))</f>
        <v/>
      </c>
      <c r="I142" s="12" t="n"/>
      <c r="J142" s="32">
        <f>IF(F142="","",IF(H142&lt;=0,"Paid in full",IF(I142="","Balance due",IF(I142&lt;TODAY(),"Overdue",IF(I142-TODAY()&lt;=30,"Due within 30 days","Scheduled")))))</f>
        <v/>
      </c>
      <c r="K142" s="14" t="n"/>
    </row>
    <row r="143">
      <c r="B143" s="14" t="n"/>
      <c r="C143" s="14" t="n"/>
      <c r="D143" s="14" t="n"/>
      <c r="E143" s="14" t="n"/>
      <c r="F143" s="31" t="n"/>
      <c r="G143" s="31" t="n"/>
      <c r="H143" s="26">
        <f>IF(F143="","",F143-N(G143))</f>
        <v/>
      </c>
      <c r="I143" s="12" t="n"/>
      <c r="J143" s="32">
        <f>IF(F143="","",IF(H143&lt;=0,"Paid in full",IF(I143="","Balance due",IF(I143&lt;TODAY(),"Overdue",IF(I143-TODAY()&lt;=30,"Due within 30 days","Scheduled")))))</f>
        <v/>
      </c>
      <c r="K143" s="14" t="n"/>
    </row>
    <row r="144">
      <c r="B144" s="14" t="n"/>
      <c r="C144" s="14" t="n"/>
      <c r="D144" s="14" t="n"/>
      <c r="E144" s="14" t="n"/>
      <c r="F144" s="31" t="n"/>
      <c r="G144" s="31" t="n"/>
      <c r="H144" s="26">
        <f>IF(F144="","",F144-N(G144))</f>
        <v/>
      </c>
      <c r="I144" s="12" t="n"/>
      <c r="J144" s="32">
        <f>IF(F144="","",IF(H144&lt;=0,"Paid in full",IF(I144="","Balance due",IF(I144&lt;TODAY(),"Overdue",IF(I144-TODAY()&lt;=30,"Due within 30 days","Scheduled")))))</f>
        <v/>
      </c>
      <c r="K144" s="14" t="n"/>
    </row>
    <row r="145">
      <c r="B145" s="14" t="n"/>
      <c r="C145" s="14" t="n"/>
      <c r="D145" s="14" t="n"/>
      <c r="E145" s="14" t="n"/>
      <c r="F145" s="31" t="n"/>
      <c r="G145" s="31" t="n"/>
      <c r="H145" s="26">
        <f>IF(F145="","",F145-N(G145))</f>
        <v/>
      </c>
      <c r="I145" s="12" t="n"/>
      <c r="J145" s="32">
        <f>IF(F145="","",IF(H145&lt;=0,"Paid in full",IF(I145="","Balance due",IF(I145&lt;TODAY(),"Overdue",IF(I145-TODAY()&lt;=30,"Due within 30 days","Scheduled")))))</f>
        <v/>
      </c>
      <c r="K145" s="14" t="n"/>
    </row>
    <row r="146">
      <c r="B146" s="14" t="n"/>
      <c r="C146" s="14" t="n"/>
      <c r="D146" s="14" t="n"/>
      <c r="E146" s="14" t="n"/>
      <c r="F146" s="31" t="n"/>
      <c r="G146" s="31" t="n"/>
      <c r="H146" s="26">
        <f>IF(F146="","",F146-N(G146))</f>
        <v/>
      </c>
      <c r="I146" s="12" t="n"/>
      <c r="J146" s="32">
        <f>IF(F146="","",IF(H146&lt;=0,"Paid in full",IF(I146="","Balance due",IF(I146&lt;TODAY(),"Overdue",IF(I146-TODAY()&lt;=30,"Due within 30 days","Scheduled")))))</f>
        <v/>
      </c>
      <c r="K146" s="14" t="n"/>
    </row>
    <row r="147">
      <c r="B147" s="14" t="n"/>
      <c r="C147" s="14" t="n"/>
      <c r="D147" s="14" t="n"/>
      <c r="E147" s="14" t="n"/>
      <c r="F147" s="31" t="n"/>
      <c r="G147" s="31" t="n"/>
      <c r="H147" s="26">
        <f>IF(F147="","",F147-N(G147))</f>
        <v/>
      </c>
      <c r="I147" s="12" t="n"/>
      <c r="J147" s="32">
        <f>IF(F147="","",IF(H147&lt;=0,"Paid in full",IF(I147="","Balance due",IF(I147&lt;TODAY(),"Overdue",IF(I147-TODAY()&lt;=30,"Due within 30 days","Scheduled")))))</f>
        <v/>
      </c>
      <c r="K147" s="14" t="n"/>
    </row>
    <row r="148">
      <c r="B148" s="14" t="n"/>
      <c r="C148" s="14" t="n"/>
      <c r="D148" s="14" t="n"/>
      <c r="E148" s="14" t="n"/>
      <c r="F148" s="31" t="n"/>
      <c r="G148" s="31" t="n"/>
      <c r="H148" s="26">
        <f>IF(F148="","",F148-N(G148))</f>
        <v/>
      </c>
      <c r="I148" s="12" t="n"/>
      <c r="J148" s="32">
        <f>IF(F148="","",IF(H148&lt;=0,"Paid in full",IF(I148="","Balance due",IF(I148&lt;TODAY(),"Overdue",IF(I148-TODAY()&lt;=30,"Due within 30 days","Scheduled")))))</f>
        <v/>
      </c>
      <c r="K148" s="14" t="n"/>
    </row>
    <row r="149">
      <c r="B149" s="14" t="n"/>
      <c r="C149" s="14" t="n"/>
      <c r="D149" s="14" t="n"/>
      <c r="E149" s="14" t="n"/>
      <c r="F149" s="31" t="n"/>
      <c r="G149" s="31" t="n"/>
      <c r="H149" s="26">
        <f>IF(F149="","",F149-N(G149))</f>
        <v/>
      </c>
      <c r="I149" s="12" t="n"/>
      <c r="J149" s="32">
        <f>IF(F149="","",IF(H149&lt;=0,"Paid in full",IF(I149="","Balance due",IF(I149&lt;TODAY(),"Overdue",IF(I149-TODAY()&lt;=30,"Due within 30 days","Scheduled")))))</f>
        <v/>
      </c>
      <c r="K149" s="14" t="n"/>
    </row>
    <row r="150">
      <c r="B150" s="14" t="n"/>
      <c r="C150" s="14" t="n"/>
      <c r="D150" s="14" t="n"/>
      <c r="E150" s="14" t="n"/>
      <c r="F150" s="31" t="n"/>
      <c r="G150" s="31" t="n"/>
      <c r="H150" s="26">
        <f>IF(F150="","",F150-N(G150))</f>
        <v/>
      </c>
      <c r="I150" s="12" t="n"/>
      <c r="J150" s="32">
        <f>IF(F150="","",IF(H150&lt;=0,"Paid in full",IF(I150="","Balance due",IF(I150&lt;TODAY(),"Overdue",IF(I150-TODAY()&lt;=30,"Due within 30 days","Scheduled")))))</f>
        <v/>
      </c>
      <c r="K150" s="14" t="n"/>
    </row>
    <row r="151">
      <c r="B151" s="14" t="n"/>
      <c r="C151" s="14" t="n"/>
      <c r="D151" s="14" t="n"/>
      <c r="E151" s="14" t="n"/>
      <c r="F151" s="31" t="n"/>
      <c r="G151" s="31" t="n"/>
      <c r="H151" s="26">
        <f>IF(F151="","",F151-N(G151))</f>
        <v/>
      </c>
      <c r="I151" s="12" t="n"/>
      <c r="J151" s="32">
        <f>IF(F151="","",IF(H151&lt;=0,"Paid in full",IF(I151="","Balance due",IF(I151&lt;TODAY(),"Overdue",IF(I151-TODAY()&lt;=30,"Due within 30 days","Scheduled")))))</f>
        <v/>
      </c>
      <c r="K151" s="14" t="n"/>
    </row>
    <row r="152">
      <c r="B152" s="14" t="n"/>
      <c r="C152" s="14" t="n"/>
      <c r="D152" s="14" t="n"/>
      <c r="E152" s="14" t="n"/>
      <c r="F152" s="31" t="n"/>
      <c r="G152" s="31" t="n"/>
      <c r="H152" s="26">
        <f>IF(F152="","",F152-N(G152))</f>
        <v/>
      </c>
      <c r="I152" s="12" t="n"/>
      <c r="J152" s="32">
        <f>IF(F152="","",IF(H152&lt;=0,"Paid in full",IF(I152="","Balance due",IF(I152&lt;TODAY(),"Overdue",IF(I152-TODAY()&lt;=30,"Due within 30 days","Scheduled")))))</f>
        <v/>
      </c>
      <c r="K152" s="14" t="n"/>
    </row>
    <row r="153">
      <c r="B153" s="14" t="n"/>
      <c r="C153" s="14" t="n"/>
      <c r="D153" s="14" t="n"/>
      <c r="E153" s="14" t="n"/>
      <c r="F153" s="31" t="n"/>
      <c r="G153" s="31" t="n"/>
      <c r="H153" s="26">
        <f>IF(F153="","",F153-N(G153))</f>
        <v/>
      </c>
      <c r="I153" s="12" t="n"/>
      <c r="J153" s="32">
        <f>IF(F153="","",IF(H153&lt;=0,"Paid in full",IF(I153="","Balance due",IF(I153&lt;TODAY(),"Overdue",IF(I153-TODAY()&lt;=30,"Due within 30 days","Scheduled")))))</f>
        <v/>
      </c>
      <c r="K153" s="14" t="n"/>
    </row>
    <row r="154">
      <c r="B154" s="14" t="n"/>
      <c r="C154" s="14" t="n"/>
      <c r="D154" s="14" t="n"/>
      <c r="E154" s="14" t="n"/>
      <c r="F154" s="31" t="n"/>
      <c r="G154" s="31" t="n"/>
      <c r="H154" s="26">
        <f>IF(F154="","",F154-N(G154))</f>
        <v/>
      </c>
      <c r="I154" s="12" t="n"/>
      <c r="J154" s="32">
        <f>IF(F154="","",IF(H154&lt;=0,"Paid in full",IF(I154="","Balance due",IF(I154&lt;TODAY(),"Overdue",IF(I154-TODAY()&lt;=30,"Due within 30 days","Scheduled")))))</f>
        <v/>
      </c>
      <c r="K154" s="14" t="n"/>
    </row>
    <row r="155">
      <c r="B155" s="14" t="n"/>
      <c r="C155" s="14" t="n"/>
      <c r="D155" s="14" t="n"/>
      <c r="E155" s="14" t="n"/>
      <c r="F155" s="31" t="n"/>
      <c r="G155" s="31" t="n"/>
      <c r="H155" s="26">
        <f>IF(F155="","",F155-N(G155))</f>
        <v/>
      </c>
      <c r="I155" s="12" t="n"/>
      <c r="J155" s="32">
        <f>IF(F155="","",IF(H155&lt;=0,"Paid in full",IF(I155="","Balance due",IF(I155&lt;TODAY(),"Overdue",IF(I155-TODAY()&lt;=30,"Due within 30 days","Scheduled")))))</f>
        <v/>
      </c>
      <c r="K155" s="14" t="n"/>
    </row>
    <row r="156">
      <c r="B156" s="14" t="n"/>
      <c r="C156" s="14" t="n"/>
      <c r="D156" s="14" t="n"/>
      <c r="E156" s="14" t="n"/>
      <c r="F156" s="31" t="n"/>
      <c r="G156" s="31" t="n"/>
      <c r="H156" s="26">
        <f>IF(F156="","",F156-N(G156))</f>
        <v/>
      </c>
      <c r="I156" s="12" t="n"/>
      <c r="J156" s="32">
        <f>IF(F156="","",IF(H156&lt;=0,"Paid in full",IF(I156="","Balance due",IF(I156&lt;TODAY(),"Overdue",IF(I156-TODAY()&lt;=30,"Due within 30 days","Scheduled")))))</f>
        <v/>
      </c>
      <c r="K156" s="14" t="n"/>
    </row>
  </sheetData>
  <conditionalFormatting sqref="J7:J156">
    <cfRule type="expression" priority="1" dxfId="0">
      <formula>$J7="Overdue"</formula>
    </cfRule>
    <cfRule type="expression" priority="2" dxfId="1">
      <formula>$J7="Due within 30 days"</formula>
    </cfRule>
    <cfRule type="expression" priority="3" dxfId="2">
      <formula>$J7="Paid in full"</formula>
    </cfRule>
  </conditionalFormatting>
  <dataValidations count="1">
    <dataValidation sqref="B7:B156" showDropDown="0" showInputMessage="1" showErrorMessage="0" allowBlank="1" promptTitle="Pick from list" prompt="Categories come from the Budget tab." type="list">
      <formula1>=Budget!$B$8:$B$27</formula1>
    </dataValidation>
  </dataValidations>
  <printOptions horizontalCentered="1"/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DE1E5"/>
    <outlinePr summaryBelow="1" summaryRight="1"/>
    <pageSetUpPr fitToPage="1"/>
  </sheetPr>
  <dimension ref="B2:N3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9" customWidth="1" min="4" max="4"/>
    <col width="26" customWidth="1" min="5" max="5"/>
    <col width="11" customWidth="1" min="6" max="6"/>
    <col width="11" customWidth="1" min="7" max="7"/>
    <col width="12" customWidth="1" min="8" max="8"/>
    <col width="11" customWidth="1" min="9" max="9"/>
    <col width="16" customWidth="1" min="10" max="10"/>
    <col width="20" customWidth="1" min="11" max="11"/>
    <col width="9" customWidth="1" min="12" max="12"/>
    <col width="18" customWidth="1" min="13" max="13"/>
    <col width="11" customWidth="1" min="14" max="14"/>
  </cols>
  <sheetData>
    <row r="1" ht="10" customHeight="1"/>
    <row r="2" ht="32" customHeight="1">
      <c r="B2" s="9" t="inlineStr">
        <is>
          <t>Guest list &amp; RSVPs</t>
        </is>
      </c>
    </row>
    <row r="3">
      <c r="B3" s="21" t="inlineStr">
        <is>
          <t>One row per invitation. Put the number of people it covers in Party size.</t>
        </is>
      </c>
    </row>
    <row r="4" ht="8" customHeight="1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6" ht="30" customHeight="1">
      <c r="B6" s="24" t="inlineStr">
        <is>
          <t>Name(s)</t>
        </is>
      </c>
      <c r="C6" s="24" t="inlineStr">
        <is>
          <t>Side</t>
        </is>
      </c>
      <c r="D6" s="24" t="inlineStr">
        <is>
          <t>Party size</t>
        </is>
      </c>
      <c r="E6" s="24" t="inlineStr">
        <is>
          <t>Email / phone</t>
        </is>
      </c>
      <c r="F6" s="24" t="inlineStr">
        <is>
          <t>Save-the-date</t>
        </is>
      </c>
      <c r="G6" s="24" t="inlineStr">
        <is>
          <t>Invite sent</t>
        </is>
      </c>
      <c r="H6" s="24" t="inlineStr">
        <is>
          <t>RSVP</t>
        </is>
      </c>
      <c r="I6" s="24" t="inlineStr">
        <is>
          <t>Attending</t>
        </is>
      </c>
      <c r="J6" s="24" t="inlineStr">
        <is>
          <t>Meal choice</t>
        </is>
      </c>
      <c r="K6" s="24" t="inlineStr">
        <is>
          <t>Dietary needs</t>
        </is>
      </c>
      <c r="L6" s="24" t="inlineStr">
        <is>
          <t>Table</t>
        </is>
      </c>
      <c r="M6" s="24" t="inlineStr">
        <is>
          <t>Gift</t>
        </is>
      </c>
      <c r="N6" s="24" t="inlineStr">
        <is>
          <t>Thank-you sent</t>
        </is>
      </c>
    </row>
    <row r="7">
      <c r="B7" s="14" t="n"/>
      <c r="C7" s="33" t="n"/>
      <c r="D7" s="34" t="n"/>
      <c r="E7" s="14" t="n"/>
      <c r="F7" s="33" t="n"/>
      <c r="G7" s="33" t="n"/>
      <c r="H7" s="33" t="n"/>
      <c r="I7" s="35">
        <f>IF(H7="Yes",N(D7),IF(B7="","",0))</f>
        <v/>
      </c>
      <c r="J7" s="14" t="n"/>
      <c r="K7" s="14" t="n"/>
      <c r="L7" s="34" t="n"/>
      <c r="M7" s="14" t="n"/>
      <c r="N7" s="33" t="n"/>
    </row>
    <row r="8">
      <c r="B8" s="14" t="n"/>
      <c r="C8" s="33" t="n"/>
      <c r="D8" s="34" t="n"/>
      <c r="E8" s="14" t="n"/>
      <c r="F8" s="33" t="n"/>
      <c r="G8" s="33" t="n"/>
      <c r="H8" s="33" t="n"/>
      <c r="I8" s="35">
        <f>IF(H8="Yes",N(D8),IF(B8="","",0))</f>
        <v/>
      </c>
      <c r="J8" s="14" t="n"/>
      <c r="K8" s="14" t="n"/>
      <c r="L8" s="34" t="n"/>
      <c r="M8" s="14" t="n"/>
      <c r="N8" s="33" t="n"/>
    </row>
    <row r="9">
      <c r="B9" s="14" t="n"/>
      <c r="C9" s="33" t="n"/>
      <c r="D9" s="34" t="n"/>
      <c r="E9" s="14" t="n"/>
      <c r="F9" s="33" t="n"/>
      <c r="G9" s="33" t="n"/>
      <c r="H9" s="33" t="n"/>
      <c r="I9" s="35">
        <f>IF(H9="Yes",N(D9),IF(B9="","",0))</f>
        <v/>
      </c>
      <c r="J9" s="14" t="n"/>
      <c r="K9" s="14" t="n"/>
      <c r="L9" s="34" t="n"/>
      <c r="M9" s="14" t="n"/>
      <c r="N9" s="33" t="n"/>
    </row>
    <row r="10">
      <c r="B10" s="14" t="n"/>
      <c r="C10" s="33" t="n"/>
      <c r="D10" s="34" t="n"/>
      <c r="E10" s="14" t="n"/>
      <c r="F10" s="33" t="n"/>
      <c r="G10" s="33" t="n"/>
      <c r="H10" s="33" t="n"/>
      <c r="I10" s="35">
        <f>IF(H10="Yes",N(D10),IF(B10="","",0))</f>
        <v/>
      </c>
      <c r="J10" s="14" t="n"/>
      <c r="K10" s="14" t="n"/>
      <c r="L10" s="34" t="n"/>
      <c r="M10" s="14" t="n"/>
      <c r="N10" s="33" t="n"/>
    </row>
    <row r="11">
      <c r="B11" s="14" t="n"/>
      <c r="C11" s="33" t="n"/>
      <c r="D11" s="34" t="n"/>
      <c r="E11" s="14" t="n"/>
      <c r="F11" s="33" t="n"/>
      <c r="G11" s="33" t="n"/>
      <c r="H11" s="33" t="n"/>
      <c r="I11" s="35">
        <f>IF(H11="Yes",N(D11),IF(B11="","",0))</f>
        <v/>
      </c>
      <c r="J11" s="14" t="n"/>
      <c r="K11" s="14" t="n"/>
      <c r="L11" s="34" t="n"/>
      <c r="M11" s="14" t="n"/>
      <c r="N11" s="33" t="n"/>
    </row>
    <row r="12">
      <c r="B12" s="14" t="n"/>
      <c r="C12" s="33" t="n"/>
      <c r="D12" s="34" t="n"/>
      <c r="E12" s="14" t="n"/>
      <c r="F12" s="33" t="n"/>
      <c r="G12" s="33" t="n"/>
      <c r="H12" s="33" t="n"/>
      <c r="I12" s="35">
        <f>IF(H12="Yes",N(D12),IF(B12="","",0))</f>
        <v/>
      </c>
      <c r="J12" s="14" t="n"/>
      <c r="K12" s="14" t="n"/>
      <c r="L12" s="34" t="n"/>
      <c r="M12" s="14" t="n"/>
      <c r="N12" s="33" t="n"/>
    </row>
    <row r="13">
      <c r="B13" s="14" t="n"/>
      <c r="C13" s="33" t="n"/>
      <c r="D13" s="34" t="n"/>
      <c r="E13" s="14" t="n"/>
      <c r="F13" s="33" t="n"/>
      <c r="G13" s="33" t="n"/>
      <c r="H13" s="33" t="n"/>
      <c r="I13" s="35">
        <f>IF(H13="Yes",N(D13),IF(B13="","",0))</f>
        <v/>
      </c>
      <c r="J13" s="14" t="n"/>
      <c r="K13" s="14" t="n"/>
      <c r="L13" s="34" t="n"/>
      <c r="M13" s="14" t="n"/>
      <c r="N13" s="33" t="n"/>
    </row>
    <row r="14">
      <c r="B14" s="14" t="n"/>
      <c r="C14" s="33" t="n"/>
      <c r="D14" s="34" t="n"/>
      <c r="E14" s="14" t="n"/>
      <c r="F14" s="33" t="n"/>
      <c r="G14" s="33" t="n"/>
      <c r="H14" s="33" t="n"/>
      <c r="I14" s="35">
        <f>IF(H14="Yes",N(D14),IF(B14="","",0))</f>
        <v/>
      </c>
      <c r="J14" s="14" t="n"/>
      <c r="K14" s="14" t="n"/>
      <c r="L14" s="34" t="n"/>
      <c r="M14" s="14" t="n"/>
      <c r="N14" s="33" t="n"/>
    </row>
    <row r="15">
      <c r="B15" s="14" t="n"/>
      <c r="C15" s="33" t="n"/>
      <c r="D15" s="34" t="n"/>
      <c r="E15" s="14" t="n"/>
      <c r="F15" s="33" t="n"/>
      <c r="G15" s="33" t="n"/>
      <c r="H15" s="33" t="n"/>
      <c r="I15" s="35">
        <f>IF(H15="Yes",N(D15),IF(B15="","",0))</f>
        <v/>
      </c>
      <c r="J15" s="14" t="n"/>
      <c r="K15" s="14" t="n"/>
      <c r="L15" s="34" t="n"/>
      <c r="M15" s="14" t="n"/>
      <c r="N15" s="33" t="n"/>
    </row>
    <row r="16">
      <c r="B16" s="14" t="n"/>
      <c r="C16" s="33" t="n"/>
      <c r="D16" s="34" t="n"/>
      <c r="E16" s="14" t="n"/>
      <c r="F16" s="33" t="n"/>
      <c r="G16" s="33" t="n"/>
      <c r="H16" s="33" t="n"/>
      <c r="I16" s="35">
        <f>IF(H16="Yes",N(D16),IF(B16="","",0))</f>
        <v/>
      </c>
      <c r="J16" s="14" t="n"/>
      <c r="K16" s="14" t="n"/>
      <c r="L16" s="34" t="n"/>
      <c r="M16" s="14" t="n"/>
      <c r="N16" s="33" t="n"/>
    </row>
    <row r="17">
      <c r="B17" s="14" t="n"/>
      <c r="C17" s="33" t="n"/>
      <c r="D17" s="34" t="n"/>
      <c r="E17" s="14" t="n"/>
      <c r="F17" s="33" t="n"/>
      <c r="G17" s="33" t="n"/>
      <c r="H17" s="33" t="n"/>
      <c r="I17" s="35">
        <f>IF(H17="Yes",N(D17),IF(B17="","",0))</f>
        <v/>
      </c>
      <c r="J17" s="14" t="n"/>
      <c r="K17" s="14" t="n"/>
      <c r="L17" s="34" t="n"/>
      <c r="M17" s="14" t="n"/>
      <c r="N17" s="33" t="n"/>
    </row>
    <row r="18">
      <c r="B18" s="14" t="n"/>
      <c r="C18" s="33" t="n"/>
      <c r="D18" s="34" t="n"/>
      <c r="E18" s="14" t="n"/>
      <c r="F18" s="33" t="n"/>
      <c r="G18" s="33" t="n"/>
      <c r="H18" s="33" t="n"/>
      <c r="I18" s="35">
        <f>IF(H18="Yes",N(D18),IF(B18="","",0))</f>
        <v/>
      </c>
      <c r="J18" s="14" t="n"/>
      <c r="K18" s="14" t="n"/>
      <c r="L18" s="34" t="n"/>
      <c r="M18" s="14" t="n"/>
      <c r="N18" s="33" t="n"/>
    </row>
    <row r="19">
      <c r="B19" s="14" t="n"/>
      <c r="C19" s="33" t="n"/>
      <c r="D19" s="34" t="n"/>
      <c r="E19" s="14" t="n"/>
      <c r="F19" s="33" t="n"/>
      <c r="G19" s="33" t="n"/>
      <c r="H19" s="33" t="n"/>
      <c r="I19" s="35">
        <f>IF(H19="Yes",N(D19),IF(B19="","",0))</f>
        <v/>
      </c>
      <c r="J19" s="14" t="n"/>
      <c r="K19" s="14" t="n"/>
      <c r="L19" s="34" t="n"/>
      <c r="M19" s="14" t="n"/>
      <c r="N19" s="33" t="n"/>
    </row>
    <row r="20">
      <c r="B20" s="14" t="n"/>
      <c r="C20" s="33" t="n"/>
      <c r="D20" s="34" t="n"/>
      <c r="E20" s="14" t="n"/>
      <c r="F20" s="33" t="n"/>
      <c r="G20" s="33" t="n"/>
      <c r="H20" s="33" t="n"/>
      <c r="I20" s="35">
        <f>IF(H20="Yes",N(D20),IF(B20="","",0))</f>
        <v/>
      </c>
      <c r="J20" s="14" t="n"/>
      <c r="K20" s="14" t="n"/>
      <c r="L20" s="34" t="n"/>
      <c r="M20" s="14" t="n"/>
      <c r="N20" s="33" t="n"/>
    </row>
    <row r="21">
      <c r="B21" s="14" t="n"/>
      <c r="C21" s="33" t="n"/>
      <c r="D21" s="34" t="n"/>
      <c r="E21" s="14" t="n"/>
      <c r="F21" s="33" t="n"/>
      <c r="G21" s="33" t="n"/>
      <c r="H21" s="33" t="n"/>
      <c r="I21" s="35">
        <f>IF(H21="Yes",N(D21),IF(B21="","",0))</f>
        <v/>
      </c>
      <c r="J21" s="14" t="n"/>
      <c r="K21" s="14" t="n"/>
      <c r="L21" s="34" t="n"/>
      <c r="M21" s="14" t="n"/>
      <c r="N21" s="33" t="n"/>
    </row>
    <row r="22">
      <c r="B22" s="14" t="n"/>
      <c r="C22" s="33" t="n"/>
      <c r="D22" s="34" t="n"/>
      <c r="E22" s="14" t="n"/>
      <c r="F22" s="33" t="n"/>
      <c r="G22" s="33" t="n"/>
      <c r="H22" s="33" t="n"/>
      <c r="I22" s="35">
        <f>IF(H22="Yes",N(D22),IF(B22="","",0))</f>
        <v/>
      </c>
      <c r="J22" s="14" t="n"/>
      <c r="K22" s="14" t="n"/>
      <c r="L22" s="34" t="n"/>
      <c r="M22" s="14" t="n"/>
      <c r="N22" s="33" t="n"/>
    </row>
    <row r="23">
      <c r="B23" s="14" t="n"/>
      <c r="C23" s="33" t="n"/>
      <c r="D23" s="34" t="n"/>
      <c r="E23" s="14" t="n"/>
      <c r="F23" s="33" t="n"/>
      <c r="G23" s="33" t="n"/>
      <c r="H23" s="33" t="n"/>
      <c r="I23" s="35">
        <f>IF(H23="Yes",N(D23),IF(B23="","",0))</f>
        <v/>
      </c>
      <c r="J23" s="14" t="n"/>
      <c r="K23" s="14" t="n"/>
      <c r="L23" s="34" t="n"/>
      <c r="M23" s="14" t="n"/>
      <c r="N23" s="33" t="n"/>
    </row>
    <row r="24">
      <c r="B24" s="14" t="n"/>
      <c r="C24" s="33" t="n"/>
      <c r="D24" s="34" t="n"/>
      <c r="E24" s="14" t="n"/>
      <c r="F24" s="33" t="n"/>
      <c r="G24" s="33" t="n"/>
      <c r="H24" s="33" t="n"/>
      <c r="I24" s="35">
        <f>IF(H24="Yes",N(D24),IF(B24="","",0))</f>
        <v/>
      </c>
      <c r="J24" s="14" t="n"/>
      <c r="K24" s="14" t="n"/>
      <c r="L24" s="34" t="n"/>
      <c r="M24" s="14" t="n"/>
      <c r="N24" s="33" t="n"/>
    </row>
    <row r="25">
      <c r="B25" s="14" t="n"/>
      <c r="C25" s="33" t="n"/>
      <c r="D25" s="34" t="n"/>
      <c r="E25" s="14" t="n"/>
      <c r="F25" s="33" t="n"/>
      <c r="G25" s="33" t="n"/>
      <c r="H25" s="33" t="n"/>
      <c r="I25" s="35">
        <f>IF(H25="Yes",N(D25),IF(B25="","",0))</f>
        <v/>
      </c>
      <c r="J25" s="14" t="n"/>
      <c r="K25" s="14" t="n"/>
      <c r="L25" s="34" t="n"/>
      <c r="M25" s="14" t="n"/>
      <c r="N25" s="33" t="n"/>
    </row>
    <row r="26">
      <c r="B26" s="14" t="n"/>
      <c r="C26" s="33" t="n"/>
      <c r="D26" s="34" t="n"/>
      <c r="E26" s="14" t="n"/>
      <c r="F26" s="33" t="n"/>
      <c r="G26" s="33" t="n"/>
      <c r="H26" s="33" t="n"/>
      <c r="I26" s="35">
        <f>IF(H26="Yes",N(D26),IF(B26="","",0))</f>
        <v/>
      </c>
      <c r="J26" s="14" t="n"/>
      <c r="K26" s="14" t="n"/>
      <c r="L26" s="34" t="n"/>
      <c r="M26" s="14" t="n"/>
      <c r="N26" s="33" t="n"/>
    </row>
    <row r="27">
      <c r="B27" s="14" t="n"/>
      <c r="C27" s="33" t="n"/>
      <c r="D27" s="34" t="n"/>
      <c r="E27" s="14" t="n"/>
      <c r="F27" s="33" t="n"/>
      <c r="G27" s="33" t="n"/>
      <c r="H27" s="33" t="n"/>
      <c r="I27" s="35">
        <f>IF(H27="Yes",N(D27),IF(B27="","",0))</f>
        <v/>
      </c>
      <c r="J27" s="14" t="n"/>
      <c r="K27" s="14" t="n"/>
      <c r="L27" s="34" t="n"/>
      <c r="M27" s="14" t="n"/>
      <c r="N27" s="33" t="n"/>
    </row>
    <row r="28">
      <c r="B28" s="14" t="n"/>
      <c r="C28" s="33" t="n"/>
      <c r="D28" s="34" t="n"/>
      <c r="E28" s="14" t="n"/>
      <c r="F28" s="33" t="n"/>
      <c r="G28" s="33" t="n"/>
      <c r="H28" s="33" t="n"/>
      <c r="I28" s="35">
        <f>IF(H28="Yes",N(D28),IF(B28="","",0))</f>
        <v/>
      </c>
      <c r="J28" s="14" t="n"/>
      <c r="K28" s="14" t="n"/>
      <c r="L28" s="34" t="n"/>
      <c r="M28" s="14" t="n"/>
      <c r="N28" s="33" t="n"/>
    </row>
    <row r="29">
      <c r="B29" s="14" t="n"/>
      <c r="C29" s="33" t="n"/>
      <c r="D29" s="34" t="n"/>
      <c r="E29" s="14" t="n"/>
      <c r="F29" s="33" t="n"/>
      <c r="G29" s="33" t="n"/>
      <c r="H29" s="33" t="n"/>
      <c r="I29" s="35">
        <f>IF(H29="Yes",N(D29),IF(B29="","",0))</f>
        <v/>
      </c>
      <c r="J29" s="14" t="n"/>
      <c r="K29" s="14" t="n"/>
      <c r="L29" s="34" t="n"/>
      <c r="M29" s="14" t="n"/>
      <c r="N29" s="33" t="n"/>
    </row>
    <row r="30">
      <c r="B30" s="14" t="n"/>
      <c r="C30" s="33" t="n"/>
      <c r="D30" s="34" t="n"/>
      <c r="E30" s="14" t="n"/>
      <c r="F30" s="33" t="n"/>
      <c r="G30" s="33" t="n"/>
      <c r="H30" s="33" t="n"/>
      <c r="I30" s="35">
        <f>IF(H30="Yes",N(D30),IF(B30="","",0))</f>
        <v/>
      </c>
      <c r="J30" s="14" t="n"/>
      <c r="K30" s="14" t="n"/>
      <c r="L30" s="34" t="n"/>
      <c r="M30" s="14" t="n"/>
      <c r="N30" s="33" t="n"/>
    </row>
    <row r="31">
      <c r="B31" s="14" t="n"/>
      <c r="C31" s="33" t="n"/>
      <c r="D31" s="34" t="n"/>
      <c r="E31" s="14" t="n"/>
      <c r="F31" s="33" t="n"/>
      <c r="G31" s="33" t="n"/>
      <c r="H31" s="33" t="n"/>
      <c r="I31" s="35">
        <f>IF(H31="Yes",N(D31),IF(B31="","",0))</f>
        <v/>
      </c>
      <c r="J31" s="14" t="n"/>
      <c r="K31" s="14" t="n"/>
      <c r="L31" s="34" t="n"/>
      <c r="M31" s="14" t="n"/>
      <c r="N31" s="33" t="n"/>
    </row>
    <row r="32">
      <c r="B32" s="14" t="n"/>
      <c r="C32" s="33" t="n"/>
      <c r="D32" s="34" t="n"/>
      <c r="E32" s="14" t="n"/>
      <c r="F32" s="33" t="n"/>
      <c r="G32" s="33" t="n"/>
      <c r="H32" s="33" t="n"/>
      <c r="I32" s="35">
        <f>IF(H32="Yes",N(D32),IF(B32="","",0))</f>
        <v/>
      </c>
      <c r="J32" s="14" t="n"/>
      <c r="K32" s="14" t="n"/>
      <c r="L32" s="34" t="n"/>
      <c r="M32" s="14" t="n"/>
      <c r="N32" s="33" t="n"/>
    </row>
    <row r="33">
      <c r="B33" s="14" t="n"/>
      <c r="C33" s="33" t="n"/>
      <c r="D33" s="34" t="n"/>
      <c r="E33" s="14" t="n"/>
      <c r="F33" s="33" t="n"/>
      <c r="G33" s="33" t="n"/>
      <c r="H33" s="33" t="n"/>
      <c r="I33" s="35">
        <f>IF(H33="Yes",N(D33),IF(B33="","",0))</f>
        <v/>
      </c>
      <c r="J33" s="14" t="n"/>
      <c r="K33" s="14" t="n"/>
      <c r="L33" s="34" t="n"/>
      <c r="M33" s="14" t="n"/>
      <c r="N33" s="33" t="n"/>
    </row>
    <row r="34">
      <c r="B34" s="14" t="n"/>
      <c r="C34" s="33" t="n"/>
      <c r="D34" s="34" t="n"/>
      <c r="E34" s="14" t="n"/>
      <c r="F34" s="33" t="n"/>
      <c r="G34" s="33" t="n"/>
      <c r="H34" s="33" t="n"/>
      <c r="I34" s="35">
        <f>IF(H34="Yes",N(D34),IF(B34="","",0))</f>
        <v/>
      </c>
      <c r="J34" s="14" t="n"/>
      <c r="K34" s="14" t="n"/>
      <c r="L34" s="34" t="n"/>
      <c r="M34" s="14" t="n"/>
      <c r="N34" s="33" t="n"/>
    </row>
    <row r="35">
      <c r="B35" s="14" t="n"/>
      <c r="C35" s="33" t="n"/>
      <c r="D35" s="34" t="n"/>
      <c r="E35" s="14" t="n"/>
      <c r="F35" s="33" t="n"/>
      <c r="G35" s="33" t="n"/>
      <c r="H35" s="33" t="n"/>
      <c r="I35" s="35">
        <f>IF(H35="Yes",N(D35),IF(B35="","",0))</f>
        <v/>
      </c>
      <c r="J35" s="14" t="n"/>
      <c r="K35" s="14" t="n"/>
      <c r="L35" s="34" t="n"/>
      <c r="M35" s="14" t="n"/>
      <c r="N35" s="33" t="n"/>
    </row>
    <row r="36">
      <c r="B36" s="14" t="n"/>
      <c r="C36" s="33" t="n"/>
      <c r="D36" s="34" t="n"/>
      <c r="E36" s="14" t="n"/>
      <c r="F36" s="33" t="n"/>
      <c r="G36" s="33" t="n"/>
      <c r="H36" s="33" t="n"/>
      <c r="I36" s="35">
        <f>IF(H36="Yes",N(D36),IF(B36="","",0))</f>
        <v/>
      </c>
      <c r="J36" s="14" t="n"/>
      <c r="K36" s="14" t="n"/>
      <c r="L36" s="34" t="n"/>
      <c r="M36" s="14" t="n"/>
      <c r="N36" s="33" t="n"/>
    </row>
    <row r="37">
      <c r="B37" s="14" t="n"/>
      <c r="C37" s="33" t="n"/>
      <c r="D37" s="34" t="n"/>
      <c r="E37" s="14" t="n"/>
      <c r="F37" s="33" t="n"/>
      <c r="G37" s="33" t="n"/>
      <c r="H37" s="33" t="n"/>
      <c r="I37" s="35">
        <f>IF(H37="Yes",N(D37),IF(B37="","",0))</f>
        <v/>
      </c>
      <c r="J37" s="14" t="n"/>
      <c r="K37" s="14" t="n"/>
      <c r="L37" s="34" t="n"/>
      <c r="M37" s="14" t="n"/>
      <c r="N37" s="33" t="n"/>
    </row>
    <row r="38">
      <c r="B38" s="14" t="n"/>
      <c r="C38" s="33" t="n"/>
      <c r="D38" s="34" t="n"/>
      <c r="E38" s="14" t="n"/>
      <c r="F38" s="33" t="n"/>
      <c r="G38" s="33" t="n"/>
      <c r="H38" s="33" t="n"/>
      <c r="I38" s="35">
        <f>IF(H38="Yes",N(D38),IF(B38="","",0))</f>
        <v/>
      </c>
      <c r="J38" s="14" t="n"/>
      <c r="K38" s="14" t="n"/>
      <c r="L38" s="34" t="n"/>
      <c r="M38" s="14" t="n"/>
      <c r="N38" s="33" t="n"/>
    </row>
    <row r="39">
      <c r="B39" s="14" t="n"/>
      <c r="C39" s="33" t="n"/>
      <c r="D39" s="34" t="n"/>
      <c r="E39" s="14" t="n"/>
      <c r="F39" s="33" t="n"/>
      <c r="G39" s="33" t="n"/>
      <c r="H39" s="33" t="n"/>
      <c r="I39" s="35">
        <f>IF(H39="Yes",N(D39),IF(B39="","",0))</f>
        <v/>
      </c>
      <c r="J39" s="14" t="n"/>
      <c r="K39" s="14" t="n"/>
      <c r="L39" s="34" t="n"/>
      <c r="M39" s="14" t="n"/>
      <c r="N39" s="33" t="n"/>
    </row>
    <row r="40">
      <c r="B40" s="14" t="n"/>
      <c r="C40" s="33" t="n"/>
      <c r="D40" s="34" t="n"/>
      <c r="E40" s="14" t="n"/>
      <c r="F40" s="33" t="n"/>
      <c r="G40" s="33" t="n"/>
      <c r="H40" s="33" t="n"/>
      <c r="I40" s="35">
        <f>IF(H40="Yes",N(D40),IF(B40="","",0))</f>
        <v/>
      </c>
      <c r="J40" s="14" t="n"/>
      <c r="K40" s="14" t="n"/>
      <c r="L40" s="34" t="n"/>
      <c r="M40" s="14" t="n"/>
      <c r="N40" s="33" t="n"/>
    </row>
    <row r="41">
      <c r="B41" s="14" t="n"/>
      <c r="C41" s="33" t="n"/>
      <c r="D41" s="34" t="n"/>
      <c r="E41" s="14" t="n"/>
      <c r="F41" s="33" t="n"/>
      <c r="G41" s="33" t="n"/>
      <c r="H41" s="33" t="n"/>
      <c r="I41" s="35">
        <f>IF(H41="Yes",N(D41),IF(B41="","",0))</f>
        <v/>
      </c>
      <c r="J41" s="14" t="n"/>
      <c r="K41" s="14" t="n"/>
      <c r="L41" s="34" t="n"/>
      <c r="M41" s="14" t="n"/>
      <c r="N41" s="33" t="n"/>
    </row>
    <row r="42">
      <c r="B42" s="14" t="n"/>
      <c r="C42" s="33" t="n"/>
      <c r="D42" s="34" t="n"/>
      <c r="E42" s="14" t="n"/>
      <c r="F42" s="33" t="n"/>
      <c r="G42" s="33" t="n"/>
      <c r="H42" s="33" t="n"/>
      <c r="I42" s="35">
        <f>IF(H42="Yes",N(D42),IF(B42="","",0))</f>
        <v/>
      </c>
      <c r="J42" s="14" t="n"/>
      <c r="K42" s="14" t="n"/>
      <c r="L42" s="34" t="n"/>
      <c r="M42" s="14" t="n"/>
      <c r="N42" s="33" t="n"/>
    </row>
    <row r="43">
      <c r="B43" s="14" t="n"/>
      <c r="C43" s="33" t="n"/>
      <c r="D43" s="34" t="n"/>
      <c r="E43" s="14" t="n"/>
      <c r="F43" s="33" t="n"/>
      <c r="G43" s="33" t="n"/>
      <c r="H43" s="33" t="n"/>
      <c r="I43" s="35">
        <f>IF(H43="Yes",N(D43),IF(B43="","",0))</f>
        <v/>
      </c>
      <c r="J43" s="14" t="n"/>
      <c r="K43" s="14" t="n"/>
      <c r="L43" s="34" t="n"/>
      <c r="M43" s="14" t="n"/>
      <c r="N43" s="33" t="n"/>
    </row>
    <row r="44">
      <c r="B44" s="14" t="n"/>
      <c r="C44" s="33" t="n"/>
      <c r="D44" s="34" t="n"/>
      <c r="E44" s="14" t="n"/>
      <c r="F44" s="33" t="n"/>
      <c r="G44" s="33" t="n"/>
      <c r="H44" s="33" t="n"/>
      <c r="I44" s="35">
        <f>IF(H44="Yes",N(D44),IF(B44="","",0))</f>
        <v/>
      </c>
      <c r="J44" s="14" t="n"/>
      <c r="K44" s="14" t="n"/>
      <c r="L44" s="34" t="n"/>
      <c r="M44" s="14" t="n"/>
      <c r="N44" s="33" t="n"/>
    </row>
    <row r="45">
      <c r="B45" s="14" t="n"/>
      <c r="C45" s="33" t="n"/>
      <c r="D45" s="34" t="n"/>
      <c r="E45" s="14" t="n"/>
      <c r="F45" s="33" t="n"/>
      <c r="G45" s="33" t="n"/>
      <c r="H45" s="33" t="n"/>
      <c r="I45" s="35">
        <f>IF(H45="Yes",N(D45),IF(B45="","",0))</f>
        <v/>
      </c>
      <c r="J45" s="14" t="n"/>
      <c r="K45" s="14" t="n"/>
      <c r="L45" s="34" t="n"/>
      <c r="M45" s="14" t="n"/>
      <c r="N45" s="33" t="n"/>
    </row>
    <row r="46">
      <c r="B46" s="14" t="n"/>
      <c r="C46" s="33" t="n"/>
      <c r="D46" s="34" t="n"/>
      <c r="E46" s="14" t="n"/>
      <c r="F46" s="33" t="n"/>
      <c r="G46" s="33" t="n"/>
      <c r="H46" s="33" t="n"/>
      <c r="I46" s="35">
        <f>IF(H46="Yes",N(D46),IF(B46="","",0))</f>
        <v/>
      </c>
      <c r="J46" s="14" t="n"/>
      <c r="K46" s="14" t="n"/>
      <c r="L46" s="34" t="n"/>
      <c r="M46" s="14" t="n"/>
      <c r="N46" s="33" t="n"/>
    </row>
    <row r="47">
      <c r="B47" s="14" t="n"/>
      <c r="C47" s="33" t="n"/>
      <c r="D47" s="34" t="n"/>
      <c r="E47" s="14" t="n"/>
      <c r="F47" s="33" t="n"/>
      <c r="G47" s="33" t="n"/>
      <c r="H47" s="33" t="n"/>
      <c r="I47" s="35">
        <f>IF(H47="Yes",N(D47),IF(B47="","",0))</f>
        <v/>
      </c>
      <c r="J47" s="14" t="n"/>
      <c r="K47" s="14" t="n"/>
      <c r="L47" s="34" t="n"/>
      <c r="M47" s="14" t="n"/>
      <c r="N47" s="33" t="n"/>
    </row>
    <row r="48">
      <c r="B48" s="14" t="n"/>
      <c r="C48" s="33" t="n"/>
      <c r="D48" s="34" t="n"/>
      <c r="E48" s="14" t="n"/>
      <c r="F48" s="33" t="n"/>
      <c r="G48" s="33" t="n"/>
      <c r="H48" s="33" t="n"/>
      <c r="I48" s="35">
        <f>IF(H48="Yes",N(D48),IF(B48="","",0))</f>
        <v/>
      </c>
      <c r="J48" s="14" t="n"/>
      <c r="K48" s="14" t="n"/>
      <c r="L48" s="34" t="n"/>
      <c r="M48" s="14" t="n"/>
      <c r="N48" s="33" t="n"/>
    </row>
    <row r="49">
      <c r="B49" s="14" t="n"/>
      <c r="C49" s="33" t="n"/>
      <c r="D49" s="34" t="n"/>
      <c r="E49" s="14" t="n"/>
      <c r="F49" s="33" t="n"/>
      <c r="G49" s="33" t="n"/>
      <c r="H49" s="33" t="n"/>
      <c r="I49" s="35">
        <f>IF(H49="Yes",N(D49),IF(B49="","",0))</f>
        <v/>
      </c>
      <c r="J49" s="14" t="n"/>
      <c r="K49" s="14" t="n"/>
      <c r="L49" s="34" t="n"/>
      <c r="M49" s="14" t="n"/>
      <c r="N49" s="33" t="n"/>
    </row>
    <row r="50">
      <c r="B50" s="14" t="n"/>
      <c r="C50" s="33" t="n"/>
      <c r="D50" s="34" t="n"/>
      <c r="E50" s="14" t="n"/>
      <c r="F50" s="33" t="n"/>
      <c r="G50" s="33" t="n"/>
      <c r="H50" s="33" t="n"/>
      <c r="I50" s="35">
        <f>IF(H50="Yes",N(D50),IF(B50="","",0))</f>
        <v/>
      </c>
      <c r="J50" s="14" t="n"/>
      <c r="K50" s="14" t="n"/>
      <c r="L50" s="34" t="n"/>
      <c r="M50" s="14" t="n"/>
      <c r="N50" s="33" t="n"/>
    </row>
    <row r="51">
      <c r="B51" s="14" t="n"/>
      <c r="C51" s="33" t="n"/>
      <c r="D51" s="34" t="n"/>
      <c r="E51" s="14" t="n"/>
      <c r="F51" s="33" t="n"/>
      <c r="G51" s="33" t="n"/>
      <c r="H51" s="33" t="n"/>
      <c r="I51" s="35">
        <f>IF(H51="Yes",N(D51),IF(B51="","",0))</f>
        <v/>
      </c>
      <c r="J51" s="14" t="n"/>
      <c r="K51" s="14" t="n"/>
      <c r="L51" s="34" t="n"/>
      <c r="M51" s="14" t="n"/>
      <c r="N51" s="33" t="n"/>
    </row>
    <row r="52">
      <c r="B52" s="14" t="n"/>
      <c r="C52" s="33" t="n"/>
      <c r="D52" s="34" t="n"/>
      <c r="E52" s="14" t="n"/>
      <c r="F52" s="33" t="n"/>
      <c r="G52" s="33" t="n"/>
      <c r="H52" s="33" t="n"/>
      <c r="I52" s="35">
        <f>IF(H52="Yes",N(D52),IF(B52="","",0))</f>
        <v/>
      </c>
      <c r="J52" s="14" t="n"/>
      <c r="K52" s="14" t="n"/>
      <c r="L52" s="34" t="n"/>
      <c r="M52" s="14" t="n"/>
      <c r="N52" s="33" t="n"/>
    </row>
    <row r="53">
      <c r="B53" s="14" t="n"/>
      <c r="C53" s="33" t="n"/>
      <c r="D53" s="34" t="n"/>
      <c r="E53" s="14" t="n"/>
      <c r="F53" s="33" t="n"/>
      <c r="G53" s="33" t="n"/>
      <c r="H53" s="33" t="n"/>
      <c r="I53" s="35">
        <f>IF(H53="Yes",N(D53),IF(B53="","",0))</f>
        <v/>
      </c>
      <c r="J53" s="14" t="n"/>
      <c r="K53" s="14" t="n"/>
      <c r="L53" s="34" t="n"/>
      <c r="M53" s="14" t="n"/>
      <c r="N53" s="33" t="n"/>
    </row>
    <row r="54">
      <c r="B54" s="14" t="n"/>
      <c r="C54" s="33" t="n"/>
      <c r="D54" s="34" t="n"/>
      <c r="E54" s="14" t="n"/>
      <c r="F54" s="33" t="n"/>
      <c r="G54" s="33" t="n"/>
      <c r="H54" s="33" t="n"/>
      <c r="I54" s="35">
        <f>IF(H54="Yes",N(D54),IF(B54="","",0))</f>
        <v/>
      </c>
      <c r="J54" s="14" t="n"/>
      <c r="K54" s="14" t="n"/>
      <c r="L54" s="34" t="n"/>
      <c r="M54" s="14" t="n"/>
      <c r="N54" s="33" t="n"/>
    </row>
    <row r="55">
      <c r="B55" s="14" t="n"/>
      <c r="C55" s="33" t="n"/>
      <c r="D55" s="34" t="n"/>
      <c r="E55" s="14" t="n"/>
      <c r="F55" s="33" t="n"/>
      <c r="G55" s="33" t="n"/>
      <c r="H55" s="33" t="n"/>
      <c r="I55" s="35">
        <f>IF(H55="Yes",N(D55),IF(B55="","",0))</f>
        <v/>
      </c>
      <c r="J55" s="14" t="n"/>
      <c r="K55" s="14" t="n"/>
      <c r="L55" s="34" t="n"/>
      <c r="M55" s="14" t="n"/>
      <c r="N55" s="33" t="n"/>
    </row>
    <row r="56">
      <c r="B56" s="14" t="n"/>
      <c r="C56" s="33" t="n"/>
      <c r="D56" s="34" t="n"/>
      <c r="E56" s="14" t="n"/>
      <c r="F56" s="33" t="n"/>
      <c r="G56" s="33" t="n"/>
      <c r="H56" s="33" t="n"/>
      <c r="I56" s="35">
        <f>IF(H56="Yes",N(D56),IF(B56="","",0))</f>
        <v/>
      </c>
      <c r="J56" s="14" t="n"/>
      <c r="K56" s="14" t="n"/>
      <c r="L56" s="34" t="n"/>
      <c r="M56" s="14" t="n"/>
      <c r="N56" s="33" t="n"/>
    </row>
    <row r="57">
      <c r="B57" s="14" t="n"/>
      <c r="C57" s="33" t="n"/>
      <c r="D57" s="34" t="n"/>
      <c r="E57" s="14" t="n"/>
      <c r="F57" s="33" t="n"/>
      <c r="G57" s="33" t="n"/>
      <c r="H57" s="33" t="n"/>
      <c r="I57" s="35">
        <f>IF(H57="Yes",N(D57),IF(B57="","",0))</f>
        <v/>
      </c>
      <c r="J57" s="14" t="n"/>
      <c r="K57" s="14" t="n"/>
      <c r="L57" s="34" t="n"/>
      <c r="M57" s="14" t="n"/>
      <c r="N57" s="33" t="n"/>
    </row>
    <row r="58">
      <c r="B58" s="14" t="n"/>
      <c r="C58" s="33" t="n"/>
      <c r="D58" s="34" t="n"/>
      <c r="E58" s="14" t="n"/>
      <c r="F58" s="33" t="n"/>
      <c r="G58" s="33" t="n"/>
      <c r="H58" s="33" t="n"/>
      <c r="I58" s="35">
        <f>IF(H58="Yes",N(D58),IF(B58="","",0))</f>
        <v/>
      </c>
      <c r="J58" s="14" t="n"/>
      <c r="K58" s="14" t="n"/>
      <c r="L58" s="34" t="n"/>
      <c r="M58" s="14" t="n"/>
      <c r="N58" s="33" t="n"/>
    </row>
    <row r="59">
      <c r="B59" s="14" t="n"/>
      <c r="C59" s="33" t="n"/>
      <c r="D59" s="34" t="n"/>
      <c r="E59" s="14" t="n"/>
      <c r="F59" s="33" t="n"/>
      <c r="G59" s="33" t="n"/>
      <c r="H59" s="33" t="n"/>
      <c r="I59" s="35">
        <f>IF(H59="Yes",N(D59),IF(B59="","",0))</f>
        <v/>
      </c>
      <c r="J59" s="14" t="n"/>
      <c r="K59" s="14" t="n"/>
      <c r="L59" s="34" t="n"/>
      <c r="M59" s="14" t="n"/>
      <c r="N59" s="33" t="n"/>
    </row>
    <row r="60">
      <c r="B60" s="14" t="n"/>
      <c r="C60" s="33" t="n"/>
      <c r="D60" s="34" t="n"/>
      <c r="E60" s="14" t="n"/>
      <c r="F60" s="33" t="n"/>
      <c r="G60" s="33" t="n"/>
      <c r="H60" s="33" t="n"/>
      <c r="I60" s="35">
        <f>IF(H60="Yes",N(D60),IF(B60="","",0))</f>
        <v/>
      </c>
      <c r="J60" s="14" t="n"/>
      <c r="K60" s="14" t="n"/>
      <c r="L60" s="34" t="n"/>
      <c r="M60" s="14" t="n"/>
      <c r="N60" s="33" t="n"/>
    </row>
    <row r="61">
      <c r="B61" s="14" t="n"/>
      <c r="C61" s="33" t="n"/>
      <c r="D61" s="34" t="n"/>
      <c r="E61" s="14" t="n"/>
      <c r="F61" s="33" t="n"/>
      <c r="G61" s="33" t="n"/>
      <c r="H61" s="33" t="n"/>
      <c r="I61" s="35">
        <f>IF(H61="Yes",N(D61),IF(B61="","",0))</f>
        <v/>
      </c>
      <c r="J61" s="14" t="n"/>
      <c r="K61" s="14" t="n"/>
      <c r="L61" s="34" t="n"/>
      <c r="M61" s="14" t="n"/>
      <c r="N61" s="33" t="n"/>
    </row>
    <row r="62">
      <c r="B62" s="14" t="n"/>
      <c r="C62" s="33" t="n"/>
      <c r="D62" s="34" t="n"/>
      <c r="E62" s="14" t="n"/>
      <c r="F62" s="33" t="n"/>
      <c r="G62" s="33" t="n"/>
      <c r="H62" s="33" t="n"/>
      <c r="I62" s="35">
        <f>IF(H62="Yes",N(D62),IF(B62="","",0))</f>
        <v/>
      </c>
      <c r="J62" s="14" t="n"/>
      <c r="K62" s="14" t="n"/>
      <c r="L62" s="34" t="n"/>
      <c r="M62" s="14" t="n"/>
      <c r="N62" s="33" t="n"/>
    </row>
    <row r="63">
      <c r="B63" s="14" t="n"/>
      <c r="C63" s="33" t="n"/>
      <c r="D63" s="34" t="n"/>
      <c r="E63" s="14" t="n"/>
      <c r="F63" s="33" t="n"/>
      <c r="G63" s="33" t="n"/>
      <c r="H63" s="33" t="n"/>
      <c r="I63" s="35">
        <f>IF(H63="Yes",N(D63),IF(B63="","",0))</f>
        <v/>
      </c>
      <c r="J63" s="14" t="n"/>
      <c r="K63" s="14" t="n"/>
      <c r="L63" s="34" t="n"/>
      <c r="M63" s="14" t="n"/>
      <c r="N63" s="33" t="n"/>
    </row>
    <row r="64">
      <c r="B64" s="14" t="n"/>
      <c r="C64" s="33" t="n"/>
      <c r="D64" s="34" t="n"/>
      <c r="E64" s="14" t="n"/>
      <c r="F64" s="33" t="n"/>
      <c r="G64" s="33" t="n"/>
      <c r="H64" s="33" t="n"/>
      <c r="I64" s="35">
        <f>IF(H64="Yes",N(D64),IF(B64="","",0))</f>
        <v/>
      </c>
      <c r="J64" s="14" t="n"/>
      <c r="K64" s="14" t="n"/>
      <c r="L64" s="34" t="n"/>
      <c r="M64" s="14" t="n"/>
      <c r="N64" s="33" t="n"/>
    </row>
    <row r="65">
      <c r="B65" s="14" t="n"/>
      <c r="C65" s="33" t="n"/>
      <c r="D65" s="34" t="n"/>
      <c r="E65" s="14" t="n"/>
      <c r="F65" s="33" t="n"/>
      <c r="G65" s="33" t="n"/>
      <c r="H65" s="33" t="n"/>
      <c r="I65" s="35">
        <f>IF(H65="Yes",N(D65),IF(B65="","",0))</f>
        <v/>
      </c>
      <c r="J65" s="14" t="n"/>
      <c r="K65" s="14" t="n"/>
      <c r="L65" s="34" t="n"/>
      <c r="M65" s="14" t="n"/>
      <c r="N65" s="33" t="n"/>
    </row>
    <row r="66">
      <c r="B66" s="14" t="n"/>
      <c r="C66" s="33" t="n"/>
      <c r="D66" s="34" t="n"/>
      <c r="E66" s="14" t="n"/>
      <c r="F66" s="33" t="n"/>
      <c r="G66" s="33" t="n"/>
      <c r="H66" s="33" t="n"/>
      <c r="I66" s="35">
        <f>IF(H66="Yes",N(D66),IF(B66="","",0))</f>
        <v/>
      </c>
      <c r="J66" s="14" t="n"/>
      <c r="K66" s="14" t="n"/>
      <c r="L66" s="34" t="n"/>
      <c r="M66" s="14" t="n"/>
      <c r="N66" s="33" t="n"/>
    </row>
    <row r="67">
      <c r="B67" s="14" t="n"/>
      <c r="C67" s="33" t="n"/>
      <c r="D67" s="34" t="n"/>
      <c r="E67" s="14" t="n"/>
      <c r="F67" s="33" t="n"/>
      <c r="G67" s="33" t="n"/>
      <c r="H67" s="33" t="n"/>
      <c r="I67" s="35">
        <f>IF(H67="Yes",N(D67),IF(B67="","",0))</f>
        <v/>
      </c>
      <c r="J67" s="14" t="n"/>
      <c r="K67" s="14" t="n"/>
      <c r="L67" s="34" t="n"/>
      <c r="M67" s="14" t="n"/>
      <c r="N67" s="33" t="n"/>
    </row>
    <row r="68">
      <c r="B68" s="14" t="n"/>
      <c r="C68" s="33" t="n"/>
      <c r="D68" s="34" t="n"/>
      <c r="E68" s="14" t="n"/>
      <c r="F68" s="33" t="n"/>
      <c r="G68" s="33" t="n"/>
      <c r="H68" s="33" t="n"/>
      <c r="I68" s="35">
        <f>IF(H68="Yes",N(D68),IF(B68="","",0))</f>
        <v/>
      </c>
      <c r="J68" s="14" t="n"/>
      <c r="K68" s="14" t="n"/>
      <c r="L68" s="34" t="n"/>
      <c r="M68" s="14" t="n"/>
      <c r="N68" s="33" t="n"/>
    </row>
    <row r="69">
      <c r="B69" s="14" t="n"/>
      <c r="C69" s="33" t="n"/>
      <c r="D69" s="34" t="n"/>
      <c r="E69" s="14" t="n"/>
      <c r="F69" s="33" t="n"/>
      <c r="G69" s="33" t="n"/>
      <c r="H69" s="33" t="n"/>
      <c r="I69" s="35">
        <f>IF(H69="Yes",N(D69),IF(B69="","",0))</f>
        <v/>
      </c>
      <c r="J69" s="14" t="n"/>
      <c r="K69" s="14" t="n"/>
      <c r="L69" s="34" t="n"/>
      <c r="M69" s="14" t="n"/>
      <c r="N69" s="33" t="n"/>
    </row>
    <row r="70">
      <c r="B70" s="14" t="n"/>
      <c r="C70" s="33" t="n"/>
      <c r="D70" s="34" t="n"/>
      <c r="E70" s="14" t="n"/>
      <c r="F70" s="33" t="n"/>
      <c r="G70" s="33" t="n"/>
      <c r="H70" s="33" t="n"/>
      <c r="I70" s="35">
        <f>IF(H70="Yes",N(D70),IF(B70="","",0))</f>
        <v/>
      </c>
      <c r="J70" s="14" t="n"/>
      <c r="K70" s="14" t="n"/>
      <c r="L70" s="34" t="n"/>
      <c r="M70" s="14" t="n"/>
      <c r="N70" s="33" t="n"/>
    </row>
    <row r="71">
      <c r="B71" s="14" t="n"/>
      <c r="C71" s="33" t="n"/>
      <c r="D71" s="34" t="n"/>
      <c r="E71" s="14" t="n"/>
      <c r="F71" s="33" t="n"/>
      <c r="G71" s="33" t="n"/>
      <c r="H71" s="33" t="n"/>
      <c r="I71" s="35">
        <f>IF(H71="Yes",N(D71),IF(B71="","",0))</f>
        <v/>
      </c>
      <c r="J71" s="14" t="n"/>
      <c r="K71" s="14" t="n"/>
      <c r="L71" s="34" t="n"/>
      <c r="M71" s="14" t="n"/>
      <c r="N71" s="33" t="n"/>
    </row>
    <row r="72">
      <c r="B72" s="14" t="n"/>
      <c r="C72" s="33" t="n"/>
      <c r="D72" s="34" t="n"/>
      <c r="E72" s="14" t="n"/>
      <c r="F72" s="33" t="n"/>
      <c r="G72" s="33" t="n"/>
      <c r="H72" s="33" t="n"/>
      <c r="I72" s="35">
        <f>IF(H72="Yes",N(D72),IF(B72="","",0))</f>
        <v/>
      </c>
      <c r="J72" s="14" t="n"/>
      <c r="K72" s="14" t="n"/>
      <c r="L72" s="34" t="n"/>
      <c r="M72" s="14" t="n"/>
      <c r="N72" s="33" t="n"/>
    </row>
    <row r="73">
      <c r="B73" s="14" t="n"/>
      <c r="C73" s="33" t="n"/>
      <c r="D73" s="34" t="n"/>
      <c r="E73" s="14" t="n"/>
      <c r="F73" s="33" t="n"/>
      <c r="G73" s="33" t="n"/>
      <c r="H73" s="33" t="n"/>
      <c r="I73" s="35">
        <f>IF(H73="Yes",N(D73),IF(B73="","",0))</f>
        <v/>
      </c>
      <c r="J73" s="14" t="n"/>
      <c r="K73" s="14" t="n"/>
      <c r="L73" s="34" t="n"/>
      <c r="M73" s="14" t="n"/>
      <c r="N73" s="33" t="n"/>
    </row>
    <row r="74">
      <c r="B74" s="14" t="n"/>
      <c r="C74" s="33" t="n"/>
      <c r="D74" s="34" t="n"/>
      <c r="E74" s="14" t="n"/>
      <c r="F74" s="33" t="n"/>
      <c r="G74" s="33" t="n"/>
      <c r="H74" s="33" t="n"/>
      <c r="I74" s="35">
        <f>IF(H74="Yes",N(D74),IF(B74="","",0))</f>
        <v/>
      </c>
      <c r="J74" s="14" t="n"/>
      <c r="K74" s="14" t="n"/>
      <c r="L74" s="34" t="n"/>
      <c r="M74" s="14" t="n"/>
      <c r="N74" s="33" t="n"/>
    </row>
    <row r="75">
      <c r="B75" s="14" t="n"/>
      <c r="C75" s="33" t="n"/>
      <c r="D75" s="34" t="n"/>
      <c r="E75" s="14" t="n"/>
      <c r="F75" s="33" t="n"/>
      <c r="G75" s="33" t="n"/>
      <c r="H75" s="33" t="n"/>
      <c r="I75" s="35">
        <f>IF(H75="Yes",N(D75),IF(B75="","",0))</f>
        <v/>
      </c>
      <c r="J75" s="14" t="n"/>
      <c r="K75" s="14" t="n"/>
      <c r="L75" s="34" t="n"/>
      <c r="M75" s="14" t="n"/>
      <c r="N75" s="33" t="n"/>
    </row>
    <row r="76">
      <c r="B76" s="14" t="n"/>
      <c r="C76" s="33" t="n"/>
      <c r="D76" s="34" t="n"/>
      <c r="E76" s="14" t="n"/>
      <c r="F76" s="33" t="n"/>
      <c r="G76" s="33" t="n"/>
      <c r="H76" s="33" t="n"/>
      <c r="I76" s="35">
        <f>IF(H76="Yes",N(D76),IF(B76="","",0))</f>
        <v/>
      </c>
      <c r="J76" s="14" t="n"/>
      <c r="K76" s="14" t="n"/>
      <c r="L76" s="34" t="n"/>
      <c r="M76" s="14" t="n"/>
      <c r="N76" s="33" t="n"/>
    </row>
    <row r="77">
      <c r="B77" s="14" t="n"/>
      <c r="C77" s="33" t="n"/>
      <c r="D77" s="34" t="n"/>
      <c r="E77" s="14" t="n"/>
      <c r="F77" s="33" t="n"/>
      <c r="G77" s="33" t="n"/>
      <c r="H77" s="33" t="n"/>
      <c r="I77" s="35">
        <f>IF(H77="Yes",N(D77),IF(B77="","",0))</f>
        <v/>
      </c>
      <c r="J77" s="14" t="n"/>
      <c r="K77" s="14" t="n"/>
      <c r="L77" s="34" t="n"/>
      <c r="M77" s="14" t="n"/>
      <c r="N77" s="33" t="n"/>
    </row>
    <row r="78">
      <c r="B78" s="14" t="n"/>
      <c r="C78" s="33" t="n"/>
      <c r="D78" s="34" t="n"/>
      <c r="E78" s="14" t="n"/>
      <c r="F78" s="33" t="n"/>
      <c r="G78" s="33" t="n"/>
      <c r="H78" s="33" t="n"/>
      <c r="I78" s="35">
        <f>IF(H78="Yes",N(D78),IF(B78="","",0))</f>
        <v/>
      </c>
      <c r="J78" s="14" t="n"/>
      <c r="K78" s="14" t="n"/>
      <c r="L78" s="34" t="n"/>
      <c r="M78" s="14" t="n"/>
      <c r="N78" s="33" t="n"/>
    </row>
    <row r="79">
      <c r="B79" s="14" t="n"/>
      <c r="C79" s="33" t="n"/>
      <c r="D79" s="34" t="n"/>
      <c r="E79" s="14" t="n"/>
      <c r="F79" s="33" t="n"/>
      <c r="G79" s="33" t="n"/>
      <c r="H79" s="33" t="n"/>
      <c r="I79" s="35">
        <f>IF(H79="Yes",N(D79),IF(B79="","",0))</f>
        <v/>
      </c>
      <c r="J79" s="14" t="n"/>
      <c r="K79" s="14" t="n"/>
      <c r="L79" s="34" t="n"/>
      <c r="M79" s="14" t="n"/>
      <c r="N79" s="33" t="n"/>
    </row>
    <row r="80">
      <c r="B80" s="14" t="n"/>
      <c r="C80" s="33" t="n"/>
      <c r="D80" s="34" t="n"/>
      <c r="E80" s="14" t="n"/>
      <c r="F80" s="33" t="n"/>
      <c r="G80" s="33" t="n"/>
      <c r="H80" s="33" t="n"/>
      <c r="I80" s="35">
        <f>IF(H80="Yes",N(D80),IF(B80="","",0))</f>
        <v/>
      </c>
      <c r="J80" s="14" t="n"/>
      <c r="K80" s="14" t="n"/>
      <c r="L80" s="34" t="n"/>
      <c r="M80" s="14" t="n"/>
      <c r="N80" s="33" t="n"/>
    </row>
    <row r="81">
      <c r="B81" s="14" t="n"/>
      <c r="C81" s="33" t="n"/>
      <c r="D81" s="34" t="n"/>
      <c r="E81" s="14" t="n"/>
      <c r="F81" s="33" t="n"/>
      <c r="G81" s="33" t="n"/>
      <c r="H81" s="33" t="n"/>
      <c r="I81" s="35">
        <f>IF(H81="Yes",N(D81),IF(B81="","",0))</f>
        <v/>
      </c>
      <c r="J81" s="14" t="n"/>
      <c r="K81" s="14" t="n"/>
      <c r="L81" s="34" t="n"/>
      <c r="M81" s="14" t="n"/>
      <c r="N81" s="33" t="n"/>
    </row>
    <row r="82">
      <c r="B82" s="14" t="n"/>
      <c r="C82" s="33" t="n"/>
      <c r="D82" s="34" t="n"/>
      <c r="E82" s="14" t="n"/>
      <c r="F82" s="33" t="n"/>
      <c r="G82" s="33" t="n"/>
      <c r="H82" s="33" t="n"/>
      <c r="I82" s="35">
        <f>IF(H82="Yes",N(D82),IF(B82="","",0))</f>
        <v/>
      </c>
      <c r="J82" s="14" t="n"/>
      <c r="K82" s="14" t="n"/>
      <c r="L82" s="34" t="n"/>
      <c r="M82" s="14" t="n"/>
      <c r="N82" s="33" t="n"/>
    </row>
    <row r="83">
      <c r="B83" s="14" t="n"/>
      <c r="C83" s="33" t="n"/>
      <c r="D83" s="34" t="n"/>
      <c r="E83" s="14" t="n"/>
      <c r="F83" s="33" t="n"/>
      <c r="G83" s="33" t="n"/>
      <c r="H83" s="33" t="n"/>
      <c r="I83" s="35">
        <f>IF(H83="Yes",N(D83),IF(B83="","",0))</f>
        <v/>
      </c>
      <c r="J83" s="14" t="n"/>
      <c r="K83" s="14" t="n"/>
      <c r="L83" s="34" t="n"/>
      <c r="M83" s="14" t="n"/>
      <c r="N83" s="33" t="n"/>
    </row>
    <row r="84">
      <c r="B84" s="14" t="n"/>
      <c r="C84" s="33" t="n"/>
      <c r="D84" s="34" t="n"/>
      <c r="E84" s="14" t="n"/>
      <c r="F84" s="33" t="n"/>
      <c r="G84" s="33" t="n"/>
      <c r="H84" s="33" t="n"/>
      <c r="I84" s="35">
        <f>IF(H84="Yes",N(D84),IF(B84="","",0))</f>
        <v/>
      </c>
      <c r="J84" s="14" t="n"/>
      <c r="K84" s="14" t="n"/>
      <c r="L84" s="34" t="n"/>
      <c r="M84" s="14" t="n"/>
      <c r="N84" s="33" t="n"/>
    </row>
    <row r="85">
      <c r="B85" s="14" t="n"/>
      <c r="C85" s="33" t="n"/>
      <c r="D85" s="34" t="n"/>
      <c r="E85" s="14" t="n"/>
      <c r="F85" s="33" t="n"/>
      <c r="G85" s="33" t="n"/>
      <c r="H85" s="33" t="n"/>
      <c r="I85" s="35">
        <f>IF(H85="Yes",N(D85),IF(B85="","",0))</f>
        <v/>
      </c>
      <c r="J85" s="14" t="n"/>
      <c r="K85" s="14" t="n"/>
      <c r="L85" s="34" t="n"/>
      <c r="M85" s="14" t="n"/>
      <c r="N85" s="33" t="n"/>
    </row>
    <row r="86">
      <c r="B86" s="14" t="n"/>
      <c r="C86" s="33" t="n"/>
      <c r="D86" s="34" t="n"/>
      <c r="E86" s="14" t="n"/>
      <c r="F86" s="33" t="n"/>
      <c r="G86" s="33" t="n"/>
      <c r="H86" s="33" t="n"/>
      <c r="I86" s="35">
        <f>IF(H86="Yes",N(D86),IF(B86="","",0))</f>
        <v/>
      </c>
      <c r="J86" s="14" t="n"/>
      <c r="K86" s="14" t="n"/>
      <c r="L86" s="34" t="n"/>
      <c r="M86" s="14" t="n"/>
      <c r="N86" s="33" t="n"/>
    </row>
    <row r="87">
      <c r="B87" s="14" t="n"/>
      <c r="C87" s="33" t="n"/>
      <c r="D87" s="34" t="n"/>
      <c r="E87" s="14" t="n"/>
      <c r="F87" s="33" t="n"/>
      <c r="G87" s="33" t="n"/>
      <c r="H87" s="33" t="n"/>
      <c r="I87" s="35">
        <f>IF(H87="Yes",N(D87),IF(B87="","",0))</f>
        <v/>
      </c>
      <c r="J87" s="14" t="n"/>
      <c r="K87" s="14" t="n"/>
      <c r="L87" s="34" t="n"/>
      <c r="M87" s="14" t="n"/>
      <c r="N87" s="33" t="n"/>
    </row>
    <row r="88">
      <c r="B88" s="14" t="n"/>
      <c r="C88" s="33" t="n"/>
      <c r="D88" s="34" t="n"/>
      <c r="E88" s="14" t="n"/>
      <c r="F88" s="33" t="n"/>
      <c r="G88" s="33" t="n"/>
      <c r="H88" s="33" t="n"/>
      <c r="I88" s="35">
        <f>IF(H88="Yes",N(D88),IF(B88="","",0))</f>
        <v/>
      </c>
      <c r="J88" s="14" t="n"/>
      <c r="K88" s="14" t="n"/>
      <c r="L88" s="34" t="n"/>
      <c r="M88" s="14" t="n"/>
      <c r="N88" s="33" t="n"/>
    </row>
    <row r="89">
      <c r="B89" s="14" t="n"/>
      <c r="C89" s="33" t="n"/>
      <c r="D89" s="34" t="n"/>
      <c r="E89" s="14" t="n"/>
      <c r="F89" s="33" t="n"/>
      <c r="G89" s="33" t="n"/>
      <c r="H89" s="33" t="n"/>
      <c r="I89" s="35">
        <f>IF(H89="Yes",N(D89),IF(B89="","",0))</f>
        <v/>
      </c>
      <c r="J89" s="14" t="n"/>
      <c r="K89" s="14" t="n"/>
      <c r="L89" s="34" t="n"/>
      <c r="M89" s="14" t="n"/>
      <c r="N89" s="33" t="n"/>
    </row>
    <row r="90">
      <c r="B90" s="14" t="n"/>
      <c r="C90" s="33" t="n"/>
      <c r="D90" s="34" t="n"/>
      <c r="E90" s="14" t="n"/>
      <c r="F90" s="33" t="n"/>
      <c r="G90" s="33" t="n"/>
      <c r="H90" s="33" t="n"/>
      <c r="I90" s="35">
        <f>IF(H90="Yes",N(D90),IF(B90="","",0))</f>
        <v/>
      </c>
      <c r="J90" s="14" t="n"/>
      <c r="K90" s="14" t="n"/>
      <c r="L90" s="34" t="n"/>
      <c r="M90" s="14" t="n"/>
      <c r="N90" s="33" t="n"/>
    </row>
    <row r="91">
      <c r="B91" s="14" t="n"/>
      <c r="C91" s="33" t="n"/>
      <c r="D91" s="34" t="n"/>
      <c r="E91" s="14" t="n"/>
      <c r="F91" s="33" t="n"/>
      <c r="G91" s="33" t="n"/>
      <c r="H91" s="33" t="n"/>
      <c r="I91" s="35">
        <f>IF(H91="Yes",N(D91),IF(B91="","",0))</f>
        <v/>
      </c>
      <c r="J91" s="14" t="n"/>
      <c r="K91" s="14" t="n"/>
      <c r="L91" s="34" t="n"/>
      <c r="M91" s="14" t="n"/>
      <c r="N91" s="33" t="n"/>
    </row>
    <row r="92">
      <c r="B92" s="14" t="n"/>
      <c r="C92" s="33" t="n"/>
      <c r="D92" s="34" t="n"/>
      <c r="E92" s="14" t="n"/>
      <c r="F92" s="33" t="n"/>
      <c r="G92" s="33" t="n"/>
      <c r="H92" s="33" t="n"/>
      <c r="I92" s="35">
        <f>IF(H92="Yes",N(D92),IF(B92="","",0))</f>
        <v/>
      </c>
      <c r="J92" s="14" t="n"/>
      <c r="K92" s="14" t="n"/>
      <c r="L92" s="34" t="n"/>
      <c r="M92" s="14" t="n"/>
      <c r="N92" s="33" t="n"/>
    </row>
    <row r="93">
      <c r="B93" s="14" t="n"/>
      <c r="C93" s="33" t="n"/>
      <c r="D93" s="34" t="n"/>
      <c r="E93" s="14" t="n"/>
      <c r="F93" s="33" t="n"/>
      <c r="G93" s="33" t="n"/>
      <c r="H93" s="33" t="n"/>
      <c r="I93" s="35">
        <f>IF(H93="Yes",N(D93),IF(B93="","",0))</f>
        <v/>
      </c>
      <c r="J93" s="14" t="n"/>
      <c r="K93" s="14" t="n"/>
      <c r="L93" s="34" t="n"/>
      <c r="M93" s="14" t="n"/>
      <c r="N93" s="33" t="n"/>
    </row>
    <row r="94">
      <c r="B94" s="14" t="n"/>
      <c r="C94" s="33" t="n"/>
      <c r="D94" s="34" t="n"/>
      <c r="E94" s="14" t="n"/>
      <c r="F94" s="33" t="n"/>
      <c r="G94" s="33" t="n"/>
      <c r="H94" s="33" t="n"/>
      <c r="I94" s="35">
        <f>IF(H94="Yes",N(D94),IF(B94="","",0))</f>
        <v/>
      </c>
      <c r="J94" s="14" t="n"/>
      <c r="K94" s="14" t="n"/>
      <c r="L94" s="34" t="n"/>
      <c r="M94" s="14" t="n"/>
      <c r="N94" s="33" t="n"/>
    </row>
    <row r="95">
      <c r="B95" s="14" t="n"/>
      <c r="C95" s="33" t="n"/>
      <c r="D95" s="34" t="n"/>
      <c r="E95" s="14" t="n"/>
      <c r="F95" s="33" t="n"/>
      <c r="G95" s="33" t="n"/>
      <c r="H95" s="33" t="n"/>
      <c r="I95" s="35">
        <f>IF(H95="Yes",N(D95),IF(B95="","",0))</f>
        <v/>
      </c>
      <c r="J95" s="14" t="n"/>
      <c r="K95" s="14" t="n"/>
      <c r="L95" s="34" t="n"/>
      <c r="M95" s="14" t="n"/>
      <c r="N95" s="33" t="n"/>
    </row>
    <row r="96">
      <c r="B96" s="14" t="n"/>
      <c r="C96" s="33" t="n"/>
      <c r="D96" s="34" t="n"/>
      <c r="E96" s="14" t="n"/>
      <c r="F96" s="33" t="n"/>
      <c r="G96" s="33" t="n"/>
      <c r="H96" s="33" t="n"/>
      <c r="I96" s="35">
        <f>IF(H96="Yes",N(D96),IF(B96="","",0))</f>
        <v/>
      </c>
      <c r="J96" s="14" t="n"/>
      <c r="K96" s="14" t="n"/>
      <c r="L96" s="34" t="n"/>
      <c r="M96" s="14" t="n"/>
      <c r="N96" s="33" t="n"/>
    </row>
    <row r="97">
      <c r="B97" s="14" t="n"/>
      <c r="C97" s="33" t="n"/>
      <c r="D97" s="34" t="n"/>
      <c r="E97" s="14" t="n"/>
      <c r="F97" s="33" t="n"/>
      <c r="G97" s="33" t="n"/>
      <c r="H97" s="33" t="n"/>
      <c r="I97" s="35">
        <f>IF(H97="Yes",N(D97),IF(B97="","",0))</f>
        <v/>
      </c>
      <c r="J97" s="14" t="n"/>
      <c r="K97" s="14" t="n"/>
      <c r="L97" s="34" t="n"/>
      <c r="M97" s="14" t="n"/>
      <c r="N97" s="33" t="n"/>
    </row>
    <row r="98">
      <c r="B98" s="14" t="n"/>
      <c r="C98" s="33" t="n"/>
      <c r="D98" s="34" t="n"/>
      <c r="E98" s="14" t="n"/>
      <c r="F98" s="33" t="n"/>
      <c r="G98" s="33" t="n"/>
      <c r="H98" s="33" t="n"/>
      <c r="I98" s="35">
        <f>IF(H98="Yes",N(D98),IF(B98="","",0))</f>
        <v/>
      </c>
      <c r="J98" s="14" t="n"/>
      <c r="K98" s="14" t="n"/>
      <c r="L98" s="34" t="n"/>
      <c r="M98" s="14" t="n"/>
      <c r="N98" s="33" t="n"/>
    </row>
    <row r="99">
      <c r="B99" s="14" t="n"/>
      <c r="C99" s="33" t="n"/>
      <c r="D99" s="34" t="n"/>
      <c r="E99" s="14" t="n"/>
      <c r="F99" s="33" t="n"/>
      <c r="G99" s="33" t="n"/>
      <c r="H99" s="33" t="n"/>
      <c r="I99" s="35">
        <f>IF(H99="Yes",N(D99),IF(B99="","",0))</f>
        <v/>
      </c>
      <c r="J99" s="14" t="n"/>
      <c r="K99" s="14" t="n"/>
      <c r="L99" s="34" t="n"/>
      <c r="M99" s="14" t="n"/>
      <c r="N99" s="33" t="n"/>
    </row>
    <row r="100">
      <c r="B100" s="14" t="n"/>
      <c r="C100" s="33" t="n"/>
      <c r="D100" s="34" t="n"/>
      <c r="E100" s="14" t="n"/>
      <c r="F100" s="33" t="n"/>
      <c r="G100" s="33" t="n"/>
      <c r="H100" s="33" t="n"/>
      <c r="I100" s="35">
        <f>IF(H100="Yes",N(D100),IF(B100="","",0))</f>
        <v/>
      </c>
      <c r="J100" s="14" t="n"/>
      <c r="K100" s="14" t="n"/>
      <c r="L100" s="34" t="n"/>
      <c r="M100" s="14" t="n"/>
      <c r="N100" s="33" t="n"/>
    </row>
    <row r="101">
      <c r="B101" s="14" t="n"/>
      <c r="C101" s="33" t="n"/>
      <c r="D101" s="34" t="n"/>
      <c r="E101" s="14" t="n"/>
      <c r="F101" s="33" t="n"/>
      <c r="G101" s="33" t="n"/>
      <c r="H101" s="33" t="n"/>
      <c r="I101" s="35">
        <f>IF(H101="Yes",N(D101),IF(B101="","",0))</f>
        <v/>
      </c>
      <c r="J101" s="14" t="n"/>
      <c r="K101" s="14" t="n"/>
      <c r="L101" s="34" t="n"/>
      <c r="M101" s="14" t="n"/>
      <c r="N101" s="33" t="n"/>
    </row>
    <row r="102">
      <c r="B102" s="14" t="n"/>
      <c r="C102" s="33" t="n"/>
      <c r="D102" s="34" t="n"/>
      <c r="E102" s="14" t="n"/>
      <c r="F102" s="33" t="n"/>
      <c r="G102" s="33" t="n"/>
      <c r="H102" s="33" t="n"/>
      <c r="I102" s="35">
        <f>IF(H102="Yes",N(D102),IF(B102="","",0))</f>
        <v/>
      </c>
      <c r="J102" s="14" t="n"/>
      <c r="K102" s="14" t="n"/>
      <c r="L102" s="34" t="n"/>
      <c r="M102" s="14" t="n"/>
      <c r="N102" s="33" t="n"/>
    </row>
    <row r="103">
      <c r="B103" s="14" t="n"/>
      <c r="C103" s="33" t="n"/>
      <c r="D103" s="34" t="n"/>
      <c r="E103" s="14" t="n"/>
      <c r="F103" s="33" t="n"/>
      <c r="G103" s="33" t="n"/>
      <c r="H103" s="33" t="n"/>
      <c r="I103" s="35">
        <f>IF(H103="Yes",N(D103),IF(B103="","",0))</f>
        <v/>
      </c>
      <c r="J103" s="14" t="n"/>
      <c r="K103" s="14" t="n"/>
      <c r="L103" s="34" t="n"/>
      <c r="M103" s="14" t="n"/>
      <c r="N103" s="33" t="n"/>
    </row>
    <row r="104">
      <c r="B104" s="14" t="n"/>
      <c r="C104" s="33" t="n"/>
      <c r="D104" s="34" t="n"/>
      <c r="E104" s="14" t="n"/>
      <c r="F104" s="33" t="n"/>
      <c r="G104" s="33" t="n"/>
      <c r="H104" s="33" t="n"/>
      <c r="I104" s="35">
        <f>IF(H104="Yes",N(D104),IF(B104="","",0))</f>
        <v/>
      </c>
      <c r="J104" s="14" t="n"/>
      <c r="K104" s="14" t="n"/>
      <c r="L104" s="34" t="n"/>
      <c r="M104" s="14" t="n"/>
      <c r="N104" s="33" t="n"/>
    </row>
    <row r="105">
      <c r="B105" s="14" t="n"/>
      <c r="C105" s="33" t="n"/>
      <c r="D105" s="34" t="n"/>
      <c r="E105" s="14" t="n"/>
      <c r="F105" s="33" t="n"/>
      <c r="G105" s="33" t="n"/>
      <c r="H105" s="33" t="n"/>
      <c r="I105" s="35">
        <f>IF(H105="Yes",N(D105),IF(B105="","",0))</f>
        <v/>
      </c>
      <c r="J105" s="14" t="n"/>
      <c r="K105" s="14" t="n"/>
      <c r="L105" s="34" t="n"/>
      <c r="M105" s="14" t="n"/>
      <c r="N105" s="33" t="n"/>
    </row>
    <row r="106">
      <c r="B106" s="14" t="n"/>
      <c r="C106" s="33" t="n"/>
      <c r="D106" s="34" t="n"/>
      <c r="E106" s="14" t="n"/>
      <c r="F106" s="33" t="n"/>
      <c r="G106" s="33" t="n"/>
      <c r="H106" s="33" t="n"/>
      <c r="I106" s="35">
        <f>IF(H106="Yes",N(D106),IF(B106="","",0))</f>
        <v/>
      </c>
      <c r="J106" s="14" t="n"/>
      <c r="K106" s="14" t="n"/>
      <c r="L106" s="34" t="n"/>
      <c r="M106" s="14" t="n"/>
      <c r="N106" s="33" t="n"/>
    </row>
    <row r="107">
      <c r="B107" s="14" t="n"/>
      <c r="C107" s="33" t="n"/>
      <c r="D107" s="34" t="n"/>
      <c r="E107" s="14" t="n"/>
      <c r="F107" s="33" t="n"/>
      <c r="G107" s="33" t="n"/>
      <c r="H107" s="33" t="n"/>
      <c r="I107" s="35">
        <f>IF(H107="Yes",N(D107),IF(B107="","",0))</f>
        <v/>
      </c>
      <c r="J107" s="14" t="n"/>
      <c r="K107" s="14" t="n"/>
      <c r="L107" s="34" t="n"/>
      <c r="M107" s="14" t="n"/>
      <c r="N107" s="33" t="n"/>
    </row>
    <row r="108">
      <c r="B108" s="14" t="n"/>
      <c r="C108" s="33" t="n"/>
      <c r="D108" s="34" t="n"/>
      <c r="E108" s="14" t="n"/>
      <c r="F108" s="33" t="n"/>
      <c r="G108" s="33" t="n"/>
      <c r="H108" s="33" t="n"/>
      <c r="I108" s="35">
        <f>IF(H108="Yes",N(D108),IF(B108="","",0))</f>
        <v/>
      </c>
      <c r="J108" s="14" t="n"/>
      <c r="K108" s="14" t="n"/>
      <c r="L108" s="34" t="n"/>
      <c r="M108" s="14" t="n"/>
      <c r="N108" s="33" t="n"/>
    </row>
    <row r="109">
      <c r="B109" s="14" t="n"/>
      <c r="C109" s="33" t="n"/>
      <c r="D109" s="34" t="n"/>
      <c r="E109" s="14" t="n"/>
      <c r="F109" s="33" t="n"/>
      <c r="G109" s="33" t="n"/>
      <c r="H109" s="33" t="n"/>
      <c r="I109" s="35">
        <f>IF(H109="Yes",N(D109),IF(B109="","",0))</f>
        <v/>
      </c>
      <c r="J109" s="14" t="n"/>
      <c r="K109" s="14" t="n"/>
      <c r="L109" s="34" t="n"/>
      <c r="M109" s="14" t="n"/>
      <c r="N109" s="33" t="n"/>
    </row>
    <row r="110">
      <c r="B110" s="14" t="n"/>
      <c r="C110" s="33" t="n"/>
      <c r="D110" s="34" t="n"/>
      <c r="E110" s="14" t="n"/>
      <c r="F110" s="33" t="n"/>
      <c r="G110" s="33" t="n"/>
      <c r="H110" s="33" t="n"/>
      <c r="I110" s="35">
        <f>IF(H110="Yes",N(D110),IF(B110="","",0))</f>
        <v/>
      </c>
      <c r="J110" s="14" t="n"/>
      <c r="K110" s="14" t="n"/>
      <c r="L110" s="34" t="n"/>
      <c r="M110" s="14" t="n"/>
      <c r="N110" s="33" t="n"/>
    </row>
    <row r="111">
      <c r="B111" s="14" t="n"/>
      <c r="C111" s="33" t="n"/>
      <c r="D111" s="34" t="n"/>
      <c r="E111" s="14" t="n"/>
      <c r="F111" s="33" t="n"/>
      <c r="G111" s="33" t="n"/>
      <c r="H111" s="33" t="n"/>
      <c r="I111" s="35">
        <f>IF(H111="Yes",N(D111),IF(B111="","",0))</f>
        <v/>
      </c>
      <c r="J111" s="14" t="n"/>
      <c r="K111" s="14" t="n"/>
      <c r="L111" s="34" t="n"/>
      <c r="M111" s="14" t="n"/>
      <c r="N111" s="33" t="n"/>
    </row>
    <row r="112">
      <c r="B112" s="14" t="n"/>
      <c r="C112" s="33" t="n"/>
      <c r="D112" s="34" t="n"/>
      <c r="E112" s="14" t="n"/>
      <c r="F112" s="33" t="n"/>
      <c r="G112" s="33" t="n"/>
      <c r="H112" s="33" t="n"/>
      <c r="I112" s="35">
        <f>IF(H112="Yes",N(D112),IF(B112="","",0))</f>
        <v/>
      </c>
      <c r="J112" s="14" t="n"/>
      <c r="K112" s="14" t="n"/>
      <c r="L112" s="34" t="n"/>
      <c r="M112" s="14" t="n"/>
      <c r="N112" s="33" t="n"/>
    </row>
    <row r="113">
      <c r="B113" s="14" t="n"/>
      <c r="C113" s="33" t="n"/>
      <c r="D113" s="34" t="n"/>
      <c r="E113" s="14" t="n"/>
      <c r="F113" s="33" t="n"/>
      <c r="G113" s="33" t="n"/>
      <c r="H113" s="33" t="n"/>
      <c r="I113" s="35">
        <f>IF(H113="Yes",N(D113),IF(B113="","",0))</f>
        <v/>
      </c>
      <c r="J113" s="14" t="n"/>
      <c r="K113" s="14" t="n"/>
      <c r="L113" s="34" t="n"/>
      <c r="M113" s="14" t="n"/>
      <c r="N113" s="33" t="n"/>
    </row>
    <row r="114">
      <c r="B114" s="14" t="n"/>
      <c r="C114" s="33" t="n"/>
      <c r="D114" s="34" t="n"/>
      <c r="E114" s="14" t="n"/>
      <c r="F114" s="33" t="n"/>
      <c r="G114" s="33" t="n"/>
      <c r="H114" s="33" t="n"/>
      <c r="I114" s="35">
        <f>IF(H114="Yes",N(D114),IF(B114="","",0))</f>
        <v/>
      </c>
      <c r="J114" s="14" t="n"/>
      <c r="K114" s="14" t="n"/>
      <c r="L114" s="34" t="n"/>
      <c r="M114" s="14" t="n"/>
      <c r="N114" s="33" t="n"/>
    </row>
    <row r="115">
      <c r="B115" s="14" t="n"/>
      <c r="C115" s="33" t="n"/>
      <c r="D115" s="34" t="n"/>
      <c r="E115" s="14" t="n"/>
      <c r="F115" s="33" t="n"/>
      <c r="G115" s="33" t="n"/>
      <c r="H115" s="33" t="n"/>
      <c r="I115" s="35">
        <f>IF(H115="Yes",N(D115),IF(B115="","",0))</f>
        <v/>
      </c>
      <c r="J115" s="14" t="n"/>
      <c r="K115" s="14" t="n"/>
      <c r="L115" s="34" t="n"/>
      <c r="M115" s="14" t="n"/>
      <c r="N115" s="33" t="n"/>
    </row>
    <row r="116">
      <c r="B116" s="14" t="n"/>
      <c r="C116" s="33" t="n"/>
      <c r="D116" s="34" t="n"/>
      <c r="E116" s="14" t="n"/>
      <c r="F116" s="33" t="n"/>
      <c r="G116" s="33" t="n"/>
      <c r="H116" s="33" t="n"/>
      <c r="I116" s="35">
        <f>IF(H116="Yes",N(D116),IF(B116="","",0))</f>
        <v/>
      </c>
      <c r="J116" s="14" t="n"/>
      <c r="K116" s="14" t="n"/>
      <c r="L116" s="34" t="n"/>
      <c r="M116" s="14" t="n"/>
      <c r="N116" s="33" t="n"/>
    </row>
    <row r="117">
      <c r="B117" s="14" t="n"/>
      <c r="C117" s="33" t="n"/>
      <c r="D117" s="34" t="n"/>
      <c r="E117" s="14" t="n"/>
      <c r="F117" s="33" t="n"/>
      <c r="G117" s="33" t="n"/>
      <c r="H117" s="33" t="n"/>
      <c r="I117" s="35">
        <f>IF(H117="Yes",N(D117),IF(B117="","",0))</f>
        <v/>
      </c>
      <c r="J117" s="14" t="n"/>
      <c r="K117" s="14" t="n"/>
      <c r="L117" s="34" t="n"/>
      <c r="M117" s="14" t="n"/>
      <c r="N117" s="33" t="n"/>
    </row>
    <row r="118">
      <c r="B118" s="14" t="n"/>
      <c r="C118" s="33" t="n"/>
      <c r="D118" s="34" t="n"/>
      <c r="E118" s="14" t="n"/>
      <c r="F118" s="33" t="n"/>
      <c r="G118" s="33" t="n"/>
      <c r="H118" s="33" t="n"/>
      <c r="I118" s="35">
        <f>IF(H118="Yes",N(D118),IF(B118="","",0))</f>
        <v/>
      </c>
      <c r="J118" s="14" t="n"/>
      <c r="K118" s="14" t="n"/>
      <c r="L118" s="34" t="n"/>
      <c r="M118" s="14" t="n"/>
      <c r="N118" s="33" t="n"/>
    </row>
    <row r="119">
      <c r="B119" s="14" t="n"/>
      <c r="C119" s="33" t="n"/>
      <c r="D119" s="34" t="n"/>
      <c r="E119" s="14" t="n"/>
      <c r="F119" s="33" t="n"/>
      <c r="G119" s="33" t="n"/>
      <c r="H119" s="33" t="n"/>
      <c r="I119" s="35">
        <f>IF(H119="Yes",N(D119),IF(B119="","",0))</f>
        <v/>
      </c>
      <c r="J119" s="14" t="n"/>
      <c r="K119" s="14" t="n"/>
      <c r="L119" s="34" t="n"/>
      <c r="M119" s="14" t="n"/>
      <c r="N119" s="33" t="n"/>
    </row>
    <row r="120">
      <c r="B120" s="14" t="n"/>
      <c r="C120" s="33" t="n"/>
      <c r="D120" s="34" t="n"/>
      <c r="E120" s="14" t="n"/>
      <c r="F120" s="33" t="n"/>
      <c r="G120" s="33" t="n"/>
      <c r="H120" s="33" t="n"/>
      <c r="I120" s="35">
        <f>IF(H120="Yes",N(D120),IF(B120="","",0))</f>
        <v/>
      </c>
      <c r="J120" s="14" t="n"/>
      <c r="K120" s="14" t="n"/>
      <c r="L120" s="34" t="n"/>
      <c r="M120" s="14" t="n"/>
      <c r="N120" s="33" t="n"/>
    </row>
    <row r="121">
      <c r="B121" s="14" t="n"/>
      <c r="C121" s="33" t="n"/>
      <c r="D121" s="34" t="n"/>
      <c r="E121" s="14" t="n"/>
      <c r="F121" s="33" t="n"/>
      <c r="G121" s="33" t="n"/>
      <c r="H121" s="33" t="n"/>
      <c r="I121" s="35">
        <f>IF(H121="Yes",N(D121),IF(B121="","",0))</f>
        <v/>
      </c>
      <c r="J121" s="14" t="n"/>
      <c r="K121" s="14" t="n"/>
      <c r="L121" s="34" t="n"/>
      <c r="M121" s="14" t="n"/>
      <c r="N121" s="33" t="n"/>
    </row>
    <row r="122">
      <c r="B122" s="14" t="n"/>
      <c r="C122" s="33" t="n"/>
      <c r="D122" s="34" t="n"/>
      <c r="E122" s="14" t="n"/>
      <c r="F122" s="33" t="n"/>
      <c r="G122" s="33" t="n"/>
      <c r="H122" s="33" t="n"/>
      <c r="I122" s="35">
        <f>IF(H122="Yes",N(D122),IF(B122="","",0))</f>
        <v/>
      </c>
      <c r="J122" s="14" t="n"/>
      <c r="K122" s="14" t="n"/>
      <c r="L122" s="34" t="n"/>
      <c r="M122" s="14" t="n"/>
      <c r="N122" s="33" t="n"/>
    </row>
    <row r="123">
      <c r="B123" s="14" t="n"/>
      <c r="C123" s="33" t="n"/>
      <c r="D123" s="34" t="n"/>
      <c r="E123" s="14" t="n"/>
      <c r="F123" s="33" t="n"/>
      <c r="G123" s="33" t="n"/>
      <c r="H123" s="33" t="n"/>
      <c r="I123" s="35">
        <f>IF(H123="Yes",N(D123),IF(B123="","",0))</f>
        <v/>
      </c>
      <c r="J123" s="14" t="n"/>
      <c r="K123" s="14" t="n"/>
      <c r="L123" s="34" t="n"/>
      <c r="M123" s="14" t="n"/>
      <c r="N123" s="33" t="n"/>
    </row>
    <row r="124">
      <c r="B124" s="14" t="n"/>
      <c r="C124" s="33" t="n"/>
      <c r="D124" s="34" t="n"/>
      <c r="E124" s="14" t="n"/>
      <c r="F124" s="33" t="n"/>
      <c r="G124" s="33" t="n"/>
      <c r="H124" s="33" t="n"/>
      <c r="I124" s="35">
        <f>IF(H124="Yes",N(D124),IF(B124="","",0))</f>
        <v/>
      </c>
      <c r="J124" s="14" t="n"/>
      <c r="K124" s="14" t="n"/>
      <c r="L124" s="34" t="n"/>
      <c r="M124" s="14" t="n"/>
      <c r="N124" s="33" t="n"/>
    </row>
    <row r="125">
      <c r="B125" s="14" t="n"/>
      <c r="C125" s="33" t="n"/>
      <c r="D125" s="34" t="n"/>
      <c r="E125" s="14" t="n"/>
      <c r="F125" s="33" t="n"/>
      <c r="G125" s="33" t="n"/>
      <c r="H125" s="33" t="n"/>
      <c r="I125" s="35">
        <f>IF(H125="Yes",N(D125),IF(B125="","",0))</f>
        <v/>
      </c>
      <c r="J125" s="14" t="n"/>
      <c r="K125" s="14" t="n"/>
      <c r="L125" s="34" t="n"/>
      <c r="M125" s="14" t="n"/>
      <c r="N125" s="33" t="n"/>
    </row>
    <row r="126">
      <c r="B126" s="14" t="n"/>
      <c r="C126" s="33" t="n"/>
      <c r="D126" s="34" t="n"/>
      <c r="E126" s="14" t="n"/>
      <c r="F126" s="33" t="n"/>
      <c r="G126" s="33" t="n"/>
      <c r="H126" s="33" t="n"/>
      <c r="I126" s="35">
        <f>IF(H126="Yes",N(D126),IF(B126="","",0))</f>
        <v/>
      </c>
      <c r="J126" s="14" t="n"/>
      <c r="K126" s="14" t="n"/>
      <c r="L126" s="34" t="n"/>
      <c r="M126" s="14" t="n"/>
      <c r="N126" s="33" t="n"/>
    </row>
    <row r="127">
      <c r="B127" s="14" t="n"/>
      <c r="C127" s="33" t="n"/>
      <c r="D127" s="34" t="n"/>
      <c r="E127" s="14" t="n"/>
      <c r="F127" s="33" t="n"/>
      <c r="G127" s="33" t="n"/>
      <c r="H127" s="33" t="n"/>
      <c r="I127" s="35">
        <f>IF(H127="Yes",N(D127),IF(B127="","",0))</f>
        <v/>
      </c>
      <c r="J127" s="14" t="n"/>
      <c r="K127" s="14" t="n"/>
      <c r="L127" s="34" t="n"/>
      <c r="M127" s="14" t="n"/>
      <c r="N127" s="33" t="n"/>
    </row>
    <row r="128">
      <c r="B128" s="14" t="n"/>
      <c r="C128" s="33" t="n"/>
      <c r="D128" s="34" t="n"/>
      <c r="E128" s="14" t="n"/>
      <c r="F128" s="33" t="n"/>
      <c r="G128" s="33" t="n"/>
      <c r="H128" s="33" t="n"/>
      <c r="I128" s="35">
        <f>IF(H128="Yes",N(D128),IF(B128="","",0))</f>
        <v/>
      </c>
      <c r="J128" s="14" t="n"/>
      <c r="K128" s="14" t="n"/>
      <c r="L128" s="34" t="n"/>
      <c r="M128" s="14" t="n"/>
      <c r="N128" s="33" t="n"/>
    </row>
    <row r="129">
      <c r="B129" s="14" t="n"/>
      <c r="C129" s="33" t="n"/>
      <c r="D129" s="34" t="n"/>
      <c r="E129" s="14" t="n"/>
      <c r="F129" s="33" t="n"/>
      <c r="G129" s="33" t="n"/>
      <c r="H129" s="33" t="n"/>
      <c r="I129" s="35">
        <f>IF(H129="Yes",N(D129),IF(B129="","",0))</f>
        <v/>
      </c>
      <c r="J129" s="14" t="n"/>
      <c r="K129" s="14" t="n"/>
      <c r="L129" s="34" t="n"/>
      <c r="M129" s="14" t="n"/>
      <c r="N129" s="33" t="n"/>
    </row>
    <row r="130">
      <c r="B130" s="14" t="n"/>
      <c r="C130" s="33" t="n"/>
      <c r="D130" s="34" t="n"/>
      <c r="E130" s="14" t="n"/>
      <c r="F130" s="33" t="n"/>
      <c r="G130" s="33" t="n"/>
      <c r="H130" s="33" t="n"/>
      <c r="I130" s="35">
        <f>IF(H130="Yes",N(D130),IF(B130="","",0))</f>
        <v/>
      </c>
      <c r="J130" s="14" t="n"/>
      <c r="K130" s="14" t="n"/>
      <c r="L130" s="34" t="n"/>
      <c r="M130" s="14" t="n"/>
      <c r="N130" s="33" t="n"/>
    </row>
    <row r="131">
      <c r="B131" s="14" t="n"/>
      <c r="C131" s="33" t="n"/>
      <c r="D131" s="34" t="n"/>
      <c r="E131" s="14" t="n"/>
      <c r="F131" s="33" t="n"/>
      <c r="G131" s="33" t="n"/>
      <c r="H131" s="33" t="n"/>
      <c r="I131" s="35">
        <f>IF(H131="Yes",N(D131),IF(B131="","",0))</f>
        <v/>
      </c>
      <c r="J131" s="14" t="n"/>
      <c r="K131" s="14" t="n"/>
      <c r="L131" s="34" t="n"/>
      <c r="M131" s="14" t="n"/>
      <c r="N131" s="33" t="n"/>
    </row>
    <row r="132">
      <c r="B132" s="14" t="n"/>
      <c r="C132" s="33" t="n"/>
      <c r="D132" s="34" t="n"/>
      <c r="E132" s="14" t="n"/>
      <c r="F132" s="33" t="n"/>
      <c r="G132" s="33" t="n"/>
      <c r="H132" s="33" t="n"/>
      <c r="I132" s="35">
        <f>IF(H132="Yes",N(D132),IF(B132="","",0))</f>
        <v/>
      </c>
      <c r="J132" s="14" t="n"/>
      <c r="K132" s="14" t="n"/>
      <c r="L132" s="34" t="n"/>
      <c r="M132" s="14" t="n"/>
      <c r="N132" s="33" t="n"/>
    </row>
    <row r="133">
      <c r="B133" s="14" t="n"/>
      <c r="C133" s="33" t="n"/>
      <c r="D133" s="34" t="n"/>
      <c r="E133" s="14" t="n"/>
      <c r="F133" s="33" t="n"/>
      <c r="G133" s="33" t="n"/>
      <c r="H133" s="33" t="n"/>
      <c r="I133" s="35">
        <f>IF(H133="Yes",N(D133),IF(B133="","",0))</f>
        <v/>
      </c>
      <c r="J133" s="14" t="n"/>
      <c r="K133" s="14" t="n"/>
      <c r="L133" s="34" t="n"/>
      <c r="M133" s="14" t="n"/>
      <c r="N133" s="33" t="n"/>
    </row>
    <row r="134">
      <c r="B134" s="14" t="n"/>
      <c r="C134" s="33" t="n"/>
      <c r="D134" s="34" t="n"/>
      <c r="E134" s="14" t="n"/>
      <c r="F134" s="33" t="n"/>
      <c r="G134" s="33" t="n"/>
      <c r="H134" s="33" t="n"/>
      <c r="I134" s="35">
        <f>IF(H134="Yes",N(D134),IF(B134="","",0))</f>
        <v/>
      </c>
      <c r="J134" s="14" t="n"/>
      <c r="K134" s="14" t="n"/>
      <c r="L134" s="34" t="n"/>
      <c r="M134" s="14" t="n"/>
      <c r="N134" s="33" t="n"/>
    </row>
    <row r="135">
      <c r="B135" s="14" t="n"/>
      <c r="C135" s="33" t="n"/>
      <c r="D135" s="34" t="n"/>
      <c r="E135" s="14" t="n"/>
      <c r="F135" s="33" t="n"/>
      <c r="G135" s="33" t="n"/>
      <c r="H135" s="33" t="n"/>
      <c r="I135" s="35">
        <f>IF(H135="Yes",N(D135),IF(B135="","",0))</f>
        <v/>
      </c>
      <c r="J135" s="14" t="n"/>
      <c r="K135" s="14" t="n"/>
      <c r="L135" s="34" t="n"/>
      <c r="M135" s="14" t="n"/>
      <c r="N135" s="33" t="n"/>
    </row>
    <row r="136">
      <c r="B136" s="14" t="n"/>
      <c r="C136" s="33" t="n"/>
      <c r="D136" s="34" t="n"/>
      <c r="E136" s="14" t="n"/>
      <c r="F136" s="33" t="n"/>
      <c r="G136" s="33" t="n"/>
      <c r="H136" s="33" t="n"/>
      <c r="I136" s="35">
        <f>IF(H136="Yes",N(D136),IF(B136="","",0))</f>
        <v/>
      </c>
      <c r="J136" s="14" t="n"/>
      <c r="K136" s="14" t="n"/>
      <c r="L136" s="34" t="n"/>
      <c r="M136" s="14" t="n"/>
      <c r="N136" s="33" t="n"/>
    </row>
    <row r="137">
      <c r="B137" s="14" t="n"/>
      <c r="C137" s="33" t="n"/>
      <c r="D137" s="34" t="n"/>
      <c r="E137" s="14" t="n"/>
      <c r="F137" s="33" t="n"/>
      <c r="G137" s="33" t="n"/>
      <c r="H137" s="33" t="n"/>
      <c r="I137" s="35">
        <f>IF(H137="Yes",N(D137),IF(B137="","",0))</f>
        <v/>
      </c>
      <c r="J137" s="14" t="n"/>
      <c r="K137" s="14" t="n"/>
      <c r="L137" s="34" t="n"/>
      <c r="M137" s="14" t="n"/>
      <c r="N137" s="33" t="n"/>
    </row>
    <row r="138">
      <c r="B138" s="14" t="n"/>
      <c r="C138" s="33" t="n"/>
      <c r="D138" s="34" t="n"/>
      <c r="E138" s="14" t="n"/>
      <c r="F138" s="33" t="n"/>
      <c r="G138" s="33" t="n"/>
      <c r="H138" s="33" t="n"/>
      <c r="I138" s="35">
        <f>IF(H138="Yes",N(D138),IF(B138="","",0))</f>
        <v/>
      </c>
      <c r="J138" s="14" t="n"/>
      <c r="K138" s="14" t="n"/>
      <c r="L138" s="34" t="n"/>
      <c r="M138" s="14" t="n"/>
      <c r="N138" s="33" t="n"/>
    </row>
    <row r="139">
      <c r="B139" s="14" t="n"/>
      <c r="C139" s="33" t="n"/>
      <c r="D139" s="34" t="n"/>
      <c r="E139" s="14" t="n"/>
      <c r="F139" s="33" t="n"/>
      <c r="G139" s="33" t="n"/>
      <c r="H139" s="33" t="n"/>
      <c r="I139" s="35">
        <f>IF(H139="Yes",N(D139),IF(B139="","",0))</f>
        <v/>
      </c>
      <c r="J139" s="14" t="n"/>
      <c r="K139" s="14" t="n"/>
      <c r="L139" s="34" t="n"/>
      <c r="M139" s="14" t="n"/>
      <c r="N139" s="33" t="n"/>
    </row>
    <row r="140">
      <c r="B140" s="14" t="n"/>
      <c r="C140" s="33" t="n"/>
      <c r="D140" s="34" t="n"/>
      <c r="E140" s="14" t="n"/>
      <c r="F140" s="33" t="n"/>
      <c r="G140" s="33" t="n"/>
      <c r="H140" s="33" t="n"/>
      <c r="I140" s="35">
        <f>IF(H140="Yes",N(D140),IF(B140="","",0))</f>
        <v/>
      </c>
      <c r="J140" s="14" t="n"/>
      <c r="K140" s="14" t="n"/>
      <c r="L140" s="34" t="n"/>
      <c r="M140" s="14" t="n"/>
      <c r="N140" s="33" t="n"/>
    </row>
    <row r="141">
      <c r="B141" s="14" t="n"/>
      <c r="C141" s="33" t="n"/>
      <c r="D141" s="34" t="n"/>
      <c r="E141" s="14" t="n"/>
      <c r="F141" s="33" t="n"/>
      <c r="G141" s="33" t="n"/>
      <c r="H141" s="33" t="n"/>
      <c r="I141" s="35">
        <f>IF(H141="Yes",N(D141),IF(B141="","",0))</f>
        <v/>
      </c>
      <c r="J141" s="14" t="n"/>
      <c r="K141" s="14" t="n"/>
      <c r="L141" s="34" t="n"/>
      <c r="M141" s="14" t="n"/>
      <c r="N141" s="33" t="n"/>
    </row>
    <row r="142">
      <c r="B142" s="14" t="n"/>
      <c r="C142" s="33" t="n"/>
      <c r="D142" s="34" t="n"/>
      <c r="E142" s="14" t="n"/>
      <c r="F142" s="33" t="n"/>
      <c r="G142" s="33" t="n"/>
      <c r="H142" s="33" t="n"/>
      <c r="I142" s="35">
        <f>IF(H142="Yes",N(D142),IF(B142="","",0))</f>
        <v/>
      </c>
      <c r="J142" s="14" t="n"/>
      <c r="K142" s="14" t="n"/>
      <c r="L142" s="34" t="n"/>
      <c r="M142" s="14" t="n"/>
      <c r="N142" s="33" t="n"/>
    </row>
    <row r="143">
      <c r="B143" s="14" t="n"/>
      <c r="C143" s="33" t="n"/>
      <c r="D143" s="34" t="n"/>
      <c r="E143" s="14" t="n"/>
      <c r="F143" s="33" t="n"/>
      <c r="G143" s="33" t="n"/>
      <c r="H143" s="33" t="n"/>
      <c r="I143" s="35">
        <f>IF(H143="Yes",N(D143),IF(B143="","",0))</f>
        <v/>
      </c>
      <c r="J143" s="14" t="n"/>
      <c r="K143" s="14" t="n"/>
      <c r="L143" s="34" t="n"/>
      <c r="M143" s="14" t="n"/>
      <c r="N143" s="33" t="n"/>
    </row>
    <row r="144">
      <c r="B144" s="14" t="n"/>
      <c r="C144" s="33" t="n"/>
      <c r="D144" s="34" t="n"/>
      <c r="E144" s="14" t="n"/>
      <c r="F144" s="33" t="n"/>
      <c r="G144" s="33" t="n"/>
      <c r="H144" s="33" t="n"/>
      <c r="I144" s="35">
        <f>IF(H144="Yes",N(D144),IF(B144="","",0))</f>
        <v/>
      </c>
      <c r="J144" s="14" t="n"/>
      <c r="K144" s="14" t="n"/>
      <c r="L144" s="34" t="n"/>
      <c r="M144" s="14" t="n"/>
      <c r="N144" s="33" t="n"/>
    </row>
    <row r="145">
      <c r="B145" s="14" t="n"/>
      <c r="C145" s="33" t="n"/>
      <c r="D145" s="34" t="n"/>
      <c r="E145" s="14" t="n"/>
      <c r="F145" s="33" t="n"/>
      <c r="G145" s="33" t="n"/>
      <c r="H145" s="33" t="n"/>
      <c r="I145" s="35">
        <f>IF(H145="Yes",N(D145),IF(B145="","",0))</f>
        <v/>
      </c>
      <c r="J145" s="14" t="n"/>
      <c r="K145" s="14" t="n"/>
      <c r="L145" s="34" t="n"/>
      <c r="M145" s="14" t="n"/>
      <c r="N145" s="33" t="n"/>
    </row>
    <row r="146">
      <c r="B146" s="14" t="n"/>
      <c r="C146" s="33" t="n"/>
      <c r="D146" s="34" t="n"/>
      <c r="E146" s="14" t="n"/>
      <c r="F146" s="33" t="n"/>
      <c r="G146" s="33" t="n"/>
      <c r="H146" s="33" t="n"/>
      <c r="I146" s="35">
        <f>IF(H146="Yes",N(D146),IF(B146="","",0))</f>
        <v/>
      </c>
      <c r="J146" s="14" t="n"/>
      <c r="K146" s="14" t="n"/>
      <c r="L146" s="34" t="n"/>
      <c r="M146" s="14" t="n"/>
      <c r="N146" s="33" t="n"/>
    </row>
    <row r="147">
      <c r="B147" s="14" t="n"/>
      <c r="C147" s="33" t="n"/>
      <c r="D147" s="34" t="n"/>
      <c r="E147" s="14" t="n"/>
      <c r="F147" s="33" t="n"/>
      <c r="G147" s="33" t="n"/>
      <c r="H147" s="33" t="n"/>
      <c r="I147" s="35">
        <f>IF(H147="Yes",N(D147),IF(B147="","",0))</f>
        <v/>
      </c>
      <c r="J147" s="14" t="n"/>
      <c r="K147" s="14" t="n"/>
      <c r="L147" s="34" t="n"/>
      <c r="M147" s="14" t="n"/>
      <c r="N147" s="33" t="n"/>
    </row>
    <row r="148">
      <c r="B148" s="14" t="n"/>
      <c r="C148" s="33" t="n"/>
      <c r="D148" s="34" t="n"/>
      <c r="E148" s="14" t="n"/>
      <c r="F148" s="33" t="n"/>
      <c r="G148" s="33" t="n"/>
      <c r="H148" s="33" t="n"/>
      <c r="I148" s="35">
        <f>IF(H148="Yes",N(D148),IF(B148="","",0))</f>
        <v/>
      </c>
      <c r="J148" s="14" t="n"/>
      <c r="K148" s="14" t="n"/>
      <c r="L148" s="34" t="n"/>
      <c r="M148" s="14" t="n"/>
      <c r="N148" s="33" t="n"/>
    </row>
    <row r="149">
      <c r="B149" s="14" t="n"/>
      <c r="C149" s="33" t="n"/>
      <c r="D149" s="34" t="n"/>
      <c r="E149" s="14" t="n"/>
      <c r="F149" s="33" t="n"/>
      <c r="G149" s="33" t="n"/>
      <c r="H149" s="33" t="n"/>
      <c r="I149" s="35">
        <f>IF(H149="Yes",N(D149),IF(B149="","",0))</f>
        <v/>
      </c>
      <c r="J149" s="14" t="n"/>
      <c r="K149" s="14" t="n"/>
      <c r="L149" s="34" t="n"/>
      <c r="M149" s="14" t="n"/>
      <c r="N149" s="33" t="n"/>
    </row>
    <row r="150">
      <c r="B150" s="14" t="n"/>
      <c r="C150" s="33" t="n"/>
      <c r="D150" s="34" t="n"/>
      <c r="E150" s="14" t="n"/>
      <c r="F150" s="33" t="n"/>
      <c r="G150" s="33" t="n"/>
      <c r="H150" s="33" t="n"/>
      <c r="I150" s="35">
        <f>IF(H150="Yes",N(D150),IF(B150="","",0))</f>
        <v/>
      </c>
      <c r="J150" s="14" t="n"/>
      <c r="K150" s="14" t="n"/>
      <c r="L150" s="34" t="n"/>
      <c r="M150" s="14" t="n"/>
      <c r="N150" s="33" t="n"/>
    </row>
    <row r="151">
      <c r="B151" s="14" t="n"/>
      <c r="C151" s="33" t="n"/>
      <c r="D151" s="34" t="n"/>
      <c r="E151" s="14" t="n"/>
      <c r="F151" s="33" t="n"/>
      <c r="G151" s="33" t="n"/>
      <c r="H151" s="33" t="n"/>
      <c r="I151" s="35">
        <f>IF(H151="Yes",N(D151),IF(B151="","",0))</f>
        <v/>
      </c>
      <c r="J151" s="14" t="n"/>
      <c r="K151" s="14" t="n"/>
      <c r="L151" s="34" t="n"/>
      <c r="M151" s="14" t="n"/>
      <c r="N151" s="33" t="n"/>
    </row>
    <row r="152">
      <c r="B152" s="14" t="n"/>
      <c r="C152" s="33" t="n"/>
      <c r="D152" s="34" t="n"/>
      <c r="E152" s="14" t="n"/>
      <c r="F152" s="33" t="n"/>
      <c r="G152" s="33" t="n"/>
      <c r="H152" s="33" t="n"/>
      <c r="I152" s="35">
        <f>IF(H152="Yes",N(D152),IF(B152="","",0))</f>
        <v/>
      </c>
      <c r="J152" s="14" t="n"/>
      <c r="K152" s="14" t="n"/>
      <c r="L152" s="34" t="n"/>
      <c r="M152" s="14" t="n"/>
      <c r="N152" s="33" t="n"/>
    </row>
    <row r="153">
      <c r="B153" s="14" t="n"/>
      <c r="C153" s="33" t="n"/>
      <c r="D153" s="34" t="n"/>
      <c r="E153" s="14" t="n"/>
      <c r="F153" s="33" t="n"/>
      <c r="G153" s="33" t="n"/>
      <c r="H153" s="33" t="n"/>
      <c r="I153" s="35">
        <f>IF(H153="Yes",N(D153),IF(B153="","",0))</f>
        <v/>
      </c>
      <c r="J153" s="14" t="n"/>
      <c r="K153" s="14" t="n"/>
      <c r="L153" s="34" t="n"/>
      <c r="M153" s="14" t="n"/>
      <c r="N153" s="33" t="n"/>
    </row>
    <row r="154">
      <c r="B154" s="14" t="n"/>
      <c r="C154" s="33" t="n"/>
      <c r="D154" s="34" t="n"/>
      <c r="E154" s="14" t="n"/>
      <c r="F154" s="33" t="n"/>
      <c r="G154" s="33" t="n"/>
      <c r="H154" s="33" t="n"/>
      <c r="I154" s="35">
        <f>IF(H154="Yes",N(D154),IF(B154="","",0))</f>
        <v/>
      </c>
      <c r="J154" s="14" t="n"/>
      <c r="K154" s="14" t="n"/>
      <c r="L154" s="34" t="n"/>
      <c r="M154" s="14" t="n"/>
      <c r="N154" s="33" t="n"/>
    </row>
    <row r="155">
      <c r="B155" s="14" t="n"/>
      <c r="C155" s="33" t="n"/>
      <c r="D155" s="34" t="n"/>
      <c r="E155" s="14" t="n"/>
      <c r="F155" s="33" t="n"/>
      <c r="G155" s="33" t="n"/>
      <c r="H155" s="33" t="n"/>
      <c r="I155" s="35">
        <f>IF(H155="Yes",N(D155),IF(B155="","",0))</f>
        <v/>
      </c>
      <c r="J155" s="14" t="n"/>
      <c r="K155" s="14" t="n"/>
      <c r="L155" s="34" t="n"/>
      <c r="M155" s="14" t="n"/>
      <c r="N155" s="33" t="n"/>
    </row>
    <row r="156">
      <c r="B156" s="14" t="n"/>
      <c r="C156" s="33" t="n"/>
      <c r="D156" s="34" t="n"/>
      <c r="E156" s="14" t="n"/>
      <c r="F156" s="33" t="n"/>
      <c r="G156" s="33" t="n"/>
      <c r="H156" s="33" t="n"/>
      <c r="I156" s="35">
        <f>IF(H156="Yes",N(D156),IF(B156="","",0))</f>
        <v/>
      </c>
      <c r="J156" s="14" t="n"/>
      <c r="K156" s="14" t="n"/>
      <c r="L156" s="34" t="n"/>
      <c r="M156" s="14" t="n"/>
      <c r="N156" s="33" t="n"/>
    </row>
    <row r="157">
      <c r="B157" s="14" t="n"/>
      <c r="C157" s="33" t="n"/>
      <c r="D157" s="34" t="n"/>
      <c r="E157" s="14" t="n"/>
      <c r="F157" s="33" t="n"/>
      <c r="G157" s="33" t="n"/>
      <c r="H157" s="33" t="n"/>
      <c r="I157" s="35">
        <f>IF(H157="Yes",N(D157),IF(B157="","",0))</f>
        <v/>
      </c>
      <c r="J157" s="14" t="n"/>
      <c r="K157" s="14" t="n"/>
      <c r="L157" s="34" t="n"/>
      <c r="M157" s="14" t="n"/>
      <c r="N157" s="33" t="n"/>
    </row>
    <row r="158">
      <c r="B158" s="14" t="n"/>
      <c r="C158" s="33" t="n"/>
      <c r="D158" s="34" t="n"/>
      <c r="E158" s="14" t="n"/>
      <c r="F158" s="33" t="n"/>
      <c r="G158" s="33" t="n"/>
      <c r="H158" s="33" t="n"/>
      <c r="I158" s="35">
        <f>IF(H158="Yes",N(D158),IF(B158="","",0))</f>
        <v/>
      </c>
      <c r="J158" s="14" t="n"/>
      <c r="K158" s="14" t="n"/>
      <c r="L158" s="34" t="n"/>
      <c r="M158" s="14" t="n"/>
      <c r="N158" s="33" t="n"/>
    </row>
    <row r="159">
      <c r="B159" s="14" t="n"/>
      <c r="C159" s="33" t="n"/>
      <c r="D159" s="34" t="n"/>
      <c r="E159" s="14" t="n"/>
      <c r="F159" s="33" t="n"/>
      <c r="G159" s="33" t="n"/>
      <c r="H159" s="33" t="n"/>
      <c r="I159" s="35">
        <f>IF(H159="Yes",N(D159),IF(B159="","",0))</f>
        <v/>
      </c>
      <c r="J159" s="14" t="n"/>
      <c r="K159" s="14" t="n"/>
      <c r="L159" s="34" t="n"/>
      <c r="M159" s="14" t="n"/>
      <c r="N159" s="33" t="n"/>
    </row>
    <row r="160">
      <c r="B160" s="14" t="n"/>
      <c r="C160" s="33" t="n"/>
      <c r="D160" s="34" t="n"/>
      <c r="E160" s="14" t="n"/>
      <c r="F160" s="33" t="n"/>
      <c r="G160" s="33" t="n"/>
      <c r="H160" s="33" t="n"/>
      <c r="I160" s="35">
        <f>IF(H160="Yes",N(D160),IF(B160="","",0))</f>
        <v/>
      </c>
      <c r="J160" s="14" t="n"/>
      <c r="K160" s="14" t="n"/>
      <c r="L160" s="34" t="n"/>
      <c r="M160" s="14" t="n"/>
      <c r="N160" s="33" t="n"/>
    </row>
    <row r="161">
      <c r="B161" s="14" t="n"/>
      <c r="C161" s="33" t="n"/>
      <c r="D161" s="34" t="n"/>
      <c r="E161" s="14" t="n"/>
      <c r="F161" s="33" t="n"/>
      <c r="G161" s="33" t="n"/>
      <c r="H161" s="33" t="n"/>
      <c r="I161" s="35">
        <f>IF(H161="Yes",N(D161),IF(B161="","",0))</f>
        <v/>
      </c>
      <c r="J161" s="14" t="n"/>
      <c r="K161" s="14" t="n"/>
      <c r="L161" s="34" t="n"/>
      <c r="M161" s="14" t="n"/>
      <c r="N161" s="33" t="n"/>
    </row>
    <row r="162">
      <c r="B162" s="14" t="n"/>
      <c r="C162" s="33" t="n"/>
      <c r="D162" s="34" t="n"/>
      <c r="E162" s="14" t="n"/>
      <c r="F162" s="33" t="n"/>
      <c r="G162" s="33" t="n"/>
      <c r="H162" s="33" t="n"/>
      <c r="I162" s="35">
        <f>IF(H162="Yes",N(D162),IF(B162="","",0))</f>
        <v/>
      </c>
      <c r="J162" s="14" t="n"/>
      <c r="K162" s="14" t="n"/>
      <c r="L162" s="34" t="n"/>
      <c r="M162" s="14" t="n"/>
      <c r="N162" s="33" t="n"/>
    </row>
    <row r="163">
      <c r="B163" s="14" t="n"/>
      <c r="C163" s="33" t="n"/>
      <c r="D163" s="34" t="n"/>
      <c r="E163" s="14" t="n"/>
      <c r="F163" s="33" t="n"/>
      <c r="G163" s="33" t="n"/>
      <c r="H163" s="33" t="n"/>
      <c r="I163" s="35">
        <f>IF(H163="Yes",N(D163),IF(B163="","",0))</f>
        <v/>
      </c>
      <c r="J163" s="14" t="n"/>
      <c r="K163" s="14" t="n"/>
      <c r="L163" s="34" t="n"/>
      <c r="M163" s="14" t="n"/>
      <c r="N163" s="33" t="n"/>
    </row>
    <row r="164">
      <c r="B164" s="14" t="n"/>
      <c r="C164" s="33" t="n"/>
      <c r="D164" s="34" t="n"/>
      <c r="E164" s="14" t="n"/>
      <c r="F164" s="33" t="n"/>
      <c r="G164" s="33" t="n"/>
      <c r="H164" s="33" t="n"/>
      <c r="I164" s="35">
        <f>IF(H164="Yes",N(D164),IF(B164="","",0))</f>
        <v/>
      </c>
      <c r="J164" s="14" t="n"/>
      <c r="K164" s="14" t="n"/>
      <c r="L164" s="34" t="n"/>
      <c r="M164" s="14" t="n"/>
      <c r="N164" s="33" t="n"/>
    </row>
    <row r="165">
      <c r="B165" s="14" t="n"/>
      <c r="C165" s="33" t="n"/>
      <c r="D165" s="34" t="n"/>
      <c r="E165" s="14" t="n"/>
      <c r="F165" s="33" t="n"/>
      <c r="G165" s="33" t="n"/>
      <c r="H165" s="33" t="n"/>
      <c r="I165" s="35">
        <f>IF(H165="Yes",N(D165),IF(B165="","",0))</f>
        <v/>
      </c>
      <c r="J165" s="14" t="n"/>
      <c r="K165" s="14" t="n"/>
      <c r="L165" s="34" t="n"/>
      <c r="M165" s="14" t="n"/>
      <c r="N165" s="33" t="n"/>
    </row>
    <row r="166">
      <c r="B166" s="14" t="n"/>
      <c r="C166" s="33" t="n"/>
      <c r="D166" s="34" t="n"/>
      <c r="E166" s="14" t="n"/>
      <c r="F166" s="33" t="n"/>
      <c r="G166" s="33" t="n"/>
      <c r="H166" s="33" t="n"/>
      <c r="I166" s="35">
        <f>IF(H166="Yes",N(D166),IF(B166="","",0))</f>
        <v/>
      </c>
      <c r="J166" s="14" t="n"/>
      <c r="K166" s="14" t="n"/>
      <c r="L166" s="34" t="n"/>
      <c r="M166" s="14" t="n"/>
      <c r="N166" s="33" t="n"/>
    </row>
    <row r="167">
      <c r="B167" s="14" t="n"/>
      <c r="C167" s="33" t="n"/>
      <c r="D167" s="34" t="n"/>
      <c r="E167" s="14" t="n"/>
      <c r="F167" s="33" t="n"/>
      <c r="G167" s="33" t="n"/>
      <c r="H167" s="33" t="n"/>
      <c r="I167" s="35">
        <f>IF(H167="Yes",N(D167),IF(B167="","",0))</f>
        <v/>
      </c>
      <c r="J167" s="14" t="n"/>
      <c r="K167" s="14" t="n"/>
      <c r="L167" s="34" t="n"/>
      <c r="M167" s="14" t="n"/>
      <c r="N167" s="33" t="n"/>
    </row>
    <row r="168">
      <c r="B168" s="14" t="n"/>
      <c r="C168" s="33" t="n"/>
      <c r="D168" s="34" t="n"/>
      <c r="E168" s="14" t="n"/>
      <c r="F168" s="33" t="n"/>
      <c r="G168" s="33" t="n"/>
      <c r="H168" s="33" t="n"/>
      <c r="I168" s="35">
        <f>IF(H168="Yes",N(D168),IF(B168="","",0))</f>
        <v/>
      </c>
      <c r="J168" s="14" t="n"/>
      <c r="K168" s="14" t="n"/>
      <c r="L168" s="34" t="n"/>
      <c r="M168" s="14" t="n"/>
      <c r="N168" s="33" t="n"/>
    </row>
    <row r="169">
      <c r="B169" s="14" t="n"/>
      <c r="C169" s="33" t="n"/>
      <c r="D169" s="34" t="n"/>
      <c r="E169" s="14" t="n"/>
      <c r="F169" s="33" t="n"/>
      <c r="G169" s="33" t="n"/>
      <c r="H169" s="33" t="n"/>
      <c r="I169" s="35">
        <f>IF(H169="Yes",N(D169),IF(B169="","",0))</f>
        <v/>
      </c>
      <c r="J169" s="14" t="n"/>
      <c r="K169" s="14" t="n"/>
      <c r="L169" s="34" t="n"/>
      <c r="M169" s="14" t="n"/>
      <c r="N169" s="33" t="n"/>
    </row>
    <row r="170">
      <c r="B170" s="14" t="n"/>
      <c r="C170" s="33" t="n"/>
      <c r="D170" s="34" t="n"/>
      <c r="E170" s="14" t="n"/>
      <c r="F170" s="33" t="n"/>
      <c r="G170" s="33" t="n"/>
      <c r="H170" s="33" t="n"/>
      <c r="I170" s="35">
        <f>IF(H170="Yes",N(D170),IF(B170="","",0))</f>
        <v/>
      </c>
      <c r="J170" s="14" t="n"/>
      <c r="K170" s="14" t="n"/>
      <c r="L170" s="34" t="n"/>
      <c r="M170" s="14" t="n"/>
      <c r="N170" s="33" t="n"/>
    </row>
    <row r="171">
      <c r="B171" s="14" t="n"/>
      <c r="C171" s="33" t="n"/>
      <c r="D171" s="34" t="n"/>
      <c r="E171" s="14" t="n"/>
      <c r="F171" s="33" t="n"/>
      <c r="G171" s="33" t="n"/>
      <c r="H171" s="33" t="n"/>
      <c r="I171" s="35">
        <f>IF(H171="Yes",N(D171),IF(B171="","",0))</f>
        <v/>
      </c>
      <c r="J171" s="14" t="n"/>
      <c r="K171" s="14" t="n"/>
      <c r="L171" s="34" t="n"/>
      <c r="M171" s="14" t="n"/>
      <c r="N171" s="33" t="n"/>
    </row>
    <row r="172">
      <c r="B172" s="14" t="n"/>
      <c r="C172" s="33" t="n"/>
      <c r="D172" s="34" t="n"/>
      <c r="E172" s="14" t="n"/>
      <c r="F172" s="33" t="n"/>
      <c r="G172" s="33" t="n"/>
      <c r="H172" s="33" t="n"/>
      <c r="I172" s="35">
        <f>IF(H172="Yes",N(D172),IF(B172="","",0))</f>
        <v/>
      </c>
      <c r="J172" s="14" t="n"/>
      <c r="K172" s="14" t="n"/>
      <c r="L172" s="34" t="n"/>
      <c r="M172" s="14" t="n"/>
      <c r="N172" s="33" t="n"/>
    </row>
    <row r="173">
      <c r="B173" s="14" t="n"/>
      <c r="C173" s="33" t="n"/>
      <c r="D173" s="34" t="n"/>
      <c r="E173" s="14" t="n"/>
      <c r="F173" s="33" t="n"/>
      <c r="G173" s="33" t="n"/>
      <c r="H173" s="33" t="n"/>
      <c r="I173" s="35">
        <f>IF(H173="Yes",N(D173),IF(B173="","",0))</f>
        <v/>
      </c>
      <c r="J173" s="14" t="n"/>
      <c r="K173" s="14" t="n"/>
      <c r="L173" s="34" t="n"/>
      <c r="M173" s="14" t="n"/>
      <c r="N173" s="33" t="n"/>
    </row>
    <row r="174">
      <c r="B174" s="14" t="n"/>
      <c r="C174" s="33" t="n"/>
      <c r="D174" s="34" t="n"/>
      <c r="E174" s="14" t="n"/>
      <c r="F174" s="33" t="n"/>
      <c r="G174" s="33" t="n"/>
      <c r="H174" s="33" t="n"/>
      <c r="I174" s="35">
        <f>IF(H174="Yes",N(D174),IF(B174="","",0))</f>
        <v/>
      </c>
      <c r="J174" s="14" t="n"/>
      <c r="K174" s="14" t="n"/>
      <c r="L174" s="34" t="n"/>
      <c r="M174" s="14" t="n"/>
      <c r="N174" s="33" t="n"/>
    </row>
    <row r="175">
      <c r="B175" s="14" t="n"/>
      <c r="C175" s="33" t="n"/>
      <c r="D175" s="34" t="n"/>
      <c r="E175" s="14" t="n"/>
      <c r="F175" s="33" t="n"/>
      <c r="G175" s="33" t="n"/>
      <c r="H175" s="33" t="n"/>
      <c r="I175" s="35">
        <f>IF(H175="Yes",N(D175),IF(B175="","",0))</f>
        <v/>
      </c>
      <c r="J175" s="14" t="n"/>
      <c r="K175" s="14" t="n"/>
      <c r="L175" s="34" t="n"/>
      <c r="M175" s="14" t="n"/>
      <c r="N175" s="33" t="n"/>
    </row>
    <row r="176">
      <c r="B176" s="14" t="n"/>
      <c r="C176" s="33" t="n"/>
      <c r="D176" s="34" t="n"/>
      <c r="E176" s="14" t="n"/>
      <c r="F176" s="33" t="n"/>
      <c r="G176" s="33" t="n"/>
      <c r="H176" s="33" t="n"/>
      <c r="I176" s="35">
        <f>IF(H176="Yes",N(D176),IF(B176="","",0))</f>
        <v/>
      </c>
      <c r="J176" s="14" t="n"/>
      <c r="K176" s="14" t="n"/>
      <c r="L176" s="34" t="n"/>
      <c r="M176" s="14" t="n"/>
      <c r="N176" s="33" t="n"/>
    </row>
    <row r="177">
      <c r="B177" s="14" t="n"/>
      <c r="C177" s="33" t="n"/>
      <c r="D177" s="34" t="n"/>
      <c r="E177" s="14" t="n"/>
      <c r="F177" s="33" t="n"/>
      <c r="G177" s="33" t="n"/>
      <c r="H177" s="33" t="n"/>
      <c r="I177" s="35">
        <f>IF(H177="Yes",N(D177),IF(B177="","",0))</f>
        <v/>
      </c>
      <c r="J177" s="14" t="n"/>
      <c r="K177" s="14" t="n"/>
      <c r="L177" s="34" t="n"/>
      <c r="M177" s="14" t="n"/>
      <c r="N177" s="33" t="n"/>
    </row>
    <row r="178">
      <c r="B178" s="14" t="n"/>
      <c r="C178" s="33" t="n"/>
      <c r="D178" s="34" t="n"/>
      <c r="E178" s="14" t="n"/>
      <c r="F178" s="33" t="n"/>
      <c r="G178" s="33" t="n"/>
      <c r="H178" s="33" t="n"/>
      <c r="I178" s="35">
        <f>IF(H178="Yes",N(D178),IF(B178="","",0))</f>
        <v/>
      </c>
      <c r="J178" s="14" t="n"/>
      <c r="K178" s="14" t="n"/>
      <c r="L178" s="34" t="n"/>
      <c r="M178" s="14" t="n"/>
      <c r="N178" s="33" t="n"/>
    </row>
    <row r="179">
      <c r="B179" s="14" t="n"/>
      <c r="C179" s="33" t="n"/>
      <c r="D179" s="34" t="n"/>
      <c r="E179" s="14" t="n"/>
      <c r="F179" s="33" t="n"/>
      <c r="G179" s="33" t="n"/>
      <c r="H179" s="33" t="n"/>
      <c r="I179" s="35">
        <f>IF(H179="Yes",N(D179),IF(B179="","",0))</f>
        <v/>
      </c>
      <c r="J179" s="14" t="n"/>
      <c r="K179" s="14" t="n"/>
      <c r="L179" s="34" t="n"/>
      <c r="M179" s="14" t="n"/>
      <c r="N179" s="33" t="n"/>
    </row>
    <row r="180">
      <c r="B180" s="14" t="n"/>
      <c r="C180" s="33" t="n"/>
      <c r="D180" s="34" t="n"/>
      <c r="E180" s="14" t="n"/>
      <c r="F180" s="33" t="n"/>
      <c r="G180" s="33" t="n"/>
      <c r="H180" s="33" t="n"/>
      <c r="I180" s="35">
        <f>IF(H180="Yes",N(D180),IF(B180="","",0))</f>
        <v/>
      </c>
      <c r="J180" s="14" t="n"/>
      <c r="K180" s="14" t="n"/>
      <c r="L180" s="34" t="n"/>
      <c r="M180" s="14" t="n"/>
      <c r="N180" s="33" t="n"/>
    </row>
    <row r="181">
      <c r="B181" s="14" t="n"/>
      <c r="C181" s="33" t="n"/>
      <c r="D181" s="34" t="n"/>
      <c r="E181" s="14" t="n"/>
      <c r="F181" s="33" t="n"/>
      <c r="G181" s="33" t="n"/>
      <c r="H181" s="33" t="n"/>
      <c r="I181" s="35">
        <f>IF(H181="Yes",N(D181),IF(B181="","",0))</f>
        <v/>
      </c>
      <c r="J181" s="14" t="n"/>
      <c r="K181" s="14" t="n"/>
      <c r="L181" s="34" t="n"/>
      <c r="M181" s="14" t="n"/>
      <c r="N181" s="33" t="n"/>
    </row>
    <row r="182">
      <c r="B182" s="14" t="n"/>
      <c r="C182" s="33" t="n"/>
      <c r="D182" s="34" t="n"/>
      <c r="E182" s="14" t="n"/>
      <c r="F182" s="33" t="n"/>
      <c r="G182" s="33" t="n"/>
      <c r="H182" s="33" t="n"/>
      <c r="I182" s="35">
        <f>IF(H182="Yes",N(D182),IF(B182="","",0))</f>
        <v/>
      </c>
      <c r="J182" s="14" t="n"/>
      <c r="K182" s="14" t="n"/>
      <c r="L182" s="34" t="n"/>
      <c r="M182" s="14" t="n"/>
      <c r="N182" s="33" t="n"/>
    </row>
    <row r="183">
      <c r="B183" s="14" t="n"/>
      <c r="C183" s="33" t="n"/>
      <c r="D183" s="34" t="n"/>
      <c r="E183" s="14" t="n"/>
      <c r="F183" s="33" t="n"/>
      <c r="G183" s="33" t="n"/>
      <c r="H183" s="33" t="n"/>
      <c r="I183" s="35">
        <f>IF(H183="Yes",N(D183),IF(B183="","",0))</f>
        <v/>
      </c>
      <c r="J183" s="14" t="n"/>
      <c r="K183" s="14" t="n"/>
      <c r="L183" s="34" t="n"/>
      <c r="M183" s="14" t="n"/>
      <c r="N183" s="33" t="n"/>
    </row>
    <row r="184">
      <c r="B184" s="14" t="n"/>
      <c r="C184" s="33" t="n"/>
      <c r="D184" s="34" t="n"/>
      <c r="E184" s="14" t="n"/>
      <c r="F184" s="33" t="n"/>
      <c r="G184" s="33" t="n"/>
      <c r="H184" s="33" t="n"/>
      <c r="I184" s="35">
        <f>IF(H184="Yes",N(D184),IF(B184="","",0))</f>
        <v/>
      </c>
      <c r="J184" s="14" t="n"/>
      <c r="K184" s="14" t="n"/>
      <c r="L184" s="34" t="n"/>
      <c r="M184" s="14" t="n"/>
      <c r="N184" s="33" t="n"/>
    </row>
    <row r="185">
      <c r="B185" s="14" t="n"/>
      <c r="C185" s="33" t="n"/>
      <c r="D185" s="34" t="n"/>
      <c r="E185" s="14" t="n"/>
      <c r="F185" s="33" t="n"/>
      <c r="G185" s="33" t="n"/>
      <c r="H185" s="33" t="n"/>
      <c r="I185" s="35">
        <f>IF(H185="Yes",N(D185),IF(B185="","",0))</f>
        <v/>
      </c>
      <c r="J185" s="14" t="n"/>
      <c r="K185" s="14" t="n"/>
      <c r="L185" s="34" t="n"/>
      <c r="M185" s="14" t="n"/>
      <c r="N185" s="33" t="n"/>
    </row>
    <row r="186">
      <c r="B186" s="14" t="n"/>
      <c r="C186" s="33" t="n"/>
      <c r="D186" s="34" t="n"/>
      <c r="E186" s="14" t="n"/>
      <c r="F186" s="33" t="n"/>
      <c r="G186" s="33" t="n"/>
      <c r="H186" s="33" t="n"/>
      <c r="I186" s="35">
        <f>IF(H186="Yes",N(D186),IF(B186="","",0))</f>
        <v/>
      </c>
      <c r="J186" s="14" t="n"/>
      <c r="K186" s="14" t="n"/>
      <c r="L186" s="34" t="n"/>
      <c r="M186" s="14" t="n"/>
      <c r="N186" s="33" t="n"/>
    </row>
    <row r="187">
      <c r="B187" s="14" t="n"/>
      <c r="C187" s="33" t="n"/>
      <c r="D187" s="34" t="n"/>
      <c r="E187" s="14" t="n"/>
      <c r="F187" s="33" t="n"/>
      <c r="G187" s="33" t="n"/>
      <c r="H187" s="33" t="n"/>
      <c r="I187" s="35">
        <f>IF(H187="Yes",N(D187),IF(B187="","",0))</f>
        <v/>
      </c>
      <c r="J187" s="14" t="n"/>
      <c r="K187" s="14" t="n"/>
      <c r="L187" s="34" t="n"/>
      <c r="M187" s="14" t="n"/>
      <c r="N187" s="33" t="n"/>
    </row>
    <row r="188">
      <c r="B188" s="14" t="n"/>
      <c r="C188" s="33" t="n"/>
      <c r="D188" s="34" t="n"/>
      <c r="E188" s="14" t="n"/>
      <c r="F188" s="33" t="n"/>
      <c r="G188" s="33" t="n"/>
      <c r="H188" s="33" t="n"/>
      <c r="I188" s="35">
        <f>IF(H188="Yes",N(D188),IF(B188="","",0))</f>
        <v/>
      </c>
      <c r="J188" s="14" t="n"/>
      <c r="K188" s="14" t="n"/>
      <c r="L188" s="34" t="n"/>
      <c r="M188" s="14" t="n"/>
      <c r="N188" s="33" t="n"/>
    </row>
    <row r="189">
      <c r="B189" s="14" t="n"/>
      <c r="C189" s="33" t="n"/>
      <c r="D189" s="34" t="n"/>
      <c r="E189" s="14" t="n"/>
      <c r="F189" s="33" t="n"/>
      <c r="G189" s="33" t="n"/>
      <c r="H189" s="33" t="n"/>
      <c r="I189" s="35">
        <f>IF(H189="Yes",N(D189),IF(B189="","",0))</f>
        <v/>
      </c>
      <c r="J189" s="14" t="n"/>
      <c r="K189" s="14" t="n"/>
      <c r="L189" s="34" t="n"/>
      <c r="M189" s="14" t="n"/>
      <c r="N189" s="33" t="n"/>
    </row>
    <row r="190">
      <c r="B190" s="14" t="n"/>
      <c r="C190" s="33" t="n"/>
      <c r="D190" s="34" t="n"/>
      <c r="E190" s="14" t="n"/>
      <c r="F190" s="33" t="n"/>
      <c r="G190" s="33" t="n"/>
      <c r="H190" s="33" t="n"/>
      <c r="I190" s="35">
        <f>IF(H190="Yes",N(D190),IF(B190="","",0))</f>
        <v/>
      </c>
      <c r="J190" s="14" t="n"/>
      <c r="K190" s="14" t="n"/>
      <c r="L190" s="34" t="n"/>
      <c r="M190" s="14" t="n"/>
      <c r="N190" s="33" t="n"/>
    </row>
    <row r="191">
      <c r="B191" s="14" t="n"/>
      <c r="C191" s="33" t="n"/>
      <c r="D191" s="34" t="n"/>
      <c r="E191" s="14" t="n"/>
      <c r="F191" s="33" t="n"/>
      <c r="G191" s="33" t="n"/>
      <c r="H191" s="33" t="n"/>
      <c r="I191" s="35">
        <f>IF(H191="Yes",N(D191),IF(B191="","",0))</f>
        <v/>
      </c>
      <c r="J191" s="14" t="n"/>
      <c r="K191" s="14" t="n"/>
      <c r="L191" s="34" t="n"/>
      <c r="M191" s="14" t="n"/>
      <c r="N191" s="33" t="n"/>
    </row>
    <row r="192">
      <c r="B192" s="14" t="n"/>
      <c r="C192" s="33" t="n"/>
      <c r="D192" s="34" t="n"/>
      <c r="E192" s="14" t="n"/>
      <c r="F192" s="33" t="n"/>
      <c r="G192" s="33" t="n"/>
      <c r="H192" s="33" t="n"/>
      <c r="I192" s="35">
        <f>IF(H192="Yes",N(D192),IF(B192="","",0))</f>
        <v/>
      </c>
      <c r="J192" s="14" t="n"/>
      <c r="K192" s="14" t="n"/>
      <c r="L192" s="34" t="n"/>
      <c r="M192" s="14" t="n"/>
      <c r="N192" s="33" t="n"/>
    </row>
    <row r="193">
      <c r="B193" s="14" t="n"/>
      <c r="C193" s="33" t="n"/>
      <c r="D193" s="34" t="n"/>
      <c r="E193" s="14" t="n"/>
      <c r="F193" s="33" t="n"/>
      <c r="G193" s="33" t="n"/>
      <c r="H193" s="33" t="n"/>
      <c r="I193" s="35">
        <f>IF(H193="Yes",N(D193),IF(B193="","",0))</f>
        <v/>
      </c>
      <c r="J193" s="14" t="n"/>
      <c r="K193" s="14" t="n"/>
      <c r="L193" s="34" t="n"/>
      <c r="M193" s="14" t="n"/>
      <c r="N193" s="33" t="n"/>
    </row>
    <row r="194">
      <c r="B194" s="14" t="n"/>
      <c r="C194" s="33" t="n"/>
      <c r="D194" s="34" t="n"/>
      <c r="E194" s="14" t="n"/>
      <c r="F194" s="33" t="n"/>
      <c r="G194" s="33" t="n"/>
      <c r="H194" s="33" t="n"/>
      <c r="I194" s="35">
        <f>IF(H194="Yes",N(D194),IF(B194="","",0))</f>
        <v/>
      </c>
      <c r="J194" s="14" t="n"/>
      <c r="K194" s="14" t="n"/>
      <c r="L194" s="34" t="n"/>
      <c r="M194" s="14" t="n"/>
      <c r="N194" s="33" t="n"/>
    </row>
    <row r="195">
      <c r="B195" s="14" t="n"/>
      <c r="C195" s="33" t="n"/>
      <c r="D195" s="34" t="n"/>
      <c r="E195" s="14" t="n"/>
      <c r="F195" s="33" t="n"/>
      <c r="G195" s="33" t="n"/>
      <c r="H195" s="33" t="n"/>
      <c r="I195" s="35">
        <f>IF(H195="Yes",N(D195),IF(B195="","",0))</f>
        <v/>
      </c>
      <c r="J195" s="14" t="n"/>
      <c r="K195" s="14" t="n"/>
      <c r="L195" s="34" t="n"/>
      <c r="M195" s="14" t="n"/>
      <c r="N195" s="33" t="n"/>
    </row>
    <row r="196">
      <c r="B196" s="14" t="n"/>
      <c r="C196" s="33" t="n"/>
      <c r="D196" s="34" t="n"/>
      <c r="E196" s="14" t="n"/>
      <c r="F196" s="33" t="n"/>
      <c r="G196" s="33" t="n"/>
      <c r="H196" s="33" t="n"/>
      <c r="I196" s="35">
        <f>IF(H196="Yes",N(D196),IF(B196="","",0))</f>
        <v/>
      </c>
      <c r="J196" s="14" t="n"/>
      <c r="K196" s="14" t="n"/>
      <c r="L196" s="34" t="n"/>
      <c r="M196" s="14" t="n"/>
      <c r="N196" s="33" t="n"/>
    </row>
    <row r="197">
      <c r="B197" s="14" t="n"/>
      <c r="C197" s="33" t="n"/>
      <c r="D197" s="34" t="n"/>
      <c r="E197" s="14" t="n"/>
      <c r="F197" s="33" t="n"/>
      <c r="G197" s="33" t="n"/>
      <c r="H197" s="33" t="n"/>
      <c r="I197" s="35">
        <f>IF(H197="Yes",N(D197),IF(B197="","",0))</f>
        <v/>
      </c>
      <c r="J197" s="14" t="n"/>
      <c r="K197" s="14" t="n"/>
      <c r="L197" s="34" t="n"/>
      <c r="M197" s="14" t="n"/>
      <c r="N197" s="33" t="n"/>
    </row>
    <row r="198">
      <c r="B198" s="14" t="n"/>
      <c r="C198" s="33" t="n"/>
      <c r="D198" s="34" t="n"/>
      <c r="E198" s="14" t="n"/>
      <c r="F198" s="33" t="n"/>
      <c r="G198" s="33" t="n"/>
      <c r="H198" s="33" t="n"/>
      <c r="I198" s="35">
        <f>IF(H198="Yes",N(D198),IF(B198="","",0))</f>
        <v/>
      </c>
      <c r="J198" s="14" t="n"/>
      <c r="K198" s="14" t="n"/>
      <c r="L198" s="34" t="n"/>
      <c r="M198" s="14" t="n"/>
      <c r="N198" s="33" t="n"/>
    </row>
    <row r="199">
      <c r="B199" s="14" t="n"/>
      <c r="C199" s="33" t="n"/>
      <c r="D199" s="34" t="n"/>
      <c r="E199" s="14" t="n"/>
      <c r="F199" s="33" t="n"/>
      <c r="G199" s="33" t="n"/>
      <c r="H199" s="33" t="n"/>
      <c r="I199" s="35">
        <f>IF(H199="Yes",N(D199),IF(B199="","",0))</f>
        <v/>
      </c>
      <c r="J199" s="14" t="n"/>
      <c r="K199" s="14" t="n"/>
      <c r="L199" s="34" t="n"/>
      <c r="M199" s="14" t="n"/>
      <c r="N199" s="33" t="n"/>
    </row>
    <row r="200">
      <c r="B200" s="14" t="n"/>
      <c r="C200" s="33" t="n"/>
      <c r="D200" s="34" t="n"/>
      <c r="E200" s="14" t="n"/>
      <c r="F200" s="33" t="n"/>
      <c r="G200" s="33" t="n"/>
      <c r="H200" s="33" t="n"/>
      <c r="I200" s="35">
        <f>IF(H200="Yes",N(D200),IF(B200="","",0))</f>
        <v/>
      </c>
      <c r="J200" s="14" t="n"/>
      <c r="K200" s="14" t="n"/>
      <c r="L200" s="34" t="n"/>
      <c r="M200" s="14" t="n"/>
      <c r="N200" s="33" t="n"/>
    </row>
    <row r="201">
      <c r="B201" s="14" t="n"/>
      <c r="C201" s="33" t="n"/>
      <c r="D201" s="34" t="n"/>
      <c r="E201" s="14" t="n"/>
      <c r="F201" s="33" t="n"/>
      <c r="G201" s="33" t="n"/>
      <c r="H201" s="33" t="n"/>
      <c r="I201" s="35">
        <f>IF(H201="Yes",N(D201),IF(B201="","",0))</f>
        <v/>
      </c>
      <c r="J201" s="14" t="n"/>
      <c r="K201" s="14" t="n"/>
      <c r="L201" s="34" t="n"/>
      <c r="M201" s="14" t="n"/>
      <c r="N201" s="33" t="n"/>
    </row>
    <row r="202">
      <c r="B202" s="14" t="n"/>
      <c r="C202" s="33" t="n"/>
      <c r="D202" s="34" t="n"/>
      <c r="E202" s="14" t="n"/>
      <c r="F202" s="33" t="n"/>
      <c r="G202" s="33" t="n"/>
      <c r="H202" s="33" t="n"/>
      <c r="I202" s="35">
        <f>IF(H202="Yes",N(D202),IF(B202="","",0))</f>
        <v/>
      </c>
      <c r="J202" s="14" t="n"/>
      <c r="K202" s="14" t="n"/>
      <c r="L202" s="34" t="n"/>
      <c r="M202" s="14" t="n"/>
      <c r="N202" s="33" t="n"/>
    </row>
    <row r="203">
      <c r="B203" s="14" t="n"/>
      <c r="C203" s="33" t="n"/>
      <c r="D203" s="34" t="n"/>
      <c r="E203" s="14" t="n"/>
      <c r="F203" s="33" t="n"/>
      <c r="G203" s="33" t="n"/>
      <c r="H203" s="33" t="n"/>
      <c r="I203" s="35">
        <f>IF(H203="Yes",N(D203),IF(B203="","",0))</f>
        <v/>
      </c>
      <c r="J203" s="14" t="n"/>
      <c r="K203" s="14" t="n"/>
      <c r="L203" s="34" t="n"/>
      <c r="M203" s="14" t="n"/>
      <c r="N203" s="33" t="n"/>
    </row>
    <row r="204">
      <c r="B204" s="14" t="n"/>
      <c r="C204" s="33" t="n"/>
      <c r="D204" s="34" t="n"/>
      <c r="E204" s="14" t="n"/>
      <c r="F204" s="33" t="n"/>
      <c r="G204" s="33" t="n"/>
      <c r="H204" s="33" t="n"/>
      <c r="I204" s="35">
        <f>IF(H204="Yes",N(D204),IF(B204="","",0))</f>
        <v/>
      </c>
      <c r="J204" s="14" t="n"/>
      <c r="K204" s="14" t="n"/>
      <c r="L204" s="34" t="n"/>
      <c r="M204" s="14" t="n"/>
      <c r="N204" s="33" t="n"/>
    </row>
    <row r="205">
      <c r="B205" s="14" t="n"/>
      <c r="C205" s="33" t="n"/>
      <c r="D205" s="34" t="n"/>
      <c r="E205" s="14" t="n"/>
      <c r="F205" s="33" t="n"/>
      <c r="G205" s="33" t="n"/>
      <c r="H205" s="33" t="n"/>
      <c r="I205" s="35">
        <f>IF(H205="Yes",N(D205),IF(B205="","",0))</f>
        <v/>
      </c>
      <c r="J205" s="14" t="n"/>
      <c r="K205" s="14" t="n"/>
      <c r="L205" s="34" t="n"/>
      <c r="M205" s="14" t="n"/>
      <c r="N205" s="33" t="n"/>
    </row>
    <row r="206">
      <c r="B206" s="14" t="n"/>
      <c r="C206" s="33" t="n"/>
      <c r="D206" s="34" t="n"/>
      <c r="E206" s="14" t="n"/>
      <c r="F206" s="33" t="n"/>
      <c r="G206" s="33" t="n"/>
      <c r="H206" s="33" t="n"/>
      <c r="I206" s="35">
        <f>IF(H206="Yes",N(D206),IF(B206="","",0))</f>
        <v/>
      </c>
      <c r="J206" s="14" t="n"/>
      <c r="K206" s="14" t="n"/>
      <c r="L206" s="34" t="n"/>
      <c r="M206" s="14" t="n"/>
      <c r="N206" s="33" t="n"/>
    </row>
    <row r="207">
      <c r="B207" s="14" t="n"/>
      <c r="C207" s="33" t="n"/>
      <c r="D207" s="34" t="n"/>
      <c r="E207" s="14" t="n"/>
      <c r="F207" s="33" t="n"/>
      <c r="G207" s="33" t="n"/>
      <c r="H207" s="33" t="n"/>
      <c r="I207" s="35">
        <f>IF(H207="Yes",N(D207),IF(B207="","",0))</f>
        <v/>
      </c>
      <c r="J207" s="14" t="n"/>
      <c r="K207" s="14" t="n"/>
      <c r="L207" s="34" t="n"/>
      <c r="M207" s="14" t="n"/>
      <c r="N207" s="33" t="n"/>
    </row>
    <row r="208">
      <c r="B208" s="14" t="n"/>
      <c r="C208" s="33" t="n"/>
      <c r="D208" s="34" t="n"/>
      <c r="E208" s="14" t="n"/>
      <c r="F208" s="33" t="n"/>
      <c r="G208" s="33" t="n"/>
      <c r="H208" s="33" t="n"/>
      <c r="I208" s="35">
        <f>IF(H208="Yes",N(D208),IF(B208="","",0))</f>
        <v/>
      </c>
      <c r="J208" s="14" t="n"/>
      <c r="K208" s="14" t="n"/>
      <c r="L208" s="34" t="n"/>
      <c r="M208" s="14" t="n"/>
      <c r="N208" s="33" t="n"/>
    </row>
    <row r="209">
      <c r="B209" s="14" t="n"/>
      <c r="C209" s="33" t="n"/>
      <c r="D209" s="34" t="n"/>
      <c r="E209" s="14" t="n"/>
      <c r="F209" s="33" t="n"/>
      <c r="G209" s="33" t="n"/>
      <c r="H209" s="33" t="n"/>
      <c r="I209" s="35">
        <f>IF(H209="Yes",N(D209),IF(B209="","",0))</f>
        <v/>
      </c>
      <c r="J209" s="14" t="n"/>
      <c r="K209" s="14" t="n"/>
      <c r="L209" s="34" t="n"/>
      <c r="M209" s="14" t="n"/>
      <c r="N209" s="33" t="n"/>
    </row>
    <row r="210">
      <c r="B210" s="14" t="n"/>
      <c r="C210" s="33" t="n"/>
      <c r="D210" s="34" t="n"/>
      <c r="E210" s="14" t="n"/>
      <c r="F210" s="33" t="n"/>
      <c r="G210" s="33" t="n"/>
      <c r="H210" s="33" t="n"/>
      <c r="I210" s="35">
        <f>IF(H210="Yes",N(D210),IF(B210="","",0))</f>
        <v/>
      </c>
      <c r="J210" s="14" t="n"/>
      <c r="K210" s="14" t="n"/>
      <c r="L210" s="34" t="n"/>
      <c r="M210" s="14" t="n"/>
      <c r="N210" s="33" t="n"/>
    </row>
    <row r="211">
      <c r="B211" s="14" t="n"/>
      <c r="C211" s="33" t="n"/>
      <c r="D211" s="34" t="n"/>
      <c r="E211" s="14" t="n"/>
      <c r="F211" s="33" t="n"/>
      <c r="G211" s="33" t="n"/>
      <c r="H211" s="33" t="n"/>
      <c r="I211" s="35">
        <f>IF(H211="Yes",N(D211),IF(B211="","",0))</f>
        <v/>
      </c>
      <c r="J211" s="14" t="n"/>
      <c r="K211" s="14" t="n"/>
      <c r="L211" s="34" t="n"/>
      <c r="M211" s="14" t="n"/>
      <c r="N211" s="33" t="n"/>
    </row>
    <row r="212">
      <c r="B212" s="14" t="n"/>
      <c r="C212" s="33" t="n"/>
      <c r="D212" s="34" t="n"/>
      <c r="E212" s="14" t="n"/>
      <c r="F212" s="33" t="n"/>
      <c r="G212" s="33" t="n"/>
      <c r="H212" s="33" t="n"/>
      <c r="I212" s="35">
        <f>IF(H212="Yes",N(D212),IF(B212="","",0))</f>
        <v/>
      </c>
      <c r="J212" s="14" t="n"/>
      <c r="K212" s="14" t="n"/>
      <c r="L212" s="34" t="n"/>
      <c r="M212" s="14" t="n"/>
      <c r="N212" s="33" t="n"/>
    </row>
    <row r="213">
      <c r="B213" s="14" t="n"/>
      <c r="C213" s="33" t="n"/>
      <c r="D213" s="34" t="n"/>
      <c r="E213" s="14" t="n"/>
      <c r="F213" s="33" t="n"/>
      <c r="G213" s="33" t="n"/>
      <c r="H213" s="33" t="n"/>
      <c r="I213" s="35">
        <f>IF(H213="Yes",N(D213),IF(B213="","",0))</f>
        <v/>
      </c>
      <c r="J213" s="14" t="n"/>
      <c r="K213" s="14" t="n"/>
      <c r="L213" s="34" t="n"/>
      <c r="M213" s="14" t="n"/>
      <c r="N213" s="33" t="n"/>
    </row>
    <row r="214">
      <c r="B214" s="14" t="n"/>
      <c r="C214" s="33" t="n"/>
      <c r="D214" s="34" t="n"/>
      <c r="E214" s="14" t="n"/>
      <c r="F214" s="33" t="n"/>
      <c r="G214" s="33" t="n"/>
      <c r="H214" s="33" t="n"/>
      <c r="I214" s="35">
        <f>IF(H214="Yes",N(D214),IF(B214="","",0))</f>
        <v/>
      </c>
      <c r="J214" s="14" t="n"/>
      <c r="K214" s="14" t="n"/>
      <c r="L214" s="34" t="n"/>
      <c r="M214" s="14" t="n"/>
      <c r="N214" s="33" t="n"/>
    </row>
    <row r="215">
      <c r="B215" s="14" t="n"/>
      <c r="C215" s="33" t="n"/>
      <c r="D215" s="34" t="n"/>
      <c r="E215" s="14" t="n"/>
      <c r="F215" s="33" t="n"/>
      <c r="G215" s="33" t="n"/>
      <c r="H215" s="33" t="n"/>
      <c r="I215" s="35">
        <f>IF(H215="Yes",N(D215),IF(B215="","",0))</f>
        <v/>
      </c>
      <c r="J215" s="14" t="n"/>
      <c r="K215" s="14" t="n"/>
      <c r="L215" s="34" t="n"/>
      <c r="M215" s="14" t="n"/>
      <c r="N215" s="33" t="n"/>
    </row>
    <row r="216">
      <c r="B216" s="14" t="n"/>
      <c r="C216" s="33" t="n"/>
      <c r="D216" s="34" t="n"/>
      <c r="E216" s="14" t="n"/>
      <c r="F216" s="33" t="n"/>
      <c r="G216" s="33" t="n"/>
      <c r="H216" s="33" t="n"/>
      <c r="I216" s="35">
        <f>IF(H216="Yes",N(D216),IF(B216="","",0))</f>
        <v/>
      </c>
      <c r="J216" s="14" t="n"/>
      <c r="K216" s="14" t="n"/>
      <c r="L216" s="34" t="n"/>
      <c r="M216" s="14" t="n"/>
      <c r="N216" s="33" t="n"/>
    </row>
    <row r="217">
      <c r="B217" s="14" t="n"/>
      <c r="C217" s="33" t="n"/>
      <c r="D217" s="34" t="n"/>
      <c r="E217" s="14" t="n"/>
      <c r="F217" s="33" t="n"/>
      <c r="G217" s="33" t="n"/>
      <c r="H217" s="33" t="n"/>
      <c r="I217" s="35">
        <f>IF(H217="Yes",N(D217),IF(B217="","",0))</f>
        <v/>
      </c>
      <c r="J217" s="14" t="n"/>
      <c r="K217" s="14" t="n"/>
      <c r="L217" s="34" t="n"/>
      <c r="M217" s="14" t="n"/>
      <c r="N217" s="33" t="n"/>
    </row>
    <row r="218">
      <c r="B218" s="14" t="n"/>
      <c r="C218" s="33" t="n"/>
      <c r="D218" s="34" t="n"/>
      <c r="E218" s="14" t="n"/>
      <c r="F218" s="33" t="n"/>
      <c r="G218" s="33" t="n"/>
      <c r="H218" s="33" t="n"/>
      <c r="I218" s="35">
        <f>IF(H218="Yes",N(D218),IF(B218="","",0))</f>
        <v/>
      </c>
      <c r="J218" s="14" t="n"/>
      <c r="K218" s="14" t="n"/>
      <c r="L218" s="34" t="n"/>
      <c r="M218" s="14" t="n"/>
      <c r="N218" s="33" t="n"/>
    </row>
    <row r="219">
      <c r="B219" s="14" t="n"/>
      <c r="C219" s="33" t="n"/>
      <c r="D219" s="34" t="n"/>
      <c r="E219" s="14" t="n"/>
      <c r="F219" s="33" t="n"/>
      <c r="G219" s="33" t="n"/>
      <c r="H219" s="33" t="n"/>
      <c r="I219" s="35">
        <f>IF(H219="Yes",N(D219),IF(B219="","",0))</f>
        <v/>
      </c>
      <c r="J219" s="14" t="n"/>
      <c r="K219" s="14" t="n"/>
      <c r="L219" s="34" t="n"/>
      <c r="M219" s="14" t="n"/>
      <c r="N219" s="33" t="n"/>
    </row>
    <row r="220">
      <c r="B220" s="14" t="n"/>
      <c r="C220" s="33" t="n"/>
      <c r="D220" s="34" t="n"/>
      <c r="E220" s="14" t="n"/>
      <c r="F220" s="33" t="n"/>
      <c r="G220" s="33" t="n"/>
      <c r="H220" s="33" t="n"/>
      <c r="I220" s="35">
        <f>IF(H220="Yes",N(D220),IF(B220="","",0))</f>
        <v/>
      </c>
      <c r="J220" s="14" t="n"/>
      <c r="K220" s="14" t="n"/>
      <c r="L220" s="34" t="n"/>
      <c r="M220" s="14" t="n"/>
      <c r="N220" s="33" t="n"/>
    </row>
    <row r="221">
      <c r="B221" s="14" t="n"/>
      <c r="C221" s="33" t="n"/>
      <c r="D221" s="34" t="n"/>
      <c r="E221" s="14" t="n"/>
      <c r="F221" s="33" t="n"/>
      <c r="G221" s="33" t="n"/>
      <c r="H221" s="33" t="n"/>
      <c r="I221" s="35">
        <f>IF(H221="Yes",N(D221),IF(B221="","",0))</f>
        <v/>
      </c>
      <c r="J221" s="14" t="n"/>
      <c r="K221" s="14" t="n"/>
      <c r="L221" s="34" t="n"/>
      <c r="M221" s="14" t="n"/>
      <c r="N221" s="33" t="n"/>
    </row>
    <row r="222">
      <c r="B222" s="14" t="n"/>
      <c r="C222" s="33" t="n"/>
      <c r="D222" s="34" t="n"/>
      <c r="E222" s="14" t="n"/>
      <c r="F222" s="33" t="n"/>
      <c r="G222" s="33" t="n"/>
      <c r="H222" s="33" t="n"/>
      <c r="I222" s="35">
        <f>IF(H222="Yes",N(D222),IF(B222="","",0))</f>
        <v/>
      </c>
      <c r="J222" s="14" t="n"/>
      <c r="K222" s="14" t="n"/>
      <c r="L222" s="34" t="n"/>
      <c r="M222" s="14" t="n"/>
      <c r="N222" s="33" t="n"/>
    </row>
    <row r="223">
      <c r="B223" s="14" t="n"/>
      <c r="C223" s="33" t="n"/>
      <c r="D223" s="34" t="n"/>
      <c r="E223" s="14" t="n"/>
      <c r="F223" s="33" t="n"/>
      <c r="G223" s="33" t="n"/>
      <c r="H223" s="33" t="n"/>
      <c r="I223" s="35">
        <f>IF(H223="Yes",N(D223),IF(B223="","",0))</f>
        <v/>
      </c>
      <c r="J223" s="14" t="n"/>
      <c r="K223" s="14" t="n"/>
      <c r="L223" s="34" t="n"/>
      <c r="M223" s="14" t="n"/>
      <c r="N223" s="33" t="n"/>
    </row>
    <row r="224">
      <c r="B224" s="14" t="n"/>
      <c r="C224" s="33" t="n"/>
      <c r="D224" s="34" t="n"/>
      <c r="E224" s="14" t="n"/>
      <c r="F224" s="33" t="n"/>
      <c r="G224" s="33" t="n"/>
      <c r="H224" s="33" t="n"/>
      <c r="I224" s="35">
        <f>IF(H224="Yes",N(D224),IF(B224="","",0))</f>
        <v/>
      </c>
      <c r="J224" s="14" t="n"/>
      <c r="K224" s="14" t="n"/>
      <c r="L224" s="34" t="n"/>
      <c r="M224" s="14" t="n"/>
      <c r="N224" s="33" t="n"/>
    </row>
    <row r="225">
      <c r="B225" s="14" t="n"/>
      <c r="C225" s="33" t="n"/>
      <c r="D225" s="34" t="n"/>
      <c r="E225" s="14" t="n"/>
      <c r="F225" s="33" t="n"/>
      <c r="G225" s="33" t="n"/>
      <c r="H225" s="33" t="n"/>
      <c r="I225" s="35">
        <f>IF(H225="Yes",N(D225),IF(B225="","",0))</f>
        <v/>
      </c>
      <c r="J225" s="14" t="n"/>
      <c r="K225" s="14" t="n"/>
      <c r="L225" s="34" t="n"/>
      <c r="M225" s="14" t="n"/>
      <c r="N225" s="33" t="n"/>
    </row>
    <row r="226">
      <c r="B226" s="14" t="n"/>
      <c r="C226" s="33" t="n"/>
      <c r="D226" s="34" t="n"/>
      <c r="E226" s="14" t="n"/>
      <c r="F226" s="33" t="n"/>
      <c r="G226" s="33" t="n"/>
      <c r="H226" s="33" t="n"/>
      <c r="I226" s="35">
        <f>IF(H226="Yes",N(D226),IF(B226="","",0))</f>
        <v/>
      </c>
      <c r="J226" s="14" t="n"/>
      <c r="K226" s="14" t="n"/>
      <c r="L226" s="34" t="n"/>
      <c r="M226" s="14" t="n"/>
      <c r="N226" s="33" t="n"/>
    </row>
    <row r="227">
      <c r="B227" s="14" t="n"/>
      <c r="C227" s="33" t="n"/>
      <c r="D227" s="34" t="n"/>
      <c r="E227" s="14" t="n"/>
      <c r="F227" s="33" t="n"/>
      <c r="G227" s="33" t="n"/>
      <c r="H227" s="33" t="n"/>
      <c r="I227" s="35">
        <f>IF(H227="Yes",N(D227),IF(B227="","",0))</f>
        <v/>
      </c>
      <c r="J227" s="14" t="n"/>
      <c r="K227" s="14" t="n"/>
      <c r="L227" s="34" t="n"/>
      <c r="M227" s="14" t="n"/>
      <c r="N227" s="33" t="n"/>
    </row>
    <row r="228">
      <c r="B228" s="14" t="n"/>
      <c r="C228" s="33" t="n"/>
      <c r="D228" s="34" t="n"/>
      <c r="E228" s="14" t="n"/>
      <c r="F228" s="33" t="n"/>
      <c r="G228" s="33" t="n"/>
      <c r="H228" s="33" t="n"/>
      <c r="I228" s="35">
        <f>IF(H228="Yes",N(D228),IF(B228="","",0))</f>
        <v/>
      </c>
      <c r="J228" s="14" t="n"/>
      <c r="K228" s="14" t="n"/>
      <c r="L228" s="34" t="n"/>
      <c r="M228" s="14" t="n"/>
      <c r="N228" s="33" t="n"/>
    </row>
    <row r="229">
      <c r="B229" s="14" t="n"/>
      <c r="C229" s="33" t="n"/>
      <c r="D229" s="34" t="n"/>
      <c r="E229" s="14" t="n"/>
      <c r="F229" s="33" t="n"/>
      <c r="G229" s="33" t="n"/>
      <c r="H229" s="33" t="n"/>
      <c r="I229" s="35">
        <f>IF(H229="Yes",N(D229),IF(B229="","",0))</f>
        <v/>
      </c>
      <c r="J229" s="14" t="n"/>
      <c r="K229" s="14" t="n"/>
      <c r="L229" s="34" t="n"/>
      <c r="M229" s="14" t="n"/>
      <c r="N229" s="33" t="n"/>
    </row>
    <row r="230">
      <c r="B230" s="14" t="n"/>
      <c r="C230" s="33" t="n"/>
      <c r="D230" s="34" t="n"/>
      <c r="E230" s="14" t="n"/>
      <c r="F230" s="33" t="n"/>
      <c r="G230" s="33" t="n"/>
      <c r="H230" s="33" t="n"/>
      <c r="I230" s="35">
        <f>IF(H230="Yes",N(D230),IF(B230="","",0))</f>
        <v/>
      </c>
      <c r="J230" s="14" t="n"/>
      <c r="K230" s="14" t="n"/>
      <c r="L230" s="34" t="n"/>
      <c r="M230" s="14" t="n"/>
      <c r="N230" s="33" t="n"/>
    </row>
    <row r="231">
      <c r="B231" s="14" t="n"/>
      <c r="C231" s="33" t="n"/>
      <c r="D231" s="34" t="n"/>
      <c r="E231" s="14" t="n"/>
      <c r="F231" s="33" t="n"/>
      <c r="G231" s="33" t="n"/>
      <c r="H231" s="33" t="n"/>
      <c r="I231" s="35">
        <f>IF(H231="Yes",N(D231),IF(B231="","",0))</f>
        <v/>
      </c>
      <c r="J231" s="14" t="n"/>
      <c r="K231" s="14" t="n"/>
      <c r="L231" s="34" t="n"/>
      <c r="M231" s="14" t="n"/>
      <c r="N231" s="33" t="n"/>
    </row>
    <row r="232">
      <c r="B232" s="14" t="n"/>
      <c r="C232" s="33" t="n"/>
      <c r="D232" s="34" t="n"/>
      <c r="E232" s="14" t="n"/>
      <c r="F232" s="33" t="n"/>
      <c r="G232" s="33" t="n"/>
      <c r="H232" s="33" t="n"/>
      <c r="I232" s="35">
        <f>IF(H232="Yes",N(D232),IF(B232="","",0))</f>
        <v/>
      </c>
      <c r="J232" s="14" t="n"/>
      <c r="K232" s="14" t="n"/>
      <c r="L232" s="34" t="n"/>
      <c r="M232" s="14" t="n"/>
      <c r="N232" s="33" t="n"/>
    </row>
    <row r="233">
      <c r="B233" s="14" t="n"/>
      <c r="C233" s="33" t="n"/>
      <c r="D233" s="34" t="n"/>
      <c r="E233" s="14" t="n"/>
      <c r="F233" s="33" t="n"/>
      <c r="G233" s="33" t="n"/>
      <c r="H233" s="33" t="n"/>
      <c r="I233" s="35">
        <f>IF(H233="Yes",N(D233),IF(B233="","",0))</f>
        <v/>
      </c>
      <c r="J233" s="14" t="n"/>
      <c r="K233" s="14" t="n"/>
      <c r="L233" s="34" t="n"/>
      <c r="M233" s="14" t="n"/>
      <c r="N233" s="33" t="n"/>
    </row>
    <row r="234">
      <c r="B234" s="14" t="n"/>
      <c r="C234" s="33" t="n"/>
      <c r="D234" s="34" t="n"/>
      <c r="E234" s="14" t="n"/>
      <c r="F234" s="33" t="n"/>
      <c r="G234" s="33" t="n"/>
      <c r="H234" s="33" t="n"/>
      <c r="I234" s="35">
        <f>IF(H234="Yes",N(D234),IF(B234="","",0))</f>
        <v/>
      </c>
      <c r="J234" s="14" t="n"/>
      <c r="K234" s="14" t="n"/>
      <c r="L234" s="34" t="n"/>
      <c r="M234" s="14" t="n"/>
      <c r="N234" s="33" t="n"/>
    </row>
    <row r="235">
      <c r="B235" s="14" t="n"/>
      <c r="C235" s="33" t="n"/>
      <c r="D235" s="34" t="n"/>
      <c r="E235" s="14" t="n"/>
      <c r="F235" s="33" t="n"/>
      <c r="G235" s="33" t="n"/>
      <c r="H235" s="33" t="n"/>
      <c r="I235" s="35">
        <f>IF(H235="Yes",N(D235),IF(B235="","",0))</f>
        <v/>
      </c>
      <c r="J235" s="14" t="n"/>
      <c r="K235" s="14" t="n"/>
      <c r="L235" s="34" t="n"/>
      <c r="M235" s="14" t="n"/>
      <c r="N235" s="33" t="n"/>
    </row>
    <row r="236">
      <c r="B236" s="14" t="n"/>
      <c r="C236" s="33" t="n"/>
      <c r="D236" s="34" t="n"/>
      <c r="E236" s="14" t="n"/>
      <c r="F236" s="33" t="n"/>
      <c r="G236" s="33" t="n"/>
      <c r="H236" s="33" t="n"/>
      <c r="I236" s="35">
        <f>IF(H236="Yes",N(D236),IF(B236="","",0))</f>
        <v/>
      </c>
      <c r="J236" s="14" t="n"/>
      <c r="K236" s="14" t="n"/>
      <c r="L236" s="34" t="n"/>
      <c r="M236" s="14" t="n"/>
      <c r="N236" s="33" t="n"/>
    </row>
    <row r="237">
      <c r="B237" s="14" t="n"/>
      <c r="C237" s="33" t="n"/>
      <c r="D237" s="34" t="n"/>
      <c r="E237" s="14" t="n"/>
      <c r="F237" s="33" t="n"/>
      <c r="G237" s="33" t="n"/>
      <c r="H237" s="33" t="n"/>
      <c r="I237" s="35">
        <f>IF(H237="Yes",N(D237),IF(B237="","",0))</f>
        <v/>
      </c>
      <c r="J237" s="14" t="n"/>
      <c r="K237" s="14" t="n"/>
      <c r="L237" s="34" t="n"/>
      <c r="M237" s="14" t="n"/>
      <c r="N237" s="33" t="n"/>
    </row>
    <row r="238">
      <c r="B238" s="14" t="n"/>
      <c r="C238" s="33" t="n"/>
      <c r="D238" s="34" t="n"/>
      <c r="E238" s="14" t="n"/>
      <c r="F238" s="33" t="n"/>
      <c r="G238" s="33" t="n"/>
      <c r="H238" s="33" t="n"/>
      <c r="I238" s="35">
        <f>IF(H238="Yes",N(D238),IF(B238="","",0))</f>
        <v/>
      </c>
      <c r="J238" s="14" t="n"/>
      <c r="K238" s="14" t="n"/>
      <c r="L238" s="34" t="n"/>
      <c r="M238" s="14" t="n"/>
      <c r="N238" s="33" t="n"/>
    </row>
    <row r="239">
      <c r="B239" s="14" t="n"/>
      <c r="C239" s="33" t="n"/>
      <c r="D239" s="34" t="n"/>
      <c r="E239" s="14" t="n"/>
      <c r="F239" s="33" t="n"/>
      <c r="G239" s="33" t="n"/>
      <c r="H239" s="33" t="n"/>
      <c r="I239" s="35">
        <f>IF(H239="Yes",N(D239),IF(B239="","",0))</f>
        <v/>
      </c>
      <c r="J239" s="14" t="n"/>
      <c r="K239" s="14" t="n"/>
      <c r="L239" s="34" t="n"/>
      <c r="M239" s="14" t="n"/>
      <c r="N239" s="33" t="n"/>
    </row>
    <row r="240">
      <c r="B240" s="14" t="n"/>
      <c r="C240" s="33" t="n"/>
      <c r="D240" s="34" t="n"/>
      <c r="E240" s="14" t="n"/>
      <c r="F240" s="33" t="n"/>
      <c r="G240" s="33" t="n"/>
      <c r="H240" s="33" t="n"/>
      <c r="I240" s="35">
        <f>IF(H240="Yes",N(D240),IF(B240="","",0))</f>
        <v/>
      </c>
      <c r="J240" s="14" t="n"/>
      <c r="K240" s="14" t="n"/>
      <c r="L240" s="34" t="n"/>
      <c r="M240" s="14" t="n"/>
      <c r="N240" s="33" t="n"/>
    </row>
    <row r="241">
      <c r="B241" s="14" t="n"/>
      <c r="C241" s="33" t="n"/>
      <c r="D241" s="34" t="n"/>
      <c r="E241" s="14" t="n"/>
      <c r="F241" s="33" t="n"/>
      <c r="G241" s="33" t="n"/>
      <c r="H241" s="33" t="n"/>
      <c r="I241" s="35">
        <f>IF(H241="Yes",N(D241),IF(B241="","",0))</f>
        <v/>
      </c>
      <c r="J241" s="14" t="n"/>
      <c r="K241" s="14" t="n"/>
      <c r="L241" s="34" t="n"/>
      <c r="M241" s="14" t="n"/>
      <c r="N241" s="33" t="n"/>
    </row>
    <row r="242">
      <c r="B242" s="14" t="n"/>
      <c r="C242" s="33" t="n"/>
      <c r="D242" s="34" t="n"/>
      <c r="E242" s="14" t="n"/>
      <c r="F242" s="33" t="n"/>
      <c r="G242" s="33" t="n"/>
      <c r="H242" s="33" t="n"/>
      <c r="I242" s="35">
        <f>IF(H242="Yes",N(D242),IF(B242="","",0))</f>
        <v/>
      </c>
      <c r="J242" s="14" t="n"/>
      <c r="K242" s="14" t="n"/>
      <c r="L242" s="34" t="n"/>
      <c r="M242" s="14" t="n"/>
      <c r="N242" s="33" t="n"/>
    </row>
    <row r="243">
      <c r="B243" s="14" t="n"/>
      <c r="C243" s="33" t="n"/>
      <c r="D243" s="34" t="n"/>
      <c r="E243" s="14" t="n"/>
      <c r="F243" s="33" t="n"/>
      <c r="G243" s="33" t="n"/>
      <c r="H243" s="33" t="n"/>
      <c r="I243" s="35">
        <f>IF(H243="Yes",N(D243),IF(B243="","",0))</f>
        <v/>
      </c>
      <c r="J243" s="14" t="n"/>
      <c r="K243" s="14" t="n"/>
      <c r="L243" s="34" t="n"/>
      <c r="M243" s="14" t="n"/>
      <c r="N243" s="33" t="n"/>
    </row>
    <row r="244">
      <c r="B244" s="14" t="n"/>
      <c r="C244" s="33" t="n"/>
      <c r="D244" s="34" t="n"/>
      <c r="E244" s="14" t="n"/>
      <c r="F244" s="33" t="n"/>
      <c r="G244" s="33" t="n"/>
      <c r="H244" s="33" t="n"/>
      <c r="I244" s="35">
        <f>IF(H244="Yes",N(D244),IF(B244="","",0))</f>
        <v/>
      </c>
      <c r="J244" s="14" t="n"/>
      <c r="K244" s="14" t="n"/>
      <c r="L244" s="34" t="n"/>
      <c r="M244" s="14" t="n"/>
      <c r="N244" s="33" t="n"/>
    </row>
    <row r="245">
      <c r="B245" s="14" t="n"/>
      <c r="C245" s="33" t="n"/>
      <c r="D245" s="34" t="n"/>
      <c r="E245" s="14" t="n"/>
      <c r="F245" s="33" t="n"/>
      <c r="G245" s="33" t="n"/>
      <c r="H245" s="33" t="n"/>
      <c r="I245" s="35">
        <f>IF(H245="Yes",N(D245),IF(B245="","",0))</f>
        <v/>
      </c>
      <c r="J245" s="14" t="n"/>
      <c r="K245" s="14" t="n"/>
      <c r="L245" s="34" t="n"/>
      <c r="M245" s="14" t="n"/>
      <c r="N245" s="33" t="n"/>
    </row>
    <row r="246">
      <c r="B246" s="14" t="n"/>
      <c r="C246" s="33" t="n"/>
      <c r="D246" s="34" t="n"/>
      <c r="E246" s="14" t="n"/>
      <c r="F246" s="33" t="n"/>
      <c r="G246" s="33" t="n"/>
      <c r="H246" s="33" t="n"/>
      <c r="I246" s="35">
        <f>IF(H246="Yes",N(D246),IF(B246="","",0))</f>
        <v/>
      </c>
      <c r="J246" s="14" t="n"/>
      <c r="K246" s="14" t="n"/>
      <c r="L246" s="34" t="n"/>
      <c r="M246" s="14" t="n"/>
      <c r="N246" s="33" t="n"/>
    </row>
    <row r="247">
      <c r="B247" s="14" t="n"/>
      <c r="C247" s="33" t="n"/>
      <c r="D247" s="34" t="n"/>
      <c r="E247" s="14" t="n"/>
      <c r="F247" s="33" t="n"/>
      <c r="G247" s="33" t="n"/>
      <c r="H247" s="33" t="n"/>
      <c r="I247" s="35">
        <f>IF(H247="Yes",N(D247),IF(B247="","",0))</f>
        <v/>
      </c>
      <c r="J247" s="14" t="n"/>
      <c r="K247" s="14" t="n"/>
      <c r="L247" s="34" t="n"/>
      <c r="M247" s="14" t="n"/>
      <c r="N247" s="33" t="n"/>
    </row>
    <row r="248">
      <c r="B248" s="14" t="n"/>
      <c r="C248" s="33" t="n"/>
      <c r="D248" s="34" t="n"/>
      <c r="E248" s="14" t="n"/>
      <c r="F248" s="33" t="n"/>
      <c r="G248" s="33" t="n"/>
      <c r="H248" s="33" t="n"/>
      <c r="I248" s="35">
        <f>IF(H248="Yes",N(D248),IF(B248="","",0))</f>
        <v/>
      </c>
      <c r="J248" s="14" t="n"/>
      <c r="K248" s="14" t="n"/>
      <c r="L248" s="34" t="n"/>
      <c r="M248" s="14" t="n"/>
      <c r="N248" s="33" t="n"/>
    </row>
    <row r="249">
      <c r="B249" s="14" t="n"/>
      <c r="C249" s="33" t="n"/>
      <c r="D249" s="34" t="n"/>
      <c r="E249" s="14" t="n"/>
      <c r="F249" s="33" t="n"/>
      <c r="G249" s="33" t="n"/>
      <c r="H249" s="33" t="n"/>
      <c r="I249" s="35">
        <f>IF(H249="Yes",N(D249),IF(B249="","",0))</f>
        <v/>
      </c>
      <c r="J249" s="14" t="n"/>
      <c r="K249" s="14" t="n"/>
      <c r="L249" s="34" t="n"/>
      <c r="M249" s="14" t="n"/>
      <c r="N249" s="33" t="n"/>
    </row>
    <row r="250">
      <c r="B250" s="14" t="n"/>
      <c r="C250" s="33" t="n"/>
      <c r="D250" s="34" t="n"/>
      <c r="E250" s="14" t="n"/>
      <c r="F250" s="33" t="n"/>
      <c r="G250" s="33" t="n"/>
      <c r="H250" s="33" t="n"/>
      <c r="I250" s="35">
        <f>IF(H250="Yes",N(D250),IF(B250="","",0))</f>
        <v/>
      </c>
      <c r="J250" s="14" t="n"/>
      <c r="K250" s="14" t="n"/>
      <c r="L250" s="34" t="n"/>
      <c r="M250" s="14" t="n"/>
      <c r="N250" s="33" t="n"/>
    </row>
    <row r="251">
      <c r="B251" s="14" t="n"/>
      <c r="C251" s="33" t="n"/>
      <c r="D251" s="34" t="n"/>
      <c r="E251" s="14" t="n"/>
      <c r="F251" s="33" t="n"/>
      <c r="G251" s="33" t="n"/>
      <c r="H251" s="33" t="n"/>
      <c r="I251" s="35">
        <f>IF(H251="Yes",N(D251),IF(B251="","",0))</f>
        <v/>
      </c>
      <c r="J251" s="14" t="n"/>
      <c r="K251" s="14" t="n"/>
      <c r="L251" s="34" t="n"/>
      <c r="M251" s="14" t="n"/>
      <c r="N251" s="33" t="n"/>
    </row>
    <row r="252">
      <c r="B252" s="14" t="n"/>
      <c r="C252" s="33" t="n"/>
      <c r="D252" s="34" t="n"/>
      <c r="E252" s="14" t="n"/>
      <c r="F252" s="33" t="n"/>
      <c r="G252" s="33" t="n"/>
      <c r="H252" s="33" t="n"/>
      <c r="I252" s="35">
        <f>IF(H252="Yes",N(D252),IF(B252="","",0))</f>
        <v/>
      </c>
      <c r="J252" s="14" t="n"/>
      <c r="K252" s="14" t="n"/>
      <c r="L252" s="34" t="n"/>
      <c r="M252" s="14" t="n"/>
      <c r="N252" s="33" t="n"/>
    </row>
    <row r="253">
      <c r="B253" s="14" t="n"/>
      <c r="C253" s="33" t="n"/>
      <c r="D253" s="34" t="n"/>
      <c r="E253" s="14" t="n"/>
      <c r="F253" s="33" t="n"/>
      <c r="G253" s="33" t="n"/>
      <c r="H253" s="33" t="n"/>
      <c r="I253" s="35">
        <f>IF(H253="Yes",N(D253),IF(B253="","",0))</f>
        <v/>
      </c>
      <c r="J253" s="14" t="n"/>
      <c r="K253" s="14" t="n"/>
      <c r="L253" s="34" t="n"/>
      <c r="M253" s="14" t="n"/>
      <c r="N253" s="33" t="n"/>
    </row>
    <row r="254">
      <c r="B254" s="14" t="n"/>
      <c r="C254" s="33" t="n"/>
      <c r="D254" s="34" t="n"/>
      <c r="E254" s="14" t="n"/>
      <c r="F254" s="33" t="n"/>
      <c r="G254" s="33" t="n"/>
      <c r="H254" s="33" t="n"/>
      <c r="I254" s="35">
        <f>IF(H254="Yes",N(D254),IF(B254="","",0))</f>
        <v/>
      </c>
      <c r="J254" s="14" t="n"/>
      <c r="K254" s="14" t="n"/>
      <c r="L254" s="34" t="n"/>
      <c r="M254" s="14" t="n"/>
      <c r="N254" s="33" t="n"/>
    </row>
    <row r="255">
      <c r="B255" s="14" t="n"/>
      <c r="C255" s="33" t="n"/>
      <c r="D255" s="34" t="n"/>
      <c r="E255" s="14" t="n"/>
      <c r="F255" s="33" t="n"/>
      <c r="G255" s="33" t="n"/>
      <c r="H255" s="33" t="n"/>
      <c r="I255" s="35">
        <f>IF(H255="Yes",N(D255),IF(B255="","",0))</f>
        <v/>
      </c>
      <c r="J255" s="14" t="n"/>
      <c r="K255" s="14" t="n"/>
      <c r="L255" s="34" t="n"/>
      <c r="M255" s="14" t="n"/>
      <c r="N255" s="33" t="n"/>
    </row>
    <row r="256">
      <c r="B256" s="14" t="n"/>
      <c r="C256" s="33" t="n"/>
      <c r="D256" s="34" t="n"/>
      <c r="E256" s="14" t="n"/>
      <c r="F256" s="33" t="n"/>
      <c r="G256" s="33" t="n"/>
      <c r="H256" s="33" t="n"/>
      <c r="I256" s="35">
        <f>IF(H256="Yes",N(D256),IF(B256="","",0))</f>
        <v/>
      </c>
      <c r="J256" s="14" t="n"/>
      <c r="K256" s="14" t="n"/>
      <c r="L256" s="34" t="n"/>
      <c r="M256" s="14" t="n"/>
      <c r="N256" s="33" t="n"/>
    </row>
    <row r="257">
      <c r="B257" s="14" t="n"/>
      <c r="C257" s="33" t="n"/>
      <c r="D257" s="34" t="n"/>
      <c r="E257" s="14" t="n"/>
      <c r="F257" s="33" t="n"/>
      <c r="G257" s="33" t="n"/>
      <c r="H257" s="33" t="n"/>
      <c r="I257" s="35">
        <f>IF(H257="Yes",N(D257),IF(B257="","",0))</f>
        <v/>
      </c>
      <c r="J257" s="14" t="n"/>
      <c r="K257" s="14" t="n"/>
      <c r="L257" s="34" t="n"/>
      <c r="M257" s="14" t="n"/>
      <c r="N257" s="33" t="n"/>
    </row>
    <row r="258">
      <c r="B258" s="14" t="n"/>
      <c r="C258" s="33" t="n"/>
      <c r="D258" s="34" t="n"/>
      <c r="E258" s="14" t="n"/>
      <c r="F258" s="33" t="n"/>
      <c r="G258" s="33" t="n"/>
      <c r="H258" s="33" t="n"/>
      <c r="I258" s="35">
        <f>IF(H258="Yes",N(D258),IF(B258="","",0))</f>
        <v/>
      </c>
      <c r="J258" s="14" t="n"/>
      <c r="K258" s="14" t="n"/>
      <c r="L258" s="34" t="n"/>
      <c r="M258" s="14" t="n"/>
      <c r="N258" s="33" t="n"/>
    </row>
    <row r="259">
      <c r="B259" s="14" t="n"/>
      <c r="C259" s="33" t="n"/>
      <c r="D259" s="34" t="n"/>
      <c r="E259" s="14" t="n"/>
      <c r="F259" s="33" t="n"/>
      <c r="G259" s="33" t="n"/>
      <c r="H259" s="33" t="n"/>
      <c r="I259" s="35">
        <f>IF(H259="Yes",N(D259),IF(B259="","",0))</f>
        <v/>
      </c>
      <c r="J259" s="14" t="n"/>
      <c r="K259" s="14" t="n"/>
      <c r="L259" s="34" t="n"/>
      <c r="M259" s="14" t="n"/>
      <c r="N259" s="33" t="n"/>
    </row>
    <row r="260">
      <c r="B260" s="14" t="n"/>
      <c r="C260" s="33" t="n"/>
      <c r="D260" s="34" t="n"/>
      <c r="E260" s="14" t="n"/>
      <c r="F260" s="33" t="n"/>
      <c r="G260" s="33" t="n"/>
      <c r="H260" s="33" t="n"/>
      <c r="I260" s="35">
        <f>IF(H260="Yes",N(D260),IF(B260="","",0))</f>
        <v/>
      </c>
      <c r="J260" s="14" t="n"/>
      <c r="K260" s="14" t="n"/>
      <c r="L260" s="34" t="n"/>
      <c r="M260" s="14" t="n"/>
      <c r="N260" s="33" t="n"/>
    </row>
    <row r="261">
      <c r="B261" s="14" t="n"/>
      <c r="C261" s="33" t="n"/>
      <c r="D261" s="34" t="n"/>
      <c r="E261" s="14" t="n"/>
      <c r="F261" s="33" t="n"/>
      <c r="G261" s="33" t="n"/>
      <c r="H261" s="33" t="n"/>
      <c r="I261" s="35">
        <f>IF(H261="Yes",N(D261),IF(B261="","",0))</f>
        <v/>
      </c>
      <c r="J261" s="14" t="n"/>
      <c r="K261" s="14" t="n"/>
      <c r="L261" s="34" t="n"/>
      <c r="M261" s="14" t="n"/>
      <c r="N261" s="33" t="n"/>
    </row>
    <row r="262">
      <c r="B262" s="14" t="n"/>
      <c r="C262" s="33" t="n"/>
      <c r="D262" s="34" t="n"/>
      <c r="E262" s="14" t="n"/>
      <c r="F262" s="33" t="n"/>
      <c r="G262" s="33" t="n"/>
      <c r="H262" s="33" t="n"/>
      <c r="I262" s="35">
        <f>IF(H262="Yes",N(D262),IF(B262="","",0))</f>
        <v/>
      </c>
      <c r="J262" s="14" t="n"/>
      <c r="K262" s="14" t="n"/>
      <c r="L262" s="34" t="n"/>
      <c r="M262" s="14" t="n"/>
      <c r="N262" s="33" t="n"/>
    </row>
    <row r="263">
      <c r="B263" s="14" t="n"/>
      <c r="C263" s="33" t="n"/>
      <c r="D263" s="34" t="n"/>
      <c r="E263" s="14" t="n"/>
      <c r="F263" s="33" t="n"/>
      <c r="G263" s="33" t="n"/>
      <c r="H263" s="33" t="n"/>
      <c r="I263" s="35">
        <f>IF(H263="Yes",N(D263),IF(B263="","",0))</f>
        <v/>
      </c>
      <c r="J263" s="14" t="n"/>
      <c r="K263" s="14" t="n"/>
      <c r="L263" s="34" t="n"/>
      <c r="M263" s="14" t="n"/>
      <c r="N263" s="33" t="n"/>
    </row>
    <row r="264">
      <c r="B264" s="14" t="n"/>
      <c r="C264" s="33" t="n"/>
      <c r="D264" s="34" t="n"/>
      <c r="E264" s="14" t="n"/>
      <c r="F264" s="33" t="n"/>
      <c r="G264" s="33" t="n"/>
      <c r="H264" s="33" t="n"/>
      <c r="I264" s="35">
        <f>IF(H264="Yes",N(D264),IF(B264="","",0))</f>
        <v/>
      </c>
      <c r="J264" s="14" t="n"/>
      <c r="K264" s="14" t="n"/>
      <c r="L264" s="34" t="n"/>
      <c r="M264" s="14" t="n"/>
      <c r="N264" s="33" t="n"/>
    </row>
    <row r="265">
      <c r="B265" s="14" t="n"/>
      <c r="C265" s="33" t="n"/>
      <c r="D265" s="34" t="n"/>
      <c r="E265" s="14" t="n"/>
      <c r="F265" s="33" t="n"/>
      <c r="G265" s="33" t="n"/>
      <c r="H265" s="33" t="n"/>
      <c r="I265" s="35">
        <f>IF(H265="Yes",N(D265),IF(B265="","",0))</f>
        <v/>
      </c>
      <c r="J265" s="14" t="n"/>
      <c r="K265" s="14" t="n"/>
      <c r="L265" s="34" t="n"/>
      <c r="M265" s="14" t="n"/>
      <c r="N265" s="33" t="n"/>
    </row>
    <row r="266">
      <c r="B266" s="14" t="n"/>
      <c r="C266" s="33" t="n"/>
      <c r="D266" s="34" t="n"/>
      <c r="E266" s="14" t="n"/>
      <c r="F266" s="33" t="n"/>
      <c r="G266" s="33" t="n"/>
      <c r="H266" s="33" t="n"/>
      <c r="I266" s="35">
        <f>IF(H266="Yes",N(D266),IF(B266="","",0))</f>
        <v/>
      </c>
      <c r="J266" s="14" t="n"/>
      <c r="K266" s="14" t="n"/>
      <c r="L266" s="34" t="n"/>
      <c r="M266" s="14" t="n"/>
      <c r="N266" s="33" t="n"/>
    </row>
    <row r="267">
      <c r="B267" s="14" t="n"/>
      <c r="C267" s="33" t="n"/>
      <c r="D267" s="34" t="n"/>
      <c r="E267" s="14" t="n"/>
      <c r="F267" s="33" t="n"/>
      <c r="G267" s="33" t="n"/>
      <c r="H267" s="33" t="n"/>
      <c r="I267" s="35">
        <f>IF(H267="Yes",N(D267),IF(B267="","",0))</f>
        <v/>
      </c>
      <c r="J267" s="14" t="n"/>
      <c r="K267" s="14" t="n"/>
      <c r="L267" s="34" t="n"/>
      <c r="M267" s="14" t="n"/>
      <c r="N267" s="33" t="n"/>
    </row>
    <row r="268">
      <c r="B268" s="14" t="n"/>
      <c r="C268" s="33" t="n"/>
      <c r="D268" s="34" t="n"/>
      <c r="E268" s="14" t="n"/>
      <c r="F268" s="33" t="n"/>
      <c r="G268" s="33" t="n"/>
      <c r="H268" s="33" t="n"/>
      <c r="I268" s="35">
        <f>IF(H268="Yes",N(D268),IF(B268="","",0))</f>
        <v/>
      </c>
      <c r="J268" s="14" t="n"/>
      <c r="K268" s="14" t="n"/>
      <c r="L268" s="34" t="n"/>
      <c r="M268" s="14" t="n"/>
      <c r="N268" s="33" t="n"/>
    </row>
    <row r="269">
      <c r="B269" s="14" t="n"/>
      <c r="C269" s="33" t="n"/>
      <c r="D269" s="34" t="n"/>
      <c r="E269" s="14" t="n"/>
      <c r="F269" s="33" t="n"/>
      <c r="G269" s="33" t="n"/>
      <c r="H269" s="33" t="n"/>
      <c r="I269" s="35">
        <f>IF(H269="Yes",N(D269),IF(B269="","",0))</f>
        <v/>
      </c>
      <c r="J269" s="14" t="n"/>
      <c r="K269" s="14" t="n"/>
      <c r="L269" s="34" t="n"/>
      <c r="M269" s="14" t="n"/>
      <c r="N269" s="33" t="n"/>
    </row>
    <row r="270">
      <c r="B270" s="14" t="n"/>
      <c r="C270" s="33" t="n"/>
      <c r="D270" s="34" t="n"/>
      <c r="E270" s="14" t="n"/>
      <c r="F270" s="33" t="n"/>
      <c r="G270" s="33" t="n"/>
      <c r="H270" s="33" t="n"/>
      <c r="I270" s="35">
        <f>IF(H270="Yes",N(D270),IF(B270="","",0))</f>
        <v/>
      </c>
      <c r="J270" s="14" t="n"/>
      <c r="K270" s="14" t="n"/>
      <c r="L270" s="34" t="n"/>
      <c r="M270" s="14" t="n"/>
      <c r="N270" s="33" t="n"/>
    </row>
    <row r="271">
      <c r="B271" s="14" t="n"/>
      <c r="C271" s="33" t="n"/>
      <c r="D271" s="34" t="n"/>
      <c r="E271" s="14" t="n"/>
      <c r="F271" s="33" t="n"/>
      <c r="G271" s="33" t="n"/>
      <c r="H271" s="33" t="n"/>
      <c r="I271" s="35">
        <f>IF(H271="Yes",N(D271),IF(B271="","",0))</f>
        <v/>
      </c>
      <c r="J271" s="14" t="n"/>
      <c r="K271" s="14" t="n"/>
      <c r="L271" s="34" t="n"/>
      <c r="M271" s="14" t="n"/>
      <c r="N271" s="33" t="n"/>
    </row>
    <row r="272">
      <c r="B272" s="14" t="n"/>
      <c r="C272" s="33" t="n"/>
      <c r="D272" s="34" t="n"/>
      <c r="E272" s="14" t="n"/>
      <c r="F272" s="33" t="n"/>
      <c r="G272" s="33" t="n"/>
      <c r="H272" s="33" t="n"/>
      <c r="I272" s="35">
        <f>IF(H272="Yes",N(D272),IF(B272="","",0))</f>
        <v/>
      </c>
      <c r="J272" s="14" t="n"/>
      <c r="K272" s="14" t="n"/>
      <c r="L272" s="34" t="n"/>
      <c r="M272" s="14" t="n"/>
      <c r="N272" s="33" t="n"/>
    </row>
    <row r="273">
      <c r="B273" s="14" t="n"/>
      <c r="C273" s="33" t="n"/>
      <c r="D273" s="34" t="n"/>
      <c r="E273" s="14" t="n"/>
      <c r="F273" s="33" t="n"/>
      <c r="G273" s="33" t="n"/>
      <c r="H273" s="33" t="n"/>
      <c r="I273" s="35">
        <f>IF(H273="Yes",N(D273),IF(B273="","",0))</f>
        <v/>
      </c>
      <c r="J273" s="14" t="n"/>
      <c r="K273" s="14" t="n"/>
      <c r="L273" s="34" t="n"/>
      <c r="M273" s="14" t="n"/>
      <c r="N273" s="33" t="n"/>
    </row>
    <row r="274">
      <c r="B274" s="14" t="n"/>
      <c r="C274" s="33" t="n"/>
      <c r="D274" s="34" t="n"/>
      <c r="E274" s="14" t="n"/>
      <c r="F274" s="33" t="n"/>
      <c r="G274" s="33" t="n"/>
      <c r="H274" s="33" t="n"/>
      <c r="I274" s="35">
        <f>IF(H274="Yes",N(D274),IF(B274="","",0))</f>
        <v/>
      </c>
      <c r="J274" s="14" t="n"/>
      <c r="K274" s="14" t="n"/>
      <c r="L274" s="34" t="n"/>
      <c r="M274" s="14" t="n"/>
      <c r="N274" s="33" t="n"/>
    </row>
    <row r="275">
      <c r="B275" s="14" t="n"/>
      <c r="C275" s="33" t="n"/>
      <c r="D275" s="34" t="n"/>
      <c r="E275" s="14" t="n"/>
      <c r="F275" s="33" t="n"/>
      <c r="G275" s="33" t="n"/>
      <c r="H275" s="33" t="n"/>
      <c r="I275" s="35">
        <f>IF(H275="Yes",N(D275),IF(B275="","",0))</f>
        <v/>
      </c>
      <c r="J275" s="14" t="n"/>
      <c r="K275" s="14" t="n"/>
      <c r="L275" s="34" t="n"/>
      <c r="M275" s="14" t="n"/>
      <c r="N275" s="33" t="n"/>
    </row>
    <row r="276">
      <c r="B276" s="14" t="n"/>
      <c r="C276" s="33" t="n"/>
      <c r="D276" s="34" t="n"/>
      <c r="E276" s="14" t="n"/>
      <c r="F276" s="33" t="n"/>
      <c r="G276" s="33" t="n"/>
      <c r="H276" s="33" t="n"/>
      <c r="I276" s="35">
        <f>IF(H276="Yes",N(D276),IF(B276="","",0))</f>
        <v/>
      </c>
      <c r="J276" s="14" t="n"/>
      <c r="K276" s="14" t="n"/>
      <c r="L276" s="34" t="n"/>
      <c r="M276" s="14" t="n"/>
      <c r="N276" s="33" t="n"/>
    </row>
    <row r="277">
      <c r="B277" s="14" t="n"/>
      <c r="C277" s="33" t="n"/>
      <c r="D277" s="34" t="n"/>
      <c r="E277" s="14" t="n"/>
      <c r="F277" s="33" t="n"/>
      <c r="G277" s="33" t="n"/>
      <c r="H277" s="33" t="n"/>
      <c r="I277" s="35">
        <f>IF(H277="Yes",N(D277),IF(B277="","",0))</f>
        <v/>
      </c>
      <c r="J277" s="14" t="n"/>
      <c r="K277" s="14" t="n"/>
      <c r="L277" s="34" t="n"/>
      <c r="M277" s="14" t="n"/>
      <c r="N277" s="33" t="n"/>
    </row>
    <row r="278">
      <c r="B278" s="14" t="n"/>
      <c r="C278" s="33" t="n"/>
      <c r="D278" s="34" t="n"/>
      <c r="E278" s="14" t="n"/>
      <c r="F278" s="33" t="n"/>
      <c r="G278" s="33" t="n"/>
      <c r="H278" s="33" t="n"/>
      <c r="I278" s="35">
        <f>IF(H278="Yes",N(D278),IF(B278="","",0))</f>
        <v/>
      </c>
      <c r="J278" s="14" t="n"/>
      <c r="K278" s="14" t="n"/>
      <c r="L278" s="34" t="n"/>
      <c r="M278" s="14" t="n"/>
      <c r="N278" s="33" t="n"/>
    </row>
    <row r="279">
      <c r="B279" s="14" t="n"/>
      <c r="C279" s="33" t="n"/>
      <c r="D279" s="34" t="n"/>
      <c r="E279" s="14" t="n"/>
      <c r="F279" s="33" t="n"/>
      <c r="G279" s="33" t="n"/>
      <c r="H279" s="33" t="n"/>
      <c r="I279" s="35">
        <f>IF(H279="Yes",N(D279),IF(B279="","",0))</f>
        <v/>
      </c>
      <c r="J279" s="14" t="n"/>
      <c r="K279" s="14" t="n"/>
      <c r="L279" s="34" t="n"/>
      <c r="M279" s="14" t="n"/>
      <c r="N279" s="33" t="n"/>
    </row>
    <row r="280">
      <c r="B280" s="14" t="n"/>
      <c r="C280" s="33" t="n"/>
      <c r="D280" s="34" t="n"/>
      <c r="E280" s="14" t="n"/>
      <c r="F280" s="33" t="n"/>
      <c r="G280" s="33" t="n"/>
      <c r="H280" s="33" t="n"/>
      <c r="I280" s="35">
        <f>IF(H280="Yes",N(D280),IF(B280="","",0))</f>
        <v/>
      </c>
      <c r="J280" s="14" t="n"/>
      <c r="K280" s="14" t="n"/>
      <c r="L280" s="34" t="n"/>
      <c r="M280" s="14" t="n"/>
      <c r="N280" s="33" t="n"/>
    </row>
    <row r="281">
      <c r="B281" s="14" t="n"/>
      <c r="C281" s="33" t="n"/>
      <c r="D281" s="34" t="n"/>
      <c r="E281" s="14" t="n"/>
      <c r="F281" s="33" t="n"/>
      <c r="G281" s="33" t="n"/>
      <c r="H281" s="33" t="n"/>
      <c r="I281" s="35">
        <f>IF(H281="Yes",N(D281),IF(B281="","",0))</f>
        <v/>
      </c>
      <c r="J281" s="14" t="n"/>
      <c r="K281" s="14" t="n"/>
      <c r="L281" s="34" t="n"/>
      <c r="M281" s="14" t="n"/>
      <c r="N281" s="33" t="n"/>
    </row>
    <row r="282">
      <c r="B282" s="14" t="n"/>
      <c r="C282" s="33" t="n"/>
      <c r="D282" s="34" t="n"/>
      <c r="E282" s="14" t="n"/>
      <c r="F282" s="33" t="n"/>
      <c r="G282" s="33" t="n"/>
      <c r="H282" s="33" t="n"/>
      <c r="I282" s="35">
        <f>IF(H282="Yes",N(D282),IF(B282="","",0))</f>
        <v/>
      </c>
      <c r="J282" s="14" t="n"/>
      <c r="K282" s="14" t="n"/>
      <c r="L282" s="34" t="n"/>
      <c r="M282" s="14" t="n"/>
      <c r="N282" s="33" t="n"/>
    </row>
    <row r="283">
      <c r="B283" s="14" t="n"/>
      <c r="C283" s="33" t="n"/>
      <c r="D283" s="34" t="n"/>
      <c r="E283" s="14" t="n"/>
      <c r="F283" s="33" t="n"/>
      <c r="G283" s="33" t="n"/>
      <c r="H283" s="33" t="n"/>
      <c r="I283" s="35">
        <f>IF(H283="Yes",N(D283),IF(B283="","",0))</f>
        <v/>
      </c>
      <c r="J283" s="14" t="n"/>
      <c r="K283" s="14" t="n"/>
      <c r="L283" s="34" t="n"/>
      <c r="M283" s="14" t="n"/>
      <c r="N283" s="33" t="n"/>
    </row>
    <row r="284">
      <c r="B284" s="14" t="n"/>
      <c r="C284" s="33" t="n"/>
      <c r="D284" s="34" t="n"/>
      <c r="E284" s="14" t="n"/>
      <c r="F284" s="33" t="n"/>
      <c r="G284" s="33" t="n"/>
      <c r="H284" s="33" t="n"/>
      <c r="I284" s="35">
        <f>IF(H284="Yes",N(D284),IF(B284="","",0))</f>
        <v/>
      </c>
      <c r="J284" s="14" t="n"/>
      <c r="K284" s="14" t="n"/>
      <c r="L284" s="34" t="n"/>
      <c r="M284" s="14" t="n"/>
      <c r="N284" s="33" t="n"/>
    </row>
    <row r="285">
      <c r="B285" s="14" t="n"/>
      <c r="C285" s="33" t="n"/>
      <c r="D285" s="34" t="n"/>
      <c r="E285" s="14" t="n"/>
      <c r="F285" s="33" t="n"/>
      <c r="G285" s="33" t="n"/>
      <c r="H285" s="33" t="n"/>
      <c r="I285" s="35">
        <f>IF(H285="Yes",N(D285),IF(B285="","",0))</f>
        <v/>
      </c>
      <c r="J285" s="14" t="n"/>
      <c r="K285" s="14" t="n"/>
      <c r="L285" s="34" t="n"/>
      <c r="M285" s="14" t="n"/>
      <c r="N285" s="33" t="n"/>
    </row>
    <row r="286">
      <c r="B286" s="14" t="n"/>
      <c r="C286" s="33" t="n"/>
      <c r="D286" s="34" t="n"/>
      <c r="E286" s="14" t="n"/>
      <c r="F286" s="33" t="n"/>
      <c r="G286" s="33" t="n"/>
      <c r="H286" s="33" t="n"/>
      <c r="I286" s="35">
        <f>IF(H286="Yes",N(D286),IF(B286="","",0))</f>
        <v/>
      </c>
      <c r="J286" s="14" t="n"/>
      <c r="K286" s="14" t="n"/>
      <c r="L286" s="34" t="n"/>
      <c r="M286" s="14" t="n"/>
      <c r="N286" s="33" t="n"/>
    </row>
    <row r="287">
      <c r="B287" s="14" t="n"/>
      <c r="C287" s="33" t="n"/>
      <c r="D287" s="34" t="n"/>
      <c r="E287" s="14" t="n"/>
      <c r="F287" s="33" t="n"/>
      <c r="G287" s="33" t="n"/>
      <c r="H287" s="33" t="n"/>
      <c r="I287" s="35">
        <f>IF(H287="Yes",N(D287),IF(B287="","",0))</f>
        <v/>
      </c>
      <c r="J287" s="14" t="n"/>
      <c r="K287" s="14" t="n"/>
      <c r="L287" s="34" t="n"/>
      <c r="M287" s="14" t="n"/>
      <c r="N287" s="33" t="n"/>
    </row>
    <row r="288">
      <c r="B288" s="14" t="n"/>
      <c r="C288" s="33" t="n"/>
      <c r="D288" s="34" t="n"/>
      <c r="E288" s="14" t="n"/>
      <c r="F288" s="33" t="n"/>
      <c r="G288" s="33" t="n"/>
      <c r="H288" s="33" t="n"/>
      <c r="I288" s="35">
        <f>IF(H288="Yes",N(D288),IF(B288="","",0))</f>
        <v/>
      </c>
      <c r="J288" s="14" t="n"/>
      <c r="K288" s="14" t="n"/>
      <c r="L288" s="34" t="n"/>
      <c r="M288" s="14" t="n"/>
      <c r="N288" s="33" t="n"/>
    </row>
    <row r="289">
      <c r="B289" s="14" t="n"/>
      <c r="C289" s="33" t="n"/>
      <c r="D289" s="34" t="n"/>
      <c r="E289" s="14" t="n"/>
      <c r="F289" s="33" t="n"/>
      <c r="G289" s="33" t="n"/>
      <c r="H289" s="33" t="n"/>
      <c r="I289" s="35">
        <f>IF(H289="Yes",N(D289),IF(B289="","",0))</f>
        <v/>
      </c>
      <c r="J289" s="14" t="n"/>
      <c r="K289" s="14" t="n"/>
      <c r="L289" s="34" t="n"/>
      <c r="M289" s="14" t="n"/>
      <c r="N289" s="33" t="n"/>
    </row>
    <row r="290">
      <c r="B290" s="14" t="n"/>
      <c r="C290" s="33" t="n"/>
      <c r="D290" s="34" t="n"/>
      <c r="E290" s="14" t="n"/>
      <c r="F290" s="33" t="n"/>
      <c r="G290" s="33" t="n"/>
      <c r="H290" s="33" t="n"/>
      <c r="I290" s="35">
        <f>IF(H290="Yes",N(D290),IF(B290="","",0))</f>
        <v/>
      </c>
      <c r="J290" s="14" t="n"/>
      <c r="K290" s="14" t="n"/>
      <c r="L290" s="34" t="n"/>
      <c r="M290" s="14" t="n"/>
      <c r="N290" s="33" t="n"/>
    </row>
    <row r="291">
      <c r="B291" s="14" t="n"/>
      <c r="C291" s="33" t="n"/>
      <c r="D291" s="34" t="n"/>
      <c r="E291" s="14" t="n"/>
      <c r="F291" s="33" t="n"/>
      <c r="G291" s="33" t="n"/>
      <c r="H291" s="33" t="n"/>
      <c r="I291" s="35">
        <f>IF(H291="Yes",N(D291),IF(B291="","",0))</f>
        <v/>
      </c>
      <c r="J291" s="14" t="n"/>
      <c r="K291" s="14" t="n"/>
      <c r="L291" s="34" t="n"/>
      <c r="M291" s="14" t="n"/>
      <c r="N291" s="33" t="n"/>
    </row>
    <row r="292">
      <c r="B292" s="14" t="n"/>
      <c r="C292" s="33" t="n"/>
      <c r="D292" s="34" t="n"/>
      <c r="E292" s="14" t="n"/>
      <c r="F292" s="33" t="n"/>
      <c r="G292" s="33" t="n"/>
      <c r="H292" s="33" t="n"/>
      <c r="I292" s="35">
        <f>IF(H292="Yes",N(D292),IF(B292="","",0))</f>
        <v/>
      </c>
      <c r="J292" s="14" t="n"/>
      <c r="K292" s="14" t="n"/>
      <c r="L292" s="34" t="n"/>
      <c r="M292" s="14" t="n"/>
      <c r="N292" s="33" t="n"/>
    </row>
    <row r="293">
      <c r="B293" s="14" t="n"/>
      <c r="C293" s="33" t="n"/>
      <c r="D293" s="34" t="n"/>
      <c r="E293" s="14" t="n"/>
      <c r="F293" s="33" t="n"/>
      <c r="G293" s="33" t="n"/>
      <c r="H293" s="33" t="n"/>
      <c r="I293" s="35">
        <f>IF(H293="Yes",N(D293),IF(B293="","",0))</f>
        <v/>
      </c>
      <c r="J293" s="14" t="n"/>
      <c r="K293" s="14" t="n"/>
      <c r="L293" s="34" t="n"/>
      <c r="M293" s="14" t="n"/>
      <c r="N293" s="33" t="n"/>
    </row>
    <row r="294">
      <c r="B294" s="14" t="n"/>
      <c r="C294" s="33" t="n"/>
      <c r="D294" s="34" t="n"/>
      <c r="E294" s="14" t="n"/>
      <c r="F294" s="33" t="n"/>
      <c r="G294" s="33" t="n"/>
      <c r="H294" s="33" t="n"/>
      <c r="I294" s="35">
        <f>IF(H294="Yes",N(D294),IF(B294="","",0))</f>
        <v/>
      </c>
      <c r="J294" s="14" t="n"/>
      <c r="K294" s="14" t="n"/>
      <c r="L294" s="34" t="n"/>
      <c r="M294" s="14" t="n"/>
      <c r="N294" s="33" t="n"/>
    </row>
    <row r="295">
      <c r="B295" s="14" t="n"/>
      <c r="C295" s="33" t="n"/>
      <c r="D295" s="34" t="n"/>
      <c r="E295" s="14" t="n"/>
      <c r="F295" s="33" t="n"/>
      <c r="G295" s="33" t="n"/>
      <c r="H295" s="33" t="n"/>
      <c r="I295" s="35">
        <f>IF(H295="Yes",N(D295),IF(B295="","",0))</f>
        <v/>
      </c>
      <c r="J295" s="14" t="n"/>
      <c r="K295" s="14" t="n"/>
      <c r="L295" s="34" t="n"/>
      <c r="M295" s="14" t="n"/>
      <c r="N295" s="33" t="n"/>
    </row>
    <row r="296">
      <c r="B296" s="14" t="n"/>
      <c r="C296" s="33" t="n"/>
      <c r="D296" s="34" t="n"/>
      <c r="E296" s="14" t="n"/>
      <c r="F296" s="33" t="n"/>
      <c r="G296" s="33" t="n"/>
      <c r="H296" s="33" t="n"/>
      <c r="I296" s="35">
        <f>IF(H296="Yes",N(D296),IF(B296="","",0))</f>
        <v/>
      </c>
      <c r="J296" s="14" t="n"/>
      <c r="K296" s="14" t="n"/>
      <c r="L296" s="34" t="n"/>
      <c r="M296" s="14" t="n"/>
      <c r="N296" s="33" t="n"/>
    </row>
    <row r="297">
      <c r="B297" s="14" t="n"/>
      <c r="C297" s="33" t="n"/>
      <c r="D297" s="34" t="n"/>
      <c r="E297" s="14" t="n"/>
      <c r="F297" s="33" t="n"/>
      <c r="G297" s="33" t="n"/>
      <c r="H297" s="33" t="n"/>
      <c r="I297" s="35">
        <f>IF(H297="Yes",N(D297),IF(B297="","",0))</f>
        <v/>
      </c>
      <c r="J297" s="14" t="n"/>
      <c r="K297" s="14" t="n"/>
      <c r="L297" s="34" t="n"/>
      <c r="M297" s="14" t="n"/>
      <c r="N297" s="33" t="n"/>
    </row>
    <row r="298">
      <c r="B298" s="14" t="n"/>
      <c r="C298" s="33" t="n"/>
      <c r="D298" s="34" t="n"/>
      <c r="E298" s="14" t="n"/>
      <c r="F298" s="33" t="n"/>
      <c r="G298" s="33" t="n"/>
      <c r="H298" s="33" t="n"/>
      <c r="I298" s="35">
        <f>IF(H298="Yes",N(D298),IF(B298="","",0))</f>
        <v/>
      </c>
      <c r="J298" s="14" t="n"/>
      <c r="K298" s="14" t="n"/>
      <c r="L298" s="34" t="n"/>
      <c r="M298" s="14" t="n"/>
      <c r="N298" s="33" t="n"/>
    </row>
    <row r="299">
      <c r="B299" s="14" t="n"/>
      <c r="C299" s="33" t="n"/>
      <c r="D299" s="34" t="n"/>
      <c r="E299" s="14" t="n"/>
      <c r="F299" s="33" t="n"/>
      <c r="G299" s="33" t="n"/>
      <c r="H299" s="33" t="n"/>
      <c r="I299" s="35">
        <f>IF(H299="Yes",N(D299),IF(B299="","",0))</f>
        <v/>
      </c>
      <c r="J299" s="14" t="n"/>
      <c r="K299" s="14" t="n"/>
      <c r="L299" s="34" t="n"/>
      <c r="M299" s="14" t="n"/>
      <c r="N299" s="33" t="n"/>
    </row>
    <row r="300">
      <c r="B300" s="14" t="n"/>
      <c r="C300" s="33" t="n"/>
      <c r="D300" s="34" t="n"/>
      <c r="E300" s="14" t="n"/>
      <c r="F300" s="33" t="n"/>
      <c r="G300" s="33" t="n"/>
      <c r="H300" s="33" t="n"/>
      <c r="I300" s="35">
        <f>IF(H300="Yes",N(D300),IF(B300="","",0))</f>
        <v/>
      </c>
      <c r="J300" s="14" t="n"/>
      <c r="K300" s="14" t="n"/>
      <c r="L300" s="34" t="n"/>
      <c r="M300" s="14" t="n"/>
      <c r="N300" s="33" t="n"/>
    </row>
    <row r="301">
      <c r="B301" s="14" t="n"/>
      <c r="C301" s="33" t="n"/>
      <c r="D301" s="34" t="n"/>
      <c r="E301" s="14" t="n"/>
      <c r="F301" s="33" t="n"/>
      <c r="G301" s="33" t="n"/>
      <c r="H301" s="33" t="n"/>
      <c r="I301" s="35">
        <f>IF(H301="Yes",N(D301),IF(B301="","",0))</f>
        <v/>
      </c>
      <c r="J301" s="14" t="n"/>
      <c r="K301" s="14" t="n"/>
      <c r="L301" s="34" t="n"/>
      <c r="M301" s="14" t="n"/>
      <c r="N301" s="33" t="n"/>
    </row>
    <row r="302">
      <c r="B302" s="14" t="n"/>
      <c r="C302" s="33" t="n"/>
      <c r="D302" s="34" t="n"/>
      <c r="E302" s="14" t="n"/>
      <c r="F302" s="33" t="n"/>
      <c r="G302" s="33" t="n"/>
      <c r="H302" s="33" t="n"/>
      <c r="I302" s="35">
        <f>IF(H302="Yes",N(D302),IF(B302="","",0))</f>
        <v/>
      </c>
      <c r="J302" s="14" t="n"/>
      <c r="K302" s="14" t="n"/>
      <c r="L302" s="34" t="n"/>
      <c r="M302" s="14" t="n"/>
      <c r="N302" s="33" t="n"/>
    </row>
    <row r="303">
      <c r="B303" s="14" t="n"/>
      <c r="C303" s="33" t="n"/>
      <c r="D303" s="34" t="n"/>
      <c r="E303" s="14" t="n"/>
      <c r="F303" s="33" t="n"/>
      <c r="G303" s="33" t="n"/>
      <c r="H303" s="33" t="n"/>
      <c r="I303" s="35">
        <f>IF(H303="Yes",N(D303),IF(B303="","",0))</f>
        <v/>
      </c>
      <c r="J303" s="14" t="n"/>
      <c r="K303" s="14" t="n"/>
      <c r="L303" s="34" t="n"/>
      <c r="M303" s="14" t="n"/>
      <c r="N303" s="33" t="n"/>
    </row>
    <row r="304">
      <c r="B304" s="14" t="n"/>
      <c r="C304" s="33" t="n"/>
      <c r="D304" s="34" t="n"/>
      <c r="E304" s="14" t="n"/>
      <c r="F304" s="33" t="n"/>
      <c r="G304" s="33" t="n"/>
      <c r="H304" s="33" t="n"/>
      <c r="I304" s="35">
        <f>IF(H304="Yes",N(D304),IF(B304="","",0))</f>
        <v/>
      </c>
      <c r="J304" s="14" t="n"/>
      <c r="K304" s="14" t="n"/>
      <c r="L304" s="34" t="n"/>
      <c r="M304" s="14" t="n"/>
      <c r="N304" s="33" t="n"/>
    </row>
    <row r="305">
      <c r="B305" s="14" t="n"/>
      <c r="C305" s="33" t="n"/>
      <c r="D305" s="34" t="n"/>
      <c r="E305" s="14" t="n"/>
      <c r="F305" s="33" t="n"/>
      <c r="G305" s="33" t="n"/>
      <c r="H305" s="33" t="n"/>
      <c r="I305" s="35">
        <f>IF(H305="Yes",N(D305),IF(B305="","",0))</f>
        <v/>
      </c>
      <c r="J305" s="14" t="n"/>
      <c r="K305" s="14" t="n"/>
      <c r="L305" s="34" t="n"/>
      <c r="M305" s="14" t="n"/>
      <c r="N305" s="33" t="n"/>
    </row>
    <row r="306">
      <c r="B306" s="14" t="n"/>
      <c r="C306" s="33" t="n"/>
      <c r="D306" s="34" t="n"/>
      <c r="E306" s="14" t="n"/>
      <c r="F306" s="33" t="n"/>
      <c r="G306" s="33" t="n"/>
      <c r="H306" s="33" t="n"/>
      <c r="I306" s="35">
        <f>IF(H306="Yes",N(D306),IF(B306="","",0))</f>
        <v/>
      </c>
      <c r="J306" s="14" t="n"/>
      <c r="K306" s="14" t="n"/>
      <c r="L306" s="34" t="n"/>
      <c r="M306" s="14" t="n"/>
      <c r="N306" s="33" t="n"/>
    </row>
  </sheetData>
  <conditionalFormatting sqref="H7:H306">
    <cfRule type="expression" priority="1" dxfId="2">
      <formula>$H7="Yes"</formula>
    </cfRule>
    <cfRule type="expression" priority="2" dxfId="3">
      <formula>$H7="No"</formula>
    </cfRule>
  </conditionalFormatting>
  <dataValidations count="5">
    <dataValidation sqref="C7:C306" showDropDown="0" showInputMessage="0" showErrorMessage="0" allowBlank="1" type="list">
      <formula1>"Partner 1,Partner 2,Both"</formula1>
    </dataValidation>
    <dataValidation sqref="F7:G306" showDropDown="0" showInputMessage="0" showErrorMessage="0" allowBlank="1" type="list">
      <formula1>"Yes,No"</formula1>
    </dataValidation>
    <dataValidation sqref="H7:H306" showDropDown="0" showInputMessage="0" showErrorMessage="0" allowBlank="1" type="list">
      <formula1>"Yes,No,Waiting"</formula1>
    </dataValidation>
    <dataValidation sqref="J7:J306" showDropDown="0" showInputMessage="0" showErrorMessage="0" allowBlank="1" type="list">
      <formula1>"Option 1,Option 2,Option 3,Kids meal"</formula1>
    </dataValidation>
    <dataValidation sqref="N7:N306" showDropDown="0" showInputMessage="0" showErrorMessage="0" allowBlank="1" type="list">
      <formula1>"Yes,No"</formula1>
    </dataValidation>
  </dataValidations>
  <printOptions horizontalCentered="1"/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DE1E5"/>
    <outlinePr summaryBelow="1" summaryRight="1"/>
    <pageSetUpPr fitToPage="1"/>
  </sheetPr>
  <dimension ref="B2:F5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58" customWidth="1" min="3" max="3"/>
    <col width="10" customWidth="1" min="4" max="4"/>
    <col width="16" customWidth="1" min="5" max="5"/>
    <col width="28" customWidth="1" min="6" max="6"/>
  </cols>
  <sheetData>
    <row r="1" ht="10" customHeight="1"/>
    <row r="2" ht="32" customHeight="1">
      <c r="B2" s="9" t="inlineStr">
        <is>
          <t>Planning checklist</t>
        </is>
      </c>
    </row>
    <row r="3">
      <c r="B3" s="21" t="inlineStr">
        <is>
          <t>A timeline to work from. Mark tasks Done, add your own in the blank rows.</t>
        </is>
      </c>
    </row>
    <row r="4" ht="8" customHeight="1">
      <c r="B4" s="10" t="n"/>
      <c r="C4" s="10" t="n"/>
      <c r="D4" s="10" t="n"/>
      <c r="E4" s="10" t="n"/>
      <c r="F4" s="10" t="n"/>
    </row>
    <row r="5">
      <c r="B5" s="11" t="inlineStr">
        <is>
          <t>Progress</t>
        </is>
      </c>
      <c r="C5" s="36">
        <f>IFERROR(COUNTIF(D7:D59,"Done")/(COUNTA(C7:C59)-COUNTIF(D7:D59,"Skip")),0)</f>
        <v/>
      </c>
    </row>
    <row r="6" ht="30" customHeight="1">
      <c r="B6" s="24" t="inlineStr">
        <is>
          <t>When</t>
        </is>
      </c>
      <c r="C6" s="24" t="inlineStr">
        <is>
          <t>Task</t>
        </is>
      </c>
      <c r="D6" s="24" t="inlineStr">
        <is>
          <t>Done?</t>
        </is>
      </c>
      <c r="E6" s="24" t="inlineStr">
        <is>
          <t>Deadline</t>
        </is>
      </c>
      <c r="F6" s="24" t="inlineStr">
        <is>
          <t>Notes</t>
        </is>
      </c>
    </row>
    <row r="7">
      <c r="B7" s="37" t="inlineStr">
        <is>
          <t>12+ months</t>
        </is>
      </c>
      <c r="C7" s="14" t="inlineStr">
        <is>
          <t>Set your total budget and decide who is paying for what</t>
        </is>
      </c>
      <c r="D7" s="33" t="n"/>
      <c r="E7" s="12" t="n"/>
      <c r="F7" s="14" t="n"/>
    </row>
    <row r="8">
      <c r="B8" s="37" t="inlineStr">
        <is>
          <t>12+ months</t>
        </is>
      </c>
      <c r="C8" s="14" t="inlineStr">
        <is>
          <t>Draft a rough guest list and head count</t>
        </is>
      </c>
      <c r="D8" s="33" t="n"/>
      <c r="E8" s="12" t="n"/>
      <c r="F8" s="14" t="n"/>
    </row>
    <row r="9">
      <c r="B9" s="37" t="inlineStr">
        <is>
          <t>12+ months</t>
        </is>
      </c>
      <c r="C9" s="14" t="inlineStr">
        <is>
          <t>Pick a season or date range</t>
        </is>
      </c>
      <c r="D9" s="33" t="n"/>
      <c r="E9" s="12" t="n"/>
      <c r="F9" s="14" t="n"/>
    </row>
    <row r="10">
      <c r="B10" s="37" t="inlineStr">
        <is>
          <t>12+ months</t>
        </is>
      </c>
      <c r="C10" s="14" t="inlineStr">
        <is>
          <t>Book the venue</t>
        </is>
      </c>
      <c r="D10" s="33" t="n"/>
      <c r="E10" s="12" t="n"/>
      <c r="F10" s="14" t="n"/>
    </row>
    <row r="11">
      <c r="B11" s="37" t="inlineStr">
        <is>
          <t>12+ months</t>
        </is>
      </c>
      <c r="C11" s="14" t="inlineStr">
        <is>
          <t>Decide if you want a planner or coordinator</t>
        </is>
      </c>
      <c r="D11" s="33" t="n"/>
      <c r="E11" s="12" t="n"/>
      <c r="F11" s="14" t="n"/>
    </row>
    <row r="12">
      <c r="B12" s="37" t="inlineStr">
        <is>
          <t>12+ months</t>
        </is>
      </c>
      <c r="C12" s="14" t="n"/>
      <c r="D12" s="33" t="n"/>
      <c r="E12" s="12" t="n"/>
      <c r="F12" s="14" t="n"/>
    </row>
    <row r="13">
      <c r="B13" s="37" t="inlineStr">
        <is>
          <t>9-12 months</t>
        </is>
      </c>
      <c r="C13" s="14" t="inlineStr">
        <is>
          <t>Book photographer and videographer</t>
        </is>
      </c>
      <c r="D13" s="33" t="n"/>
      <c r="E13" s="12" t="n"/>
      <c r="F13" s="14" t="n"/>
    </row>
    <row r="14">
      <c r="B14" s="37" t="inlineStr">
        <is>
          <t>9-12 months</t>
        </is>
      </c>
      <c r="C14" s="14" t="inlineStr">
        <is>
          <t>Book caterer (if not with venue)</t>
        </is>
      </c>
      <c r="D14" s="33" t="n"/>
      <c r="E14" s="12" t="n"/>
      <c r="F14" s="14" t="n"/>
    </row>
    <row r="15">
      <c r="B15" s="37" t="inlineStr">
        <is>
          <t>9-12 months</t>
        </is>
      </c>
      <c r="C15" s="14" t="inlineStr">
        <is>
          <t>Book officiant</t>
        </is>
      </c>
      <c r="D15" s="33" t="n"/>
      <c r="E15" s="12" t="n"/>
      <c r="F15" s="14" t="n"/>
    </row>
    <row r="16">
      <c r="B16" s="37" t="inlineStr">
        <is>
          <t>9-12 months</t>
        </is>
      </c>
      <c r="C16" s="14" t="inlineStr">
        <is>
          <t>Start looking at attire</t>
        </is>
      </c>
      <c r="D16" s="33" t="n"/>
      <c r="E16" s="12" t="n"/>
      <c r="F16" s="14" t="n"/>
    </row>
    <row r="17">
      <c r="B17" s="37" t="inlineStr">
        <is>
          <t>9-12 months</t>
        </is>
      </c>
      <c r="C17" s="14" t="inlineStr">
        <is>
          <t>Set up a wedding website (optional)</t>
        </is>
      </c>
      <c r="D17" s="33" t="n"/>
      <c r="E17" s="12" t="n"/>
      <c r="F17" s="14" t="n"/>
    </row>
    <row r="18">
      <c r="B18" s="37" t="inlineStr">
        <is>
          <t>9-12 months</t>
        </is>
      </c>
      <c r="C18" s="14" t="inlineStr">
        <is>
          <t>Reserve hotel blocks for guests</t>
        </is>
      </c>
      <c r="D18" s="33" t="n"/>
      <c r="E18" s="12" t="n"/>
      <c r="F18" s="14" t="n"/>
    </row>
    <row r="19">
      <c r="B19" s="37" t="inlineStr">
        <is>
          <t>9-12 months</t>
        </is>
      </c>
      <c r="C19" s="14" t="n"/>
      <c r="D19" s="33" t="n"/>
      <c r="E19" s="12" t="n"/>
      <c r="F19" s="14" t="n"/>
    </row>
    <row r="20">
      <c r="B20" s="37" t="inlineStr">
        <is>
          <t>6-9 months</t>
        </is>
      </c>
      <c r="C20" s="14" t="inlineStr">
        <is>
          <t>Book music / DJ / band</t>
        </is>
      </c>
      <c r="D20" s="33" t="n"/>
      <c r="E20" s="12" t="n"/>
      <c r="F20" s="14" t="n"/>
    </row>
    <row r="21">
      <c r="B21" s="37" t="inlineStr">
        <is>
          <t>6-9 months</t>
        </is>
      </c>
      <c r="C21" s="14" t="inlineStr">
        <is>
          <t>Book florist</t>
        </is>
      </c>
      <c r="D21" s="33" t="n"/>
      <c r="E21" s="12" t="n"/>
      <c r="F21" s="14" t="n"/>
    </row>
    <row r="22">
      <c r="B22" s="37" t="inlineStr">
        <is>
          <t>6-9 months</t>
        </is>
      </c>
      <c r="C22" s="14" t="inlineStr">
        <is>
          <t>Send save-the-dates</t>
        </is>
      </c>
      <c r="D22" s="33" t="n"/>
      <c r="E22" s="12" t="n"/>
      <c r="F22" s="14" t="n"/>
    </row>
    <row r="23">
      <c r="B23" s="37" t="inlineStr">
        <is>
          <t>6-9 months</t>
        </is>
      </c>
      <c r="C23" s="14" t="inlineStr">
        <is>
          <t>Order attire</t>
        </is>
      </c>
      <c r="D23" s="33" t="n"/>
      <c r="E23" s="12" t="n"/>
      <c r="F23" s="14" t="n"/>
    </row>
    <row r="24">
      <c r="B24" s="37" t="inlineStr">
        <is>
          <t>6-9 months</t>
        </is>
      </c>
      <c r="C24" s="14" t="inlineStr">
        <is>
          <t>Plan the honeymoon</t>
        </is>
      </c>
      <c r="D24" s="33" t="n"/>
      <c r="E24" s="12" t="n"/>
      <c r="F24" s="14" t="n"/>
    </row>
    <row r="25">
      <c r="B25" s="37" t="inlineStr">
        <is>
          <t>6-9 months</t>
        </is>
      </c>
      <c r="C25" s="14" t="inlineStr">
        <is>
          <t>Register for gifts</t>
        </is>
      </c>
      <c r="D25" s="33" t="n"/>
      <c r="E25" s="12" t="n"/>
      <c r="F25" s="14" t="n"/>
    </row>
    <row r="26">
      <c r="B26" s="37" t="inlineStr">
        <is>
          <t>6-9 months</t>
        </is>
      </c>
      <c r="C26" s="14" t="n"/>
      <c r="D26" s="33" t="n"/>
      <c r="E26" s="12" t="n"/>
      <c r="F26" s="14" t="n"/>
    </row>
    <row r="27">
      <c r="B27" s="37" t="inlineStr">
        <is>
          <t>4-6 months</t>
        </is>
      </c>
      <c r="C27" s="14" t="inlineStr">
        <is>
          <t>Book hair and makeup</t>
        </is>
      </c>
      <c r="D27" s="33" t="n"/>
      <c r="E27" s="12" t="n"/>
      <c r="F27" s="14" t="n"/>
    </row>
    <row r="28">
      <c r="B28" s="37" t="inlineStr">
        <is>
          <t>4-6 months</t>
        </is>
      </c>
      <c r="C28" s="14" t="inlineStr">
        <is>
          <t>Order invitations</t>
        </is>
      </c>
      <c r="D28" s="33" t="n"/>
      <c r="E28" s="12" t="n"/>
      <c r="F28" s="14" t="n"/>
    </row>
    <row r="29">
      <c r="B29" s="37" t="inlineStr">
        <is>
          <t>4-6 months</t>
        </is>
      </c>
      <c r="C29" s="14" t="inlineStr">
        <is>
          <t>Book transportation</t>
        </is>
      </c>
      <c r="D29" s="33" t="n"/>
      <c r="E29" s="12" t="n"/>
      <c r="F29" s="14" t="n"/>
    </row>
    <row r="30">
      <c r="B30" s="37" t="inlineStr">
        <is>
          <t>4-6 months</t>
        </is>
      </c>
      <c r="C30" s="14" t="inlineStr">
        <is>
          <t>Order cake / desserts</t>
        </is>
      </c>
      <c r="D30" s="33" t="n"/>
      <c r="E30" s="12" t="n"/>
      <c r="F30" s="14" t="n"/>
    </row>
    <row r="31">
      <c r="B31" s="37" t="inlineStr">
        <is>
          <t>4-6 months</t>
        </is>
      </c>
      <c r="C31" s="14" t="inlineStr">
        <is>
          <t>Buy rings</t>
        </is>
      </c>
      <c r="D31" s="33" t="n"/>
      <c r="E31" s="12" t="n"/>
      <c r="F31" s="14" t="n"/>
    </row>
    <row r="32">
      <c r="B32" s="37" t="inlineStr">
        <is>
          <t>4-6 months</t>
        </is>
      </c>
      <c r="C32" s="14" t="inlineStr">
        <is>
          <t>Plan rehearsal dinner</t>
        </is>
      </c>
      <c r="D32" s="33" t="n"/>
      <c r="E32" s="12" t="n"/>
      <c r="F32" s="14" t="n"/>
    </row>
    <row r="33">
      <c r="B33" s="37" t="inlineStr">
        <is>
          <t>4-6 months</t>
        </is>
      </c>
      <c r="C33" s="14" t="n"/>
      <c r="D33" s="33" t="n"/>
      <c r="E33" s="12" t="n"/>
      <c r="F33" s="14" t="n"/>
    </row>
    <row r="34">
      <c r="B34" s="37" t="inlineStr">
        <is>
          <t>2-3 months</t>
        </is>
      </c>
      <c r="C34" s="14" t="inlineStr">
        <is>
          <t>Mail invitations</t>
        </is>
      </c>
      <c r="D34" s="33" t="n"/>
      <c r="E34" s="12" t="n"/>
      <c r="F34" s="14" t="n"/>
    </row>
    <row r="35">
      <c r="B35" s="37" t="inlineStr">
        <is>
          <t>2-3 months</t>
        </is>
      </c>
      <c r="C35" s="14" t="inlineStr">
        <is>
          <t>First attire fitting</t>
        </is>
      </c>
      <c r="D35" s="33" t="n"/>
      <c r="E35" s="12" t="n"/>
      <c r="F35" s="14" t="n"/>
    </row>
    <row r="36">
      <c r="B36" s="37" t="inlineStr">
        <is>
          <t>2-3 months</t>
        </is>
      </c>
      <c r="C36" s="14" t="inlineStr">
        <is>
          <t>Finalize menu and bar</t>
        </is>
      </c>
      <c r="D36" s="33" t="n"/>
      <c r="E36" s="12" t="n"/>
      <c r="F36" s="14" t="n"/>
    </row>
    <row r="37">
      <c r="B37" s="37" t="inlineStr">
        <is>
          <t>2-3 months</t>
        </is>
      </c>
      <c r="C37" s="14" t="inlineStr">
        <is>
          <t>Write or plan vows</t>
        </is>
      </c>
      <c r="D37" s="33" t="n"/>
      <c r="E37" s="12" t="n"/>
      <c r="F37" s="14" t="n"/>
    </row>
    <row r="38">
      <c r="B38" s="37" t="inlineStr">
        <is>
          <t>2-3 months</t>
        </is>
      </c>
      <c r="C38" s="14" t="inlineStr">
        <is>
          <t>Buy gifts for the wedding party</t>
        </is>
      </c>
      <c r="D38" s="33" t="n"/>
      <c r="E38" s="12" t="n"/>
      <c r="F38" s="14" t="n"/>
    </row>
    <row r="39">
      <c r="B39" s="37" t="inlineStr">
        <is>
          <t>2-3 months</t>
        </is>
      </c>
      <c r="C39" s="14" t="inlineStr">
        <is>
          <t>Check marriage license requirements</t>
        </is>
      </c>
      <c r="D39" s="33" t="n"/>
      <c r="E39" s="12" t="n"/>
      <c r="F39" s="14" t="n"/>
    </row>
    <row r="40">
      <c r="B40" s="37" t="inlineStr">
        <is>
          <t>2-3 months</t>
        </is>
      </c>
      <c r="C40" s="14" t="n"/>
      <c r="D40" s="33" t="n"/>
      <c r="E40" s="12" t="n"/>
      <c r="F40" s="14" t="n"/>
    </row>
    <row r="41">
      <c r="B41" s="37" t="inlineStr">
        <is>
          <t>1 month</t>
        </is>
      </c>
      <c r="C41" s="14" t="inlineStr">
        <is>
          <t>Chase missing RSVPs</t>
        </is>
      </c>
      <c r="D41" s="33" t="n"/>
      <c r="E41" s="12" t="n"/>
      <c r="F41" s="14" t="n"/>
    </row>
    <row r="42">
      <c r="B42" s="37" t="inlineStr">
        <is>
          <t>1 month</t>
        </is>
      </c>
      <c r="C42" s="14" t="inlineStr">
        <is>
          <t>Give final numbers to caterer and venue</t>
        </is>
      </c>
      <c r="D42" s="33" t="n"/>
      <c r="E42" s="12" t="n"/>
      <c r="F42" s="14" t="n"/>
    </row>
    <row r="43">
      <c r="B43" s="37" t="inlineStr">
        <is>
          <t>1 month</t>
        </is>
      </c>
      <c r="C43" s="14" t="inlineStr">
        <is>
          <t>Make the seating plan</t>
        </is>
      </c>
      <c r="D43" s="33" t="n"/>
      <c r="E43" s="12" t="n"/>
      <c r="F43" s="14" t="n"/>
    </row>
    <row r="44">
      <c r="B44" s="37" t="inlineStr">
        <is>
          <t>1 month</t>
        </is>
      </c>
      <c r="C44" s="14" t="inlineStr">
        <is>
          <t>Get the marriage license</t>
        </is>
      </c>
      <c r="D44" s="33" t="n"/>
      <c r="E44" s="12" t="n"/>
      <c r="F44" s="14" t="n"/>
    </row>
    <row r="45">
      <c r="B45" s="37" t="inlineStr">
        <is>
          <t>1 month</t>
        </is>
      </c>
      <c r="C45" s="14" t="inlineStr">
        <is>
          <t>Final attire fitting</t>
        </is>
      </c>
      <c r="D45" s="33" t="n"/>
      <c r="E45" s="12" t="n"/>
      <c r="F45" s="14" t="n"/>
    </row>
    <row r="46">
      <c r="B46" s="37" t="inlineStr">
        <is>
          <t>1 month</t>
        </is>
      </c>
      <c r="C46" s="14" t="inlineStr">
        <is>
          <t>Confirm timings with every vendor</t>
        </is>
      </c>
      <c r="D46" s="33" t="n"/>
      <c r="E46" s="12" t="n"/>
      <c r="F46" s="14" t="n"/>
    </row>
    <row r="47">
      <c r="B47" s="37" t="inlineStr">
        <is>
          <t>1 month</t>
        </is>
      </c>
      <c r="C47" s="14" t="n"/>
      <c r="D47" s="33" t="n"/>
      <c r="E47" s="12" t="n"/>
      <c r="F47" s="14" t="n"/>
    </row>
    <row r="48">
      <c r="B48" s="37" t="inlineStr">
        <is>
          <t>Week of</t>
        </is>
      </c>
      <c r="C48" s="14" t="inlineStr">
        <is>
          <t>Pack an emergency kit</t>
        </is>
      </c>
      <c r="D48" s="33" t="n"/>
      <c r="E48" s="12" t="n"/>
      <c r="F48" s="14" t="n"/>
    </row>
    <row r="49">
      <c r="B49" s="37" t="inlineStr">
        <is>
          <t>Week of</t>
        </is>
      </c>
      <c r="C49" s="14" t="inlineStr">
        <is>
          <t>Put final payments and tips in labelled envelopes</t>
        </is>
      </c>
      <c r="D49" s="33" t="n"/>
      <c r="E49" s="12" t="n"/>
      <c r="F49" s="14" t="n"/>
    </row>
    <row r="50">
      <c r="B50" s="37" t="inlineStr">
        <is>
          <t>Week of</t>
        </is>
      </c>
      <c r="C50" s="14" t="inlineStr">
        <is>
          <t>Give vendors a day-of contact</t>
        </is>
      </c>
      <c r="D50" s="33" t="n"/>
      <c r="E50" s="12" t="n"/>
      <c r="F50" s="14" t="n"/>
    </row>
    <row r="51">
      <c r="B51" s="37" t="inlineStr">
        <is>
          <t>Week of</t>
        </is>
      </c>
      <c r="C51" s="14" t="inlineStr">
        <is>
          <t>Rehearsal</t>
        </is>
      </c>
      <c r="D51" s="33" t="n"/>
      <c r="E51" s="12" t="n"/>
      <c r="F51" s="14" t="n"/>
    </row>
    <row r="52">
      <c r="B52" s="37" t="inlineStr">
        <is>
          <t>Week of</t>
        </is>
      </c>
      <c r="C52" s="14" t="inlineStr">
        <is>
          <t>Rest and eat well</t>
        </is>
      </c>
      <c r="D52" s="33" t="n"/>
      <c r="E52" s="12" t="n"/>
      <c r="F52" s="14" t="n"/>
    </row>
    <row r="53">
      <c r="B53" s="37" t="inlineStr">
        <is>
          <t>Week of</t>
        </is>
      </c>
      <c r="C53" s="14" t="n"/>
      <c r="D53" s="33" t="n"/>
      <c r="E53" s="12" t="n"/>
      <c r="F53" s="14" t="n"/>
    </row>
    <row r="54">
      <c r="B54" s="37" t="inlineStr">
        <is>
          <t>After</t>
        </is>
      </c>
      <c r="C54" s="14" t="inlineStr">
        <is>
          <t>Return rentals</t>
        </is>
      </c>
      <c r="D54" s="33" t="n"/>
      <c r="E54" s="12" t="n"/>
      <c r="F54" s="14" t="n"/>
    </row>
    <row r="55">
      <c r="B55" s="37" t="inlineStr">
        <is>
          <t>After</t>
        </is>
      </c>
      <c r="C55" s="14" t="inlineStr">
        <is>
          <t>Send thank-you notes</t>
        </is>
      </c>
      <c r="D55" s="33" t="n"/>
      <c r="E55" s="12" t="n"/>
      <c r="F55" s="14" t="n"/>
    </row>
    <row r="56">
      <c r="B56" s="37" t="inlineStr">
        <is>
          <t>After</t>
        </is>
      </c>
      <c r="C56" s="14" t="inlineStr">
        <is>
          <t>Change name on documents (if you choose)</t>
        </is>
      </c>
      <c r="D56" s="33" t="n"/>
      <c r="E56" s="12" t="n"/>
      <c r="F56" s="14" t="n"/>
    </row>
    <row r="57">
      <c r="B57" s="37" t="inlineStr">
        <is>
          <t>After</t>
        </is>
      </c>
      <c r="C57" s="14" t="inlineStr">
        <is>
          <t>Leave vendor reviews</t>
        </is>
      </c>
      <c r="D57" s="33" t="n"/>
      <c r="E57" s="12" t="n"/>
      <c r="F57" s="14" t="n"/>
    </row>
    <row r="58">
      <c r="B58" s="37" t="inlineStr">
        <is>
          <t>After</t>
        </is>
      </c>
      <c r="C58" s="14" t="inlineStr">
        <is>
          <t>Preserve the dress / bouquet (optional)</t>
        </is>
      </c>
      <c r="D58" s="33" t="n"/>
      <c r="E58" s="12" t="n"/>
      <c r="F58" s="14" t="n"/>
    </row>
    <row r="59">
      <c r="B59" s="37" t="inlineStr">
        <is>
          <t>After</t>
        </is>
      </c>
      <c r="C59" s="14" t="n"/>
      <c r="D59" s="33" t="n"/>
      <c r="E59" s="12" t="n"/>
      <c r="F59" s="14" t="n"/>
    </row>
  </sheetData>
  <conditionalFormatting sqref="C5">
    <cfRule type="dataBar" priority="1">
      <dataBar>
        <cfvo type="num" val="0"/>
        <cfvo type="num" val="1"/>
        <color rgb="009A5B6F"/>
      </dataBar>
    </cfRule>
  </conditionalFormatting>
  <conditionalFormatting sqref="C7:D59">
    <cfRule type="expression" priority="2" dxfId="4">
      <formula>$D7="Done"</formula>
    </cfRule>
  </conditionalFormatting>
  <dataValidations count="1">
    <dataValidation sqref="D7:D59" showDropDown="0" showInputMessage="0" showErrorMessage="0" allowBlank="1" type="list">
      <formula1>"Done,Skip"</formula1>
    </dataValidation>
  </dataValidations>
  <printOptions horizontalCentered="1"/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2026-09-25T06:27:31Z</dcterms:created>
  <dcterms:modified xsi:type="dcterms:W3CDTF">2026-09-25T06:27:31Z</dcterms:modified>
</cp:coreProperties>
</file>